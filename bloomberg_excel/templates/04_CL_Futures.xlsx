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L 2016" sheetId="2" state="visible" r:id="rId2"/>
    <sheet xmlns:r="http://schemas.openxmlformats.org/officeDocument/2006/relationships" name="CL 2017" sheetId="3" state="visible" r:id="rId3"/>
    <sheet xmlns:r="http://schemas.openxmlformats.org/officeDocument/2006/relationships" name="CL 2018" sheetId="4" state="visible" r:id="rId4"/>
    <sheet xmlns:r="http://schemas.openxmlformats.org/officeDocument/2006/relationships" name="CL 2019" sheetId="5" state="visible" r:id="rId5"/>
    <sheet xmlns:r="http://schemas.openxmlformats.org/officeDocument/2006/relationships" name="CL 2020" sheetId="6" state="visible" r:id="rId6"/>
    <sheet xmlns:r="http://schemas.openxmlformats.org/officeDocument/2006/relationships" name="CL 2021" sheetId="7" state="visible" r:id="rId7"/>
    <sheet xmlns:r="http://schemas.openxmlformats.org/officeDocument/2006/relationships" name="CL 2022" sheetId="8" state="visible" r:id="rId8"/>
    <sheet xmlns:r="http://schemas.openxmlformats.org/officeDocument/2006/relationships" name="CL 2023" sheetId="9" state="visible" r:id="rId9"/>
    <sheet xmlns:r="http://schemas.openxmlformats.org/officeDocument/2006/relationships" name="CL 2024" sheetId="10" state="visible" r:id="rId10"/>
    <sheet xmlns:r="http://schemas.openxmlformats.org/officeDocument/2006/relationships" name="CL 2025" sheetId="11" state="visible" r:id="rId11"/>
    <sheet xmlns:r="http://schemas.openxmlformats.org/officeDocument/2006/relationships" name="CL 2026" sheetId="12" state="visible" r:id="rId12"/>
    <sheet xmlns:r="http://schemas.openxmlformats.org/officeDocument/2006/relationships" name="CL 2027" sheetId="13" state="visible" r:id="rId13"/>
    <sheet xmlns:r="http://schemas.openxmlformats.org/officeDocument/2006/relationships" name="CL 2028" sheetId="14" state="visible" r:id="rId14"/>
    <sheet xmlns:r="http://schemas.openxmlformats.org/officeDocument/2006/relationships" name="CL 2029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0000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0" pivotButton="0" quotePrefix="0" xfId="0"/>
    <xf numFmtId="0" fontId="4" fillId="0" borderId="0" pivotButton="0" quotePrefix="0" xfId="0"/>
    <xf numFmtId="0" fontId="3" fillId="2" borderId="0" pivotButton="0" quotePrefix="0" xfId="0"/>
    <xf numFmtId="164" fontId="4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</cols>
  <sheetData>
    <row r="1">
      <c r="A1" s="1" t="inlineStr">
        <is>
          <t>WTI crude (CL): every individual futures contract since 2016 (oil-futures)</t>
        </is>
      </c>
    </row>
    <row r="3">
      <c r="A3" s="2" t="inlineStr">
        <is>
          <t>Start date</t>
        </is>
      </c>
      <c r="B3" s="3" t="n">
        <v>42370</v>
      </c>
      <c r="C3" s="4" t="inlineStr">
        <is>
          <t>First date of history</t>
        </is>
      </c>
    </row>
    <row r="4">
      <c r="A4" s="2" t="inlineStr">
        <is>
          <t>End date</t>
        </is>
      </c>
      <c r="B4" s="3" t="n"/>
      <c r="C4" s="4" t="inlineStr">
        <is>
          <t>Leave blank for today</t>
        </is>
      </c>
    </row>
    <row r="5">
      <c r="A5" s="2" t="inlineStr">
        <is>
          <t>As-of date</t>
        </is>
      </c>
      <c r="B5" s="3" t="n">
        <v>46308</v>
      </c>
      <c r="C5" s="4" t="inlineStr">
        <is>
          <t>Set to today's date; decides expired vs live tickers</t>
        </is>
      </c>
    </row>
    <row r="7">
      <c r="A7" s="2" t="inlineStr">
        <is>
          <t>Legend</t>
        </is>
      </c>
    </row>
    <row r="8">
      <c r="A8" s="5" t="inlineStr">
        <is>
          <t>Yellow cells with blue text</t>
        </is>
      </c>
      <c r="B8" s="4" t="inlineStr">
        <is>
          <t>inputs you may change; everything else is a formula</t>
        </is>
      </c>
    </row>
    <row r="10">
      <c r="A10" s="2" t="inlineStr">
        <is>
          <t>How to use</t>
        </is>
      </c>
    </row>
    <row r="11">
      <c r="A11" s="4" t="inlineStr">
        <is>
          <t>1. Open this file in Excel on the Bloomberg PC with the Terminal logged in. Click Enable Editing / Enable Content.</t>
        </is>
      </c>
    </row>
    <row r="12">
      <c r="A12" s="4" t="inlineStr">
        <is>
          <t>2. Wait until no cell says 'Requesting Data...'. If nothing loads: Bloomberg tab &gt; Refresh &gt; Refresh Workbook.</t>
        </is>
      </c>
    </row>
    <row r="13">
      <c r="A13" s="4" t="inlineStr">
        <is>
          <t>3. A cell reading '#N/A Invalid Security' or '#N/A Field Not Applicable' just means that item is unavailable.</t>
        </is>
      </c>
    </row>
    <row r="14">
      <c r="A14" s="4" t="inlineStr">
        <is>
          <t>4. File &gt; Save As, keep .xlsx, and add the date to the name. Upload the saved file to Claude.</t>
        </is>
      </c>
    </row>
    <row r="15">
      <c r="A15" s="4" t="inlineStr">
        <is>
          <t>5. Row 1 ticker: expired contracts use a 2-digit year (CLZ25), live ones 1-digit (CLZ6). It switches on the As-of date.</t>
        </is>
      </c>
    </row>
    <row r="16">
      <c r="A16" s="4" t="inlineStr">
        <is>
          <t>6. If one contract shows '#N/A Invalid Security', change As-of date to today and reopen.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"CLF"&amp;IF(A2&lt;Settings!$B$5,"16","6")&amp;" Comdty"</f>
        <v/>
      </c>
      <c r="J1" s="4">
        <f>"CLG"&amp;IF(J2&lt;Settings!$B$5,"16","6")&amp;" Comdty"</f>
        <v/>
      </c>
      <c r="S1" s="4">
        <f>"CLH"&amp;IF(S2&lt;Settings!$B$5,"16","6")&amp;" Comdty"</f>
        <v/>
      </c>
      <c r="AB1" s="4">
        <f>"CLJ"&amp;IF(AB2&lt;Settings!$B$5,"16","6")&amp;" Comdty"</f>
        <v/>
      </c>
      <c r="AK1" s="4">
        <f>"CLK"&amp;IF(AK2&lt;Settings!$B$5,"16","6")&amp;" Comdty"</f>
        <v/>
      </c>
      <c r="AT1" s="4">
        <f>"CLM"&amp;IF(AT2&lt;Settings!$B$5,"16","6")&amp;" Comdty"</f>
        <v/>
      </c>
      <c r="BC1" s="4">
        <f>"CLN"&amp;IF(BC2&lt;Settings!$B$5,"16","6")&amp;" Comdty"</f>
        <v/>
      </c>
      <c r="BL1" s="4">
        <f>"CLQ"&amp;IF(BL2&lt;Settings!$B$5,"16","6")&amp;" Comdty"</f>
        <v/>
      </c>
      <c r="BU1" s="4">
        <f>"CLU"&amp;IF(BU2&lt;Settings!$B$5,"16","6")&amp;" Comdty"</f>
        <v/>
      </c>
      <c r="CD1" s="4">
        <f>"CLV"&amp;IF(CD2&lt;Settings!$B$5,"16","6")&amp;" Comdty"</f>
        <v/>
      </c>
      <c r="CM1" s="4">
        <f>"CLX"&amp;IF(CM2&lt;Settings!$B$5,"16","6")&amp;" Comdty"</f>
        <v/>
      </c>
      <c r="CV1" s="4">
        <f>"CLZ"&amp;IF(CV2&lt;Settings!$B$5,"16","6")&amp;" Comdty"</f>
        <v/>
      </c>
    </row>
    <row r="2">
      <c r="A2" s="6">
        <f>WORKDAY(DATE(2016,0,25),-3)</f>
        <v/>
      </c>
      <c r="B2" s="6">
        <f>BDP(A$1,"LAST_TRADEABLE_DT")</f>
        <v/>
      </c>
      <c r="J2" s="6">
        <f>WORKDAY(DATE(2016,1,25),-3)</f>
        <v/>
      </c>
      <c r="K2" s="6">
        <f>BDP(J$1,"LAST_TRADEABLE_DT")</f>
        <v/>
      </c>
      <c r="S2" s="6">
        <f>WORKDAY(DATE(2016,2,25),-3)</f>
        <v/>
      </c>
      <c r="T2" s="6">
        <f>BDP(S$1,"LAST_TRADEABLE_DT")</f>
        <v/>
      </c>
      <c r="AB2" s="6">
        <f>WORKDAY(DATE(2016,3,25),-3)</f>
        <v/>
      </c>
      <c r="AC2" s="6">
        <f>BDP(AB$1,"LAST_TRADEABLE_DT")</f>
        <v/>
      </c>
      <c r="AK2" s="6">
        <f>WORKDAY(DATE(2016,4,25),-3)</f>
        <v/>
      </c>
      <c r="AL2" s="6">
        <f>BDP(AK$1,"LAST_TRADEABLE_DT")</f>
        <v/>
      </c>
      <c r="AT2" s="6">
        <f>WORKDAY(DATE(2016,5,25),-3)</f>
        <v/>
      </c>
      <c r="AU2" s="6">
        <f>BDP(AT$1,"LAST_TRADEABLE_DT")</f>
        <v/>
      </c>
      <c r="BC2" s="6">
        <f>WORKDAY(DATE(2016,6,25),-3)</f>
        <v/>
      </c>
      <c r="BD2" s="6">
        <f>BDP(BC$1,"LAST_TRADEABLE_DT")</f>
        <v/>
      </c>
      <c r="BL2" s="6">
        <f>WORKDAY(DATE(2016,7,25),-3)</f>
        <v/>
      </c>
      <c r="BM2" s="6">
        <f>BDP(BL$1,"LAST_TRADEABLE_DT")</f>
        <v/>
      </c>
      <c r="BU2" s="6">
        <f>WORKDAY(DATE(2016,8,25),-3)</f>
        <v/>
      </c>
      <c r="BV2" s="6">
        <f>BDP(BU$1,"LAST_TRADEABLE_DT")</f>
        <v/>
      </c>
      <c r="CD2" s="6">
        <f>WORKDAY(DATE(2016,9,25),-3)</f>
        <v/>
      </c>
      <c r="CE2" s="6">
        <f>BDP(CD$1,"LAST_TRADEABLE_DT")</f>
        <v/>
      </c>
      <c r="CM2" s="6">
        <f>WORKDAY(DATE(2016,10,25),-3)</f>
        <v/>
      </c>
      <c r="CN2" s="6">
        <f>BDP(CM$1,"LAST_TRADEABLE_DT")</f>
        <v/>
      </c>
      <c r="CV2" s="6">
        <f>WORKDAY(DATE(2016,11,25),-3)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"CLF"&amp;IF(A2&lt;Settings!$B$5,"17","7")&amp;" Comdty"</f>
        <v/>
      </c>
      <c r="J1" s="4">
        <f>"CLG"&amp;IF(J2&lt;Settings!$B$5,"17","7")&amp;" Comdty"</f>
        <v/>
      </c>
      <c r="S1" s="4">
        <f>"CLH"&amp;IF(S2&lt;Settings!$B$5,"17","7")&amp;" Comdty"</f>
        <v/>
      </c>
      <c r="AB1" s="4">
        <f>"CLJ"&amp;IF(AB2&lt;Settings!$B$5,"17","7")&amp;" Comdty"</f>
        <v/>
      </c>
      <c r="AK1" s="4">
        <f>"CLK"&amp;IF(AK2&lt;Settings!$B$5,"17","7")&amp;" Comdty"</f>
        <v/>
      </c>
      <c r="AT1" s="4">
        <f>"CLM"&amp;IF(AT2&lt;Settings!$B$5,"17","7")&amp;" Comdty"</f>
        <v/>
      </c>
      <c r="BC1" s="4">
        <f>"CLN"&amp;IF(BC2&lt;Settings!$B$5,"17","7")&amp;" Comdty"</f>
        <v/>
      </c>
      <c r="BL1" s="4">
        <f>"CLQ"&amp;IF(BL2&lt;Settings!$B$5,"17","7")&amp;" Comdty"</f>
        <v/>
      </c>
      <c r="BU1" s="4">
        <f>"CLU"&amp;IF(BU2&lt;Settings!$B$5,"17","7")&amp;" Comdty"</f>
        <v/>
      </c>
      <c r="CD1" s="4">
        <f>"CLV"&amp;IF(CD2&lt;Settings!$B$5,"17","7")&amp;" Comdty"</f>
        <v/>
      </c>
      <c r="CM1" s="4">
        <f>"CLX"&amp;IF(CM2&lt;Settings!$B$5,"17","7")&amp;" Comdty"</f>
        <v/>
      </c>
      <c r="CV1" s="4">
        <f>"CLZ"&amp;IF(CV2&lt;Settings!$B$5,"17","7")&amp;" Comdty"</f>
        <v/>
      </c>
    </row>
    <row r="2">
      <c r="A2" s="6">
        <f>WORKDAY(DATE(2017,0,25),-3)</f>
        <v/>
      </c>
      <c r="B2" s="6">
        <f>BDP(A$1,"LAST_TRADEABLE_DT")</f>
        <v/>
      </c>
      <c r="J2" s="6">
        <f>WORKDAY(DATE(2017,1,25),-3)</f>
        <v/>
      </c>
      <c r="K2" s="6">
        <f>BDP(J$1,"LAST_TRADEABLE_DT")</f>
        <v/>
      </c>
      <c r="S2" s="6">
        <f>WORKDAY(DATE(2017,2,25),-3)</f>
        <v/>
      </c>
      <c r="T2" s="6">
        <f>BDP(S$1,"LAST_TRADEABLE_DT")</f>
        <v/>
      </c>
      <c r="AB2" s="6">
        <f>WORKDAY(DATE(2017,3,25),-3)</f>
        <v/>
      </c>
      <c r="AC2" s="6">
        <f>BDP(AB$1,"LAST_TRADEABLE_DT")</f>
        <v/>
      </c>
      <c r="AK2" s="6">
        <f>WORKDAY(DATE(2017,4,25),-3)</f>
        <v/>
      </c>
      <c r="AL2" s="6">
        <f>BDP(AK$1,"LAST_TRADEABLE_DT")</f>
        <v/>
      </c>
      <c r="AT2" s="6">
        <f>WORKDAY(DATE(2017,5,25),-3)</f>
        <v/>
      </c>
      <c r="AU2" s="6">
        <f>BDP(AT$1,"LAST_TRADEABLE_DT")</f>
        <v/>
      </c>
      <c r="BC2" s="6">
        <f>WORKDAY(DATE(2017,6,25),-3)</f>
        <v/>
      </c>
      <c r="BD2" s="6">
        <f>BDP(BC$1,"LAST_TRADEABLE_DT")</f>
        <v/>
      </c>
      <c r="BL2" s="6">
        <f>WORKDAY(DATE(2017,7,25),-3)</f>
        <v/>
      </c>
      <c r="BM2" s="6">
        <f>BDP(BL$1,"LAST_TRADEABLE_DT")</f>
        <v/>
      </c>
      <c r="BU2" s="6">
        <f>WORKDAY(DATE(2017,8,25),-3)</f>
        <v/>
      </c>
      <c r="BV2" s="6">
        <f>BDP(BU$1,"LAST_TRADEABLE_DT")</f>
        <v/>
      </c>
      <c r="CD2" s="6">
        <f>WORKDAY(DATE(2017,9,25),-3)</f>
        <v/>
      </c>
      <c r="CE2" s="6">
        <f>BDP(CD$1,"LAST_TRADEABLE_DT")</f>
        <v/>
      </c>
      <c r="CM2" s="6">
        <f>WORKDAY(DATE(2017,10,25),-3)</f>
        <v/>
      </c>
      <c r="CN2" s="6">
        <f>BDP(CM$1,"LAST_TRADEABLE_DT")</f>
        <v/>
      </c>
      <c r="CV2" s="6">
        <f>WORKDAY(DATE(2017,11,25),-3)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"CLF"&amp;IF(A2&lt;Settings!$B$5,"18","8")&amp;" Comdty"</f>
        <v/>
      </c>
      <c r="J1" s="4">
        <f>"CLG"&amp;IF(J2&lt;Settings!$B$5,"18","8")&amp;" Comdty"</f>
        <v/>
      </c>
      <c r="S1" s="4">
        <f>"CLH"&amp;IF(S2&lt;Settings!$B$5,"18","8")&amp;" Comdty"</f>
        <v/>
      </c>
      <c r="AB1" s="4">
        <f>"CLJ"&amp;IF(AB2&lt;Settings!$B$5,"18","8")&amp;" Comdty"</f>
        <v/>
      </c>
      <c r="AK1" s="4">
        <f>"CLK"&amp;IF(AK2&lt;Settings!$B$5,"18","8")&amp;" Comdty"</f>
        <v/>
      </c>
      <c r="AT1" s="4">
        <f>"CLM"&amp;IF(AT2&lt;Settings!$B$5,"18","8")&amp;" Comdty"</f>
        <v/>
      </c>
      <c r="BC1" s="4">
        <f>"CLN"&amp;IF(BC2&lt;Settings!$B$5,"18","8")&amp;" Comdty"</f>
        <v/>
      </c>
      <c r="BL1" s="4">
        <f>"CLQ"&amp;IF(BL2&lt;Settings!$B$5,"18","8")&amp;" Comdty"</f>
        <v/>
      </c>
      <c r="BU1" s="4">
        <f>"CLU"&amp;IF(BU2&lt;Settings!$B$5,"18","8")&amp;" Comdty"</f>
        <v/>
      </c>
      <c r="CD1" s="4">
        <f>"CLV"&amp;IF(CD2&lt;Settings!$B$5,"18","8")&amp;" Comdty"</f>
        <v/>
      </c>
      <c r="CM1" s="4">
        <f>"CLX"&amp;IF(CM2&lt;Settings!$B$5,"18","8")&amp;" Comdty"</f>
        <v/>
      </c>
      <c r="CV1" s="4">
        <f>"CLZ"&amp;IF(CV2&lt;Settings!$B$5,"18","8")&amp;" Comdty"</f>
        <v/>
      </c>
    </row>
    <row r="2">
      <c r="A2" s="6">
        <f>WORKDAY(DATE(2018,0,25),-3)</f>
        <v/>
      </c>
      <c r="B2" s="6">
        <f>BDP(A$1,"LAST_TRADEABLE_DT")</f>
        <v/>
      </c>
      <c r="J2" s="6">
        <f>WORKDAY(DATE(2018,1,25),-3)</f>
        <v/>
      </c>
      <c r="K2" s="6">
        <f>BDP(J$1,"LAST_TRADEABLE_DT")</f>
        <v/>
      </c>
      <c r="S2" s="6">
        <f>WORKDAY(DATE(2018,2,25),-3)</f>
        <v/>
      </c>
      <c r="T2" s="6">
        <f>BDP(S$1,"LAST_TRADEABLE_DT")</f>
        <v/>
      </c>
      <c r="AB2" s="6">
        <f>WORKDAY(DATE(2018,3,25),-3)</f>
        <v/>
      </c>
      <c r="AC2" s="6">
        <f>BDP(AB$1,"LAST_TRADEABLE_DT")</f>
        <v/>
      </c>
      <c r="AK2" s="6">
        <f>WORKDAY(DATE(2018,4,25),-3)</f>
        <v/>
      </c>
      <c r="AL2" s="6">
        <f>BDP(AK$1,"LAST_TRADEABLE_DT")</f>
        <v/>
      </c>
      <c r="AT2" s="6">
        <f>WORKDAY(DATE(2018,5,25),-3)</f>
        <v/>
      </c>
      <c r="AU2" s="6">
        <f>BDP(AT$1,"LAST_TRADEABLE_DT")</f>
        <v/>
      </c>
      <c r="BC2" s="6">
        <f>WORKDAY(DATE(2018,6,25),-3)</f>
        <v/>
      </c>
      <c r="BD2" s="6">
        <f>BDP(BC$1,"LAST_TRADEABLE_DT")</f>
        <v/>
      </c>
      <c r="BL2" s="6">
        <f>WORKDAY(DATE(2018,7,25),-3)</f>
        <v/>
      </c>
      <c r="BM2" s="6">
        <f>BDP(BL$1,"LAST_TRADEABLE_DT")</f>
        <v/>
      </c>
      <c r="BU2" s="6">
        <f>WORKDAY(DATE(2018,8,25),-3)</f>
        <v/>
      </c>
      <c r="BV2" s="6">
        <f>BDP(BU$1,"LAST_TRADEABLE_DT")</f>
        <v/>
      </c>
      <c r="CD2" s="6">
        <f>WORKDAY(DATE(2018,9,25),-3)</f>
        <v/>
      </c>
      <c r="CE2" s="6">
        <f>BDP(CD$1,"LAST_TRADEABLE_DT")</f>
        <v/>
      </c>
      <c r="CM2" s="6">
        <f>WORKDAY(DATE(2018,10,25),-3)</f>
        <v/>
      </c>
      <c r="CN2" s="6">
        <f>BDP(CM$1,"LAST_TRADEABLE_DT")</f>
        <v/>
      </c>
      <c r="CV2" s="6">
        <f>WORKDAY(DATE(2018,11,25),-3)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"CLF"&amp;IF(A2&lt;Settings!$B$5,"19","9")&amp;" Comdty"</f>
        <v/>
      </c>
      <c r="J1" s="4">
        <f>"CLG"&amp;IF(J2&lt;Settings!$B$5,"19","9")&amp;" Comdty"</f>
        <v/>
      </c>
      <c r="S1" s="4">
        <f>"CLH"&amp;IF(S2&lt;Settings!$B$5,"19","9")&amp;" Comdty"</f>
        <v/>
      </c>
      <c r="AB1" s="4">
        <f>"CLJ"&amp;IF(AB2&lt;Settings!$B$5,"19","9")&amp;" Comdty"</f>
        <v/>
      </c>
      <c r="AK1" s="4">
        <f>"CLK"&amp;IF(AK2&lt;Settings!$B$5,"19","9")&amp;" Comdty"</f>
        <v/>
      </c>
      <c r="AT1" s="4">
        <f>"CLM"&amp;IF(AT2&lt;Settings!$B$5,"19","9")&amp;" Comdty"</f>
        <v/>
      </c>
      <c r="BC1" s="4">
        <f>"CLN"&amp;IF(BC2&lt;Settings!$B$5,"19","9")&amp;" Comdty"</f>
        <v/>
      </c>
      <c r="BL1" s="4">
        <f>"CLQ"&amp;IF(BL2&lt;Settings!$B$5,"19","9")&amp;" Comdty"</f>
        <v/>
      </c>
      <c r="BU1" s="4">
        <f>"CLU"&amp;IF(BU2&lt;Settings!$B$5,"19","9")&amp;" Comdty"</f>
        <v/>
      </c>
      <c r="CD1" s="4">
        <f>"CLV"&amp;IF(CD2&lt;Settings!$B$5,"19","9")&amp;" Comdty"</f>
        <v/>
      </c>
      <c r="CM1" s="4">
        <f>"CLX"&amp;IF(CM2&lt;Settings!$B$5,"19","9")&amp;" Comdty"</f>
        <v/>
      </c>
      <c r="CV1" s="4">
        <f>"CLZ"&amp;IF(CV2&lt;Settings!$B$5,"19","9")&amp;" Comdty"</f>
        <v/>
      </c>
    </row>
    <row r="2">
      <c r="A2" s="6">
        <f>WORKDAY(DATE(2019,0,25),-3)</f>
        <v/>
      </c>
      <c r="B2" s="6">
        <f>BDP(A$1,"LAST_TRADEABLE_DT")</f>
        <v/>
      </c>
      <c r="J2" s="6">
        <f>WORKDAY(DATE(2019,1,25),-3)</f>
        <v/>
      </c>
      <c r="K2" s="6">
        <f>BDP(J$1,"LAST_TRADEABLE_DT")</f>
        <v/>
      </c>
      <c r="S2" s="6">
        <f>WORKDAY(DATE(2019,2,25),-3)</f>
        <v/>
      </c>
      <c r="T2" s="6">
        <f>BDP(S$1,"LAST_TRADEABLE_DT")</f>
        <v/>
      </c>
      <c r="AB2" s="6">
        <f>WORKDAY(DATE(2019,3,25),-3)</f>
        <v/>
      </c>
      <c r="AC2" s="6">
        <f>BDP(AB$1,"LAST_TRADEABLE_DT")</f>
        <v/>
      </c>
      <c r="AK2" s="6">
        <f>WORKDAY(DATE(2019,4,25),-3)</f>
        <v/>
      </c>
      <c r="AL2" s="6">
        <f>BDP(AK$1,"LAST_TRADEABLE_DT")</f>
        <v/>
      </c>
      <c r="AT2" s="6">
        <f>WORKDAY(DATE(2019,5,25),-3)</f>
        <v/>
      </c>
      <c r="AU2" s="6">
        <f>BDP(AT$1,"LAST_TRADEABLE_DT")</f>
        <v/>
      </c>
      <c r="BC2" s="6">
        <f>WORKDAY(DATE(2019,6,25),-3)</f>
        <v/>
      </c>
      <c r="BD2" s="6">
        <f>BDP(BC$1,"LAST_TRADEABLE_DT")</f>
        <v/>
      </c>
      <c r="BL2" s="6">
        <f>WORKDAY(DATE(2019,7,25),-3)</f>
        <v/>
      </c>
      <c r="BM2" s="6">
        <f>BDP(BL$1,"LAST_TRADEABLE_DT")</f>
        <v/>
      </c>
      <c r="BU2" s="6">
        <f>WORKDAY(DATE(2019,8,25),-3)</f>
        <v/>
      </c>
      <c r="BV2" s="6">
        <f>BDP(BU$1,"LAST_TRADEABLE_DT")</f>
        <v/>
      </c>
      <c r="CD2" s="6">
        <f>WORKDAY(DATE(2019,9,25),-3)</f>
        <v/>
      </c>
      <c r="CE2" s="6">
        <f>BDP(CD$1,"LAST_TRADEABLE_DT")</f>
        <v/>
      </c>
      <c r="CM2" s="6">
        <f>WORKDAY(DATE(2019,10,25),-3)</f>
        <v/>
      </c>
      <c r="CN2" s="6">
        <f>BDP(CM$1,"LAST_TRADEABLE_DT")</f>
        <v/>
      </c>
      <c r="CV2" s="6">
        <f>WORKDAY(DATE(2019,11,25),-3)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"CLF"&amp;IF(A2&lt;Settings!$B$5,"20","0")&amp;" Comdty"</f>
        <v/>
      </c>
      <c r="J1" s="4">
        <f>"CLG"&amp;IF(J2&lt;Settings!$B$5,"20","0")&amp;" Comdty"</f>
        <v/>
      </c>
      <c r="S1" s="4">
        <f>"CLH"&amp;IF(S2&lt;Settings!$B$5,"20","0")&amp;" Comdty"</f>
        <v/>
      </c>
      <c r="AB1" s="4">
        <f>"CLJ"&amp;IF(AB2&lt;Settings!$B$5,"20","0")&amp;" Comdty"</f>
        <v/>
      </c>
      <c r="AK1" s="4">
        <f>"CLK"&amp;IF(AK2&lt;Settings!$B$5,"20","0")&amp;" Comdty"</f>
        <v/>
      </c>
      <c r="AT1" s="4">
        <f>"CLM"&amp;IF(AT2&lt;Settings!$B$5,"20","0")&amp;" Comdty"</f>
        <v/>
      </c>
      <c r="BC1" s="4">
        <f>"CLN"&amp;IF(BC2&lt;Settings!$B$5,"20","0")&amp;" Comdty"</f>
        <v/>
      </c>
      <c r="BL1" s="4">
        <f>"CLQ"&amp;IF(BL2&lt;Settings!$B$5,"20","0")&amp;" Comdty"</f>
        <v/>
      </c>
      <c r="BU1" s="4">
        <f>"CLU"&amp;IF(BU2&lt;Settings!$B$5,"20","0")&amp;" Comdty"</f>
        <v/>
      </c>
      <c r="CD1" s="4">
        <f>"CLV"&amp;IF(CD2&lt;Settings!$B$5,"20","0")&amp;" Comdty"</f>
        <v/>
      </c>
      <c r="CM1" s="4">
        <f>"CLX"&amp;IF(CM2&lt;Settings!$B$5,"20","0")&amp;" Comdty"</f>
        <v/>
      </c>
      <c r="CV1" s="4">
        <f>"CLZ"&amp;IF(CV2&lt;Settings!$B$5,"20","0")&amp;" Comdty"</f>
        <v/>
      </c>
    </row>
    <row r="2">
      <c r="A2" s="6">
        <f>WORKDAY(DATE(2020,0,25),-3)</f>
        <v/>
      </c>
      <c r="B2" s="6">
        <f>BDP(A$1,"LAST_TRADEABLE_DT")</f>
        <v/>
      </c>
      <c r="J2" s="6">
        <f>WORKDAY(DATE(2020,1,25),-3)</f>
        <v/>
      </c>
      <c r="K2" s="6">
        <f>BDP(J$1,"LAST_TRADEABLE_DT")</f>
        <v/>
      </c>
      <c r="S2" s="6">
        <f>WORKDAY(DATE(2020,2,25),-3)</f>
        <v/>
      </c>
      <c r="T2" s="6">
        <f>BDP(S$1,"LAST_TRADEABLE_DT")</f>
        <v/>
      </c>
      <c r="AB2" s="6">
        <f>WORKDAY(DATE(2020,3,25),-3)</f>
        <v/>
      </c>
      <c r="AC2" s="6">
        <f>BDP(AB$1,"LAST_TRADEABLE_DT")</f>
        <v/>
      </c>
      <c r="AK2" s="6">
        <f>WORKDAY(DATE(2020,4,25),-3)</f>
        <v/>
      </c>
      <c r="AL2" s="6">
        <f>BDP(AK$1,"LAST_TRADEABLE_DT")</f>
        <v/>
      </c>
      <c r="AT2" s="6">
        <f>WORKDAY(DATE(2020,5,25),-3)</f>
        <v/>
      </c>
      <c r="AU2" s="6">
        <f>BDP(AT$1,"LAST_TRADEABLE_DT")</f>
        <v/>
      </c>
      <c r="BC2" s="6">
        <f>WORKDAY(DATE(2020,6,25),-3)</f>
        <v/>
      </c>
      <c r="BD2" s="6">
        <f>BDP(BC$1,"LAST_TRADEABLE_DT")</f>
        <v/>
      </c>
      <c r="BL2" s="6">
        <f>WORKDAY(DATE(2020,7,25),-3)</f>
        <v/>
      </c>
      <c r="BM2" s="6">
        <f>BDP(BL$1,"LAST_TRADEABLE_DT")</f>
        <v/>
      </c>
      <c r="BU2" s="6">
        <f>WORKDAY(DATE(2020,8,25),-3)</f>
        <v/>
      </c>
      <c r="BV2" s="6">
        <f>BDP(BU$1,"LAST_TRADEABLE_DT")</f>
        <v/>
      </c>
      <c r="CD2" s="6">
        <f>WORKDAY(DATE(2020,9,25),-3)</f>
        <v/>
      </c>
      <c r="CE2" s="6">
        <f>BDP(CD$1,"LAST_TRADEABLE_DT")</f>
        <v/>
      </c>
      <c r="CM2" s="6">
        <f>WORKDAY(DATE(2020,10,25),-3)</f>
        <v/>
      </c>
      <c r="CN2" s="6">
        <f>BDP(CM$1,"LAST_TRADEABLE_DT")</f>
        <v/>
      </c>
      <c r="CV2" s="6">
        <f>WORKDAY(DATE(2020,11,25),-3)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"CLF"&amp;IF(A2&lt;Settings!$B$5,"21","1")&amp;" Comdty"</f>
        <v/>
      </c>
      <c r="J1" s="4">
        <f>"CLG"&amp;IF(J2&lt;Settings!$B$5,"21","1")&amp;" Comdty"</f>
        <v/>
      </c>
      <c r="S1" s="4">
        <f>"CLH"&amp;IF(S2&lt;Settings!$B$5,"21","1")&amp;" Comdty"</f>
        <v/>
      </c>
      <c r="AB1" s="4">
        <f>"CLJ"&amp;IF(AB2&lt;Settings!$B$5,"21","1")&amp;" Comdty"</f>
        <v/>
      </c>
      <c r="AK1" s="4">
        <f>"CLK"&amp;IF(AK2&lt;Settings!$B$5,"21","1")&amp;" Comdty"</f>
        <v/>
      </c>
      <c r="AT1" s="4">
        <f>"CLM"&amp;IF(AT2&lt;Settings!$B$5,"21","1")&amp;" Comdty"</f>
        <v/>
      </c>
      <c r="BC1" s="4">
        <f>"CLN"&amp;IF(BC2&lt;Settings!$B$5,"21","1")&amp;" Comdty"</f>
        <v/>
      </c>
      <c r="BL1" s="4">
        <f>"CLQ"&amp;IF(BL2&lt;Settings!$B$5,"21","1")&amp;" Comdty"</f>
        <v/>
      </c>
      <c r="BU1" s="4">
        <f>"CLU"&amp;IF(BU2&lt;Settings!$B$5,"21","1")&amp;" Comdty"</f>
        <v/>
      </c>
      <c r="CD1" s="4">
        <f>"CLV"&amp;IF(CD2&lt;Settings!$B$5,"21","1")&amp;" Comdty"</f>
        <v/>
      </c>
      <c r="CM1" s="4">
        <f>"CLX"&amp;IF(CM2&lt;Settings!$B$5,"21","1")&amp;" Comdty"</f>
        <v/>
      </c>
      <c r="CV1" s="4">
        <f>"CLZ"&amp;IF(CV2&lt;Settings!$B$5,"21","1")&amp;" Comdty"</f>
        <v/>
      </c>
    </row>
    <row r="2">
      <c r="A2" s="6">
        <f>WORKDAY(DATE(2021,0,25),-3)</f>
        <v/>
      </c>
      <c r="B2" s="6">
        <f>BDP(A$1,"LAST_TRADEABLE_DT")</f>
        <v/>
      </c>
      <c r="J2" s="6">
        <f>WORKDAY(DATE(2021,1,25),-3)</f>
        <v/>
      </c>
      <c r="K2" s="6">
        <f>BDP(J$1,"LAST_TRADEABLE_DT")</f>
        <v/>
      </c>
      <c r="S2" s="6">
        <f>WORKDAY(DATE(2021,2,25),-3)</f>
        <v/>
      </c>
      <c r="T2" s="6">
        <f>BDP(S$1,"LAST_TRADEABLE_DT")</f>
        <v/>
      </c>
      <c r="AB2" s="6">
        <f>WORKDAY(DATE(2021,3,25),-3)</f>
        <v/>
      </c>
      <c r="AC2" s="6">
        <f>BDP(AB$1,"LAST_TRADEABLE_DT")</f>
        <v/>
      </c>
      <c r="AK2" s="6">
        <f>WORKDAY(DATE(2021,4,25),-3)</f>
        <v/>
      </c>
      <c r="AL2" s="6">
        <f>BDP(AK$1,"LAST_TRADEABLE_DT")</f>
        <v/>
      </c>
      <c r="AT2" s="6">
        <f>WORKDAY(DATE(2021,5,25),-3)</f>
        <v/>
      </c>
      <c r="AU2" s="6">
        <f>BDP(AT$1,"LAST_TRADEABLE_DT")</f>
        <v/>
      </c>
      <c r="BC2" s="6">
        <f>WORKDAY(DATE(2021,6,25),-3)</f>
        <v/>
      </c>
      <c r="BD2" s="6">
        <f>BDP(BC$1,"LAST_TRADEABLE_DT")</f>
        <v/>
      </c>
      <c r="BL2" s="6">
        <f>WORKDAY(DATE(2021,7,25),-3)</f>
        <v/>
      </c>
      <c r="BM2" s="6">
        <f>BDP(BL$1,"LAST_TRADEABLE_DT")</f>
        <v/>
      </c>
      <c r="BU2" s="6">
        <f>WORKDAY(DATE(2021,8,25),-3)</f>
        <v/>
      </c>
      <c r="BV2" s="6">
        <f>BDP(BU$1,"LAST_TRADEABLE_DT")</f>
        <v/>
      </c>
      <c r="CD2" s="6">
        <f>WORKDAY(DATE(2021,9,25),-3)</f>
        <v/>
      </c>
      <c r="CE2" s="6">
        <f>BDP(CD$1,"LAST_TRADEABLE_DT")</f>
        <v/>
      </c>
      <c r="CM2" s="6">
        <f>WORKDAY(DATE(2021,10,25),-3)</f>
        <v/>
      </c>
      <c r="CN2" s="6">
        <f>BDP(CM$1,"LAST_TRADEABLE_DT")</f>
        <v/>
      </c>
      <c r="CV2" s="6">
        <f>WORKDAY(DATE(2021,11,25),-3)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"CLF"&amp;IF(A2&lt;Settings!$B$5,"22","2")&amp;" Comdty"</f>
        <v/>
      </c>
      <c r="J1" s="4">
        <f>"CLG"&amp;IF(J2&lt;Settings!$B$5,"22","2")&amp;" Comdty"</f>
        <v/>
      </c>
      <c r="S1" s="4">
        <f>"CLH"&amp;IF(S2&lt;Settings!$B$5,"22","2")&amp;" Comdty"</f>
        <v/>
      </c>
      <c r="AB1" s="4">
        <f>"CLJ"&amp;IF(AB2&lt;Settings!$B$5,"22","2")&amp;" Comdty"</f>
        <v/>
      </c>
      <c r="AK1" s="4">
        <f>"CLK"&amp;IF(AK2&lt;Settings!$B$5,"22","2")&amp;" Comdty"</f>
        <v/>
      </c>
      <c r="AT1" s="4">
        <f>"CLM"&amp;IF(AT2&lt;Settings!$B$5,"22","2")&amp;" Comdty"</f>
        <v/>
      </c>
      <c r="BC1" s="4">
        <f>"CLN"&amp;IF(BC2&lt;Settings!$B$5,"22","2")&amp;" Comdty"</f>
        <v/>
      </c>
      <c r="BL1" s="4">
        <f>"CLQ"&amp;IF(BL2&lt;Settings!$B$5,"22","2")&amp;" Comdty"</f>
        <v/>
      </c>
      <c r="BU1" s="4">
        <f>"CLU"&amp;IF(BU2&lt;Settings!$B$5,"22","2")&amp;" Comdty"</f>
        <v/>
      </c>
      <c r="CD1" s="4">
        <f>"CLV"&amp;IF(CD2&lt;Settings!$B$5,"22","2")&amp;" Comdty"</f>
        <v/>
      </c>
      <c r="CM1" s="4">
        <f>"CLX"&amp;IF(CM2&lt;Settings!$B$5,"22","2")&amp;" Comdty"</f>
        <v/>
      </c>
      <c r="CV1" s="4">
        <f>"CLZ"&amp;IF(CV2&lt;Settings!$B$5,"22","2")&amp;" Comdty"</f>
        <v/>
      </c>
    </row>
    <row r="2">
      <c r="A2" s="6">
        <f>WORKDAY(DATE(2022,0,25),-3)</f>
        <v/>
      </c>
      <c r="B2" s="6">
        <f>BDP(A$1,"LAST_TRADEABLE_DT")</f>
        <v/>
      </c>
      <c r="J2" s="6">
        <f>WORKDAY(DATE(2022,1,25),-3)</f>
        <v/>
      </c>
      <c r="K2" s="6">
        <f>BDP(J$1,"LAST_TRADEABLE_DT")</f>
        <v/>
      </c>
      <c r="S2" s="6">
        <f>WORKDAY(DATE(2022,2,25),-3)</f>
        <v/>
      </c>
      <c r="T2" s="6">
        <f>BDP(S$1,"LAST_TRADEABLE_DT")</f>
        <v/>
      </c>
      <c r="AB2" s="6">
        <f>WORKDAY(DATE(2022,3,25),-3)</f>
        <v/>
      </c>
      <c r="AC2" s="6">
        <f>BDP(AB$1,"LAST_TRADEABLE_DT")</f>
        <v/>
      </c>
      <c r="AK2" s="6">
        <f>WORKDAY(DATE(2022,4,25),-3)</f>
        <v/>
      </c>
      <c r="AL2" s="6">
        <f>BDP(AK$1,"LAST_TRADEABLE_DT")</f>
        <v/>
      </c>
      <c r="AT2" s="6">
        <f>WORKDAY(DATE(2022,5,25),-3)</f>
        <v/>
      </c>
      <c r="AU2" s="6">
        <f>BDP(AT$1,"LAST_TRADEABLE_DT")</f>
        <v/>
      </c>
      <c r="BC2" s="6">
        <f>WORKDAY(DATE(2022,6,25),-3)</f>
        <v/>
      </c>
      <c r="BD2" s="6">
        <f>BDP(BC$1,"LAST_TRADEABLE_DT")</f>
        <v/>
      </c>
      <c r="BL2" s="6">
        <f>WORKDAY(DATE(2022,7,25),-3)</f>
        <v/>
      </c>
      <c r="BM2" s="6">
        <f>BDP(BL$1,"LAST_TRADEABLE_DT")</f>
        <v/>
      </c>
      <c r="BU2" s="6">
        <f>WORKDAY(DATE(2022,8,25),-3)</f>
        <v/>
      </c>
      <c r="BV2" s="6">
        <f>BDP(BU$1,"LAST_TRADEABLE_DT")</f>
        <v/>
      </c>
      <c r="CD2" s="6">
        <f>WORKDAY(DATE(2022,9,25),-3)</f>
        <v/>
      </c>
      <c r="CE2" s="6">
        <f>BDP(CD$1,"LAST_TRADEABLE_DT")</f>
        <v/>
      </c>
      <c r="CM2" s="6">
        <f>WORKDAY(DATE(2022,10,25),-3)</f>
        <v/>
      </c>
      <c r="CN2" s="6">
        <f>BDP(CM$1,"LAST_TRADEABLE_DT")</f>
        <v/>
      </c>
      <c r="CV2" s="6">
        <f>WORKDAY(DATE(2022,11,25),-3)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"CLF"&amp;IF(A2&lt;Settings!$B$5,"23","3")&amp;" Comdty"</f>
        <v/>
      </c>
      <c r="J1" s="4">
        <f>"CLG"&amp;IF(J2&lt;Settings!$B$5,"23","3")&amp;" Comdty"</f>
        <v/>
      </c>
      <c r="S1" s="4">
        <f>"CLH"&amp;IF(S2&lt;Settings!$B$5,"23","3")&amp;" Comdty"</f>
        <v/>
      </c>
      <c r="AB1" s="4">
        <f>"CLJ"&amp;IF(AB2&lt;Settings!$B$5,"23","3")&amp;" Comdty"</f>
        <v/>
      </c>
      <c r="AK1" s="4">
        <f>"CLK"&amp;IF(AK2&lt;Settings!$B$5,"23","3")&amp;" Comdty"</f>
        <v/>
      </c>
      <c r="AT1" s="4">
        <f>"CLM"&amp;IF(AT2&lt;Settings!$B$5,"23","3")&amp;" Comdty"</f>
        <v/>
      </c>
      <c r="BC1" s="4">
        <f>"CLN"&amp;IF(BC2&lt;Settings!$B$5,"23","3")&amp;" Comdty"</f>
        <v/>
      </c>
      <c r="BL1" s="4">
        <f>"CLQ"&amp;IF(BL2&lt;Settings!$B$5,"23","3")&amp;" Comdty"</f>
        <v/>
      </c>
      <c r="BU1" s="4">
        <f>"CLU"&amp;IF(BU2&lt;Settings!$B$5,"23","3")&amp;" Comdty"</f>
        <v/>
      </c>
      <c r="CD1" s="4">
        <f>"CLV"&amp;IF(CD2&lt;Settings!$B$5,"23","3")&amp;" Comdty"</f>
        <v/>
      </c>
      <c r="CM1" s="4">
        <f>"CLX"&amp;IF(CM2&lt;Settings!$B$5,"23","3")&amp;" Comdty"</f>
        <v/>
      </c>
      <c r="CV1" s="4">
        <f>"CLZ"&amp;IF(CV2&lt;Settings!$B$5,"23","3")&amp;" Comdty"</f>
        <v/>
      </c>
    </row>
    <row r="2">
      <c r="A2" s="6">
        <f>WORKDAY(DATE(2023,0,25),-3)</f>
        <v/>
      </c>
      <c r="B2" s="6">
        <f>BDP(A$1,"LAST_TRADEABLE_DT")</f>
        <v/>
      </c>
      <c r="J2" s="6">
        <f>WORKDAY(DATE(2023,1,25),-3)</f>
        <v/>
      </c>
      <c r="K2" s="6">
        <f>BDP(J$1,"LAST_TRADEABLE_DT")</f>
        <v/>
      </c>
      <c r="S2" s="6">
        <f>WORKDAY(DATE(2023,2,25),-3)</f>
        <v/>
      </c>
      <c r="T2" s="6">
        <f>BDP(S$1,"LAST_TRADEABLE_DT")</f>
        <v/>
      </c>
      <c r="AB2" s="6">
        <f>WORKDAY(DATE(2023,3,25),-3)</f>
        <v/>
      </c>
      <c r="AC2" s="6">
        <f>BDP(AB$1,"LAST_TRADEABLE_DT")</f>
        <v/>
      </c>
      <c r="AK2" s="6">
        <f>WORKDAY(DATE(2023,4,25),-3)</f>
        <v/>
      </c>
      <c r="AL2" s="6">
        <f>BDP(AK$1,"LAST_TRADEABLE_DT")</f>
        <v/>
      </c>
      <c r="AT2" s="6">
        <f>WORKDAY(DATE(2023,5,25),-3)</f>
        <v/>
      </c>
      <c r="AU2" s="6">
        <f>BDP(AT$1,"LAST_TRADEABLE_DT")</f>
        <v/>
      </c>
      <c r="BC2" s="6">
        <f>WORKDAY(DATE(2023,6,25),-3)</f>
        <v/>
      </c>
      <c r="BD2" s="6">
        <f>BDP(BC$1,"LAST_TRADEABLE_DT")</f>
        <v/>
      </c>
      <c r="BL2" s="6">
        <f>WORKDAY(DATE(2023,7,25),-3)</f>
        <v/>
      </c>
      <c r="BM2" s="6">
        <f>BDP(BL$1,"LAST_TRADEABLE_DT")</f>
        <v/>
      </c>
      <c r="BU2" s="6">
        <f>WORKDAY(DATE(2023,8,25),-3)</f>
        <v/>
      </c>
      <c r="BV2" s="6">
        <f>BDP(BU$1,"LAST_TRADEABLE_DT")</f>
        <v/>
      </c>
      <c r="CD2" s="6">
        <f>WORKDAY(DATE(2023,9,25),-3)</f>
        <v/>
      </c>
      <c r="CE2" s="6">
        <f>BDP(CD$1,"LAST_TRADEABLE_DT")</f>
        <v/>
      </c>
      <c r="CM2" s="6">
        <f>WORKDAY(DATE(2023,10,25),-3)</f>
        <v/>
      </c>
      <c r="CN2" s="6">
        <f>BDP(CM$1,"LAST_TRADEABLE_DT")</f>
        <v/>
      </c>
      <c r="CV2" s="6">
        <f>WORKDAY(DATE(2023,11,25),-3)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"CLF"&amp;IF(A2&lt;Settings!$B$5,"24","4")&amp;" Comdty"</f>
        <v/>
      </c>
      <c r="J1" s="4">
        <f>"CLG"&amp;IF(J2&lt;Settings!$B$5,"24","4")&amp;" Comdty"</f>
        <v/>
      </c>
      <c r="S1" s="4">
        <f>"CLH"&amp;IF(S2&lt;Settings!$B$5,"24","4")&amp;" Comdty"</f>
        <v/>
      </c>
      <c r="AB1" s="4">
        <f>"CLJ"&amp;IF(AB2&lt;Settings!$B$5,"24","4")&amp;" Comdty"</f>
        <v/>
      </c>
      <c r="AK1" s="4">
        <f>"CLK"&amp;IF(AK2&lt;Settings!$B$5,"24","4")&amp;" Comdty"</f>
        <v/>
      </c>
      <c r="AT1" s="4">
        <f>"CLM"&amp;IF(AT2&lt;Settings!$B$5,"24","4")&amp;" Comdty"</f>
        <v/>
      </c>
      <c r="BC1" s="4">
        <f>"CLN"&amp;IF(BC2&lt;Settings!$B$5,"24","4")&amp;" Comdty"</f>
        <v/>
      </c>
      <c r="BL1" s="4">
        <f>"CLQ"&amp;IF(BL2&lt;Settings!$B$5,"24","4")&amp;" Comdty"</f>
        <v/>
      </c>
      <c r="BU1" s="4">
        <f>"CLU"&amp;IF(BU2&lt;Settings!$B$5,"24","4")&amp;" Comdty"</f>
        <v/>
      </c>
      <c r="CD1" s="4">
        <f>"CLV"&amp;IF(CD2&lt;Settings!$B$5,"24","4")&amp;" Comdty"</f>
        <v/>
      </c>
      <c r="CM1" s="4">
        <f>"CLX"&amp;IF(CM2&lt;Settings!$B$5,"24","4")&amp;" Comdty"</f>
        <v/>
      </c>
      <c r="CV1" s="4">
        <f>"CLZ"&amp;IF(CV2&lt;Settings!$B$5,"24","4")&amp;" Comdty"</f>
        <v/>
      </c>
    </row>
    <row r="2">
      <c r="A2" s="6">
        <f>WORKDAY(DATE(2024,0,25),-3)</f>
        <v/>
      </c>
      <c r="B2" s="6">
        <f>BDP(A$1,"LAST_TRADEABLE_DT")</f>
        <v/>
      </c>
      <c r="J2" s="6">
        <f>WORKDAY(DATE(2024,1,25),-3)</f>
        <v/>
      </c>
      <c r="K2" s="6">
        <f>BDP(J$1,"LAST_TRADEABLE_DT")</f>
        <v/>
      </c>
      <c r="S2" s="6">
        <f>WORKDAY(DATE(2024,2,25),-3)</f>
        <v/>
      </c>
      <c r="T2" s="6">
        <f>BDP(S$1,"LAST_TRADEABLE_DT")</f>
        <v/>
      </c>
      <c r="AB2" s="6">
        <f>WORKDAY(DATE(2024,3,25),-3)</f>
        <v/>
      </c>
      <c r="AC2" s="6">
        <f>BDP(AB$1,"LAST_TRADEABLE_DT")</f>
        <v/>
      </c>
      <c r="AK2" s="6">
        <f>WORKDAY(DATE(2024,4,25),-3)</f>
        <v/>
      </c>
      <c r="AL2" s="6">
        <f>BDP(AK$1,"LAST_TRADEABLE_DT")</f>
        <v/>
      </c>
      <c r="AT2" s="6">
        <f>WORKDAY(DATE(2024,5,25),-3)</f>
        <v/>
      </c>
      <c r="AU2" s="6">
        <f>BDP(AT$1,"LAST_TRADEABLE_DT")</f>
        <v/>
      </c>
      <c r="BC2" s="6">
        <f>WORKDAY(DATE(2024,6,25),-3)</f>
        <v/>
      </c>
      <c r="BD2" s="6">
        <f>BDP(BC$1,"LAST_TRADEABLE_DT")</f>
        <v/>
      </c>
      <c r="BL2" s="6">
        <f>WORKDAY(DATE(2024,7,25),-3)</f>
        <v/>
      </c>
      <c r="BM2" s="6">
        <f>BDP(BL$1,"LAST_TRADEABLE_DT")</f>
        <v/>
      </c>
      <c r="BU2" s="6">
        <f>WORKDAY(DATE(2024,8,25),-3)</f>
        <v/>
      </c>
      <c r="BV2" s="6">
        <f>BDP(BU$1,"LAST_TRADEABLE_DT")</f>
        <v/>
      </c>
      <c r="CD2" s="6">
        <f>WORKDAY(DATE(2024,9,25),-3)</f>
        <v/>
      </c>
      <c r="CE2" s="6">
        <f>BDP(CD$1,"LAST_TRADEABLE_DT")</f>
        <v/>
      </c>
      <c r="CM2" s="6">
        <f>WORKDAY(DATE(2024,10,25),-3)</f>
        <v/>
      </c>
      <c r="CN2" s="6">
        <f>BDP(CM$1,"LAST_TRADEABLE_DT")</f>
        <v/>
      </c>
      <c r="CV2" s="6">
        <f>WORKDAY(DATE(2024,11,25),-3)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"CLF"&amp;IF(A2&lt;Settings!$B$5,"25","5")&amp;" Comdty"</f>
        <v/>
      </c>
      <c r="J1" s="4">
        <f>"CLG"&amp;IF(J2&lt;Settings!$B$5,"25","5")&amp;" Comdty"</f>
        <v/>
      </c>
      <c r="S1" s="4">
        <f>"CLH"&amp;IF(S2&lt;Settings!$B$5,"25","5")&amp;" Comdty"</f>
        <v/>
      </c>
      <c r="AB1" s="4">
        <f>"CLJ"&amp;IF(AB2&lt;Settings!$B$5,"25","5")&amp;" Comdty"</f>
        <v/>
      </c>
      <c r="AK1" s="4">
        <f>"CLK"&amp;IF(AK2&lt;Settings!$B$5,"25","5")&amp;" Comdty"</f>
        <v/>
      </c>
      <c r="AT1" s="4">
        <f>"CLM"&amp;IF(AT2&lt;Settings!$B$5,"25","5")&amp;" Comdty"</f>
        <v/>
      </c>
      <c r="BC1" s="4">
        <f>"CLN"&amp;IF(BC2&lt;Settings!$B$5,"25","5")&amp;" Comdty"</f>
        <v/>
      </c>
      <c r="BL1" s="4">
        <f>"CLQ"&amp;IF(BL2&lt;Settings!$B$5,"25","5")&amp;" Comdty"</f>
        <v/>
      </c>
      <c r="BU1" s="4">
        <f>"CLU"&amp;IF(BU2&lt;Settings!$B$5,"25","5")&amp;" Comdty"</f>
        <v/>
      </c>
      <c r="CD1" s="4">
        <f>"CLV"&amp;IF(CD2&lt;Settings!$B$5,"25","5")&amp;" Comdty"</f>
        <v/>
      </c>
      <c r="CM1" s="4">
        <f>"CLX"&amp;IF(CM2&lt;Settings!$B$5,"25","5")&amp;" Comdty"</f>
        <v/>
      </c>
      <c r="CV1" s="4">
        <f>"CLZ"&amp;IF(CV2&lt;Settings!$B$5,"25","5")&amp;" Comdty"</f>
        <v/>
      </c>
    </row>
    <row r="2">
      <c r="A2" s="6">
        <f>WORKDAY(DATE(2025,0,25),-3)</f>
        <v/>
      </c>
      <c r="B2" s="6">
        <f>BDP(A$1,"LAST_TRADEABLE_DT")</f>
        <v/>
      </c>
      <c r="J2" s="6">
        <f>WORKDAY(DATE(2025,1,25),-3)</f>
        <v/>
      </c>
      <c r="K2" s="6">
        <f>BDP(J$1,"LAST_TRADEABLE_DT")</f>
        <v/>
      </c>
      <c r="S2" s="6">
        <f>WORKDAY(DATE(2025,2,25),-3)</f>
        <v/>
      </c>
      <c r="T2" s="6">
        <f>BDP(S$1,"LAST_TRADEABLE_DT")</f>
        <v/>
      </c>
      <c r="AB2" s="6">
        <f>WORKDAY(DATE(2025,3,25),-3)</f>
        <v/>
      </c>
      <c r="AC2" s="6">
        <f>BDP(AB$1,"LAST_TRADEABLE_DT")</f>
        <v/>
      </c>
      <c r="AK2" s="6">
        <f>WORKDAY(DATE(2025,4,25),-3)</f>
        <v/>
      </c>
      <c r="AL2" s="6">
        <f>BDP(AK$1,"LAST_TRADEABLE_DT")</f>
        <v/>
      </c>
      <c r="AT2" s="6">
        <f>WORKDAY(DATE(2025,5,25),-3)</f>
        <v/>
      </c>
      <c r="AU2" s="6">
        <f>BDP(AT$1,"LAST_TRADEABLE_DT")</f>
        <v/>
      </c>
      <c r="BC2" s="6">
        <f>WORKDAY(DATE(2025,6,25),-3)</f>
        <v/>
      </c>
      <c r="BD2" s="6">
        <f>BDP(BC$1,"LAST_TRADEABLE_DT")</f>
        <v/>
      </c>
      <c r="BL2" s="6">
        <f>WORKDAY(DATE(2025,7,25),-3)</f>
        <v/>
      </c>
      <c r="BM2" s="6">
        <f>BDP(BL$1,"LAST_TRADEABLE_DT")</f>
        <v/>
      </c>
      <c r="BU2" s="6">
        <f>WORKDAY(DATE(2025,8,25),-3)</f>
        <v/>
      </c>
      <c r="BV2" s="6">
        <f>BDP(BU$1,"LAST_TRADEABLE_DT")</f>
        <v/>
      </c>
      <c r="CD2" s="6">
        <f>WORKDAY(DATE(2025,9,25),-3)</f>
        <v/>
      </c>
      <c r="CE2" s="6">
        <f>BDP(CD$1,"LAST_TRADEABLE_DT")</f>
        <v/>
      </c>
      <c r="CM2" s="6">
        <f>WORKDAY(DATE(2025,10,25),-3)</f>
        <v/>
      </c>
      <c r="CN2" s="6">
        <f>BDP(CM$1,"LAST_TRADEABLE_DT")</f>
        <v/>
      </c>
      <c r="CV2" s="6">
        <f>WORKDAY(DATE(2025,11,25),-3)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"CLF"&amp;IF(A2&lt;Settings!$B$5,"26","6")&amp;" Comdty"</f>
        <v/>
      </c>
      <c r="J1" s="4">
        <f>"CLG"&amp;IF(J2&lt;Settings!$B$5,"26","6")&amp;" Comdty"</f>
        <v/>
      </c>
      <c r="S1" s="4">
        <f>"CLH"&amp;IF(S2&lt;Settings!$B$5,"26","6")&amp;" Comdty"</f>
        <v/>
      </c>
      <c r="AB1" s="4">
        <f>"CLJ"&amp;IF(AB2&lt;Settings!$B$5,"26","6")&amp;" Comdty"</f>
        <v/>
      </c>
      <c r="AK1" s="4">
        <f>"CLK"&amp;IF(AK2&lt;Settings!$B$5,"26","6")&amp;" Comdty"</f>
        <v/>
      </c>
      <c r="AT1" s="4">
        <f>"CLM"&amp;IF(AT2&lt;Settings!$B$5,"26","6")&amp;" Comdty"</f>
        <v/>
      </c>
      <c r="BC1" s="4">
        <f>"CLN"&amp;IF(BC2&lt;Settings!$B$5,"26","6")&amp;" Comdty"</f>
        <v/>
      </c>
      <c r="BL1" s="4">
        <f>"CLQ"&amp;IF(BL2&lt;Settings!$B$5,"26","6")&amp;" Comdty"</f>
        <v/>
      </c>
      <c r="BU1" s="4">
        <f>"CLU"&amp;IF(BU2&lt;Settings!$B$5,"26","6")&amp;" Comdty"</f>
        <v/>
      </c>
      <c r="CD1" s="4">
        <f>"CLV"&amp;IF(CD2&lt;Settings!$B$5,"26","6")&amp;" Comdty"</f>
        <v/>
      </c>
      <c r="CM1" s="4">
        <f>"CLX"&amp;IF(CM2&lt;Settings!$B$5,"26","6")&amp;" Comdty"</f>
        <v/>
      </c>
      <c r="CV1" s="4">
        <f>"CLZ"&amp;IF(CV2&lt;Settings!$B$5,"26","6")&amp;" Comdty"</f>
        <v/>
      </c>
    </row>
    <row r="2">
      <c r="A2" s="6">
        <f>WORKDAY(DATE(2026,0,25),-3)</f>
        <v/>
      </c>
      <c r="B2" s="6">
        <f>BDP(A$1,"LAST_TRADEABLE_DT")</f>
        <v/>
      </c>
      <c r="J2" s="6">
        <f>WORKDAY(DATE(2026,1,25),-3)</f>
        <v/>
      </c>
      <c r="K2" s="6">
        <f>BDP(J$1,"LAST_TRADEABLE_DT")</f>
        <v/>
      </c>
      <c r="S2" s="6">
        <f>WORKDAY(DATE(2026,2,25),-3)</f>
        <v/>
      </c>
      <c r="T2" s="6">
        <f>BDP(S$1,"LAST_TRADEABLE_DT")</f>
        <v/>
      </c>
      <c r="AB2" s="6">
        <f>WORKDAY(DATE(2026,3,25),-3)</f>
        <v/>
      </c>
      <c r="AC2" s="6">
        <f>BDP(AB$1,"LAST_TRADEABLE_DT")</f>
        <v/>
      </c>
      <c r="AK2" s="6">
        <f>WORKDAY(DATE(2026,4,25),-3)</f>
        <v/>
      </c>
      <c r="AL2" s="6">
        <f>BDP(AK$1,"LAST_TRADEABLE_DT")</f>
        <v/>
      </c>
      <c r="AT2" s="6">
        <f>WORKDAY(DATE(2026,5,25),-3)</f>
        <v/>
      </c>
      <c r="AU2" s="6">
        <f>BDP(AT$1,"LAST_TRADEABLE_DT")</f>
        <v/>
      </c>
      <c r="BC2" s="6">
        <f>WORKDAY(DATE(2026,6,25),-3)</f>
        <v/>
      </c>
      <c r="BD2" s="6">
        <f>BDP(BC$1,"LAST_TRADEABLE_DT")</f>
        <v/>
      </c>
      <c r="BL2" s="6">
        <f>WORKDAY(DATE(2026,7,25),-3)</f>
        <v/>
      </c>
      <c r="BM2" s="6">
        <f>BDP(BL$1,"LAST_TRADEABLE_DT")</f>
        <v/>
      </c>
      <c r="BU2" s="6">
        <f>WORKDAY(DATE(2026,8,25),-3)</f>
        <v/>
      </c>
      <c r="BV2" s="6">
        <f>BDP(BU$1,"LAST_TRADEABLE_DT")</f>
        <v/>
      </c>
      <c r="CD2" s="6">
        <f>WORKDAY(DATE(2026,9,25),-3)</f>
        <v/>
      </c>
      <c r="CE2" s="6">
        <f>BDP(CD$1,"LAST_TRADEABLE_DT")</f>
        <v/>
      </c>
      <c r="CM2" s="6">
        <f>WORKDAY(DATE(2026,10,25),-3)</f>
        <v/>
      </c>
      <c r="CN2" s="6">
        <f>BDP(CM$1,"LAST_TRADEABLE_DT")</f>
        <v/>
      </c>
      <c r="CV2" s="6">
        <f>WORKDAY(DATE(2026,11,25),-3)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"CLF"&amp;IF(A2&lt;Settings!$B$5,"27","7")&amp;" Comdty"</f>
        <v/>
      </c>
      <c r="J1" s="4">
        <f>"CLG"&amp;IF(J2&lt;Settings!$B$5,"27","7")&amp;" Comdty"</f>
        <v/>
      </c>
      <c r="S1" s="4">
        <f>"CLH"&amp;IF(S2&lt;Settings!$B$5,"27","7")&amp;" Comdty"</f>
        <v/>
      </c>
      <c r="AB1" s="4">
        <f>"CLJ"&amp;IF(AB2&lt;Settings!$B$5,"27","7")&amp;" Comdty"</f>
        <v/>
      </c>
      <c r="AK1" s="4">
        <f>"CLK"&amp;IF(AK2&lt;Settings!$B$5,"27","7")&amp;" Comdty"</f>
        <v/>
      </c>
      <c r="AT1" s="4">
        <f>"CLM"&amp;IF(AT2&lt;Settings!$B$5,"27","7")&amp;" Comdty"</f>
        <v/>
      </c>
      <c r="BC1" s="4">
        <f>"CLN"&amp;IF(BC2&lt;Settings!$B$5,"27","7")&amp;" Comdty"</f>
        <v/>
      </c>
      <c r="BL1" s="4">
        <f>"CLQ"&amp;IF(BL2&lt;Settings!$B$5,"27","7")&amp;" Comdty"</f>
        <v/>
      </c>
      <c r="BU1" s="4">
        <f>"CLU"&amp;IF(BU2&lt;Settings!$B$5,"27","7")&amp;" Comdty"</f>
        <v/>
      </c>
      <c r="CD1" s="4">
        <f>"CLV"&amp;IF(CD2&lt;Settings!$B$5,"27","7")&amp;" Comdty"</f>
        <v/>
      </c>
      <c r="CM1" s="4">
        <f>"CLX"&amp;IF(CM2&lt;Settings!$B$5,"27","7")&amp;" Comdty"</f>
        <v/>
      </c>
      <c r="CV1" s="4">
        <f>"CLZ"&amp;IF(CV2&lt;Settings!$B$5,"27","7")&amp;" Comdty"</f>
        <v/>
      </c>
    </row>
    <row r="2">
      <c r="A2" s="6">
        <f>WORKDAY(DATE(2027,0,25),-3)</f>
        <v/>
      </c>
      <c r="B2" s="6">
        <f>BDP(A$1,"LAST_TRADEABLE_DT")</f>
        <v/>
      </c>
      <c r="J2" s="6">
        <f>WORKDAY(DATE(2027,1,25),-3)</f>
        <v/>
      </c>
      <c r="K2" s="6">
        <f>BDP(J$1,"LAST_TRADEABLE_DT")</f>
        <v/>
      </c>
      <c r="S2" s="6">
        <f>WORKDAY(DATE(2027,2,25),-3)</f>
        <v/>
      </c>
      <c r="T2" s="6">
        <f>BDP(S$1,"LAST_TRADEABLE_DT")</f>
        <v/>
      </c>
      <c r="AB2" s="6">
        <f>WORKDAY(DATE(2027,3,25),-3)</f>
        <v/>
      </c>
      <c r="AC2" s="6">
        <f>BDP(AB$1,"LAST_TRADEABLE_DT")</f>
        <v/>
      </c>
      <c r="AK2" s="6">
        <f>WORKDAY(DATE(2027,4,25),-3)</f>
        <v/>
      </c>
      <c r="AL2" s="6">
        <f>BDP(AK$1,"LAST_TRADEABLE_DT")</f>
        <v/>
      </c>
      <c r="AT2" s="6">
        <f>WORKDAY(DATE(2027,5,25),-3)</f>
        <v/>
      </c>
      <c r="AU2" s="6">
        <f>BDP(AT$1,"LAST_TRADEABLE_DT")</f>
        <v/>
      </c>
      <c r="BC2" s="6">
        <f>WORKDAY(DATE(2027,6,25),-3)</f>
        <v/>
      </c>
      <c r="BD2" s="6">
        <f>BDP(BC$1,"LAST_TRADEABLE_DT")</f>
        <v/>
      </c>
      <c r="BL2" s="6">
        <f>WORKDAY(DATE(2027,7,25),-3)</f>
        <v/>
      </c>
      <c r="BM2" s="6">
        <f>BDP(BL$1,"LAST_TRADEABLE_DT")</f>
        <v/>
      </c>
      <c r="BU2" s="6">
        <f>WORKDAY(DATE(2027,8,25),-3)</f>
        <v/>
      </c>
      <c r="BV2" s="6">
        <f>BDP(BU$1,"LAST_TRADEABLE_DT")</f>
        <v/>
      </c>
      <c r="CD2" s="6">
        <f>WORKDAY(DATE(2027,9,25),-3)</f>
        <v/>
      </c>
      <c r="CE2" s="6">
        <f>BDP(CD$1,"LAST_TRADEABLE_DT")</f>
        <v/>
      </c>
      <c r="CM2" s="6">
        <f>WORKDAY(DATE(2027,10,25),-3)</f>
        <v/>
      </c>
      <c r="CN2" s="6">
        <f>BDP(CM$1,"LAST_TRADEABLE_DT")</f>
        <v/>
      </c>
      <c r="CV2" s="6">
        <f>WORKDAY(DATE(2027,11,25),-3)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"CLF"&amp;IF(A2&lt;Settings!$B$5,"28","8")&amp;" Comdty"</f>
        <v/>
      </c>
      <c r="J1" s="4">
        <f>"CLG"&amp;IF(J2&lt;Settings!$B$5,"28","8")&amp;" Comdty"</f>
        <v/>
      </c>
      <c r="S1" s="4">
        <f>"CLH"&amp;IF(S2&lt;Settings!$B$5,"28","8")&amp;" Comdty"</f>
        <v/>
      </c>
      <c r="AB1" s="4">
        <f>"CLJ"&amp;IF(AB2&lt;Settings!$B$5,"28","8")&amp;" Comdty"</f>
        <v/>
      </c>
      <c r="AK1" s="4">
        <f>"CLK"&amp;IF(AK2&lt;Settings!$B$5,"28","8")&amp;" Comdty"</f>
        <v/>
      </c>
      <c r="AT1" s="4">
        <f>"CLM"&amp;IF(AT2&lt;Settings!$B$5,"28","8")&amp;" Comdty"</f>
        <v/>
      </c>
      <c r="BC1" s="4">
        <f>"CLN"&amp;IF(BC2&lt;Settings!$B$5,"28","8")&amp;" Comdty"</f>
        <v/>
      </c>
      <c r="BL1" s="4">
        <f>"CLQ"&amp;IF(BL2&lt;Settings!$B$5,"28","8")&amp;" Comdty"</f>
        <v/>
      </c>
      <c r="BU1" s="4">
        <f>"CLU"&amp;IF(BU2&lt;Settings!$B$5,"28","8")&amp;" Comdty"</f>
        <v/>
      </c>
      <c r="CD1" s="4">
        <f>"CLV"&amp;IF(CD2&lt;Settings!$B$5,"28","8")&amp;" Comdty"</f>
        <v/>
      </c>
      <c r="CM1" s="4">
        <f>"CLX"&amp;IF(CM2&lt;Settings!$B$5,"28","8")&amp;" Comdty"</f>
        <v/>
      </c>
      <c r="CV1" s="4">
        <f>"CLZ"&amp;IF(CV2&lt;Settings!$B$5,"28","8")&amp;" Comdty"</f>
        <v/>
      </c>
    </row>
    <row r="2">
      <c r="A2" s="6">
        <f>WORKDAY(DATE(2028,0,25),-3)</f>
        <v/>
      </c>
      <c r="B2" s="6">
        <f>BDP(A$1,"LAST_TRADEABLE_DT")</f>
        <v/>
      </c>
      <c r="J2" s="6">
        <f>WORKDAY(DATE(2028,1,25),-3)</f>
        <v/>
      </c>
      <c r="K2" s="6">
        <f>BDP(J$1,"LAST_TRADEABLE_DT")</f>
        <v/>
      </c>
      <c r="S2" s="6">
        <f>WORKDAY(DATE(2028,2,25),-3)</f>
        <v/>
      </c>
      <c r="T2" s="6">
        <f>BDP(S$1,"LAST_TRADEABLE_DT")</f>
        <v/>
      </c>
      <c r="AB2" s="6">
        <f>WORKDAY(DATE(2028,3,25),-3)</f>
        <v/>
      </c>
      <c r="AC2" s="6">
        <f>BDP(AB$1,"LAST_TRADEABLE_DT")</f>
        <v/>
      </c>
      <c r="AK2" s="6">
        <f>WORKDAY(DATE(2028,4,25),-3)</f>
        <v/>
      </c>
      <c r="AL2" s="6">
        <f>BDP(AK$1,"LAST_TRADEABLE_DT")</f>
        <v/>
      </c>
      <c r="AT2" s="6">
        <f>WORKDAY(DATE(2028,5,25),-3)</f>
        <v/>
      </c>
      <c r="AU2" s="6">
        <f>BDP(AT$1,"LAST_TRADEABLE_DT")</f>
        <v/>
      </c>
      <c r="BC2" s="6">
        <f>WORKDAY(DATE(2028,6,25),-3)</f>
        <v/>
      </c>
      <c r="BD2" s="6">
        <f>BDP(BC$1,"LAST_TRADEABLE_DT")</f>
        <v/>
      </c>
      <c r="BL2" s="6">
        <f>WORKDAY(DATE(2028,7,25),-3)</f>
        <v/>
      </c>
      <c r="BM2" s="6">
        <f>BDP(BL$1,"LAST_TRADEABLE_DT")</f>
        <v/>
      </c>
      <c r="BU2" s="6">
        <f>WORKDAY(DATE(2028,8,25),-3)</f>
        <v/>
      </c>
      <c r="BV2" s="6">
        <f>BDP(BU$1,"LAST_TRADEABLE_DT")</f>
        <v/>
      </c>
      <c r="CD2" s="6">
        <f>WORKDAY(DATE(2028,9,25),-3)</f>
        <v/>
      </c>
      <c r="CE2" s="6">
        <f>BDP(CD$1,"LAST_TRADEABLE_DT")</f>
        <v/>
      </c>
      <c r="CM2" s="6">
        <f>WORKDAY(DATE(2028,10,25),-3)</f>
        <v/>
      </c>
      <c r="CN2" s="6">
        <f>BDP(CM$1,"LAST_TRADEABLE_DT")</f>
        <v/>
      </c>
      <c r="CV2" s="6">
        <f>WORKDAY(DATE(2028,11,25),-3)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"CLF"&amp;IF(A2&lt;Settings!$B$5,"29","9")&amp;" Comdty"</f>
        <v/>
      </c>
      <c r="J1" s="4">
        <f>"CLG"&amp;IF(J2&lt;Settings!$B$5,"29","9")&amp;" Comdty"</f>
        <v/>
      </c>
      <c r="S1" s="4">
        <f>"CLH"&amp;IF(S2&lt;Settings!$B$5,"29","9")&amp;" Comdty"</f>
        <v/>
      </c>
      <c r="AB1" s="4">
        <f>"CLJ"&amp;IF(AB2&lt;Settings!$B$5,"29","9")&amp;" Comdty"</f>
        <v/>
      </c>
      <c r="AK1" s="4">
        <f>"CLK"&amp;IF(AK2&lt;Settings!$B$5,"29","9")&amp;" Comdty"</f>
        <v/>
      </c>
      <c r="AT1" s="4">
        <f>"CLM"&amp;IF(AT2&lt;Settings!$B$5,"29","9")&amp;" Comdty"</f>
        <v/>
      </c>
      <c r="BC1" s="4">
        <f>"CLN"&amp;IF(BC2&lt;Settings!$B$5,"29","9")&amp;" Comdty"</f>
        <v/>
      </c>
      <c r="BL1" s="4">
        <f>"CLQ"&amp;IF(BL2&lt;Settings!$B$5,"29","9")&amp;" Comdty"</f>
        <v/>
      </c>
      <c r="BU1" s="4">
        <f>"CLU"&amp;IF(BU2&lt;Settings!$B$5,"29","9")&amp;" Comdty"</f>
        <v/>
      </c>
      <c r="CD1" s="4">
        <f>"CLV"&amp;IF(CD2&lt;Settings!$B$5,"29","9")&amp;" Comdty"</f>
        <v/>
      </c>
      <c r="CM1" s="4">
        <f>"CLX"&amp;IF(CM2&lt;Settings!$B$5,"29","9")&amp;" Comdty"</f>
        <v/>
      </c>
      <c r="CV1" s="4">
        <f>"CLZ"&amp;IF(CV2&lt;Settings!$B$5,"29","9")&amp;" Comdty"</f>
        <v/>
      </c>
    </row>
    <row r="2">
      <c r="A2" s="6">
        <f>WORKDAY(DATE(2029,0,25),-3)</f>
        <v/>
      </c>
      <c r="B2" s="6">
        <f>BDP(A$1,"LAST_TRADEABLE_DT")</f>
        <v/>
      </c>
      <c r="J2" s="6">
        <f>WORKDAY(DATE(2029,1,25),-3)</f>
        <v/>
      </c>
      <c r="K2" s="6">
        <f>BDP(J$1,"LAST_TRADEABLE_DT")</f>
        <v/>
      </c>
      <c r="S2" s="6">
        <f>WORKDAY(DATE(2029,2,25),-3)</f>
        <v/>
      </c>
      <c r="T2" s="6">
        <f>BDP(S$1,"LAST_TRADEABLE_DT")</f>
        <v/>
      </c>
      <c r="AB2" s="6">
        <f>WORKDAY(DATE(2029,3,25),-3)</f>
        <v/>
      </c>
      <c r="AC2" s="6">
        <f>BDP(AB$1,"LAST_TRADEABLE_DT")</f>
        <v/>
      </c>
      <c r="AK2" s="6">
        <f>WORKDAY(DATE(2029,4,25),-3)</f>
        <v/>
      </c>
      <c r="AL2" s="6">
        <f>BDP(AK$1,"LAST_TRADEABLE_DT")</f>
        <v/>
      </c>
      <c r="AT2" s="6">
        <f>WORKDAY(DATE(2029,5,25),-3)</f>
        <v/>
      </c>
      <c r="AU2" s="6">
        <f>BDP(AT$1,"LAST_TRADEABLE_DT")</f>
        <v/>
      </c>
      <c r="BC2" s="6">
        <f>WORKDAY(DATE(2029,6,25),-3)</f>
        <v/>
      </c>
      <c r="BD2" s="6">
        <f>BDP(BC$1,"LAST_TRADEABLE_DT")</f>
        <v/>
      </c>
      <c r="BL2" s="6">
        <f>WORKDAY(DATE(2029,7,25),-3)</f>
        <v/>
      </c>
      <c r="BM2" s="6">
        <f>BDP(BL$1,"LAST_TRADEABLE_DT")</f>
        <v/>
      </c>
      <c r="BU2" s="6">
        <f>WORKDAY(DATE(2029,8,25),-3)</f>
        <v/>
      </c>
      <c r="BV2" s="6">
        <f>BDP(BU$1,"LAST_TRADEABLE_DT")</f>
        <v/>
      </c>
      <c r="CD2" s="6">
        <f>WORKDAY(DATE(2029,9,25),-3)</f>
        <v/>
      </c>
      <c r="CE2" s="6">
        <f>BDP(CD$1,"LAST_TRADEABLE_DT")</f>
        <v/>
      </c>
      <c r="CM2" s="6">
        <f>WORKDAY(DATE(2029,10,25),-3)</f>
        <v/>
      </c>
      <c r="CN2" s="6">
        <f>BDP(CM$1,"LAST_TRADEABLE_DT")</f>
        <v/>
      </c>
      <c r="CV2" s="6">
        <f>WORKDAY(DATE(2029,11,25),-3)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2026-10-13T23:28:47Z</dcterms:created>
  <dcterms:modified xmlns:dcterms="http://purl.org/dc/terms/" xmlns:xsi="http://www.w3.org/2001/XMLSchema-instance" xsi:type="dcterms:W3CDTF">2026-10-13T23:28:47Z</dcterms:modified>
</cp:coreProperties>
</file>