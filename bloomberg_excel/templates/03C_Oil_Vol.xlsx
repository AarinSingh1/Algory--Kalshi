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XOM" sheetId="2" state="visible" r:id="rId2"/>
    <sheet xmlns:r="http://schemas.openxmlformats.org/officeDocument/2006/relationships" name="DAL" sheetId="3" state="visible" r:id="rId3"/>
    <sheet xmlns:r="http://schemas.openxmlformats.org/officeDocument/2006/relationships" name="JETS" sheetId="4" state="visible" r:id="rId4"/>
    <sheet xmlns:r="http://schemas.openxmlformats.org/officeDocument/2006/relationships" name="SP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Oil implied-vol surfaces, part C of 3 (oil-vol)</t>
        </is>
      </c>
    </row>
    <row r="3">
      <c r="A3" s="2" t="inlineStr">
        <is>
          <t>Start date</t>
        </is>
      </c>
      <c r="B3" s="3" t="n">
        <v>42370</v>
      </c>
      <c r="C3" s="4" t="inlineStr">
        <is>
          <t>First date of history</t>
        </is>
      </c>
    </row>
    <row r="4">
      <c r="A4" s="2" t="inlineStr">
        <is>
          <t>End date</t>
        </is>
      </c>
      <c r="B4" s="3" t="n"/>
      <c r="C4" s="4" t="inlineStr">
        <is>
          <t>Leave blank for today</t>
        </is>
      </c>
    </row>
    <row r="6">
      <c r="A6" s="2" t="inlineStr">
        <is>
          <t>Legend</t>
        </is>
      </c>
    </row>
    <row r="7">
      <c r="A7" s="5" t="inlineStr">
        <is>
          <t>Yellow cells with blue text</t>
        </is>
      </c>
      <c r="B7" s="4" t="inlineStr">
        <is>
          <t>inputs you may change; everything else is a formula</t>
        </is>
      </c>
    </row>
    <row r="9">
      <c r="A9" s="2" t="inlineStr">
        <is>
          <t>How to use</t>
        </is>
      </c>
    </row>
    <row r="10">
      <c r="A10" s="4" t="inlineStr">
        <is>
          <t>1. Open this file in Excel on the Bloomberg PC with the Terminal logged in. Click Enable Editing / Enable Content.</t>
        </is>
      </c>
    </row>
    <row r="11">
      <c r="A11" s="4" t="inlineStr">
        <is>
          <t>2. Wait until no cell says 'Requesting Data...'. If nothing loads: Bloomberg tab &gt; Refresh &gt; Refresh Workbook.</t>
        </is>
      </c>
    </row>
    <row r="12">
      <c r="A12" s="4" t="inlineStr">
        <is>
          <t>3. A cell reading '#N/A Invalid Security' or '#N/A Field Not Applicable' just means that item is unavailable.</t>
        </is>
      </c>
    </row>
    <row r="13">
      <c r="A13" s="4" t="inlineStr">
        <is>
          <t>4. File &gt; Save As, keep .xlsx, and add the date to the name. Upload the saved file to Claude.</t>
        </is>
      </c>
    </row>
    <row r="14">
      <c r="A14" s="4" t="inlineStr">
        <is>
          <t>5. This is a large pull. Open parts A, B and C on different days if Bloomberg warns about data limits.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5" t="inlineStr">
        <is>
          <t>XOM US Equity</t>
        </is>
      </c>
      <c r="AA1" s="5" t="inlineStr">
        <is>
          <t>XOM US Equity</t>
        </is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6" t="inlineStr">
        <is>
          <t>Date</t>
        </is>
      </c>
      <c r="B3" s="6" t="inlineStr">
        <is>
          <t>30DAY_IMPVOL_90.0%MNY_DF</t>
        </is>
      </c>
      <c r="C3" s="6" t="inlineStr">
        <is>
          <t>30DAY_IMPVOL_95.0%MNY_DF</t>
        </is>
      </c>
      <c r="D3" s="6" t="inlineStr">
        <is>
          <t>30DAY_IMPVOL_100.0%MNY_DF</t>
        </is>
      </c>
      <c r="E3" s="6" t="inlineStr">
        <is>
          <t>30DAY_IMPVOL_105.0%MNY_DF</t>
        </is>
      </c>
      <c r="F3" s="6" t="inlineStr">
        <is>
          <t>30DAY_IMPVOL_110.0%MNY_DF</t>
        </is>
      </c>
      <c r="G3" s="6" t="inlineStr">
        <is>
          <t>60DAY_IMPVOL_90.0%MNY_DF</t>
        </is>
      </c>
      <c r="H3" s="6" t="inlineStr">
        <is>
          <t>60DAY_IMPVOL_95.0%MNY_DF</t>
        </is>
      </c>
      <c r="I3" s="6" t="inlineStr">
        <is>
          <t>60DAY_IMPVOL_100.0%MNY_DF</t>
        </is>
      </c>
      <c r="J3" s="6" t="inlineStr">
        <is>
          <t>60DAY_IMPVOL_105.0%MNY_DF</t>
        </is>
      </c>
      <c r="K3" s="6" t="inlineStr">
        <is>
          <t>60DAY_IMPVOL_110.0%MNY_DF</t>
        </is>
      </c>
      <c r="L3" s="6" t="inlineStr">
        <is>
          <t>3MTH_IMPVOL_90.0%MNY_DF</t>
        </is>
      </c>
      <c r="M3" s="6" t="inlineStr">
        <is>
          <t>3MTH_IMPVOL_95.0%MNY_DF</t>
        </is>
      </c>
      <c r="N3" s="6" t="inlineStr">
        <is>
          <t>3MTH_IMPVOL_100.0%MNY_DF</t>
        </is>
      </c>
      <c r="O3" s="6" t="inlineStr">
        <is>
          <t>3MTH_IMPVOL_105.0%MNY_DF</t>
        </is>
      </c>
      <c r="P3" s="6" t="inlineStr">
        <is>
          <t>3MTH_IMPVOL_110.0%MNY_DF</t>
        </is>
      </c>
      <c r="Q3" s="6" t="inlineStr">
        <is>
          <t>6MTH_IMPVOL_90.0%MNY_DF</t>
        </is>
      </c>
      <c r="R3" s="6" t="inlineStr">
        <is>
          <t>6MTH_IMPVOL_95.0%MNY_DF</t>
        </is>
      </c>
      <c r="S3" s="6" t="inlineStr">
        <is>
          <t>6MTH_IMPVOL_100.0%MNY_DF</t>
        </is>
      </c>
      <c r="T3" s="6" t="inlineStr">
        <is>
          <t>6MTH_IMPVOL_105.0%MNY_DF</t>
        </is>
      </c>
      <c r="U3" s="6" t="inlineStr">
        <is>
          <t>6MTH_IMPVOL_110.0%MNY_DF</t>
        </is>
      </c>
      <c r="V3" s="6" t="inlineStr">
        <is>
          <t>1M_CALL_IMP_VOL_10DELTA_DFLT</t>
        </is>
      </c>
      <c r="W3" s="6" t="inlineStr">
        <is>
          <t>1M_CALL_IMP_VOL_25DELTA_DFLT</t>
        </is>
      </c>
      <c r="X3" s="6" t="inlineStr">
        <is>
          <t>1M_CALL_IMP_VOL_50DELTA_DFLT</t>
        </is>
      </c>
      <c r="Y3" s="6" t="inlineStr">
        <is>
          <t>1M_PUT_IMP_VOL_10DELTA_DFLT</t>
        </is>
      </c>
      <c r="AA3" s="6" t="inlineStr">
        <is>
          <t>Date</t>
        </is>
      </c>
      <c r="AB3" s="6" t="inlineStr">
        <is>
          <t>1M_PUT_IMP_VOL_25DELTA_DFLT</t>
        </is>
      </c>
      <c r="AC3" s="6" t="inlineStr">
        <is>
          <t>1M_PUT_IMP_VOL_50DELTA_DFLT</t>
        </is>
      </c>
      <c r="AD3" s="6" t="inlineStr">
        <is>
          <t>2M_CALL_IMP_VOL_10DELTA_DFLT</t>
        </is>
      </c>
      <c r="AE3" s="6" t="inlineStr">
        <is>
          <t>2M_CALL_IMP_VOL_25DELTA_DFLT</t>
        </is>
      </c>
      <c r="AF3" s="6" t="inlineStr">
        <is>
          <t>2M_CALL_IMP_VOL_50DELTA_DFLT</t>
        </is>
      </c>
      <c r="AG3" s="6" t="inlineStr">
        <is>
          <t>2M_PUT_IMP_VOL_10DELTA_DFLT</t>
        </is>
      </c>
      <c r="AH3" s="6" t="inlineStr">
        <is>
          <t>2M_PUT_IMP_VOL_25DELTA_DFLT</t>
        </is>
      </c>
      <c r="AI3" s="6" t="inlineStr">
        <is>
          <t>2M_PUT_IMP_VOL_50DELTA_DFLT</t>
        </is>
      </c>
      <c r="AJ3" s="6" t="inlineStr">
        <is>
          <t>3M_CALL_IMP_VOL_10DELTA_DFLT</t>
        </is>
      </c>
      <c r="AK3" s="6" t="inlineStr">
        <is>
          <t>3M_CALL_IMP_VOL_25DELTA_DFLT</t>
        </is>
      </c>
      <c r="AL3" s="6" t="inlineStr">
        <is>
          <t>3M_CALL_IMP_VOL_50DELTA_DFLT</t>
        </is>
      </c>
      <c r="AM3" s="6" t="inlineStr">
        <is>
          <t>3M_PUT_IMP_VOL_10DELTA_DFLT</t>
        </is>
      </c>
      <c r="AN3" s="6" t="inlineStr">
        <is>
          <t>3M_PUT_IMP_VOL_25DELTA_DFLT</t>
        </is>
      </c>
      <c r="AO3" s="6" t="inlineStr">
        <is>
          <t>3M_PUT_IMP_VOL_50DELTA_DFLT</t>
        </is>
      </c>
      <c r="AP3" s="6" t="inlineStr">
        <is>
          <t>HIST_CALL_IMP_VOL</t>
        </is>
      </c>
      <c r="AQ3" s="6" t="inlineStr">
        <is>
          <t>HIST_PUT_IMP_VOL</t>
        </is>
      </c>
      <c r="AR3" s="6" t="inlineStr">
        <is>
          <t>VOLATILITY_10D</t>
        </is>
      </c>
      <c r="AS3" s="6" t="inlineStr">
        <is>
          <t>VOLATILITY_30D</t>
        </is>
      </c>
      <c r="AT3" s="6" t="inlineStr">
        <is>
          <t>VOLATILITY_90D</t>
        </is>
      </c>
      <c r="AU3" s="6" t="inlineStr">
        <is>
          <t>PUT_CALL_VOLUME_RATIO_CUR_DAY</t>
        </is>
      </c>
      <c r="AV3" s="6" t="inlineStr">
        <is>
          <t>OPEN_INT_TOTAL_CALL</t>
        </is>
      </c>
      <c r="AW3" s="6" t="inlineStr">
        <is>
          <t>OPEN_INT_TOTAL_PUT</t>
        </is>
      </c>
      <c r="AX3" s="6" t="inlineStr">
        <is>
          <t>VOLUME_TOTAL_CALL</t>
        </is>
      </c>
      <c r="AY3" s="6" t="inlineStr">
        <is>
          <t>VOLUME_TOTAL_PUT</t>
        </is>
      </c>
    </row>
    <row r="4">
      <c r="A4" s="4">
        <f>BDH(A$1,B$3:Y$3,Settings!$B$3,IF(Settings!$B$4="","",Settings!$B$4),"Dir=V","Dts=S","Sort=A","Days=T","Fill=B")</f>
        <v/>
      </c>
      <c r="AA4" s="4">
        <f>BDH(AA$1,AB$3:AY$3,Settings!$B$3,IF(Settings!$B$4="","",Settings!$B$4),"Dir=V","Dts=S","Sort=A","Days=T","Fill=B")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5" t="inlineStr">
        <is>
          <t>DAL US Equity</t>
        </is>
      </c>
      <c r="AA1" s="5" t="inlineStr">
        <is>
          <t>DAL US Equity</t>
        </is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6" t="inlineStr">
        <is>
          <t>Date</t>
        </is>
      </c>
      <c r="B3" s="6" t="inlineStr">
        <is>
          <t>30DAY_IMPVOL_90.0%MNY_DF</t>
        </is>
      </c>
      <c r="C3" s="6" t="inlineStr">
        <is>
          <t>30DAY_IMPVOL_95.0%MNY_DF</t>
        </is>
      </c>
      <c r="D3" s="6" t="inlineStr">
        <is>
          <t>30DAY_IMPVOL_100.0%MNY_DF</t>
        </is>
      </c>
      <c r="E3" s="6" t="inlineStr">
        <is>
          <t>30DAY_IMPVOL_105.0%MNY_DF</t>
        </is>
      </c>
      <c r="F3" s="6" t="inlineStr">
        <is>
          <t>30DAY_IMPVOL_110.0%MNY_DF</t>
        </is>
      </c>
      <c r="G3" s="6" t="inlineStr">
        <is>
          <t>60DAY_IMPVOL_90.0%MNY_DF</t>
        </is>
      </c>
      <c r="H3" s="6" t="inlineStr">
        <is>
          <t>60DAY_IMPVOL_95.0%MNY_DF</t>
        </is>
      </c>
      <c r="I3" s="6" t="inlineStr">
        <is>
          <t>60DAY_IMPVOL_100.0%MNY_DF</t>
        </is>
      </c>
      <c r="J3" s="6" t="inlineStr">
        <is>
          <t>60DAY_IMPVOL_105.0%MNY_DF</t>
        </is>
      </c>
      <c r="K3" s="6" t="inlineStr">
        <is>
          <t>60DAY_IMPVOL_110.0%MNY_DF</t>
        </is>
      </c>
      <c r="L3" s="6" t="inlineStr">
        <is>
          <t>3MTH_IMPVOL_90.0%MNY_DF</t>
        </is>
      </c>
      <c r="M3" s="6" t="inlineStr">
        <is>
          <t>3MTH_IMPVOL_95.0%MNY_DF</t>
        </is>
      </c>
      <c r="N3" s="6" t="inlineStr">
        <is>
          <t>3MTH_IMPVOL_100.0%MNY_DF</t>
        </is>
      </c>
      <c r="O3" s="6" t="inlineStr">
        <is>
          <t>3MTH_IMPVOL_105.0%MNY_DF</t>
        </is>
      </c>
      <c r="P3" s="6" t="inlineStr">
        <is>
          <t>3MTH_IMPVOL_110.0%MNY_DF</t>
        </is>
      </c>
      <c r="Q3" s="6" t="inlineStr">
        <is>
          <t>6MTH_IMPVOL_90.0%MNY_DF</t>
        </is>
      </c>
      <c r="R3" s="6" t="inlineStr">
        <is>
          <t>6MTH_IMPVOL_95.0%MNY_DF</t>
        </is>
      </c>
      <c r="S3" s="6" t="inlineStr">
        <is>
          <t>6MTH_IMPVOL_100.0%MNY_DF</t>
        </is>
      </c>
      <c r="T3" s="6" t="inlineStr">
        <is>
          <t>6MTH_IMPVOL_105.0%MNY_DF</t>
        </is>
      </c>
      <c r="U3" s="6" t="inlineStr">
        <is>
          <t>6MTH_IMPVOL_110.0%MNY_DF</t>
        </is>
      </c>
      <c r="V3" s="6" t="inlineStr">
        <is>
          <t>1M_CALL_IMP_VOL_10DELTA_DFLT</t>
        </is>
      </c>
      <c r="W3" s="6" t="inlineStr">
        <is>
          <t>1M_CALL_IMP_VOL_25DELTA_DFLT</t>
        </is>
      </c>
      <c r="X3" s="6" t="inlineStr">
        <is>
          <t>1M_CALL_IMP_VOL_50DELTA_DFLT</t>
        </is>
      </c>
      <c r="Y3" s="6" t="inlineStr">
        <is>
          <t>1M_PUT_IMP_VOL_10DELTA_DFLT</t>
        </is>
      </c>
      <c r="AA3" s="6" t="inlineStr">
        <is>
          <t>Date</t>
        </is>
      </c>
      <c r="AB3" s="6" t="inlineStr">
        <is>
          <t>1M_PUT_IMP_VOL_25DELTA_DFLT</t>
        </is>
      </c>
      <c r="AC3" s="6" t="inlineStr">
        <is>
          <t>1M_PUT_IMP_VOL_50DELTA_DFLT</t>
        </is>
      </c>
      <c r="AD3" s="6" t="inlineStr">
        <is>
          <t>2M_CALL_IMP_VOL_10DELTA_DFLT</t>
        </is>
      </c>
      <c r="AE3" s="6" t="inlineStr">
        <is>
          <t>2M_CALL_IMP_VOL_25DELTA_DFLT</t>
        </is>
      </c>
      <c r="AF3" s="6" t="inlineStr">
        <is>
          <t>2M_CALL_IMP_VOL_50DELTA_DFLT</t>
        </is>
      </c>
      <c r="AG3" s="6" t="inlineStr">
        <is>
          <t>2M_PUT_IMP_VOL_10DELTA_DFLT</t>
        </is>
      </c>
      <c r="AH3" s="6" t="inlineStr">
        <is>
          <t>2M_PUT_IMP_VOL_25DELTA_DFLT</t>
        </is>
      </c>
      <c r="AI3" s="6" t="inlineStr">
        <is>
          <t>2M_PUT_IMP_VOL_50DELTA_DFLT</t>
        </is>
      </c>
      <c r="AJ3" s="6" t="inlineStr">
        <is>
          <t>3M_CALL_IMP_VOL_10DELTA_DFLT</t>
        </is>
      </c>
      <c r="AK3" s="6" t="inlineStr">
        <is>
          <t>3M_CALL_IMP_VOL_25DELTA_DFLT</t>
        </is>
      </c>
      <c r="AL3" s="6" t="inlineStr">
        <is>
          <t>3M_CALL_IMP_VOL_50DELTA_DFLT</t>
        </is>
      </c>
      <c r="AM3" s="6" t="inlineStr">
        <is>
          <t>3M_PUT_IMP_VOL_10DELTA_DFLT</t>
        </is>
      </c>
      <c r="AN3" s="6" t="inlineStr">
        <is>
          <t>3M_PUT_IMP_VOL_25DELTA_DFLT</t>
        </is>
      </c>
      <c r="AO3" s="6" t="inlineStr">
        <is>
          <t>3M_PUT_IMP_VOL_50DELTA_DFLT</t>
        </is>
      </c>
      <c r="AP3" s="6" t="inlineStr">
        <is>
          <t>HIST_CALL_IMP_VOL</t>
        </is>
      </c>
      <c r="AQ3" s="6" t="inlineStr">
        <is>
          <t>HIST_PUT_IMP_VOL</t>
        </is>
      </c>
      <c r="AR3" s="6" t="inlineStr">
        <is>
          <t>VOLATILITY_10D</t>
        </is>
      </c>
      <c r="AS3" s="6" t="inlineStr">
        <is>
          <t>VOLATILITY_30D</t>
        </is>
      </c>
      <c r="AT3" s="6" t="inlineStr">
        <is>
          <t>VOLATILITY_90D</t>
        </is>
      </c>
      <c r="AU3" s="6" t="inlineStr">
        <is>
          <t>PUT_CALL_VOLUME_RATIO_CUR_DAY</t>
        </is>
      </c>
      <c r="AV3" s="6" t="inlineStr">
        <is>
          <t>OPEN_INT_TOTAL_CALL</t>
        </is>
      </c>
      <c r="AW3" s="6" t="inlineStr">
        <is>
          <t>OPEN_INT_TOTAL_PUT</t>
        </is>
      </c>
      <c r="AX3" s="6" t="inlineStr">
        <is>
          <t>VOLUME_TOTAL_CALL</t>
        </is>
      </c>
      <c r="AY3" s="6" t="inlineStr">
        <is>
          <t>VOLUME_TOTAL_PUT</t>
        </is>
      </c>
    </row>
    <row r="4">
      <c r="A4" s="4">
        <f>BDH(A$1,B$3:Y$3,Settings!$B$3,IF(Settings!$B$4="","",Settings!$B$4),"Dir=V","Dts=S","Sort=A","Days=T","Fill=B")</f>
        <v/>
      </c>
      <c r="AA4" s="4">
        <f>BDH(AA$1,AB$3:AY$3,Settings!$B$3,IF(Settings!$B$4="","",Settings!$B$4),"Dir=V","Dts=S","Sort=A","Days=T","Fill=B")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5" t="inlineStr">
        <is>
          <t>JETS US Equity</t>
        </is>
      </c>
      <c r="AA1" s="5" t="inlineStr">
        <is>
          <t>JETS US Equity</t>
        </is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6" t="inlineStr">
        <is>
          <t>Date</t>
        </is>
      </c>
      <c r="B3" s="6" t="inlineStr">
        <is>
          <t>30DAY_IMPVOL_90.0%MNY_DF</t>
        </is>
      </c>
      <c r="C3" s="6" t="inlineStr">
        <is>
          <t>30DAY_IMPVOL_95.0%MNY_DF</t>
        </is>
      </c>
      <c r="D3" s="6" t="inlineStr">
        <is>
          <t>30DAY_IMPVOL_100.0%MNY_DF</t>
        </is>
      </c>
      <c r="E3" s="6" t="inlineStr">
        <is>
          <t>30DAY_IMPVOL_105.0%MNY_DF</t>
        </is>
      </c>
      <c r="F3" s="6" t="inlineStr">
        <is>
          <t>30DAY_IMPVOL_110.0%MNY_DF</t>
        </is>
      </c>
      <c r="G3" s="6" t="inlineStr">
        <is>
          <t>60DAY_IMPVOL_90.0%MNY_DF</t>
        </is>
      </c>
      <c r="H3" s="6" t="inlineStr">
        <is>
          <t>60DAY_IMPVOL_95.0%MNY_DF</t>
        </is>
      </c>
      <c r="I3" s="6" t="inlineStr">
        <is>
          <t>60DAY_IMPVOL_100.0%MNY_DF</t>
        </is>
      </c>
      <c r="J3" s="6" t="inlineStr">
        <is>
          <t>60DAY_IMPVOL_105.0%MNY_DF</t>
        </is>
      </c>
      <c r="K3" s="6" t="inlineStr">
        <is>
          <t>60DAY_IMPVOL_110.0%MNY_DF</t>
        </is>
      </c>
      <c r="L3" s="6" t="inlineStr">
        <is>
          <t>3MTH_IMPVOL_90.0%MNY_DF</t>
        </is>
      </c>
      <c r="M3" s="6" t="inlineStr">
        <is>
          <t>3MTH_IMPVOL_95.0%MNY_DF</t>
        </is>
      </c>
      <c r="N3" s="6" t="inlineStr">
        <is>
          <t>3MTH_IMPVOL_100.0%MNY_DF</t>
        </is>
      </c>
      <c r="O3" s="6" t="inlineStr">
        <is>
          <t>3MTH_IMPVOL_105.0%MNY_DF</t>
        </is>
      </c>
      <c r="P3" s="6" t="inlineStr">
        <is>
          <t>3MTH_IMPVOL_110.0%MNY_DF</t>
        </is>
      </c>
      <c r="Q3" s="6" t="inlineStr">
        <is>
          <t>6MTH_IMPVOL_90.0%MNY_DF</t>
        </is>
      </c>
      <c r="R3" s="6" t="inlineStr">
        <is>
          <t>6MTH_IMPVOL_95.0%MNY_DF</t>
        </is>
      </c>
      <c r="S3" s="6" t="inlineStr">
        <is>
          <t>6MTH_IMPVOL_100.0%MNY_DF</t>
        </is>
      </c>
      <c r="T3" s="6" t="inlineStr">
        <is>
          <t>6MTH_IMPVOL_105.0%MNY_DF</t>
        </is>
      </c>
      <c r="U3" s="6" t="inlineStr">
        <is>
          <t>6MTH_IMPVOL_110.0%MNY_DF</t>
        </is>
      </c>
      <c r="V3" s="6" t="inlineStr">
        <is>
          <t>1M_CALL_IMP_VOL_10DELTA_DFLT</t>
        </is>
      </c>
      <c r="W3" s="6" t="inlineStr">
        <is>
          <t>1M_CALL_IMP_VOL_25DELTA_DFLT</t>
        </is>
      </c>
      <c r="X3" s="6" t="inlineStr">
        <is>
          <t>1M_CALL_IMP_VOL_50DELTA_DFLT</t>
        </is>
      </c>
      <c r="Y3" s="6" t="inlineStr">
        <is>
          <t>1M_PUT_IMP_VOL_10DELTA_DFLT</t>
        </is>
      </c>
      <c r="AA3" s="6" t="inlineStr">
        <is>
          <t>Date</t>
        </is>
      </c>
      <c r="AB3" s="6" t="inlineStr">
        <is>
          <t>1M_PUT_IMP_VOL_25DELTA_DFLT</t>
        </is>
      </c>
      <c r="AC3" s="6" t="inlineStr">
        <is>
          <t>1M_PUT_IMP_VOL_50DELTA_DFLT</t>
        </is>
      </c>
      <c r="AD3" s="6" t="inlineStr">
        <is>
          <t>2M_CALL_IMP_VOL_10DELTA_DFLT</t>
        </is>
      </c>
      <c r="AE3" s="6" t="inlineStr">
        <is>
          <t>2M_CALL_IMP_VOL_25DELTA_DFLT</t>
        </is>
      </c>
      <c r="AF3" s="6" t="inlineStr">
        <is>
          <t>2M_CALL_IMP_VOL_50DELTA_DFLT</t>
        </is>
      </c>
      <c r="AG3" s="6" t="inlineStr">
        <is>
          <t>2M_PUT_IMP_VOL_10DELTA_DFLT</t>
        </is>
      </c>
      <c r="AH3" s="6" t="inlineStr">
        <is>
          <t>2M_PUT_IMP_VOL_25DELTA_DFLT</t>
        </is>
      </c>
      <c r="AI3" s="6" t="inlineStr">
        <is>
          <t>2M_PUT_IMP_VOL_50DELTA_DFLT</t>
        </is>
      </c>
      <c r="AJ3" s="6" t="inlineStr">
        <is>
          <t>3M_CALL_IMP_VOL_10DELTA_DFLT</t>
        </is>
      </c>
      <c r="AK3" s="6" t="inlineStr">
        <is>
          <t>3M_CALL_IMP_VOL_25DELTA_DFLT</t>
        </is>
      </c>
      <c r="AL3" s="6" t="inlineStr">
        <is>
          <t>3M_CALL_IMP_VOL_50DELTA_DFLT</t>
        </is>
      </c>
      <c r="AM3" s="6" t="inlineStr">
        <is>
          <t>3M_PUT_IMP_VOL_10DELTA_DFLT</t>
        </is>
      </c>
      <c r="AN3" s="6" t="inlineStr">
        <is>
          <t>3M_PUT_IMP_VOL_25DELTA_DFLT</t>
        </is>
      </c>
      <c r="AO3" s="6" t="inlineStr">
        <is>
          <t>3M_PUT_IMP_VOL_50DELTA_DFLT</t>
        </is>
      </c>
      <c r="AP3" s="6" t="inlineStr">
        <is>
          <t>HIST_CALL_IMP_VOL</t>
        </is>
      </c>
      <c r="AQ3" s="6" t="inlineStr">
        <is>
          <t>HIST_PUT_IMP_VOL</t>
        </is>
      </c>
      <c r="AR3" s="6" t="inlineStr">
        <is>
          <t>VOLATILITY_10D</t>
        </is>
      </c>
      <c r="AS3" s="6" t="inlineStr">
        <is>
          <t>VOLATILITY_30D</t>
        </is>
      </c>
      <c r="AT3" s="6" t="inlineStr">
        <is>
          <t>VOLATILITY_90D</t>
        </is>
      </c>
      <c r="AU3" s="6" t="inlineStr">
        <is>
          <t>PUT_CALL_VOLUME_RATIO_CUR_DAY</t>
        </is>
      </c>
      <c r="AV3" s="6" t="inlineStr">
        <is>
          <t>OPEN_INT_TOTAL_CALL</t>
        </is>
      </c>
      <c r="AW3" s="6" t="inlineStr">
        <is>
          <t>OPEN_INT_TOTAL_PUT</t>
        </is>
      </c>
      <c r="AX3" s="6" t="inlineStr">
        <is>
          <t>VOLUME_TOTAL_CALL</t>
        </is>
      </c>
      <c r="AY3" s="6" t="inlineStr">
        <is>
          <t>VOLUME_TOTAL_PUT</t>
        </is>
      </c>
    </row>
    <row r="4">
      <c r="A4" s="4">
        <f>BDH(A$1,B$3:Y$3,Settings!$B$3,IF(Settings!$B$4="","",Settings!$B$4),"Dir=V","Dts=S","Sort=A","Days=T","Fill=B")</f>
        <v/>
      </c>
      <c r="AA4" s="4">
        <f>BDH(AA$1,AB$3:AY$3,Settings!$B$3,IF(Settings!$B$4="","",Settings!$B$4),"Dir=V","Dts=S","Sort=A","Days=T","Fill=B")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5" t="inlineStr">
        <is>
          <t>SPY US Equity</t>
        </is>
      </c>
      <c r="AA1" s="5" t="inlineStr">
        <is>
          <t>SPY US Equity</t>
        </is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6" t="inlineStr">
        <is>
          <t>Date</t>
        </is>
      </c>
      <c r="B3" s="6" t="inlineStr">
        <is>
          <t>30DAY_IMPVOL_90.0%MNY_DF</t>
        </is>
      </c>
      <c r="C3" s="6" t="inlineStr">
        <is>
          <t>30DAY_IMPVOL_95.0%MNY_DF</t>
        </is>
      </c>
      <c r="D3" s="6" t="inlineStr">
        <is>
          <t>30DAY_IMPVOL_100.0%MNY_DF</t>
        </is>
      </c>
      <c r="E3" s="6" t="inlineStr">
        <is>
          <t>30DAY_IMPVOL_105.0%MNY_DF</t>
        </is>
      </c>
      <c r="F3" s="6" t="inlineStr">
        <is>
          <t>30DAY_IMPVOL_110.0%MNY_DF</t>
        </is>
      </c>
      <c r="G3" s="6" t="inlineStr">
        <is>
          <t>60DAY_IMPVOL_90.0%MNY_DF</t>
        </is>
      </c>
      <c r="H3" s="6" t="inlineStr">
        <is>
          <t>60DAY_IMPVOL_95.0%MNY_DF</t>
        </is>
      </c>
      <c r="I3" s="6" t="inlineStr">
        <is>
          <t>60DAY_IMPVOL_100.0%MNY_DF</t>
        </is>
      </c>
      <c r="J3" s="6" t="inlineStr">
        <is>
          <t>60DAY_IMPVOL_105.0%MNY_DF</t>
        </is>
      </c>
      <c r="K3" s="6" t="inlineStr">
        <is>
          <t>60DAY_IMPVOL_110.0%MNY_DF</t>
        </is>
      </c>
      <c r="L3" s="6" t="inlineStr">
        <is>
          <t>3MTH_IMPVOL_90.0%MNY_DF</t>
        </is>
      </c>
      <c r="M3" s="6" t="inlineStr">
        <is>
          <t>3MTH_IMPVOL_95.0%MNY_DF</t>
        </is>
      </c>
      <c r="N3" s="6" t="inlineStr">
        <is>
          <t>3MTH_IMPVOL_100.0%MNY_DF</t>
        </is>
      </c>
      <c r="O3" s="6" t="inlineStr">
        <is>
          <t>3MTH_IMPVOL_105.0%MNY_DF</t>
        </is>
      </c>
      <c r="P3" s="6" t="inlineStr">
        <is>
          <t>3MTH_IMPVOL_110.0%MNY_DF</t>
        </is>
      </c>
      <c r="Q3" s="6" t="inlineStr">
        <is>
          <t>6MTH_IMPVOL_90.0%MNY_DF</t>
        </is>
      </c>
      <c r="R3" s="6" t="inlineStr">
        <is>
          <t>6MTH_IMPVOL_95.0%MNY_DF</t>
        </is>
      </c>
      <c r="S3" s="6" t="inlineStr">
        <is>
          <t>6MTH_IMPVOL_100.0%MNY_DF</t>
        </is>
      </c>
      <c r="T3" s="6" t="inlineStr">
        <is>
          <t>6MTH_IMPVOL_105.0%MNY_DF</t>
        </is>
      </c>
      <c r="U3" s="6" t="inlineStr">
        <is>
          <t>6MTH_IMPVOL_110.0%MNY_DF</t>
        </is>
      </c>
      <c r="V3" s="6" t="inlineStr">
        <is>
          <t>1M_CALL_IMP_VOL_10DELTA_DFLT</t>
        </is>
      </c>
      <c r="W3" s="6" t="inlineStr">
        <is>
          <t>1M_CALL_IMP_VOL_25DELTA_DFLT</t>
        </is>
      </c>
      <c r="X3" s="6" t="inlineStr">
        <is>
          <t>1M_CALL_IMP_VOL_50DELTA_DFLT</t>
        </is>
      </c>
      <c r="Y3" s="6" t="inlineStr">
        <is>
          <t>1M_PUT_IMP_VOL_10DELTA_DFLT</t>
        </is>
      </c>
      <c r="AA3" s="6" t="inlineStr">
        <is>
          <t>Date</t>
        </is>
      </c>
      <c r="AB3" s="6" t="inlineStr">
        <is>
          <t>1M_PUT_IMP_VOL_25DELTA_DFLT</t>
        </is>
      </c>
      <c r="AC3" s="6" t="inlineStr">
        <is>
          <t>1M_PUT_IMP_VOL_50DELTA_DFLT</t>
        </is>
      </c>
      <c r="AD3" s="6" t="inlineStr">
        <is>
          <t>2M_CALL_IMP_VOL_10DELTA_DFLT</t>
        </is>
      </c>
      <c r="AE3" s="6" t="inlineStr">
        <is>
          <t>2M_CALL_IMP_VOL_25DELTA_DFLT</t>
        </is>
      </c>
      <c r="AF3" s="6" t="inlineStr">
        <is>
          <t>2M_CALL_IMP_VOL_50DELTA_DFLT</t>
        </is>
      </c>
      <c r="AG3" s="6" t="inlineStr">
        <is>
          <t>2M_PUT_IMP_VOL_10DELTA_DFLT</t>
        </is>
      </c>
      <c r="AH3" s="6" t="inlineStr">
        <is>
          <t>2M_PUT_IMP_VOL_25DELTA_DFLT</t>
        </is>
      </c>
      <c r="AI3" s="6" t="inlineStr">
        <is>
          <t>2M_PUT_IMP_VOL_50DELTA_DFLT</t>
        </is>
      </c>
      <c r="AJ3" s="6" t="inlineStr">
        <is>
          <t>3M_CALL_IMP_VOL_10DELTA_DFLT</t>
        </is>
      </c>
      <c r="AK3" s="6" t="inlineStr">
        <is>
          <t>3M_CALL_IMP_VOL_25DELTA_DFLT</t>
        </is>
      </c>
      <c r="AL3" s="6" t="inlineStr">
        <is>
          <t>3M_CALL_IMP_VOL_50DELTA_DFLT</t>
        </is>
      </c>
      <c r="AM3" s="6" t="inlineStr">
        <is>
          <t>3M_PUT_IMP_VOL_10DELTA_DFLT</t>
        </is>
      </c>
      <c r="AN3" s="6" t="inlineStr">
        <is>
          <t>3M_PUT_IMP_VOL_25DELTA_DFLT</t>
        </is>
      </c>
      <c r="AO3" s="6" t="inlineStr">
        <is>
          <t>3M_PUT_IMP_VOL_50DELTA_DFLT</t>
        </is>
      </c>
      <c r="AP3" s="6" t="inlineStr">
        <is>
          <t>HIST_CALL_IMP_VOL</t>
        </is>
      </c>
      <c r="AQ3" s="6" t="inlineStr">
        <is>
          <t>HIST_PUT_IMP_VOL</t>
        </is>
      </c>
      <c r="AR3" s="6" t="inlineStr">
        <is>
          <t>VOLATILITY_10D</t>
        </is>
      </c>
      <c r="AS3" s="6" t="inlineStr">
        <is>
          <t>VOLATILITY_30D</t>
        </is>
      </c>
      <c r="AT3" s="6" t="inlineStr">
        <is>
          <t>VOLATILITY_90D</t>
        </is>
      </c>
      <c r="AU3" s="6" t="inlineStr">
        <is>
          <t>PUT_CALL_VOLUME_RATIO_CUR_DAY</t>
        </is>
      </c>
      <c r="AV3" s="6" t="inlineStr">
        <is>
          <t>OPEN_INT_TOTAL_CALL</t>
        </is>
      </c>
      <c r="AW3" s="6" t="inlineStr">
        <is>
          <t>OPEN_INT_TOTAL_PUT</t>
        </is>
      </c>
      <c r="AX3" s="6" t="inlineStr">
        <is>
          <t>VOLUME_TOTAL_CALL</t>
        </is>
      </c>
      <c r="AY3" s="6" t="inlineStr">
        <is>
          <t>VOLUME_TOTAL_PUT</t>
        </is>
      </c>
    </row>
    <row r="4">
      <c r="A4" s="4">
        <f>BDH(A$1,B$3:Y$3,Settings!$B$3,IF(Settings!$B$4="","",Settings!$B$4),"Dir=V","Dts=S","Sort=A","Days=T","Fill=B")</f>
        <v/>
      </c>
      <c r="AA4" s="4">
        <f>BDH(AA$1,AB$3:AY$3,Settings!$B$3,IF(Settings!$B$4="","",Settings!$B$4),"Dir=V","Dts=S","Sort=A","Days=T","Fill=B")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2026-10-13T23:28:47Z</dcterms:created>
  <dcterms:modified xmlns:dcterms="http://purl.org/dc/terms/" xmlns:xsi="http://www.w3.org/2001/XMLSchema-instance" xsi:type="dcterms:W3CDTF">2026-10-13T23:28:47Z</dcterms:modified>
</cp:coreProperties>
</file>