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Jan" sheetId="2" state="visible" r:id="rId2"/>
    <sheet xmlns:r="http://schemas.openxmlformats.org/officeDocument/2006/relationships" name="Feb" sheetId="3" state="visible" r:id="rId3"/>
    <sheet xmlns:r="http://schemas.openxmlformats.org/officeDocument/2006/relationships" name="Mar" sheetId="4" state="visible" r:id="rId4"/>
    <sheet xmlns:r="http://schemas.openxmlformats.org/officeDocument/2006/relationships" name="Apr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" sheetId="7" state="visible" r:id="rId7"/>
    <sheet xmlns:r="http://schemas.openxmlformats.org/officeDocument/2006/relationships" name="Jul" sheetId="8" state="visible" r:id="rId8"/>
    <sheet xmlns:r="http://schemas.openxmlformats.org/officeDocument/2006/relationships" name="Aug" sheetId="9" state="visible" r:id="rId9"/>
    <sheet xmlns:r="http://schemas.openxmlformats.org/officeDocument/2006/relationships" name="Sep" sheetId="10" state="visible" r:id="rId10"/>
    <sheet xmlns:r="http://schemas.openxmlformats.org/officeDocument/2006/relationships" name="Oct" sheetId="11" state="visible" r:id="rId11"/>
    <sheet xmlns:r="http://schemas.openxmlformats.org/officeDocument/2006/relationships" name="Nov" sheetId="12" state="visible" r:id="rId12"/>
    <sheet xmlns:r="http://schemas.openxmlformats.org/officeDocument/2006/relationships" name="De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1" fontId="4" fillId="0" borderId="0" pivotButton="0" quotePrefix="0" xfId="0"/>
    <xf numFmtId="164" fontId="3" fillId="2" borderId="0" pivotButton="0" quotePrefix="0" xfId="0"/>
    <xf numFmtId="0" fontId="2" fillId="3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XLE monthly options: ATM +/- 5 strikes, last 100 days before expiry (oil-equity-options)</t>
        </is>
      </c>
    </row>
    <row r="3">
      <c r="A3" s="2" t="inlineStr">
        <is>
          <t>Year</t>
        </is>
      </c>
      <c r="B3" s="3" t="n">
        <v>2026</v>
      </c>
      <c r="C3" s="4" t="inlineStr">
        <is>
          <t>Expiry year to pull</t>
        </is>
      </c>
    </row>
    <row r="4">
      <c r="A4" s="2" t="inlineStr">
        <is>
          <t>Underlying</t>
        </is>
      </c>
      <c r="B4" s="5" t="inlineStr">
        <is>
          <t>XLE</t>
        </is>
      </c>
      <c r="C4" s="4" t="inlineStr">
        <is>
          <t>US ticker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Each sheet is one monthly expiry (3rd Friday) of the Year below. Strikes are centred on the unadjusted close 45 days before expiry.</t>
        </is>
      </c>
    </row>
    <row r="14">
      <c r="A14" s="4" t="inlineStr">
        <is>
          <t>5. Save As XLE_Options_&lt;year&gt;.xlsx, then change Year, wait for it to reload, and Save As again. Do this for each year 2018-2026.</t>
        </is>
      </c>
    </row>
    <row r="15">
      <c r="A15" s="4" t="inlineStr">
        <is>
          <t>6. If a whole sheet shows '#N/A Invalid Security', that Friday was a holiday: type the Thursday date over the Expiry cell (B3) on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3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4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5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6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7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8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9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10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11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0" customWidth="1" min="17" max="17"/>
    <col width="11" customWidth="1" min="18" max="18"/>
    <col width="13" customWidth="1" min="19" max="19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  <col width="11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1" customWidth="1" min="32" max="32"/>
    <col width="11" customWidth="1" min="33" max="33"/>
    <col width="10" customWidth="1" min="34" max="34"/>
    <col width="11" customWidth="1" min="35" max="35"/>
    <col width="13" customWidth="1" min="36" max="36"/>
    <col width="12" customWidth="1" min="38" max="38"/>
    <col width="10" customWidth="1" min="39" max="39"/>
    <col width="10" customWidth="1" min="40" max="40"/>
    <col width="10" customWidth="1" min="41" max="41"/>
    <col width="10" customWidth="1" min="42" max="42"/>
    <col width="11" customWidth="1" min="43" max="43"/>
    <col width="11" customWidth="1" min="44" max="44"/>
    <col width="10" customWidth="1" min="45" max="45"/>
    <col width="10" customWidth="1" min="46" max="46"/>
    <col width="10" customWidth="1" min="47" max="47"/>
    <col width="10" customWidth="1" min="48" max="48"/>
    <col width="11" customWidth="1" min="49" max="49"/>
    <col width="11" customWidth="1" min="50" max="50"/>
    <col width="10" customWidth="1" min="51" max="51"/>
    <col width="11" customWidth="1" min="52" max="52"/>
    <col width="13" customWidth="1" min="53" max="53"/>
    <col width="12" customWidth="1" min="55" max="55"/>
    <col width="10" customWidth="1" min="56" max="56"/>
    <col width="10" customWidth="1" min="57" max="57"/>
    <col width="10" customWidth="1" min="58" max="58"/>
    <col width="10" customWidth="1" min="59" max="59"/>
    <col width="11" customWidth="1" min="60" max="60"/>
    <col width="11" customWidth="1" min="61" max="61"/>
    <col width="10" customWidth="1" min="62" max="62"/>
    <col width="10" customWidth="1" min="63" max="63"/>
    <col width="10" customWidth="1" min="64" max="64"/>
    <col width="10" customWidth="1" min="65" max="65"/>
    <col width="11" customWidth="1" min="66" max="66"/>
    <col width="11" customWidth="1" min="67" max="67"/>
    <col width="10" customWidth="1" min="68" max="68"/>
    <col width="11" customWidth="1" min="69" max="69"/>
    <col width="13" customWidth="1" min="70" max="70"/>
    <col width="12" customWidth="1" min="72" max="72"/>
    <col width="10" customWidth="1" min="73" max="73"/>
    <col width="10" customWidth="1" min="74" max="74"/>
    <col width="10" customWidth="1" min="75" max="75"/>
    <col width="10" customWidth="1" min="76" max="76"/>
    <col width="11" customWidth="1" min="77" max="77"/>
    <col width="11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11" customWidth="1" min="84" max="84"/>
    <col width="10" customWidth="1" min="85" max="85"/>
    <col width="11" customWidth="1" min="86" max="86"/>
    <col width="13" customWidth="1" min="87" max="87"/>
    <col width="12" customWidth="1" min="89" max="89"/>
    <col width="10" customWidth="1" min="90" max="90"/>
    <col width="10" customWidth="1" min="91" max="91"/>
    <col width="10" customWidth="1" min="92" max="92"/>
    <col width="10" customWidth="1" min="93" max="93"/>
    <col width="11" customWidth="1" min="94" max="94"/>
    <col width="11" customWidth="1" min="95" max="95"/>
    <col width="10" customWidth="1" min="96" max="96"/>
    <col width="10" customWidth="1" min="97" max="97"/>
    <col width="10" customWidth="1" min="98" max="98"/>
    <col width="10" customWidth="1" min="99" max="99"/>
    <col width="11" customWidth="1" min="100" max="100"/>
    <col width="11" customWidth="1" min="101" max="101"/>
    <col width="10" customWidth="1" min="102" max="102"/>
    <col width="11" customWidth="1" min="103" max="103"/>
    <col width="13" customWidth="1" min="104" max="104"/>
    <col width="12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1" customWidth="1" min="111" max="111"/>
    <col width="11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1" customWidth="1" min="117" max="117"/>
    <col width="11" customWidth="1" min="118" max="118"/>
    <col width="10" customWidth="1" min="119" max="119"/>
    <col width="11" customWidth="1" min="120" max="120"/>
    <col width="13" customWidth="1" min="121" max="121"/>
    <col width="12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1" customWidth="1" min="128" max="128"/>
    <col width="11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1" customWidth="1" min="134" max="134"/>
    <col width="11" customWidth="1" min="135" max="135"/>
    <col width="10" customWidth="1" min="136" max="136"/>
    <col width="11" customWidth="1" min="137" max="137"/>
    <col width="13" customWidth="1" min="138" max="138"/>
    <col width="12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1" customWidth="1" min="145" max="145"/>
    <col width="11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1" customWidth="1" min="151" max="151"/>
    <col width="11" customWidth="1" min="152" max="152"/>
    <col width="10" customWidth="1" min="153" max="153"/>
    <col width="11" customWidth="1" min="154" max="154"/>
    <col width="13" customWidth="1" min="155" max="155"/>
    <col width="12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1" customWidth="1" min="162" max="162"/>
    <col width="11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1" customWidth="1" min="168" max="168"/>
    <col width="11" customWidth="1" min="169" max="169"/>
    <col width="10" customWidth="1" min="170" max="170"/>
    <col width="11" customWidth="1" min="171" max="171"/>
    <col width="13" customWidth="1" min="172" max="172"/>
    <col width="12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1" customWidth="1" min="179" max="179"/>
    <col width="11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1" customWidth="1" min="185" max="185"/>
    <col width="11" customWidth="1" min="186" max="186"/>
    <col width="10" customWidth="1" min="187" max="187"/>
    <col width="11" customWidth="1" min="188" max="188"/>
    <col width="13" customWidth="1" min="189" max="189"/>
    <col width="12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1" customWidth="1" min="196" max="196"/>
    <col width="11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1" customWidth="1" min="202" max="202"/>
    <col width="11" customWidth="1" min="203" max="203"/>
    <col width="10" customWidth="1" min="204" max="204"/>
    <col width="11" customWidth="1" min="205" max="205"/>
    <col width="13" customWidth="1" min="206" max="206"/>
    <col width="12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1" customWidth="1" min="213" max="213"/>
    <col width="11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1" customWidth="1" min="219" max="219"/>
    <col width="11" customWidth="1" min="220" max="220"/>
    <col width="10" customWidth="1" min="221" max="221"/>
    <col width="11" customWidth="1" min="222" max="222"/>
    <col width="13" customWidth="1" min="223" max="223"/>
    <col width="12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1" customWidth="1" min="230" max="230"/>
    <col width="11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1" customWidth="1" min="236" max="236"/>
    <col width="11" customWidth="1" min="237" max="237"/>
    <col width="10" customWidth="1" min="238" max="238"/>
    <col width="11" customWidth="1" min="239" max="239"/>
    <col width="13" customWidth="1" min="240" max="240"/>
    <col width="12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1" customWidth="1" min="247" max="247"/>
    <col width="11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1" customWidth="1" min="253" max="253"/>
    <col width="11" customWidth="1" min="254" max="254"/>
    <col width="10" customWidth="1" min="255" max="255"/>
    <col width="11" customWidth="1" min="256" max="256"/>
    <col width="13" customWidth="1" min="257" max="257"/>
    <col width="12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1" customWidth="1" min="264" max="264"/>
    <col width="11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1" customWidth="1" min="270" max="270"/>
    <col width="11" customWidth="1" min="271" max="271"/>
    <col width="10" customWidth="1" min="272" max="272"/>
    <col width="11" customWidth="1" min="273" max="273"/>
    <col width="13" customWidth="1" min="274" max="274"/>
    <col width="12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1" customWidth="1" min="281" max="281"/>
    <col width="11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1" customWidth="1" min="287" max="287"/>
    <col width="11" customWidth="1" min="288" max="288"/>
    <col width="10" customWidth="1" min="289" max="289"/>
    <col width="11" customWidth="1" min="290" max="290"/>
    <col width="13" customWidth="1" min="291" max="291"/>
    <col width="12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1" customWidth="1" min="298" max="298"/>
    <col width="11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1" customWidth="1" min="304" max="304"/>
    <col width="11" customWidth="1" min="305" max="305"/>
    <col width="10" customWidth="1" min="306" max="306"/>
    <col width="11" customWidth="1" min="307" max="307"/>
    <col width="13" customWidth="1" min="308" max="308"/>
    <col width="12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1" customWidth="1" min="315" max="315"/>
    <col width="11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1" customWidth="1" min="321" max="321"/>
    <col width="11" customWidth="1" min="322" max="322"/>
    <col width="10" customWidth="1" min="323" max="323"/>
    <col width="11" customWidth="1" min="324" max="324"/>
    <col width="13" customWidth="1" min="325" max="325"/>
    <col width="12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1" customWidth="1" min="332" max="332"/>
    <col width="11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1" customWidth="1" min="338" max="338"/>
    <col width="11" customWidth="1" min="339" max="339"/>
    <col width="10" customWidth="1" min="340" max="340"/>
    <col width="11" customWidth="1" min="341" max="341"/>
    <col width="13" customWidth="1" min="342" max="342"/>
    <col width="12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1" customWidth="1" min="349" max="349"/>
    <col width="11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1" customWidth="1" min="355" max="355"/>
    <col width="11" customWidth="1" min="356" max="356"/>
    <col width="10" customWidth="1" min="357" max="357"/>
    <col width="11" customWidth="1" min="358" max="358"/>
    <col width="13" customWidth="1" min="359" max="359"/>
    <col width="12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1" customWidth="1" min="366" max="366"/>
    <col width="11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1" customWidth="1" min="372" max="372"/>
    <col width="11" customWidth="1" min="373" max="373"/>
    <col width="10" customWidth="1" min="374" max="374"/>
    <col width="11" customWidth="1" min="375" max="375"/>
    <col width="13" customWidth="1" min="376" max="376"/>
  </cols>
  <sheetData>
    <row r="1">
      <c r="A1" s="2" t="inlineStr">
        <is>
          <t>Month</t>
        </is>
      </c>
      <c r="B1" s="6" t="n">
        <v>12</v>
      </c>
      <c r="D1" s="4">
        <f>Settings!$B$4&amp;" US "&amp;TEXT(B$3,"mm/dd/yy")&amp;" C"&amp;(B$7-5*B$6)&amp;" Equity"</f>
        <v/>
      </c>
      <c r="U1" s="4">
        <f>Settings!$B$4&amp;" US "&amp;TEXT(B$3,"mm/dd/yy")&amp;" P"&amp;(B$7-5*B$6)&amp;" Equity"</f>
        <v/>
      </c>
      <c r="AL1" s="4">
        <f>Settings!$B$4&amp;" US "&amp;TEXT(B$3,"mm/dd/yy")&amp;" C"&amp;(B$7-4*B$6)&amp;" Equity"</f>
        <v/>
      </c>
      <c r="BC1" s="4">
        <f>Settings!$B$4&amp;" US "&amp;TEXT(B$3,"mm/dd/yy")&amp;" P"&amp;(B$7-4*B$6)&amp;" Equity"</f>
        <v/>
      </c>
      <c r="BT1" s="4">
        <f>Settings!$B$4&amp;" US "&amp;TEXT(B$3,"mm/dd/yy")&amp;" C"&amp;(B$7-3*B$6)&amp;" Equity"</f>
        <v/>
      </c>
      <c r="CK1" s="4">
        <f>Settings!$B$4&amp;" US "&amp;TEXT(B$3,"mm/dd/yy")&amp;" P"&amp;(B$7-3*B$6)&amp;" Equity"</f>
        <v/>
      </c>
      <c r="DB1" s="4">
        <f>Settings!$B$4&amp;" US "&amp;TEXT(B$3,"mm/dd/yy")&amp;" C"&amp;(B$7-2*B$6)&amp;" Equity"</f>
        <v/>
      </c>
      <c r="DS1" s="4">
        <f>Settings!$B$4&amp;" US "&amp;TEXT(B$3,"mm/dd/yy")&amp;" P"&amp;(B$7-2*B$6)&amp;" Equity"</f>
        <v/>
      </c>
      <c r="EJ1" s="4">
        <f>Settings!$B$4&amp;" US "&amp;TEXT(B$3,"mm/dd/yy")&amp;" C"&amp;(B$7-1*B$6)&amp;" Equity"</f>
        <v/>
      </c>
      <c r="FA1" s="4">
        <f>Settings!$B$4&amp;" US "&amp;TEXT(B$3,"mm/dd/yy")&amp;" P"&amp;(B$7-1*B$6)&amp;" Equity"</f>
        <v/>
      </c>
      <c r="FR1" s="4">
        <f>Settings!$B$4&amp;" US "&amp;TEXT(B$3,"mm/dd/yy")&amp;" C"&amp;B$7&amp;" Equity"</f>
        <v/>
      </c>
      <c r="GI1" s="4">
        <f>Settings!$B$4&amp;" US "&amp;TEXT(B$3,"mm/dd/yy")&amp;" P"&amp;B$7&amp;" Equity"</f>
        <v/>
      </c>
      <c r="GZ1" s="4">
        <f>Settings!$B$4&amp;" US "&amp;TEXT(B$3,"mm/dd/yy")&amp;" C"&amp;(B$7+1*B$6)&amp;" Equity"</f>
        <v/>
      </c>
      <c r="HQ1" s="4">
        <f>Settings!$B$4&amp;" US "&amp;TEXT(B$3,"mm/dd/yy")&amp;" P"&amp;(B$7+1*B$6)&amp;" Equity"</f>
        <v/>
      </c>
      <c r="IH1" s="4">
        <f>Settings!$B$4&amp;" US "&amp;TEXT(B$3,"mm/dd/yy")&amp;" C"&amp;(B$7+2*B$6)&amp;" Equity"</f>
        <v/>
      </c>
      <c r="IY1" s="4">
        <f>Settings!$B$4&amp;" US "&amp;TEXT(B$3,"mm/dd/yy")&amp;" P"&amp;(B$7+2*B$6)&amp;" Equity"</f>
        <v/>
      </c>
      <c r="JP1" s="4">
        <f>Settings!$B$4&amp;" US "&amp;TEXT(B$3,"mm/dd/yy")&amp;" C"&amp;(B$7+3*B$6)&amp;" Equity"</f>
        <v/>
      </c>
      <c r="KG1" s="4">
        <f>Settings!$B$4&amp;" US "&amp;TEXT(B$3,"mm/dd/yy")&amp;" P"&amp;(B$7+3*B$6)&amp;" Equity"</f>
        <v/>
      </c>
      <c r="KX1" s="4">
        <f>Settings!$B$4&amp;" US "&amp;TEXT(B$3,"mm/dd/yy")&amp;" C"&amp;(B$7+4*B$6)&amp;" Equity"</f>
        <v/>
      </c>
      <c r="LO1" s="4">
        <f>Settings!$B$4&amp;" US "&amp;TEXT(B$3,"mm/dd/yy")&amp;" P"&amp;(B$7+4*B$6)&amp;" Equity"</f>
        <v/>
      </c>
      <c r="MF1" s="4">
        <f>Settings!$B$4&amp;" US "&amp;TEXT(B$3,"mm/dd/yy")&amp;" C"&amp;(B$7+5*B$6)&amp;" Equity"</f>
        <v/>
      </c>
      <c r="MW1" s="4">
        <f>Settings!$B$4&amp;" US "&amp;TEXT(B$3,"mm/dd/yy")&amp;" P"&amp;(B$7+5*B$6)&amp;" Equity"</f>
        <v/>
      </c>
    </row>
    <row r="2">
      <c r="A2" s="2" t="inlineStr">
        <is>
          <t>Underlying</t>
        </is>
      </c>
      <c r="B2" s="4">
        <f>Settings!$B$4&amp;" US Equity"</f>
        <v/>
      </c>
      <c r="D2" s="4" t="inlineStr">
        <is>
          <t>call -5 from ATM</t>
        </is>
      </c>
      <c r="U2" s="4" t="inlineStr">
        <is>
          <t>put -5 from ATM</t>
        </is>
      </c>
      <c r="AL2" s="4" t="inlineStr">
        <is>
          <t>call -4 from ATM</t>
        </is>
      </c>
      <c r="BC2" s="4" t="inlineStr">
        <is>
          <t>put -4 from ATM</t>
        </is>
      </c>
      <c r="BT2" s="4" t="inlineStr">
        <is>
          <t>call -3 from ATM</t>
        </is>
      </c>
      <c r="CK2" s="4" t="inlineStr">
        <is>
          <t>put -3 from ATM</t>
        </is>
      </c>
      <c r="DB2" s="4" t="inlineStr">
        <is>
          <t>call -2 from ATM</t>
        </is>
      </c>
      <c r="DS2" s="4" t="inlineStr">
        <is>
          <t>put -2 from ATM</t>
        </is>
      </c>
      <c r="EJ2" s="4" t="inlineStr">
        <is>
          <t>call -1 from ATM</t>
        </is>
      </c>
      <c r="FA2" s="4" t="inlineStr">
        <is>
          <t>put -1 from ATM</t>
        </is>
      </c>
      <c r="FR2" s="4" t="inlineStr">
        <is>
          <t>call +0 from ATM</t>
        </is>
      </c>
      <c r="GI2" s="4" t="inlineStr">
        <is>
          <t>put +0 from ATM</t>
        </is>
      </c>
      <c r="GZ2" s="4" t="inlineStr">
        <is>
          <t>call +1 from ATM</t>
        </is>
      </c>
      <c r="HQ2" s="4" t="inlineStr">
        <is>
          <t>put +1 from ATM</t>
        </is>
      </c>
      <c r="IH2" s="4" t="inlineStr">
        <is>
          <t>call +2 from ATM</t>
        </is>
      </c>
      <c r="IY2" s="4" t="inlineStr">
        <is>
          <t>put +2 from ATM</t>
        </is>
      </c>
      <c r="JP2" s="4" t="inlineStr">
        <is>
          <t>call +3 from ATM</t>
        </is>
      </c>
      <c r="KG2" s="4" t="inlineStr">
        <is>
          <t>put +3 from ATM</t>
        </is>
      </c>
      <c r="KX2" s="4" t="inlineStr">
        <is>
          <t>call +4 from ATM</t>
        </is>
      </c>
      <c r="LO2" s="4" t="inlineStr">
        <is>
          <t>put +4 from ATM</t>
        </is>
      </c>
      <c r="MF2" s="4" t="inlineStr">
        <is>
          <t>call +5 from ATM</t>
        </is>
      </c>
      <c r="MW2" s="4" t="inlineStr">
        <is>
          <t>put +5 from ATM</t>
        </is>
      </c>
    </row>
    <row r="3">
      <c r="A3" s="2" t="inlineStr">
        <is>
          <t>Expiry (3rd Friday)</t>
        </is>
      </c>
      <c r="B3" s="7">
        <f>DATE(Settings!$B$3,B1,15)+MOD(6-WEEKDAY(DATE(Settings!$B$3,B1,15)),7)</f>
        <v/>
      </c>
      <c r="D3" s="8" t="inlineStr">
        <is>
          <t>Date</t>
        </is>
      </c>
      <c r="E3" s="8" t="inlineStr">
        <is>
          <t>PX_BID</t>
        </is>
      </c>
      <c r="F3" s="8" t="inlineStr">
        <is>
          <t>PX_ASK</t>
        </is>
      </c>
      <c r="G3" s="8" t="inlineStr">
        <is>
          <t>PX_MID</t>
        </is>
      </c>
      <c r="H3" s="8" t="inlineStr">
        <is>
          <t>PX_LAST</t>
        </is>
      </c>
      <c r="I3" s="8" t="inlineStr">
        <is>
          <t>PX_SETTLE</t>
        </is>
      </c>
      <c r="J3" s="8" t="inlineStr">
        <is>
          <t>PX_VOLUME</t>
        </is>
      </c>
      <c r="K3" s="8" t="inlineStr">
        <is>
          <t>OPEN_INT</t>
        </is>
      </c>
      <c r="L3" s="8" t="inlineStr">
        <is>
          <t>IVOL_MID</t>
        </is>
      </c>
      <c r="M3" s="8" t="inlineStr">
        <is>
          <t>IVOL_BID</t>
        </is>
      </c>
      <c r="N3" s="8" t="inlineStr">
        <is>
          <t>IVOL_ASK</t>
        </is>
      </c>
      <c r="O3" s="8" t="inlineStr">
        <is>
          <t>DELTA_MID</t>
        </is>
      </c>
      <c r="P3" s="8" t="inlineStr">
        <is>
          <t>GAMMA_MID</t>
        </is>
      </c>
      <c r="Q3" s="8" t="inlineStr">
        <is>
          <t>VEGA_MID</t>
        </is>
      </c>
      <c r="R3" s="8" t="inlineStr">
        <is>
          <t>THETA_MID</t>
        </is>
      </c>
      <c r="S3" s="8" t="inlineStr">
        <is>
          <t>OPT_UNDL_PX</t>
        </is>
      </c>
      <c r="U3" s="8" t="inlineStr">
        <is>
          <t>Date</t>
        </is>
      </c>
      <c r="V3" s="8" t="inlineStr">
        <is>
          <t>PX_BID</t>
        </is>
      </c>
      <c r="W3" s="8" t="inlineStr">
        <is>
          <t>PX_ASK</t>
        </is>
      </c>
      <c r="X3" s="8" t="inlineStr">
        <is>
          <t>PX_MID</t>
        </is>
      </c>
      <c r="Y3" s="8" t="inlineStr">
        <is>
          <t>PX_LAST</t>
        </is>
      </c>
      <c r="Z3" s="8" t="inlineStr">
        <is>
          <t>PX_SETTLE</t>
        </is>
      </c>
      <c r="AA3" s="8" t="inlineStr">
        <is>
          <t>PX_VOLUME</t>
        </is>
      </c>
      <c r="AB3" s="8" t="inlineStr">
        <is>
          <t>OPEN_INT</t>
        </is>
      </c>
      <c r="AC3" s="8" t="inlineStr">
        <is>
          <t>IVOL_MID</t>
        </is>
      </c>
      <c r="AD3" s="8" t="inlineStr">
        <is>
          <t>IVOL_BID</t>
        </is>
      </c>
      <c r="AE3" s="8" t="inlineStr">
        <is>
          <t>IVOL_ASK</t>
        </is>
      </c>
      <c r="AF3" s="8" t="inlineStr">
        <is>
          <t>DELTA_MID</t>
        </is>
      </c>
      <c r="AG3" s="8" t="inlineStr">
        <is>
          <t>GAMMA_MID</t>
        </is>
      </c>
      <c r="AH3" s="8" t="inlineStr">
        <is>
          <t>VEGA_MID</t>
        </is>
      </c>
      <c r="AI3" s="8" t="inlineStr">
        <is>
          <t>THETA_MID</t>
        </is>
      </c>
      <c r="AJ3" s="8" t="inlineStr">
        <is>
          <t>OPT_UNDL_PX</t>
        </is>
      </c>
      <c r="AL3" s="8" t="inlineStr">
        <is>
          <t>Date</t>
        </is>
      </c>
      <c r="AM3" s="8" t="inlineStr">
        <is>
          <t>PX_BID</t>
        </is>
      </c>
      <c r="AN3" s="8" t="inlineStr">
        <is>
          <t>PX_ASK</t>
        </is>
      </c>
      <c r="AO3" s="8" t="inlineStr">
        <is>
          <t>PX_MID</t>
        </is>
      </c>
      <c r="AP3" s="8" t="inlineStr">
        <is>
          <t>PX_LAST</t>
        </is>
      </c>
      <c r="AQ3" s="8" t="inlineStr">
        <is>
          <t>PX_SETTLE</t>
        </is>
      </c>
      <c r="AR3" s="8" t="inlineStr">
        <is>
          <t>PX_VOLUME</t>
        </is>
      </c>
      <c r="AS3" s="8" t="inlineStr">
        <is>
          <t>OPEN_INT</t>
        </is>
      </c>
      <c r="AT3" s="8" t="inlineStr">
        <is>
          <t>IVOL_MID</t>
        </is>
      </c>
      <c r="AU3" s="8" t="inlineStr">
        <is>
          <t>IVOL_BID</t>
        </is>
      </c>
      <c r="AV3" s="8" t="inlineStr">
        <is>
          <t>IVOL_ASK</t>
        </is>
      </c>
      <c r="AW3" s="8" t="inlineStr">
        <is>
          <t>DELTA_MID</t>
        </is>
      </c>
      <c r="AX3" s="8" t="inlineStr">
        <is>
          <t>GAMMA_MID</t>
        </is>
      </c>
      <c r="AY3" s="8" t="inlineStr">
        <is>
          <t>VEGA_MID</t>
        </is>
      </c>
      <c r="AZ3" s="8" t="inlineStr">
        <is>
          <t>THETA_MID</t>
        </is>
      </c>
      <c r="BA3" s="8" t="inlineStr">
        <is>
          <t>OPT_UNDL_PX</t>
        </is>
      </c>
      <c r="BC3" s="8" t="inlineStr">
        <is>
          <t>Date</t>
        </is>
      </c>
      <c r="BD3" s="8" t="inlineStr">
        <is>
          <t>PX_BID</t>
        </is>
      </c>
      <c r="BE3" s="8" t="inlineStr">
        <is>
          <t>PX_ASK</t>
        </is>
      </c>
      <c r="BF3" s="8" t="inlineStr">
        <is>
          <t>PX_MID</t>
        </is>
      </c>
      <c r="BG3" s="8" t="inlineStr">
        <is>
          <t>PX_LAST</t>
        </is>
      </c>
      <c r="BH3" s="8" t="inlineStr">
        <is>
          <t>PX_SETTLE</t>
        </is>
      </c>
      <c r="BI3" s="8" t="inlineStr">
        <is>
          <t>PX_VOLUME</t>
        </is>
      </c>
      <c r="BJ3" s="8" t="inlineStr">
        <is>
          <t>OPEN_INT</t>
        </is>
      </c>
      <c r="BK3" s="8" t="inlineStr">
        <is>
          <t>IVOL_MID</t>
        </is>
      </c>
      <c r="BL3" s="8" t="inlineStr">
        <is>
          <t>IVOL_BID</t>
        </is>
      </c>
      <c r="BM3" s="8" t="inlineStr">
        <is>
          <t>IVOL_ASK</t>
        </is>
      </c>
      <c r="BN3" s="8" t="inlineStr">
        <is>
          <t>DELTA_MID</t>
        </is>
      </c>
      <c r="BO3" s="8" t="inlineStr">
        <is>
          <t>GAMMA_MID</t>
        </is>
      </c>
      <c r="BP3" s="8" t="inlineStr">
        <is>
          <t>VEGA_MID</t>
        </is>
      </c>
      <c r="BQ3" s="8" t="inlineStr">
        <is>
          <t>THETA_MID</t>
        </is>
      </c>
      <c r="BR3" s="8" t="inlineStr">
        <is>
          <t>OPT_UNDL_PX</t>
        </is>
      </c>
      <c r="BT3" s="8" t="inlineStr">
        <is>
          <t>Date</t>
        </is>
      </c>
      <c r="BU3" s="8" t="inlineStr">
        <is>
          <t>PX_BID</t>
        </is>
      </c>
      <c r="BV3" s="8" t="inlineStr">
        <is>
          <t>PX_ASK</t>
        </is>
      </c>
      <c r="BW3" s="8" t="inlineStr">
        <is>
          <t>PX_MID</t>
        </is>
      </c>
      <c r="BX3" s="8" t="inlineStr">
        <is>
          <t>PX_LAST</t>
        </is>
      </c>
      <c r="BY3" s="8" t="inlineStr">
        <is>
          <t>PX_SETTLE</t>
        </is>
      </c>
      <c r="BZ3" s="8" t="inlineStr">
        <is>
          <t>PX_VOLUME</t>
        </is>
      </c>
      <c r="CA3" s="8" t="inlineStr">
        <is>
          <t>OPEN_INT</t>
        </is>
      </c>
      <c r="CB3" s="8" t="inlineStr">
        <is>
          <t>IVOL_MID</t>
        </is>
      </c>
      <c r="CC3" s="8" t="inlineStr">
        <is>
          <t>IVOL_BID</t>
        </is>
      </c>
      <c r="CD3" s="8" t="inlineStr">
        <is>
          <t>IVOL_ASK</t>
        </is>
      </c>
      <c r="CE3" s="8" t="inlineStr">
        <is>
          <t>DELTA_MID</t>
        </is>
      </c>
      <c r="CF3" s="8" t="inlineStr">
        <is>
          <t>GAMMA_MID</t>
        </is>
      </c>
      <c r="CG3" s="8" t="inlineStr">
        <is>
          <t>VEGA_MID</t>
        </is>
      </c>
      <c r="CH3" s="8" t="inlineStr">
        <is>
          <t>THETA_MID</t>
        </is>
      </c>
      <c r="CI3" s="8" t="inlineStr">
        <is>
          <t>OPT_UNDL_PX</t>
        </is>
      </c>
      <c r="CK3" s="8" t="inlineStr">
        <is>
          <t>Date</t>
        </is>
      </c>
      <c r="CL3" s="8" t="inlineStr">
        <is>
          <t>PX_BID</t>
        </is>
      </c>
      <c r="CM3" s="8" t="inlineStr">
        <is>
          <t>PX_ASK</t>
        </is>
      </c>
      <c r="CN3" s="8" t="inlineStr">
        <is>
          <t>PX_MID</t>
        </is>
      </c>
      <c r="CO3" s="8" t="inlineStr">
        <is>
          <t>PX_LAST</t>
        </is>
      </c>
      <c r="CP3" s="8" t="inlineStr">
        <is>
          <t>PX_SETTLE</t>
        </is>
      </c>
      <c r="CQ3" s="8" t="inlineStr">
        <is>
          <t>PX_VOLUME</t>
        </is>
      </c>
      <c r="CR3" s="8" t="inlineStr">
        <is>
          <t>OPEN_INT</t>
        </is>
      </c>
      <c r="CS3" s="8" t="inlineStr">
        <is>
          <t>IVOL_MID</t>
        </is>
      </c>
      <c r="CT3" s="8" t="inlineStr">
        <is>
          <t>IVOL_BID</t>
        </is>
      </c>
      <c r="CU3" s="8" t="inlineStr">
        <is>
          <t>IVOL_ASK</t>
        </is>
      </c>
      <c r="CV3" s="8" t="inlineStr">
        <is>
          <t>DELTA_MID</t>
        </is>
      </c>
      <c r="CW3" s="8" t="inlineStr">
        <is>
          <t>GAMMA_MID</t>
        </is>
      </c>
      <c r="CX3" s="8" t="inlineStr">
        <is>
          <t>VEGA_MID</t>
        </is>
      </c>
      <c r="CY3" s="8" t="inlineStr">
        <is>
          <t>THETA_MID</t>
        </is>
      </c>
      <c r="CZ3" s="8" t="inlineStr">
        <is>
          <t>OPT_UNDL_PX</t>
        </is>
      </c>
      <c r="DB3" s="8" t="inlineStr">
        <is>
          <t>Date</t>
        </is>
      </c>
      <c r="DC3" s="8" t="inlineStr">
        <is>
          <t>PX_BID</t>
        </is>
      </c>
      <c r="DD3" s="8" t="inlineStr">
        <is>
          <t>PX_ASK</t>
        </is>
      </c>
      <c r="DE3" s="8" t="inlineStr">
        <is>
          <t>PX_MID</t>
        </is>
      </c>
      <c r="DF3" s="8" t="inlineStr">
        <is>
          <t>PX_LAST</t>
        </is>
      </c>
      <c r="DG3" s="8" t="inlineStr">
        <is>
          <t>PX_SETTLE</t>
        </is>
      </c>
      <c r="DH3" s="8" t="inlineStr">
        <is>
          <t>PX_VOLUME</t>
        </is>
      </c>
      <c r="DI3" s="8" t="inlineStr">
        <is>
          <t>OPEN_INT</t>
        </is>
      </c>
      <c r="DJ3" s="8" t="inlineStr">
        <is>
          <t>IVOL_MID</t>
        </is>
      </c>
      <c r="DK3" s="8" t="inlineStr">
        <is>
          <t>IVOL_BID</t>
        </is>
      </c>
      <c r="DL3" s="8" t="inlineStr">
        <is>
          <t>IVOL_ASK</t>
        </is>
      </c>
      <c r="DM3" s="8" t="inlineStr">
        <is>
          <t>DELTA_MID</t>
        </is>
      </c>
      <c r="DN3" s="8" t="inlineStr">
        <is>
          <t>GAMMA_MID</t>
        </is>
      </c>
      <c r="DO3" s="8" t="inlineStr">
        <is>
          <t>VEGA_MID</t>
        </is>
      </c>
      <c r="DP3" s="8" t="inlineStr">
        <is>
          <t>THETA_MID</t>
        </is>
      </c>
      <c r="DQ3" s="8" t="inlineStr">
        <is>
          <t>OPT_UNDL_PX</t>
        </is>
      </c>
      <c r="DS3" s="8" t="inlineStr">
        <is>
          <t>Date</t>
        </is>
      </c>
      <c r="DT3" s="8" t="inlineStr">
        <is>
          <t>PX_BID</t>
        </is>
      </c>
      <c r="DU3" s="8" t="inlineStr">
        <is>
          <t>PX_ASK</t>
        </is>
      </c>
      <c r="DV3" s="8" t="inlineStr">
        <is>
          <t>PX_MID</t>
        </is>
      </c>
      <c r="DW3" s="8" t="inlineStr">
        <is>
          <t>PX_LAST</t>
        </is>
      </c>
      <c r="DX3" s="8" t="inlineStr">
        <is>
          <t>PX_SETTLE</t>
        </is>
      </c>
      <c r="DY3" s="8" t="inlineStr">
        <is>
          <t>PX_VOLUME</t>
        </is>
      </c>
      <c r="DZ3" s="8" t="inlineStr">
        <is>
          <t>OPEN_INT</t>
        </is>
      </c>
      <c r="EA3" s="8" t="inlineStr">
        <is>
          <t>IVOL_MID</t>
        </is>
      </c>
      <c r="EB3" s="8" t="inlineStr">
        <is>
          <t>IVOL_BID</t>
        </is>
      </c>
      <c r="EC3" s="8" t="inlineStr">
        <is>
          <t>IVOL_ASK</t>
        </is>
      </c>
      <c r="ED3" s="8" t="inlineStr">
        <is>
          <t>DELTA_MID</t>
        </is>
      </c>
      <c r="EE3" s="8" t="inlineStr">
        <is>
          <t>GAMMA_MID</t>
        </is>
      </c>
      <c r="EF3" s="8" t="inlineStr">
        <is>
          <t>VEGA_MID</t>
        </is>
      </c>
      <c r="EG3" s="8" t="inlineStr">
        <is>
          <t>THETA_MID</t>
        </is>
      </c>
      <c r="EH3" s="8" t="inlineStr">
        <is>
          <t>OPT_UNDL_PX</t>
        </is>
      </c>
      <c r="EJ3" s="8" t="inlineStr">
        <is>
          <t>Date</t>
        </is>
      </c>
      <c r="EK3" s="8" t="inlineStr">
        <is>
          <t>PX_BID</t>
        </is>
      </c>
      <c r="EL3" s="8" t="inlineStr">
        <is>
          <t>PX_ASK</t>
        </is>
      </c>
      <c r="EM3" s="8" t="inlineStr">
        <is>
          <t>PX_MID</t>
        </is>
      </c>
      <c r="EN3" s="8" t="inlineStr">
        <is>
          <t>PX_LAST</t>
        </is>
      </c>
      <c r="EO3" s="8" t="inlineStr">
        <is>
          <t>PX_SETTLE</t>
        </is>
      </c>
      <c r="EP3" s="8" t="inlineStr">
        <is>
          <t>PX_VOLUME</t>
        </is>
      </c>
      <c r="EQ3" s="8" t="inlineStr">
        <is>
          <t>OPEN_INT</t>
        </is>
      </c>
      <c r="ER3" s="8" t="inlineStr">
        <is>
          <t>IVOL_MID</t>
        </is>
      </c>
      <c r="ES3" s="8" t="inlineStr">
        <is>
          <t>IVOL_BID</t>
        </is>
      </c>
      <c r="ET3" s="8" t="inlineStr">
        <is>
          <t>IVOL_ASK</t>
        </is>
      </c>
      <c r="EU3" s="8" t="inlineStr">
        <is>
          <t>DELTA_MID</t>
        </is>
      </c>
      <c r="EV3" s="8" t="inlineStr">
        <is>
          <t>GAMMA_MID</t>
        </is>
      </c>
      <c r="EW3" s="8" t="inlineStr">
        <is>
          <t>VEGA_MID</t>
        </is>
      </c>
      <c r="EX3" s="8" t="inlineStr">
        <is>
          <t>THETA_MID</t>
        </is>
      </c>
      <c r="EY3" s="8" t="inlineStr">
        <is>
          <t>OPT_UNDL_PX</t>
        </is>
      </c>
      <c r="FA3" s="8" t="inlineStr">
        <is>
          <t>Date</t>
        </is>
      </c>
      <c r="FB3" s="8" t="inlineStr">
        <is>
          <t>PX_BID</t>
        </is>
      </c>
      <c r="FC3" s="8" t="inlineStr">
        <is>
          <t>PX_ASK</t>
        </is>
      </c>
      <c r="FD3" s="8" t="inlineStr">
        <is>
          <t>PX_MID</t>
        </is>
      </c>
      <c r="FE3" s="8" t="inlineStr">
        <is>
          <t>PX_LAST</t>
        </is>
      </c>
      <c r="FF3" s="8" t="inlineStr">
        <is>
          <t>PX_SETTLE</t>
        </is>
      </c>
      <c r="FG3" s="8" t="inlineStr">
        <is>
          <t>PX_VOLUME</t>
        </is>
      </c>
      <c r="FH3" s="8" t="inlineStr">
        <is>
          <t>OPEN_INT</t>
        </is>
      </c>
      <c r="FI3" s="8" t="inlineStr">
        <is>
          <t>IVOL_MID</t>
        </is>
      </c>
      <c r="FJ3" s="8" t="inlineStr">
        <is>
          <t>IVOL_BID</t>
        </is>
      </c>
      <c r="FK3" s="8" t="inlineStr">
        <is>
          <t>IVOL_ASK</t>
        </is>
      </c>
      <c r="FL3" s="8" t="inlineStr">
        <is>
          <t>DELTA_MID</t>
        </is>
      </c>
      <c r="FM3" s="8" t="inlineStr">
        <is>
          <t>GAMMA_MID</t>
        </is>
      </c>
      <c r="FN3" s="8" t="inlineStr">
        <is>
          <t>VEGA_MID</t>
        </is>
      </c>
      <c r="FO3" s="8" t="inlineStr">
        <is>
          <t>THETA_MID</t>
        </is>
      </c>
      <c r="FP3" s="8" t="inlineStr">
        <is>
          <t>OPT_UNDL_PX</t>
        </is>
      </c>
      <c r="FR3" s="8" t="inlineStr">
        <is>
          <t>Date</t>
        </is>
      </c>
      <c r="FS3" s="8" t="inlineStr">
        <is>
          <t>PX_BID</t>
        </is>
      </c>
      <c r="FT3" s="8" t="inlineStr">
        <is>
          <t>PX_ASK</t>
        </is>
      </c>
      <c r="FU3" s="8" t="inlineStr">
        <is>
          <t>PX_MID</t>
        </is>
      </c>
      <c r="FV3" s="8" t="inlineStr">
        <is>
          <t>PX_LAST</t>
        </is>
      </c>
      <c r="FW3" s="8" t="inlineStr">
        <is>
          <t>PX_SETTLE</t>
        </is>
      </c>
      <c r="FX3" s="8" t="inlineStr">
        <is>
          <t>PX_VOLUME</t>
        </is>
      </c>
      <c r="FY3" s="8" t="inlineStr">
        <is>
          <t>OPEN_INT</t>
        </is>
      </c>
      <c r="FZ3" s="8" t="inlineStr">
        <is>
          <t>IVOL_MID</t>
        </is>
      </c>
      <c r="GA3" s="8" t="inlineStr">
        <is>
          <t>IVOL_BID</t>
        </is>
      </c>
      <c r="GB3" s="8" t="inlineStr">
        <is>
          <t>IVOL_ASK</t>
        </is>
      </c>
      <c r="GC3" s="8" t="inlineStr">
        <is>
          <t>DELTA_MID</t>
        </is>
      </c>
      <c r="GD3" s="8" t="inlineStr">
        <is>
          <t>GAMMA_MID</t>
        </is>
      </c>
      <c r="GE3" s="8" t="inlineStr">
        <is>
          <t>VEGA_MID</t>
        </is>
      </c>
      <c r="GF3" s="8" t="inlineStr">
        <is>
          <t>THETA_MID</t>
        </is>
      </c>
      <c r="GG3" s="8" t="inlineStr">
        <is>
          <t>OPT_UNDL_PX</t>
        </is>
      </c>
      <c r="GI3" s="8" t="inlineStr">
        <is>
          <t>Date</t>
        </is>
      </c>
      <c r="GJ3" s="8" t="inlineStr">
        <is>
          <t>PX_BID</t>
        </is>
      </c>
      <c r="GK3" s="8" t="inlineStr">
        <is>
          <t>PX_ASK</t>
        </is>
      </c>
      <c r="GL3" s="8" t="inlineStr">
        <is>
          <t>PX_MID</t>
        </is>
      </c>
      <c r="GM3" s="8" t="inlineStr">
        <is>
          <t>PX_LAST</t>
        </is>
      </c>
      <c r="GN3" s="8" t="inlineStr">
        <is>
          <t>PX_SETTLE</t>
        </is>
      </c>
      <c r="GO3" s="8" t="inlineStr">
        <is>
          <t>PX_VOLUME</t>
        </is>
      </c>
      <c r="GP3" s="8" t="inlineStr">
        <is>
          <t>OPEN_INT</t>
        </is>
      </c>
      <c r="GQ3" s="8" t="inlineStr">
        <is>
          <t>IVOL_MID</t>
        </is>
      </c>
      <c r="GR3" s="8" t="inlineStr">
        <is>
          <t>IVOL_BID</t>
        </is>
      </c>
      <c r="GS3" s="8" t="inlineStr">
        <is>
          <t>IVOL_ASK</t>
        </is>
      </c>
      <c r="GT3" s="8" t="inlineStr">
        <is>
          <t>DELTA_MID</t>
        </is>
      </c>
      <c r="GU3" s="8" t="inlineStr">
        <is>
          <t>GAMMA_MID</t>
        </is>
      </c>
      <c r="GV3" s="8" t="inlineStr">
        <is>
          <t>VEGA_MID</t>
        </is>
      </c>
      <c r="GW3" s="8" t="inlineStr">
        <is>
          <t>THETA_MID</t>
        </is>
      </c>
      <c r="GX3" s="8" t="inlineStr">
        <is>
          <t>OPT_UNDL_PX</t>
        </is>
      </c>
      <c r="GZ3" s="8" t="inlineStr">
        <is>
          <t>Date</t>
        </is>
      </c>
      <c r="HA3" s="8" t="inlineStr">
        <is>
          <t>PX_BID</t>
        </is>
      </c>
      <c r="HB3" s="8" t="inlineStr">
        <is>
          <t>PX_ASK</t>
        </is>
      </c>
      <c r="HC3" s="8" t="inlineStr">
        <is>
          <t>PX_MID</t>
        </is>
      </c>
      <c r="HD3" s="8" t="inlineStr">
        <is>
          <t>PX_LAST</t>
        </is>
      </c>
      <c r="HE3" s="8" t="inlineStr">
        <is>
          <t>PX_SETTLE</t>
        </is>
      </c>
      <c r="HF3" s="8" t="inlineStr">
        <is>
          <t>PX_VOLUME</t>
        </is>
      </c>
      <c r="HG3" s="8" t="inlineStr">
        <is>
          <t>OPEN_INT</t>
        </is>
      </c>
      <c r="HH3" s="8" t="inlineStr">
        <is>
          <t>IVOL_MID</t>
        </is>
      </c>
      <c r="HI3" s="8" t="inlineStr">
        <is>
          <t>IVOL_BID</t>
        </is>
      </c>
      <c r="HJ3" s="8" t="inlineStr">
        <is>
          <t>IVOL_ASK</t>
        </is>
      </c>
      <c r="HK3" s="8" t="inlineStr">
        <is>
          <t>DELTA_MID</t>
        </is>
      </c>
      <c r="HL3" s="8" t="inlineStr">
        <is>
          <t>GAMMA_MID</t>
        </is>
      </c>
      <c r="HM3" s="8" t="inlineStr">
        <is>
          <t>VEGA_MID</t>
        </is>
      </c>
      <c r="HN3" s="8" t="inlineStr">
        <is>
          <t>THETA_MID</t>
        </is>
      </c>
      <c r="HO3" s="8" t="inlineStr">
        <is>
          <t>OPT_UNDL_PX</t>
        </is>
      </c>
      <c r="HQ3" s="8" t="inlineStr">
        <is>
          <t>Date</t>
        </is>
      </c>
      <c r="HR3" s="8" t="inlineStr">
        <is>
          <t>PX_BID</t>
        </is>
      </c>
      <c r="HS3" s="8" t="inlineStr">
        <is>
          <t>PX_ASK</t>
        </is>
      </c>
      <c r="HT3" s="8" t="inlineStr">
        <is>
          <t>PX_MID</t>
        </is>
      </c>
      <c r="HU3" s="8" t="inlineStr">
        <is>
          <t>PX_LAST</t>
        </is>
      </c>
      <c r="HV3" s="8" t="inlineStr">
        <is>
          <t>PX_SETTLE</t>
        </is>
      </c>
      <c r="HW3" s="8" t="inlineStr">
        <is>
          <t>PX_VOLUME</t>
        </is>
      </c>
      <c r="HX3" s="8" t="inlineStr">
        <is>
          <t>OPEN_INT</t>
        </is>
      </c>
      <c r="HY3" s="8" t="inlineStr">
        <is>
          <t>IVOL_MID</t>
        </is>
      </c>
      <c r="HZ3" s="8" t="inlineStr">
        <is>
          <t>IVOL_BID</t>
        </is>
      </c>
      <c r="IA3" s="8" t="inlineStr">
        <is>
          <t>IVOL_ASK</t>
        </is>
      </c>
      <c r="IB3" s="8" t="inlineStr">
        <is>
          <t>DELTA_MID</t>
        </is>
      </c>
      <c r="IC3" s="8" t="inlineStr">
        <is>
          <t>GAMMA_MID</t>
        </is>
      </c>
      <c r="ID3" s="8" t="inlineStr">
        <is>
          <t>VEGA_MID</t>
        </is>
      </c>
      <c r="IE3" s="8" t="inlineStr">
        <is>
          <t>THETA_MID</t>
        </is>
      </c>
      <c r="IF3" s="8" t="inlineStr">
        <is>
          <t>OPT_UNDL_PX</t>
        </is>
      </c>
      <c r="IH3" s="8" t="inlineStr">
        <is>
          <t>Date</t>
        </is>
      </c>
      <c r="II3" s="8" t="inlineStr">
        <is>
          <t>PX_BID</t>
        </is>
      </c>
      <c r="IJ3" s="8" t="inlineStr">
        <is>
          <t>PX_ASK</t>
        </is>
      </c>
      <c r="IK3" s="8" t="inlineStr">
        <is>
          <t>PX_MID</t>
        </is>
      </c>
      <c r="IL3" s="8" t="inlineStr">
        <is>
          <t>PX_LAST</t>
        </is>
      </c>
      <c r="IM3" s="8" t="inlineStr">
        <is>
          <t>PX_SETTLE</t>
        </is>
      </c>
      <c r="IN3" s="8" t="inlineStr">
        <is>
          <t>PX_VOLUME</t>
        </is>
      </c>
      <c r="IO3" s="8" t="inlineStr">
        <is>
          <t>OPEN_INT</t>
        </is>
      </c>
      <c r="IP3" s="8" t="inlineStr">
        <is>
          <t>IVOL_MID</t>
        </is>
      </c>
      <c r="IQ3" s="8" t="inlineStr">
        <is>
          <t>IVOL_BID</t>
        </is>
      </c>
      <c r="IR3" s="8" t="inlineStr">
        <is>
          <t>IVOL_ASK</t>
        </is>
      </c>
      <c r="IS3" s="8" t="inlineStr">
        <is>
          <t>DELTA_MID</t>
        </is>
      </c>
      <c r="IT3" s="8" t="inlineStr">
        <is>
          <t>GAMMA_MID</t>
        </is>
      </c>
      <c r="IU3" s="8" t="inlineStr">
        <is>
          <t>VEGA_MID</t>
        </is>
      </c>
      <c r="IV3" s="8" t="inlineStr">
        <is>
          <t>THETA_MID</t>
        </is>
      </c>
      <c r="IW3" s="8" t="inlineStr">
        <is>
          <t>OPT_UNDL_PX</t>
        </is>
      </c>
      <c r="IY3" s="8" t="inlineStr">
        <is>
          <t>Date</t>
        </is>
      </c>
      <c r="IZ3" s="8" t="inlineStr">
        <is>
          <t>PX_BID</t>
        </is>
      </c>
      <c r="JA3" s="8" t="inlineStr">
        <is>
          <t>PX_ASK</t>
        </is>
      </c>
      <c r="JB3" s="8" t="inlineStr">
        <is>
          <t>PX_MID</t>
        </is>
      </c>
      <c r="JC3" s="8" t="inlineStr">
        <is>
          <t>PX_LAST</t>
        </is>
      </c>
      <c r="JD3" s="8" t="inlineStr">
        <is>
          <t>PX_SETTLE</t>
        </is>
      </c>
      <c r="JE3" s="8" t="inlineStr">
        <is>
          <t>PX_VOLUME</t>
        </is>
      </c>
      <c r="JF3" s="8" t="inlineStr">
        <is>
          <t>OPEN_INT</t>
        </is>
      </c>
      <c r="JG3" s="8" t="inlineStr">
        <is>
          <t>IVOL_MID</t>
        </is>
      </c>
      <c r="JH3" s="8" t="inlineStr">
        <is>
          <t>IVOL_BID</t>
        </is>
      </c>
      <c r="JI3" s="8" t="inlineStr">
        <is>
          <t>IVOL_ASK</t>
        </is>
      </c>
      <c r="JJ3" s="8" t="inlineStr">
        <is>
          <t>DELTA_MID</t>
        </is>
      </c>
      <c r="JK3" s="8" t="inlineStr">
        <is>
          <t>GAMMA_MID</t>
        </is>
      </c>
      <c r="JL3" s="8" t="inlineStr">
        <is>
          <t>VEGA_MID</t>
        </is>
      </c>
      <c r="JM3" s="8" t="inlineStr">
        <is>
          <t>THETA_MID</t>
        </is>
      </c>
      <c r="JN3" s="8" t="inlineStr">
        <is>
          <t>OPT_UNDL_PX</t>
        </is>
      </c>
      <c r="JP3" s="8" t="inlineStr">
        <is>
          <t>Date</t>
        </is>
      </c>
      <c r="JQ3" s="8" t="inlineStr">
        <is>
          <t>PX_BID</t>
        </is>
      </c>
      <c r="JR3" s="8" t="inlineStr">
        <is>
          <t>PX_ASK</t>
        </is>
      </c>
      <c r="JS3" s="8" t="inlineStr">
        <is>
          <t>PX_MID</t>
        </is>
      </c>
      <c r="JT3" s="8" t="inlineStr">
        <is>
          <t>PX_LAST</t>
        </is>
      </c>
      <c r="JU3" s="8" t="inlineStr">
        <is>
          <t>PX_SETTLE</t>
        </is>
      </c>
      <c r="JV3" s="8" t="inlineStr">
        <is>
          <t>PX_VOLUME</t>
        </is>
      </c>
      <c r="JW3" s="8" t="inlineStr">
        <is>
          <t>OPEN_INT</t>
        </is>
      </c>
      <c r="JX3" s="8" t="inlineStr">
        <is>
          <t>IVOL_MID</t>
        </is>
      </c>
      <c r="JY3" s="8" t="inlineStr">
        <is>
          <t>IVOL_BID</t>
        </is>
      </c>
      <c r="JZ3" s="8" t="inlineStr">
        <is>
          <t>IVOL_ASK</t>
        </is>
      </c>
      <c r="KA3" s="8" t="inlineStr">
        <is>
          <t>DELTA_MID</t>
        </is>
      </c>
      <c r="KB3" s="8" t="inlineStr">
        <is>
          <t>GAMMA_MID</t>
        </is>
      </c>
      <c r="KC3" s="8" t="inlineStr">
        <is>
          <t>VEGA_MID</t>
        </is>
      </c>
      <c r="KD3" s="8" t="inlineStr">
        <is>
          <t>THETA_MID</t>
        </is>
      </c>
      <c r="KE3" s="8" t="inlineStr">
        <is>
          <t>OPT_UNDL_PX</t>
        </is>
      </c>
      <c r="KG3" s="8" t="inlineStr">
        <is>
          <t>Date</t>
        </is>
      </c>
      <c r="KH3" s="8" t="inlineStr">
        <is>
          <t>PX_BID</t>
        </is>
      </c>
      <c r="KI3" s="8" t="inlineStr">
        <is>
          <t>PX_ASK</t>
        </is>
      </c>
      <c r="KJ3" s="8" t="inlineStr">
        <is>
          <t>PX_MID</t>
        </is>
      </c>
      <c r="KK3" s="8" t="inlineStr">
        <is>
          <t>PX_LAST</t>
        </is>
      </c>
      <c r="KL3" s="8" t="inlineStr">
        <is>
          <t>PX_SETTLE</t>
        </is>
      </c>
      <c r="KM3" s="8" t="inlineStr">
        <is>
          <t>PX_VOLUME</t>
        </is>
      </c>
      <c r="KN3" s="8" t="inlineStr">
        <is>
          <t>OPEN_INT</t>
        </is>
      </c>
      <c r="KO3" s="8" t="inlineStr">
        <is>
          <t>IVOL_MID</t>
        </is>
      </c>
      <c r="KP3" s="8" t="inlineStr">
        <is>
          <t>IVOL_BID</t>
        </is>
      </c>
      <c r="KQ3" s="8" t="inlineStr">
        <is>
          <t>IVOL_ASK</t>
        </is>
      </c>
      <c r="KR3" s="8" t="inlineStr">
        <is>
          <t>DELTA_MID</t>
        </is>
      </c>
      <c r="KS3" s="8" t="inlineStr">
        <is>
          <t>GAMMA_MID</t>
        </is>
      </c>
      <c r="KT3" s="8" t="inlineStr">
        <is>
          <t>VEGA_MID</t>
        </is>
      </c>
      <c r="KU3" s="8" t="inlineStr">
        <is>
          <t>THETA_MID</t>
        </is>
      </c>
      <c r="KV3" s="8" t="inlineStr">
        <is>
          <t>OPT_UNDL_PX</t>
        </is>
      </c>
      <c r="KX3" s="8" t="inlineStr">
        <is>
          <t>Date</t>
        </is>
      </c>
      <c r="KY3" s="8" t="inlineStr">
        <is>
          <t>PX_BID</t>
        </is>
      </c>
      <c r="KZ3" s="8" t="inlineStr">
        <is>
          <t>PX_ASK</t>
        </is>
      </c>
      <c r="LA3" s="8" t="inlineStr">
        <is>
          <t>PX_MID</t>
        </is>
      </c>
      <c r="LB3" s="8" t="inlineStr">
        <is>
          <t>PX_LAST</t>
        </is>
      </c>
      <c r="LC3" s="8" t="inlineStr">
        <is>
          <t>PX_SETTLE</t>
        </is>
      </c>
      <c r="LD3" s="8" t="inlineStr">
        <is>
          <t>PX_VOLUME</t>
        </is>
      </c>
      <c r="LE3" s="8" t="inlineStr">
        <is>
          <t>OPEN_INT</t>
        </is>
      </c>
      <c r="LF3" s="8" t="inlineStr">
        <is>
          <t>IVOL_MID</t>
        </is>
      </c>
      <c r="LG3" s="8" t="inlineStr">
        <is>
          <t>IVOL_BID</t>
        </is>
      </c>
      <c r="LH3" s="8" t="inlineStr">
        <is>
          <t>IVOL_ASK</t>
        </is>
      </c>
      <c r="LI3" s="8" t="inlineStr">
        <is>
          <t>DELTA_MID</t>
        </is>
      </c>
      <c r="LJ3" s="8" t="inlineStr">
        <is>
          <t>GAMMA_MID</t>
        </is>
      </c>
      <c r="LK3" s="8" t="inlineStr">
        <is>
          <t>VEGA_MID</t>
        </is>
      </c>
      <c r="LL3" s="8" t="inlineStr">
        <is>
          <t>THETA_MID</t>
        </is>
      </c>
      <c r="LM3" s="8" t="inlineStr">
        <is>
          <t>OPT_UNDL_PX</t>
        </is>
      </c>
      <c r="LO3" s="8" t="inlineStr">
        <is>
          <t>Date</t>
        </is>
      </c>
      <c r="LP3" s="8" t="inlineStr">
        <is>
          <t>PX_BID</t>
        </is>
      </c>
      <c r="LQ3" s="8" t="inlineStr">
        <is>
          <t>PX_ASK</t>
        </is>
      </c>
      <c r="LR3" s="8" t="inlineStr">
        <is>
          <t>PX_MID</t>
        </is>
      </c>
      <c r="LS3" s="8" t="inlineStr">
        <is>
          <t>PX_LAST</t>
        </is>
      </c>
      <c r="LT3" s="8" t="inlineStr">
        <is>
          <t>PX_SETTLE</t>
        </is>
      </c>
      <c r="LU3" s="8" t="inlineStr">
        <is>
          <t>PX_VOLUME</t>
        </is>
      </c>
      <c r="LV3" s="8" t="inlineStr">
        <is>
          <t>OPEN_INT</t>
        </is>
      </c>
      <c r="LW3" s="8" t="inlineStr">
        <is>
          <t>IVOL_MID</t>
        </is>
      </c>
      <c r="LX3" s="8" t="inlineStr">
        <is>
          <t>IVOL_BID</t>
        </is>
      </c>
      <c r="LY3" s="8" t="inlineStr">
        <is>
          <t>IVOL_ASK</t>
        </is>
      </c>
      <c r="LZ3" s="8" t="inlineStr">
        <is>
          <t>DELTA_MID</t>
        </is>
      </c>
      <c r="MA3" s="8" t="inlineStr">
        <is>
          <t>GAMMA_MID</t>
        </is>
      </c>
      <c r="MB3" s="8" t="inlineStr">
        <is>
          <t>VEGA_MID</t>
        </is>
      </c>
      <c r="MC3" s="8" t="inlineStr">
        <is>
          <t>THETA_MID</t>
        </is>
      </c>
      <c r="MD3" s="8" t="inlineStr">
        <is>
          <t>OPT_UNDL_PX</t>
        </is>
      </c>
      <c r="MF3" s="8" t="inlineStr">
        <is>
          <t>Date</t>
        </is>
      </c>
      <c r="MG3" s="8" t="inlineStr">
        <is>
          <t>PX_BID</t>
        </is>
      </c>
      <c r="MH3" s="8" t="inlineStr">
        <is>
          <t>PX_ASK</t>
        </is>
      </c>
      <c r="MI3" s="8" t="inlineStr">
        <is>
          <t>PX_MID</t>
        </is>
      </c>
      <c r="MJ3" s="8" t="inlineStr">
        <is>
          <t>PX_LAST</t>
        </is>
      </c>
      <c r="MK3" s="8" t="inlineStr">
        <is>
          <t>PX_SETTLE</t>
        </is>
      </c>
      <c r="ML3" s="8" t="inlineStr">
        <is>
          <t>PX_VOLUME</t>
        </is>
      </c>
      <c r="MM3" s="8" t="inlineStr">
        <is>
          <t>OPEN_INT</t>
        </is>
      </c>
      <c r="MN3" s="8" t="inlineStr">
        <is>
          <t>IVOL_MID</t>
        </is>
      </c>
      <c r="MO3" s="8" t="inlineStr">
        <is>
          <t>IVOL_BID</t>
        </is>
      </c>
      <c r="MP3" s="8" t="inlineStr">
        <is>
          <t>IVOL_ASK</t>
        </is>
      </c>
      <c r="MQ3" s="8" t="inlineStr">
        <is>
          <t>DELTA_MID</t>
        </is>
      </c>
      <c r="MR3" s="8" t="inlineStr">
        <is>
          <t>GAMMA_MID</t>
        </is>
      </c>
      <c r="MS3" s="8" t="inlineStr">
        <is>
          <t>VEGA_MID</t>
        </is>
      </c>
      <c r="MT3" s="8" t="inlineStr">
        <is>
          <t>THETA_MID</t>
        </is>
      </c>
      <c r="MU3" s="8" t="inlineStr">
        <is>
          <t>OPT_UNDL_PX</t>
        </is>
      </c>
      <c r="MW3" s="8" t="inlineStr">
        <is>
          <t>Date</t>
        </is>
      </c>
      <c r="MX3" s="8" t="inlineStr">
        <is>
          <t>PX_BID</t>
        </is>
      </c>
      <c r="MY3" s="8" t="inlineStr">
        <is>
          <t>PX_ASK</t>
        </is>
      </c>
      <c r="MZ3" s="8" t="inlineStr">
        <is>
          <t>PX_MID</t>
        </is>
      </c>
      <c r="NA3" s="8" t="inlineStr">
        <is>
          <t>PX_LAST</t>
        </is>
      </c>
      <c r="NB3" s="8" t="inlineStr">
        <is>
          <t>PX_SETTLE</t>
        </is>
      </c>
      <c r="NC3" s="8" t="inlineStr">
        <is>
          <t>PX_VOLUME</t>
        </is>
      </c>
      <c r="ND3" s="8" t="inlineStr">
        <is>
          <t>OPEN_INT</t>
        </is>
      </c>
      <c r="NE3" s="8" t="inlineStr">
        <is>
          <t>IVOL_MID</t>
        </is>
      </c>
      <c r="NF3" s="8" t="inlineStr">
        <is>
          <t>IVOL_BID</t>
        </is>
      </c>
      <c r="NG3" s="8" t="inlineStr">
        <is>
          <t>IVOL_ASK</t>
        </is>
      </c>
      <c r="NH3" s="8" t="inlineStr">
        <is>
          <t>DELTA_MID</t>
        </is>
      </c>
      <c r="NI3" s="8" t="inlineStr">
        <is>
          <t>GAMMA_MID</t>
        </is>
      </c>
      <c r="NJ3" s="8" t="inlineStr">
        <is>
          <t>VEGA_MID</t>
        </is>
      </c>
      <c r="NK3" s="8" t="inlineStr">
        <is>
          <t>THETA_MID</t>
        </is>
      </c>
      <c r="NL3" s="8" t="inlineStr">
        <is>
          <t>OPT_UNDL_PX</t>
        </is>
      </c>
    </row>
    <row r="4">
      <c r="A4" s="2" t="inlineStr">
        <is>
          <t>Strike reference date</t>
        </is>
      </c>
      <c r="B4" s="9">
        <f>B3-45</f>
        <v/>
      </c>
      <c r="D4" s="4">
        <f>BDH(D$1,E$3:S$3,$B$8,$B$9,"Dir=V","Dts=S","Sort=A","Days=T","Fill=B")</f>
        <v/>
      </c>
      <c r="U4" s="4">
        <f>BDH(U$1,V$3:AJ$3,$B$8,$B$9,"Dir=V","Dts=S","Sort=A","Days=T","Fill=B")</f>
        <v/>
      </c>
      <c r="AL4" s="4">
        <f>BDH(AL$1,AM$3:BA$3,$B$8,$B$9,"Dir=V","Dts=S","Sort=A","Days=T","Fill=B")</f>
        <v/>
      </c>
      <c r="BC4" s="4">
        <f>BDH(BC$1,BD$3:BR$3,$B$8,$B$9,"Dir=V","Dts=S","Sort=A","Days=T","Fill=B")</f>
        <v/>
      </c>
      <c r="BT4" s="4">
        <f>BDH(BT$1,BU$3:CI$3,$B$8,$B$9,"Dir=V","Dts=S","Sort=A","Days=T","Fill=B")</f>
        <v/>
      </c>
      <c r="CK4" s="4">
        <f>BDH(CK$1,CL$3:CZ$3,$B$8,$B$9,"Dir=V","Dts=S","Sort=A","Days=T","Fill=B")</f>
        <v/>
      </c>
      <c r="DB4" s="4">
        <f>BDH(DB$1,DC$3:DQ$3,$B$8,$B$9,"Dir=V","Dts=S","Sort=A","Days=T","Fill=B")</f>
        <v/>
      </c>
      <c r="DS4" s="4">
        <f>BDH(DS$1,DT$3:EH$3,$B$8,$B$9,"Dir=V","Dts=S","Sort=A","Days=T","Fill=B")</f>
        <v/>
      </c>
      <c r="EJ4" s="4">
        <f>BDH(EJ$1,EK$3:EY$3,$B$8,$B$9,"Dir=V","Dts=S","Sort=A","Days=T","Fill=B")</f>
        <v/>
      </c>
      <c r="FA4" s="4">
        <f>BDH(FA$1,FB$3:FP$3,$B$8,$B$9,"Dir=V","Dts=S","Sort=A","Days=T","Fill=B")</f>
        <v/>
      </c>
      <c r="FR4" s="4">
        <f>BDH(FR$1,FS$3:GG$3,$B$8,$B$9,"Dir=V","Dts=S","Sort=A","Days=T","Fill=B")</f>
        <v/>
      </c>
      <c r="GI4" s="4">
        <f>BDH(GI$1,GJ$3:GX$3,$B$8,$B$9,"Dir=V","Dts=S","Sort=A","Days=T","Fill=B")</f>
        <v/>
      </c>
      <c r="GZ4" s="4">
        <f>BDH(GZ$1,HA$3:HO$3,$B$8,$B$9,"Dir=V","Dts=S","Sort=A","Days=T","Fill=B")</f>
        <v/>
      </c>
      <c r="HQ4" s="4">
        <f>BDH(HQ$1,HR$3:IF$3,$B$8,$B$9,"Dir=V","Dts=S","Sort=A","Days=T","Fill=B")</f>
        <v/>
      </c>
      <c r="IH4" s="4">
        <f>BDH(IH$1,II$3:IW$3,$B$8,$B$9,"Dir=V","Dts=S","Sort=A","Days=T","Fill=B")</f>
        <v/>
      </c>
      <c r="IY4" s="4">
        <f>BDH(IY$1,IZ$3:JN$3,$B$8,$B$9,"Dir=V","Dts=S","Sort=A","Days=T","Fill=B")</f>
        <v/>
      </c>
      <c r="JP4" s="4">
        <f>BDH(JP$1,JQ$3:KE$3,$B$8,$B$9,"Dir=V","Dts=S","Sort=A","Days=T","Fill=B")</f>
        <v/>
      </c>
      <c r="KG4" s="4">
        <f>BDH(KG$1,KH$3:KV$3,$B$8,$B$9,"Dir=V","Dts=S","Sort=A","Days=T","Fill=B")</f>
        <v/>
      </c>
      <c r="KX4" s="4">
        <f>BDH(KX$1,KY$3:LM$3,$B$8,$B$9,"Dir=V","Dts=S","Sort=A","Days=T","Fill=B")</f>
        <v/>
      </c>
      <c r="LO4" s="4">
        <f>BDH(LO$1,LP$3:MD$3,$B$8,$B$9,"Dir=V","Dts=S","Sort=A","Days=T","Fill=B")</f>
        <v/>
      </c>
      <c r="MF4" s="4">
        <f>BDH(MF$1,MG$3:MU$3,$B$8,$B$9,"Dir=V","Dts=S","Sort=A","Days=T","Fill=B")</f>
        <v/>
      </c>
      <c r="MW4" s="4">
        <f>BDH(MW$1,MX$3:NL$3,$B$8,$B$9,"Dir=V","Dts=S","Sort=A","Days=T","Fill=B")</f>
        <v/>
      </c>
    </row>
    <row r="5">
      <c r="A5" s="2" t="inlineStr">
        <is>
          <t>Unadjusted close then</t>
        </is>
      </c>
      <c r="B5" s="10">
        <f>BDH(B2,"PX_LAST",B4,B4,"Days=A","Fill=P","Dts=H","CshAdjNormal=N","CshAdjAbnormal=N","CapChg=N")</f>
        <v/>
      </c>
    </row>
    <row r="6">
      <c r="A6" s="2" t="inlineStr">
        <is>
          <t>Strike step</t>
        </is>
      </c>
      <c r="B6" s="11">
        <f>IF(B5&lt;25,0.5,IF(B5&lt;250,1,5))</f>
        <v/>
      </c>
    </row>
    <row r="7">
      <c r="A7" s="2" t="inlineStr">
        <is>
          <t>ATM strike</t>
        </is>
      </c>
      <c r="B7" s="11">
        <f>ROUND(B5/B6,0)*B6</f>
        <v/>
      </c>
    </row>
    <row r="8">
      <c r="A8" s="2" t="inlineStr">
        <is>
          <t>History start</t>
        </is>
      </c>
      <c r="B8" s="9">
        <f>B3-100</f>
        <v/>
      </c>
    </row>
    <row r="9">
      <c r="A9" s="2" t="inlineStr">
        <is>
          <t>History end</t>
        </is>
      </c>
      <c r="B9" s="9">
        <f>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2026-10-13T23:28:48Z</dcterms:created>
  <dcterms:modified xmlns:dcterms="http://purl.org/dc/terms/" xmlns:xsi="http://www.w3.org/2001/XMLSchema-instance" xsi:type="dcterms:W3CDTF">2026-10-13T23:28:48Z</dcterms:modified>
</cp:coreProperties>
</file>