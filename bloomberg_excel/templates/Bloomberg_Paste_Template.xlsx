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L1 Comdty" sheetId="2" state="visible" r:id="rId2"/>
    <sheet xmlns:r="http://schemas.openxmlformats.org/officeDocument/2006/relationships" name="CO1 Comdty" sheetId="3" state="visible" r:id="rId3"/>
    <sheet xmlns:r="http://schemas.openxmlformats.org/officeDocument/2006/relationships" name="USO US Equity" sheetId="4" state="visible" r:id="rId4"/>
    <sheet xmlns:r="http://schemas.openxmlformats.org/officeDocument/2006/relationships" name="XLE US Equity" sheetId="5" state="visible" r:id="rId5"/>
    <sheet xmlns:r="http://schemas.openxmlformats.org/officeDocument/2006/relationships" name="OVX Index" sheetId="6" state="visible" r:id="rId6"/>
    <sheet xmlns:r="http://schemas.openxmlformats.org/officeDocument/2006/relationships" name="VIX Index" sheetId="7" state="visible" r:id="rId7"/>
    <sheet xmlns:r="http://schemas.openxmlformats.org/officeDocument/2006/relationships" name="USGG3M Index" sheetId="8" state="visible" r:id="rId8"/>
    <sheet xmlns:r="http://schemas.openxmlformats.org/officeDocument/2006/relationships" name="USDJPY Curncy" sheetId="9" state="visible" r:id="rId9"/>
    <sheet xmlns:r="http://schemas.openxmlformats.org/officeDocument/2006/relationships" name="USDJPYV1M Curncy" sheetId="10" state="visible" r:id="rId10"/>
    <sheet xmlns:r="http://schemas.openxmlformats.org/officeDocument/2006/relationships" name="CL2 Comdty" sheetId="11" state="visible" r:id="rId11"/>
    <sheet xmlns:r="http://schemas.openxmlformats.org/officeDocument/2006/relationships" name="CL3 Comdty" sheetId="12" state="visible" r:id="rId12"/>
    <sheet xmlns:r="http://schemas.openxmlformats.org/officeDocument/2006/relationships" name="CL4 Comdty" sheetId="13" state="visible" r:id="rId13"/>
    <sheet xmlns:r="http://schemas.openxmlformats.org/officeDocument/2006/relationships" name="CL5 Comdty" sheetId="14" state="visible" r:id="rId14"/>
    <sheet xmlns:r="http://schemas.openxmlformats.org/officeDocument/2006/relationships" name="CL6 Comdty" sheetId="15" state="visible" r:id="rId15"/>
    <sheet xmlns:r="http://schemas.openxmlformats.org/officeDocument/2006/relationships" name="CL7 Comdty" sheetId="16" state="visible" r:id="rId16"/>
    <sheet xmlns:r="http://schemas.openxmlformats.org/officeDocument/2006/relationships" name="CL8 Comdty" sheetId="17" state="visible" r:id="rId17"/>
    <sheet xmlns:r="http://schemas.openxmlformats.org/officeDocument/2006/relationships" name="CL9 Comdty" sheetId="18" state="visible" r:id="rId18"/>
    <sheet xmlns:r="http://schemas.openxmlformats.org/officeDocument/2006/relationships" name="CL10 Comdty" sheetId="19" state="visible" r:id="rId19"/>
    <sheet xmlns:r="http://schemas.openxmlformats.org/officeDocument/2006/relationships" name="CL11 Comdty" sheetId="20" state="visible" r:id="rId20"/>
    <sheet xmlns:r="http://schemas.openxmlformats.org/officeDocument/2006/relationships" name="CL12 Comdty" sheetId="21" state="visible" r:id="rId21"/>
    <sheet xmlns:r="http://schemas.openxmlformats.org/officeDocument/2006/relationships" name="CO2 Comdty" sheetId="22" state="visible" r:id="rId22"/>
    <sheet xmlns:r="http://schemas.openxmlformats.org/officeDocument/2006/relationships" name="CO3 Comdty" sheetId="23" state="visible" r:id="rId23"/>
    <sheet xmlns:r="http://schemas.openxmlformats.org/officeDocument/2006/relationships" name="CO4 Comdty" sheetId="24" state="visible" r:id="rId24"/>
    <sheet xmlns:r="http://schemas.openxmlformats.org/officeDocument/2006/relationships" name="CO5 Comdty" sheetId="25" state="visible" r:id="rId25"/>
    <sheet xmlns:r="http://schemas.openxmlformats.org/officeDocument/2006/relationships" name="CO6 Comdty" sheetId="26" state="visible" r:id="rId26"/>
    <sheet xmlns:r="http://schemas.openxmlformats.org/officeDocument/2006/relationships" name="HO1 Comdty" sheetId="27" state="visible" r:id="rId27"/>
    <sheet xmlns:r="http://schemas.openxmlformats.org/officeDocument/2006/relationships" name="XB1 Comdty" sheetId="28" state="visible" r:id="rId28"/>
    <sheet xmlns:r="http://schemas.openxmlformats.org/officeDocument/2006/relationships" name="QM1 Comdty" sheetId="29" state="visible" r:id="rId29"/>
    <sheet xmlns:r="http://schemas.openxmlformats.org/officeDocument/2006/relationships" name="NG1 Comdty" sheetId="30" state="visible" r:id="rId30"/>
    <sheet xmlns:r="http://schemas.openxmlformats.org/officeDocument/2006/relationships" name="BNO US Equity" sheetId="31" state="visible" r:id="rId31"/>
    <sheet xmlns:r="http://schemas.openxmlformats.org/officeDocument/2006/relationships" name="USL US Equity" sheetId="32" state="visible" r:id="rId32"/>
    <sheet xmlns:r="http://schemas.openxmlformats.org/officeDocument/2006/relationships" name="DBO US Equity" sheetId="33" state="visible" r:id="rId33"/>
    <sheet xmlns:r="http://schemas.openxmlformats.org/officeDocument/2006/relationships" name="UCO US Equity" sheetId="34" state="visible" r:id="rId34"/>
    <sheet xmlns:r="http://schemas.openxmlformats.org/officeDocument/2006/relationships" name="SCO US Equity" sheetId="35" state="visible" r:id="rId35"/>
    <sheet xmlns:r="http://schemas.openxmlformats.org/officeDocument/2006/relationships" name="XOP US Equity" sheetId="36" state="visible" r:id="rId36"/>
    <sheet xmlns:r="http://schemas.openxmlformats.org/officeDocument/2006/relationships" name="OIH US Equity" sheetId="37" state="visible" r:id="rId37"/>
    <sheet xmlns:r="http://schemas.openxmlformats.org/officeDocument/2006/relationships" name="VDE US Equity" sheetId="38" state="visible" r:id="rId38"/>
    <sheet xmlns:r="http://schemas.openxmlformats.org/officeDocument/2006/relationships" name="CRAK US Equity" sheetId="39" state="visible" r:id="rId39"/>
    <sheet xmlns:r="http://schemas.openxmlformats.org/officeDocument/2006/relationships" name="XOM US Equity" sheetId="40" state="visible" r:id="rId40"/>
    <sheet xmlns:r="http://schemas.openxmlformats.org/officeDocument/2006/relationships" name="CVX US Equity" sheetId="41" state="visible" r:id="rId41"/>
    <sheet xmlns:r="http://schemas.openxmlformats.org/officeDocument/2006/relationships" name="COP US Equity" sheetId="42" state="visible" r:id="rId42"/>
    <sheet xmlns:r="http://schemas.openxmlformats.org/officeDocument/2006/relationships" name="OXY US Equity" sheetId="43" state="visible" r:id="rId43"/>
    <sheet xmlns:r="http://schemas.openxmlformats.org/officeDocument/2006/relationships" name="EOG US Equity" sheetId="44" state="visible" r:id="rId44"/>
    <sheet xmlns:r="http://schemas.openxmlformats.org/officeDocument/2006/relationships" name="DVN US Equity" sheetId="45" state="visible" r:id="rId45"/>
    <sheet xmlns:r="http://schemas.openxmlformats.org/officeDocument/2006/relationships" name="FANG US Equity" sheetId="46" state="visible" r:id="rId46"/>
    <sheet xmlns:r="http://schemas.openxmlformats.org/officeDocument/2006/relationships" name="APA US Equity" sheetId="47" state="visible" r:id="rId47"/>
    <sheet xmlns:r="http://schemas.openxmlformats.org/officeDocument/2006/relationships" name="DAL US Equity" sheetId="48" state="visible" r:id="rId48"/>
    <sheet xmlns:r="http://schemas.openxmlformats.org/officeDocument/2006/relationships" name="UAL US Equity" sheetId="49" state="visible" r:id="rId49"/>
    <sheet xmlns:r="http://schemas.openxmlformats.org/officeDocument/2006/relationships" name="AAL US Equity" sheetId="50" state="visible" r:id="rId50"/>
    <sheet xmlns:r="http://schemas.openxmlformats.org/officeDocument/2006/relationships" name="LUV US Equity" sheetId="51" state="visible" r:id="rId51"/>
    <sheet xmlns:r="http://schemas.openxmlformats.org/officeDocument/2006/relationships" name="JETS US Equity" sheetId="52" state="visible" r:id="rId52"/>
    <sheet xmlns:r="http://schemas.openxmlformats.org/officeDocument/2006/relationships" name="SPY US Equity" sheetId="53" state="visible" r:id="rId53"/>
    <sheet xmlns:r="http://schemas.openxmlformats.org/officeDocument/2006/relationships" name="SPX Index" sheetId="54" state="visible" r:id="rId54"/>
    <sheet xmlns:r="http://schemas.openxmlformats.org/officeDocument/2006/relationships" name="USGG1YR Index" sheetId="55" state="visible" r:id="rId55"/>
    <sheet xmlns:r="http://schemas.openxmlformats.org/officeDocument/2006/relationships" name="USGG2YR Index" sheetId="56" state="visible" r:id="rId56"/>
    <sheet xmlns:r="http://schemas.openxmlformats.org/officeDocument/2006/relationships" name="DXY Curncy" sheetId="57" state="visible" r:id="rId57"/>
    <sheet xmlns:r="http://schemas.openxmlformats.org/officeDocument/2006/relationships" name="USDJPYV1W Curncy" sheetId="58" state="visible" r:id="rId58"/>
    <sheet xmlns:r="http://schemas.openxmlformats.org/officeDocument/2006/relationships" name="USDJPYV3M Curncy" sheetId="59" state="visible" r:id="rId59"/>
    <sheet xmlns:r="http://schemas.openxmlformats.org/officeDocument/2006/relationships" name="USDJPY25R1M Curncy" sheetId="60" state="visible" r:id="rId60"/>
    <sheet xmlns:r="http://schemas.openxmlformats.org/officeDocument/2006/relationships" name="USDJPY25B1M Curncy" sheetId="61" state="visible" r:id="rId61"/>
    <sheet xmlns:r="http://schemas.openxmlformats.org/officeDocument/2006/relationships" name="USDJPY10R1M Curncy" sheetId="62" state="visible" r:id="rId62"/>
    <sheet xmlns:r="http://schemas.openxmlformats.org/officeDocument/2006/relationships" name="USDJPY10B1M Curncy" sheetId="63" state="visible" r:id="rId63"/>
    <sheet xmlns:r="http://schemas.openxmlformats.org/officeDocument/2006/relationships" name="JPY1M Curncy" sheetId="64" state="visible" r:id="rId64"/>
    <sheet xmlns:r="http://schemas.openxmlformats.org/officeDocument/2006/relationships" name="USDJPYV2W Curncy" sheetId="65" state="visible" r:id="rId65"/>
    <sheet xmlns:r="http://schemas.openxmlformats.org/officeDocument/2006/relationships" name="USDJPYV2M Curncy" sheetId="66" state="visible" r:id="rId66"/>
    <sheet xmlns:r="http://schemas.openxmlformats.org/officeDocument/2006/relationships" name="USDJPYV6M Curncy" sheetId="67" state="visible" r:id="rId67"/>
    <sheet xmlns:r="http://schemas.openxmlformats.org/officeDocument/2006/relationships" name="USDJPYV1Y Curncy" sheetId="68" state="visible" r:id="rId68"/>
    <sheet xmlns:r="http://schemas.openxmlformats.org/officeDocument/2006/relationships" name="USDJPY25R1W Curncy" sheetId="69" state="visible" r:id="rId69"/>
    <sheet xmlns:r="http://schemas.openxmlformats.org/officeDocument/2006/relationships" name="USDJPY25R3M Curncy" sheetId="70" state="visible" r:id="rId70"/>
    <sheet xmlns:r="http://schemas.openxmlformats.org/officeDocument/2006/relationships" name="USDJPY25B3M Curncy" sheetId="71" state="visible" r:id="rId71"/>
    <sheet xmlns:r="http://schemas.openxmlformats.org/officeDocument/2006/relationships" name="JPY1W Curncy" sheetId="72" state="visible" r:id="rId72"/>
    <sheet xmlns:r="http://schemas.openxmlformats.org/officeDocument/2006/relationships" name="JPY3M Curncy" sheetId="73" state="visible" r:id="rId73"/>
    <sheet xmlns:r="http://schemas.openxmlformats.org/officeDocument/2006/relationships" name="JY1 Curncy" sheetId="74" state="visible" r:id="rId74"/>
    <sheet xmlns:r="http://schemas.openxmlformats.org/officeDocument/2006/relationships" name="JY2 Curncy" sheetId="75" state="visible" r:id="rId75"/>
    <sheet xmlns:r="http://schemas.openxmlformats.org/officeDocument/2006/relationships" name="USGG10YR Index" sheetId="76" state="visible" r:id="rId76"/>
    <sheet xmlns:r="http://schemas.openxmlformats.org/officeDocument/2006/relationships" name="GTJPY2Y Govt" sheetId="77" state="visible" r:id="rId77"/>
    <sheet xmlns:r="http://schemas.openxmlformats.org/officeDocument/2006/relationships" name="GTJPY10Y Govt" sheetId="78" state="visible" r:id="rId78"/>
    <sheet xmlns:r="http://schemas.openxmlformats.org/officeDocument/2006/relationships" name="Extra 1" sheetId="79" state="visible" r:id="rId79"/>
    <sheet xmlns:r="http://schemas.openxmlformats.org/officeDocument/2006/relationships" name="Extra 2" sheetId="80" state="visible" r:id="rId80"/>
    <sheet xmlns:r="http://schemas.openxmlformats.org/officeDocument/2006/relationships" name="Extra 3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22" customWidth="1" min="4" max="4"/>
    <col width="45" customWidth="1" min="5" max="5"/>
    <col width="7" customWidth="1" min="6" max="6"/>
    <col width="12" customWidth="1" min="7" max="7"/>
    <col width="9" customWidth="1" min="8" max="8"/>
  </cols>
  <sheetData>
    <row r="1">
      <c r="A1" s="1" t="inlineStr">
        <is>
          <t>Bloomberg price data: paste checklist</t>
        </is>
      </c>
    </row>
    <row r="3">
      <c r="A3" s="2" t="inlineStr">
        <is>
          <t>1. On the Terminal chart (G) screen, click the orange security box, type the ticker below, press Enter.</t>
        </is>
      </c>
    </row>
    <row r="4">
      <c r="A4" s="2" t="inlineStr">
        <is>
          <t>2. Click Max (or 5Y), change '1 Min' to Daily, then click Table.</t>
        </is>
      </c>
    </row>
    <row r="5">
      <c r="A5" s="2" t="inlineStr">
        <is>
          <t>3. Click in the table, Ctrl+A, Ctrl+C. Click 'Go' below, then click the yellow cell A4 on that sheet and Ctrl+V.</t>
        </is>
      </c>
    </row>
    <row r="6">
      <c r="A6" s="2" t="inlineStr">
        <is>
          <t>4. Paste the table as it comes, headers included. Rows pasted updates by itself. Save often; upload to Claude.</t>
        </is>
      </c>
    </row>
    <row r="7">
      <c r="A7" s="2" t="inlineStr">
        <is>
          <t>Start with Priority 1. Extra 1-3 sheets are for anything not on the list (type its ticker in B1 there).</t>
        </is>
      </c>
    </row>
    <row r="9">
      <c r="A9" s="3" t="inlineStr">
        <is>
          <t>#</t>
        </is>
      </c>
      <c r="B9" s="3" t="inlineStr">
        <is>
          <t>Priority</t>
        </is>
      </c>
      <c r="C9" s="3" t="inlineStr">
        <is>
          <t>Group</t>
        </is>
      </c>
      <c r="D9" s="3" t="inlineStr">
        <is>
          <t>Ticker</t>
        </is>
      </c>
      <c r="E9" s="3" t="inlineStr">
        <is>
          <t>Description</t>
        </is>
      </c>
      <c r="F9" s="3" t="inlineStr">
        <is>
          <t>Sheet</t>
        </is>
      </c>
      <c r="G9" s="3" t="inlineStr">
        <is>
          <t>Rows pasted</t>
        </is>
      </c>
      <c r="H9" s="3" t="inlineStr">
        <is>
          <t>Status</t>
        </is>
      </c>
    </row>
    <row r="10">
      <c r="A10" s="2" t="n">
        <v>1</v>
      </c>
      <c r="B10" s="2" t="n">
        <v>1</v>
      </c>
      <c r="C10" s="2" t="inlineStr">
        <is>
          <t>Oil futures</t>
        </is>
      </c>
      <c r="D10" s="2" t="inlineStr">
        <is>
          <t>CL1 Comdty</t>
        </is>
      </c>
      <c r="E10" s="2" t="inlineStr">
        <is>
          <t>WTI crude, generic month 1</t>
        </is>
      </c>
      <c r="F10" s="4">
        <f>HYPERLINK("#'CL1 Comdty'!A4","Go")</f>
        <v/>
      </c>
      <c r="G10" s="2">
        <f>COUNTA('CL1 Comdty'!A5:A20000)</f>
        <v/>
      </c>
      <c r="H10" s="2">
        <f>IF(G10&gt;0,"Done","To do")</f>
        <v/>
      </c>
    </row>
    <row r="11">
      <c r="A11" s="2" t="n">
        <v>2</v>
      </c>
      <c r="B11" s="2" t="n">
        <v>1</v>
      </c>
      <c r="C11" s="2" t="inlineStr">
        <is>
          <t>Oil futures</t>
        </is>
      </c>
      <c r="D11" s="2" t="inlineStr">
        <is>
          <t>CO1 Comdty</t>
        </is>
      </c>
      <c r="E11" s="2" t="inlineStr">
        <is>
          <t>Brent crude, generic month 1</t>
        </is>
      </c>
      <c r="F11" s="4">
        <f>HYPERLINK("#'CO1 Comdty'!A4","Go")</f>
        <v/>
      </c>
      <c r="G11" s="2">
        <f>COUNTA('CO1 Comdty'!A5:A20000)</f>
        <v/>
      </c>
      <c r="H11" s="2">
        <f>IF(G11&gt;0,"Done","To do")</f>
        <v/>
      </c>
    </row>
    <row r="12">
      <c r="A12" s="2" t="n">
        <v>3</v>
      </c>
      <c r="B12" s="2" t="n">
        <v>1</v>
      </c>
      <c r="C12" s="2" t="inlineStr">
        <is>
          <t>Oil stocks/ETFs</t>
        </is>
      </c>
      <c r="D12" s="2" t="inlineStr">
        <is>
          <t>USO US Equity</t>
        </is>
      </c>
      <c r="E12" s="2" t="inlineStr">
        <is>
          <t>US Oil Fund (front WTI)</t>
        </is>
      </c>
      <c r="F12" s="4">
        <f>HYPERLINK("#'USO US Equity'!A4","Go")</f>
        <v/>
      </c>
      <c r="G12" s="2">
        <f>COUNTA('USO US Equity'!A5:A20000)</f>
        <v/>
      </c>
      <c r="H12" s="2">
        <f>IF(G12&gt;0,"Done","To do")</f>
        <v/>
      </c>
    </row>
    <row r="13">
      <c r="A13" s="2" t="n">
        <v>4</v>
      </c>
      <c r="B13" s="2" t="n">
        <v>1</v>
      </c>
      <c r="C13" s="2" t="inlineStr">
        <is>
          <t>Oil stocks/ETFs</t>
        </is>
      </c>
      <c r="D13" s="2" t="inlineStr">
        <is>
          <t>XLE US Equity</t>
        </is>
      </c>
      <c r="E13" s="2" t="inlineStr">
        <is>
          <t>Energy Select SPDR</t>
        </is>
      </c>
      <c r="F13" s="4">
        <f>HYPERLINK("#'XLE US Equity'!A4","Go")</f>
        <v/>
      </c>
      <c r="G13" s="2">
        <f>COUNTA('XLE US Equity'!A5:A20000)</f>
        <v/>
      </c>
      <c r="H13" s="2">
        <f>IF(G13&gt;0,"Done","To do")</f>
        <v/>
      </c>
    </row>
    <row r="14">
      <c r="A14" s="2" t="n">
        <v>5</v>
      </c>
      <c r="B14" s="2" t="n">
        <v>1</v>
      </c>
      <c r="C14" s="2" t="inlineStr">
        <is>
          <t>Macro</t>
        </is>
      </c>
      <c r="D14" s="2" t="inlineStr">
        <is>
          <t>OVX Index</t>
        </is>
      </c>
      <c r="E14" s="2" t="inlineStr">
        <is>
          <t>Cboe crude oil volatility index</t>
        </is>
      </c>
      <c r="F14" s="4">
        <f>HYPERLINK("#'OVX Index'!A4","Go")</f>
        <v/>
      </c>
      <c r="G14" s="2">
        <f>COUNTA('OVX Index'!A5:A20000)</f>
        <v/>
      </c>
      <c r="H14" s="2">
        <f>IF(G14&gt;0,"Done","To do")</f>
        <v/>
      </c>
    </row>
    <row r="15">
      <c r="A15" s="2" t="n">
        <v>6</v>
      </c>
      <c r="B15" s="2" t="n">
        <v>1</v>
      </c>
      <c r="C15" s="2" t="inlineStr">
        <is>
          <t>Macro</t>
        </is>
      </c>
      <c r="D15" s="2" t="inlineStr">
        <is>
          <t>VIX Index</t>
        </is>
      </c>
      <c r="E15" s="2" t="inlineStr">
        <is>
          <t>Cboe VIX</t>
        </is>
      </c>
      <c r="F15" s="4">
        <f>HYPERLINK("#'VIX Index'!A4","Go")</f>
        <v/>
      </c>
      <c r="G15" s="2">
        <f>COUNTA('VIX Index'!A5:A20000)</f>
        <v/>
      </c>
      <c r="H15" s="2">
        <f>IF(G15&gt;0,"Done","To do")</f>
        <v/>
      </c>
    </row>
    <row r="16">
      <c r="A16" s="2" t="n">
        <v>7</v>
      </c>
      <c r="B16" s="2" t="n">
        <v>1</v>
      </c>
      <c r="C16" s="2" t="inlineStr">
        <is>
          <t>Macro</t>
        </is>
      </c>
      <c r="D16" s="2" t="inlineStr">
        <is>
          <t>USGG3M Index</t>
        </is>
      </c>
      <c r="E16" s="2" t="inlineStr">
        <is>
          <t>US 3-month T-bill yield (risk-free rate)</t>
        </is>
      </c>
      <c r="F16" s="4">
        <f>HYPERLINK("#'USGG3M Index'!A4","Go")</f>
        <v/>
      </c>
      <c r="G16" s="2">
        <f>COUNTA('USGG3M Index'!A5:A20000)</f>
        <v/>
      </c>
      <c r="H16" s="2">
        <f>IF(G16&gt;0,"Done","To do")</f>
        <v/>
      </c>
    </row>
    <row r="17">
      <c r="A17" s="2" t="n">
        <v>8</v>
      </c>
      <c r="B17" s="2" t="n">
        <v>1</v>
      </c>
      <c r="C17" s="2" t="inlineStr">
        <is>
          <t>Yen</t>
        </is>
      </c>
      <c r="D17" s="2" t="inlineStr">
        <is>
          <t>USDJPY Curncy</t>
        </is>
      </c>
      <c r="E17" s="2" t="inlineStr">
        <is>
          <t>USD/JPY spot</t>
        </is>
      </c>
      <c r="F17" s="4">
        <f>HYPERLINK("#'USDJPY Curncy'!A4","Go")</f>
        <v/>
      </c>
      <c r="G17" s="2">
        <f>COUNTA('USDJPY Curncy'!A5:A20000)</f>
        <v/>
      </c>
      <c r="H17" s="2">
        <f>IF(G17&gt;0,"Done","To do")</f>
        <v/>
      </c>
    </row>
    <row r="18">
      <c r="A18" s="2" t="n">
        <v>9</v>
      </c>
      <c r="B18" s="2" t="n">
        <v>1</v>
      </c>
      <c r="C18" s="2" t="inlineStr">
        <is>
          <t>Yen</t>
        </is>
      </c>
      <c r="D18" s="2" t="inlineStr">
        <is>
          <t>USDJPYV1M Curncy</t>
        </is>
      </c>
      <c r="E18" s="2" t="inlineStr">
        <is>
          <t>1-month ATM implied vol</t>
        </is>
      </c>
      <c r="F18" s="4">
        <f>HYPERLINK("#'USDJPYV1M Curncy'!A4","Go")</f>
        <v/>
      </c>
      <c r="G18" s="2">
        <f>COUNTA('USDJPYV1M Curncy'!A5:A20000)</f>
        <v/>
      </c>
      <c r="H18" s="2">
        <f>IF(G18&gt;0,"Done","To do")</f>
        <v/>
      </c>
    </row>
    <row r="19">
      <c r="A19" s="2" t="n">
        <v>10</v>
      </c>
      <c r="B19" s="2" t="n">
        <v>2</v>
      </c>
      <c r="C19" s="2" t="inlineStr">
        <is>
          <t>Oil futures</t>
        </is>
      </c>
      <c r="D19" s="2" t="inlineStr">
        <is>
          <t>CL2 Comdty</t>
        </is>
      </c>
      <c r="E19" s="2" t="inlineStr">
        <is>
          <t>WTI crude, generic month 2</t>
        </is>
      </c>
      <c r="F19" s="4">
        <f>HYPERLINK("#'CL2 Comdty'!A4","Go")</f>
        <v/>
      </c>
      <c r="G19" s="2">
        <f>COUNTA('CL2 Comdty'!A5:A20000)</f>
        <v/>
      </c>
      <c r="H19" s="2">
        <f>IF(G19&gt;0,"Done","To do")</f>
        <v/>
      </c>
    </row>
    <row r="20">
      <c r="A20" s="2" t="n">
        <v>11</v>
      </c>
      <c r="B20" s="2" t="n">
        <v>2</v>
      </c>
      <c r="C20" s="2" t="inlineStr">
        <is>
          <t>Oil futures</t>
        </is>
      </c>
      <c r="D20" s="2" t="inlineStr">
        <is>
          <t>CL3 Comdty</t>
        </is>
      </c>
      <c r="E20" s="2" t="inlineStr">
        <is>
          <t>WTI crude, generic month 3</t>
        </is>
      </c>
      <c r="F20" s="4">
        <f>HYPERLINK("#'CL3 Comdty'!A4","Go")</f>
        <v/>
      </c>
      <c r="G20" s="2">
        <f>COUNTA('CL3 Comdty'!A5:A20000)</f>
        <v/>
      </c>
      <c r="H20" s="2">
        <f>IF(G20&gt;0,"Done","To do")</f>
        <v/>
      </c>
    </row>
    <row r="21">
      <c r="A21" s="2" t="n">
        <v>12</v>
      </c>
      <c r="B21" s="2" t="n">
        <v>2</v>
      </c>
      <c r="C21" s="2" t="inlineStr">
        <is>
          <t>Oil futures</t>
        </is>
      </c>
      <c r="D21" s="2" t="inlineStr">
        <is>
          <t>CL4 Comdty</t>
        </is>
      </c>
      <c r="E21" s="2" t="inlineStr">
        <is>
          <t>WTI crude, generic month 4</t>
        </is>
      </c>
      <c r="F21" s="4">
        <f>HYPERLINK("#'CL4 Comdty'!A4","Go")</f>
        <v/>
      </c>
      <c r="G21" s="2">
        <f>COUNTA('CL4 Comdty'!A5:A20000)</f>
        <v/>
      </c>
      <c r="H21" s="2">
        <f>IF(G21&gt;0,"Done","To do")</f>
        <v/>
      </c>
    </row>
    <row r="22">
      <c r="A22" s="2" t="n">
        <v>13</v>
      </c>
      <c r="B22" s="2" t="n">
        <v>2</v>
      </c>
      <c r="C22" s="2" t="inlineStr">
        <is>
          <t>Oil futures</t>
        </is>
      </c>
      <c r="D22" s="2" t="inlineStr">
        <is>
          <t>CL5 Comdty</t>
        </is>
      </c>
      <c r="E22" s="2" t="inlineStr">
        <is>
          <t>WTI crude, generic month 5</t>
        </is>
      </c>
      <c r="F22" s="4">
        <f>HYPERLINK("#'CL5 Comdty'!A4","Go")</f>
        <v/>
      </c>
      <c r="G22" s="2">
        <f>COUNTA('CL5 Comdty'!A5:A20000)</f>
        <v/>
      </c>
      <c r="H22" s="2">
        <f>IF(G22&gt;0,"Done","To do")</f>
        <v/>
      </c>
    </row>
    <row r="23">
      <c r="A23" s="2" t="n">
        <v>14</v>
      </c>
      <c r="B23" s="2" t="n">
        <v>2</v>
      </c>
      <c r="C23" s="2" t="inlineStr">
        <is>
          <t>Oil futures</t>
        </is>
      </c>
      <c r="D23" s="2" t="inlineStr">
        <is>
          <t>CL6 Comdty</t>
        </is>
      </c>
      <c r="E23" s="2" t="inlineStr">
        <is>
          <t>WTI crude, generic month 6</t>
        </is>
      </c>
      <c r="F23" s="4">
        <f>HYPERLINK("#'CL6 Comdty'!A4","Go")</f>
        <v/>
      </c>
      <c r="G23" s="2">
        <f>COUNTA('CL6 Comdty'!A5:A20000)</f>
        <v/>
      </c>
      <c r="H23" s="2">
        <f>IF(G23&gt;0,"Done","To do")</f>
        <v/>
      </c>
    </row>
    <row r="24">
      <c r="A24" s="2" t="n">
        <v>15</v>
      </c>
      <c r="B24" s="2" t="n">
        <v>2</v>
      </c>
      <c r="C24" s="2" t="inlineStr">
        <is>
          <t>Oil futures</t>
        </is>
      </c>
      <c r="D24" s="2" t="inlineStr">
        <is>
          <t>CL7 Comdty</t>
        </is>
      </c>
      <c r="E24" s="2" t="inlineStr">
        <is>
          <t>WTI crude, generic month 7</t>
        </is>
      </c>
      <c r="F24" s="4">
        <f>HYPERLINK("#'CL7 Comdty'!A4","Go")</f>
        <v/>
      </c>
      <c r="G24" s="2">
        <f>COUNTA('CL7 Comdty'!A5:A20000)</f>
        <v/>
      </c>
      <c r="H24" s="2">
        <f>IF(G24&gt;0,"Done","To do")</f>
        <v/>
      </c>
    </row>
    <row r="25">
      <c r="A25" s="2" t="n">
        <v>16</v>
      </c>
      <c r="B25" s="2" t="n">
        <v>2</v>
      </c>
      <c r="C25" s="2" t="inlineStr">
        <is>
          <t>Oil futures</t>
        </is>
      </c>
      <c r="D25" s="2" t="inlineStr">
        <is>
          <t>CL8 Comdty</t>
        </is>
      </c>
      <c r="E25" s="2" t="inlineStr">
        <is>
          <t>WTI crude, generic month 8</t>
        </is>
      </c>
      <c r="F25" s="4">
        <f>HYPERLINK("#'CL8 Comdty'!A4","Go")</f>
        <v/>
      </c>
      <c r="G25" s="2">
        <f>COUNTA('CL8 Comdty'!A5:A20000)</f>
        <v/>
      </c>
      <c r="H25" s="2">
        <f>IF(G25&gt;0,"Done","To do")</f>
        <v/>
      </c>
    </row>
    <row r="26">
      <c r="A26" s="2" t="n">
        <v>17</v>
      </c>
      <c r="B26" s="2" t="n">
        <v>2</v>
      </c>
      <c r="C26" s="2" t="inlineStr">
        <is>
          <t>Oil futures</t>
        </is>
      </c>
      <c r="D26" s="2" t="inlineStr">
        <is>
          <t>CL9 Comdty</t>
        </is>
      </c>
      <c r="E26" s="2" t="inlineStr">
        <is>
          <t>WTI crude, generic month 9</t>
        </is>
      </c>
      <c r="F26" s="4">
        <f>HYPERLINK("#'CL9 Comdty'!A4","Go")</f>
        <v/>
      </c>
      <c r="G26" s="2">
        <f>COUNTA('CL9 Comdty'!A5:A20000)</f>
        <v/>
      </c>
      <c r="H26" s="2">
        <f>IF(G26&gt;0,"Done","To do")</f>
        <v/>
      </c>
    </row>
    <row r="27">
      <c r="A27" s="2" t="n">
        <v>18</v>
      </c>
      <c r="B27" s="2" t="n">
        <v>2</v>
      </c>
      <c r="C27" s="2" t="inlineStr">
        <is>
          <t>Oil futures</t>
        </is>
      </c>
      <c r="D27" s="2" t="inlineStr">
        <is>
          <t>CL10 Comdty</t>
        </is>
      </c>
      <c r="E27" s="2" t="inlineStr">
        <is>
          <t>WTI crude, generic month 10</t>
        </is>
      </c>
      <c r="F27" s="4">
        <f>HYPERLINK("#'CL10 Comdty'!A4","Go")</f>
        <v/>
      </c>
      <c r="G27" s="2">
        <f>COUNTA('CL10 Comdty'!A5:A20000)</f>
        <v/>
      </c>
      <c r="H27" s="2">
        <f>IF(G27&gt;0,"Done","To do")</f>
        <v/>
      </c>
    </row>
    <row r="28">
      <c r="A28" s="2" t="n">
        <v>19</v>
      </c>
      <c r="B28" s="2" t="n">
        <v>2</v>
      </c>
      <c r="C28" s="2" t="inlineStr">
        <is>
          <t>Oil futures</t>
        </is>
      </c>
      <c r="D28" s="2" t="inlineStr">
        <is>
          <t>CL11 Comdty</t>
        </is>
      </c>
      <c r="E28" s="2" t="inlineStr">
        <is>
          <t>WTI crude, generic month 11</t>
        </is>
      </c>
      <c r="F28" s="4">
        <f>HYPERLINK("#'CL11 Comdty'!A4","Go")</f>
        <v/>
      </c>
      <c r="G28" s="2">
        <f>COUNTA('CL11 Comdty'!A5:A20000)</f>
        <v/>
      </c>
      <c r="H28" s="2">
        <f>IF(G28&gt;0,"Done","To do")</f>
        <v/>
      </c>
    </row>
    <row r="29">
      <c r="A29" s="2" t="n">
        <v>20</v>
      </c>
      <c r="B29" s="2" t="n">
        <v>2</v>
      </c>
      <c r="C29" s="2" t="inlineStr">
        <is>
          <t>Oil futures</t>
        </is>
      </c>
      <c r="D29" s="2" t="inlineStr">
        <is>
          <t>CL12 Comdty</t>
        </is>
      </c>
      <c r="E29" s="2" t="inlineStr">
        <is>
          <t>WTI crude, generic month 12</t>
        </is>
      </c>
      <c r="F29" s="4">
        <f>HYPERLINK("#'CL12 Comdty'!A4","Go")</f>
        <v/>
      </c>
      <c r="G29" s="2">
        <f>COUNTA('CL12 Comdty'!A5:A20000)</f>
        <v/>
      </c>
      <c r="H29" s="2">
        <f>IF(G29&gt;0,"Done","To do")</f>
        <v/>
      </c>
    </row>
    <row r="30">
      <c r="A30" s="2" t="n">
        <v>21</v>
      </c>
      <c r="B30" s="2" t="n">
        <v>2</v>
      </c>
      <c r="C30" s="2" t="inlineStr">
        <is>
          <t>Oil futures</t>
        </is>
      </c>
      <c r="D30" s="2" t="inlineStr">
        <is>
          <t>CO2 Comdty</t>
        </is>
      </c>
      <c r="E30" s="2" t="inlineStr">
        <is>
          <t>Brent crude, generic month 2</t>
        </is>
      </c>
      <c r="F30" s="4">
        <f>HYPERLINK("#'CO2 Comdty'!A4","Go")</f>
        <v/>
      </c>
      <c r="G30" s="2">
        <f>COUNTA('CO2 Comdty'!A5:A20000)</f>
        <v/>
      </c>
      <c r="H30" s="2">
        <f>IF(G30&gt;0,"Done","To do")</f>
        <v/>
      </c>
    </row>
    <row r="31">
      <c r="A31" s="2" t="n">
        <v>22</v>
      </c>
      <c r="B31" s="2" t="n">
        <v>2</v>
      </c>
      <c r="C31" s="2" t="inlineStr">
        <is>
          <t>Oil futures</t>
        </is>
      </c>
      <c r="D31" s="2" t="inlineStr">
        <is>
          <t>CO3 Comdty</t>
        </is>
      </c>
      <c r="E31" s="2" t="inlineStr">
        <is>
          <t>Brent crude, generic month 3</t>
        </is>
      </c>
      <c r="F31" s="4">
        <f>HYPERLINK("#'CO3 Comdty'!A4","Go")</f>
        <v/>
      </c>
      <c r="G31" s="2">
        <f>COUNTA('CO3 Comdty'!A5:A20000)</f>
        <v/>
      </c>
      <c r="H31" s="2">
        <f>IF(G31&gt;0,"Done","To do")</f>
        <v/>
      </c>
    </row>
    <row r="32">
      <c r="A32" s="2" t="n">
        <v>23</v>
      </c>
      <c r="B32" s="2" t="n">
        <v>2</v>
      </c>
      <c r="C32" s="2" t="inlineStr">
        <is>
          <t>Oil futures</t>
        </is>
      </c>
      <c r="D32" s="2" t="inlineStr">
        <is>
          <t>CO4 Comdty</t>
        </is>
      </c>
      <c r="E32" s="2" t="inlineStr">
        <is>
          <t>Brent crude, generic month 4</t>
        </is>
      </c>
      <c r="F32" s="4">
        <f>HYPERLINK("#'CO4 Comdty'!A4","Go")</f>
        <v/>
      </c>
      <c r="G32" s="2">
        <f>COUNTA('CO4 Comdty'!A5:A20000)</f>
        <v/>
      </c>
      <c r="H32" s="2">
        <f>IF(G32&gt;0,"Done","To do")</f>
        <v/>
      </c>
    </row>
    <row r="33">
      <c r="A33" s="2" t="n">
        <v>24</v>
      </c>
      <c r="B33" s="2" t="n">
        <v>2</v>
      </c>
      <c r="C33" s="2" t="inlineStr">
        <is>
          <t>Oil futures</t>
        </is>
      </c>
      <c r="D33" s="2" t="inlineStr">
        <is>
          <t>CO5 Comdty</t>
        </is>
      </c>
      <c r="E33" s="2" t="inlineStr">
        <is>
          <t>Brent crude, generic month 5</t>
        </is>
      </c>
      <c r="F33" s="4">
        <f>HYPERLINK("#'CO5 Comdty'!A4","Go")</f>
        <v/>
      </c>
      <c r="G33" s="2">
        <f>COUNTA('CO5 Comdty'!A5:A20000)</f>
        <v/>
      </c>
      <c r="H33" s="2">
        <f>IF(G33&gt;0,"Done","To do")</f>
        <v/>
      </c>
    </row>
    <row r="34">
      <c r="A34" s="2" t="n">
        <v>25</v>
      </c>
      <c r="B34" s="2" t="n">
        <v>2</v>
      </c>
      <c r="C34" s="2" t="inlineStr">
        <is>
          <t>Oil futures</t>
        </is>
      </c>
      <c r="D34" s="2" t="inlineStr">
        <is>
          <t>CO6 Comdty</t>
        </is>
      </c>
      <c r="E34" s="2" t="inlineStr">
        <is>
          <t>Brent crude, generic month 6</t>
        </is>
      </c>
      <c r="F34" s="4">
        <f>HYPERLINK("#'CO6 Comdty'!A4","Go")</f>
        <v/>
      </c>
      <c r="G34" s="2">
        <f>COUNTA('CO6 Comdty'!A5:A20000)</f>
        <v/>
      </c>
      <c r="H34" s="2">
        <f>IF(G34&gt;0,"Done","To do")</f>
        <v/>
      </c>
    </row>
    <row r="35">
      <c r="A35" s="2" t="n">
        <v>26</v>
      </c>
      <c r="B35" s="2" t="n">
        <v>2</v>
      </c>
      <c r="C35" s="2" t="inlineStr">
        <is>
          <t>Oil futures</t>
        </is>
      </c>
      <c r="D35" s="2" t="inlineStr">
        <is>
          <t>HO1 Comdty</t>
        </is>
      </c>
      <c r="E35" s="2" t="inlineStr">
        <is>
          <t>NY Harbor ULSD (heating oil), front</t>
        </is>
      </c>
      <c r="F35" s="4">
        <f>HYPERLINK("#'HO1 Comdty'!A4","Go")</f>
        <v/>
      </c>
      <c r="G35" s="2">
        <f>COUNTA('HO1 Comdty'!A5:A20000)</f>
        <v/>
      </c>
      <c r="H35" s="2">
        <f>IF(G35&gt;0,"Done","To do")</f>
        <v/>
      </c>
    </row>
    <row r="36">
      <c r="A36" s="2" t="n">
        <v>27</v>
      </c>
      <c r="B36" s="2" t="n">
        <v>2</v>
      </c>
      <c r="C36" s="2" t="inlineStr">
        <is>
          <t>Oil futures</t>
        </is>
      </c>
      <c r="D36" s="2" t="inlineStr">
        <is>
          <t>XB1 Comdty</t>
        </is>
      </c>
      <c r="E36" s="2" t="inlineStr">
        <is>
          <t>RBOB gasoline, front</t>
        </is>
      </c>
      <c r="F36" s="4">
        <f>HYPERLINK("#'XB1 Comdty'!A4","Go")</f>
        <v/>
      </c>
      <c r="G36" s="2">
        <f>COUNTA('XB1 Comdty'!A5:A20000)</f>
        <v/>
      </c>
      <c r="H36" s="2">
        <f>IF(G36&gt;0,"Done","To do")</f>
        <v/>
      </c>
    </row>
    <row r="37">
      <c r="A37" s="2" t="n">
        <v>28</v>
      </c>
      <c r="B37" s="2" t="n">
        <v>2</v>
      </c>
      <c r="C37" s="2" t="inlineStr">
        <is>
          <t>Oil futures</t>
        </is>
      </c>
      <c r="D37" s="2" t="inlineStr">
        <is>
          <t>QM1 Comdty</t>
        </is>
      </c>
      <c r="E37" s="2" t="inlineStr">
        <is>
          <t>E-mini WTI, front</t>
        </is>
      </c>
      <c r="F37" s="4">
        <f>HYPERLINK("#'QM1 Comdty'!A4","Go")</f>
        <v/>
      </c>
      <c r="G37" s="2">
        <f>COUNTA('QM1 Comdty'!A5:A20000)</f>
        <v/>
      </c>
      <c r="H37" s="2">
        <f>IF(G37&gt;0,"Done","To do")</f>
        <v/>
      </c>
    </row>
    <row r="38">
      <c r="A38" s="2" t="n">
        <v>29</v>
      </c>
      <c r="B38" s="2" t="n">
        <v>2</v>
      </c>
      <c r="C38" s="2" t="inlineStr">
        <is>
          <t>Oil futures</t>
        </is>
      </c>
      <c r="D38" s="2" t="inlineStr">
        <is>
          <t>NG1 Comdty</t>
        </is>
      </c>
      <c r="E38" s="2" t="inlineStr">
        <is>
          <t>Henry Hub natural gas, front</t>
        </is>
      </c>
      <c r="F38" s="4">
        <f>HYPERLINK("#'NG1 Comdty'!A4","Go")</f>
        <v/>
      </c>
      <c r="G38" s="2">
        <f>COUNTA('NG1 Comdty'!A5:A20000)</f>
        <v/>
      </c>
      <c r="H38" s="2">
        <f>IF(G38&gt;0,"Done","To do")</f>
        <v/>
      </c>
    </row>
    <row r="39">
      <c r="A39" s="2" t="n">
        <v>30</v>
      </c>
      <c r="B39" s="2" t="n">
        <v>2</v>
      </c>
      <c r="C39" s="2" t="inlineStr">
        <is>
          <t>Oil stocks/ETFs</t>
        </is>
      </c>
      <c r="D39" s="2" t="inlineStr">
        <is>
          <t>BNO US Equity</t>
        </is>
      </c>
      <c r="E39" s="2" t="inlineStr">
        <is>
          <t>US Brent Oil Fund</t>
        </is>
      </c>
      <c r="F39" s="4">
        <f>HYPERLINK("#'BNO US Equity'!A4","Go")</f>
        <v/>
      </c>
      <c r="G39" s="2">
        <f>COUNTA('BNO US Equity'!A5:A20000)</f>
        <v/>
      </c>
      <c r="H39" s="2">
        <f>IF(G39&gt;0,"Done","To do")</f>
        <v/>
      </c>
    </row>
    <row r="40">
      <c r="A40" s="2" t="n">
        <v>31</v>
      </c>
      <c r="B40" s="2" t="n">
        <v>2</v>
      </c>
      <c r="C40" s="2" t="inlineStr">
        <is>
          <t>Oil stocks/ETFs</t>
        </is>
      </c>
      <c r="D40" s="2" t="inlineStr">
        <is>
          <t>USL US Equity</t>
        </is>
      </c>
      <c r="E40" s="2" t="inlineStr">
        <is>
          <t>US 12-Month Oil Fund</t>
        </is>
      </c>
      <c r="F40" s="4">
        <f>HYPERLINK("#'USL US Equity'!A4","Go")</f>
        <v/>
      </c>
      <c r="G40" s="2">
        <f>COUNTA('USL US Equity'!A5:A20000)</f>
        <v/>
      </c>
      <c r="H40" s="2">
        <f>IF(G40&gt;0,"Done","To do")</f>
        <v/>
      </c>
    </row>
    <row r="41">
      <c r="A41" s="2" t="n">
        <v>32</v>
      </c>
      <c r="B41" s="2" t="n">
        <v>2</v>
      </c>
      <c r="C41" s="2" t="inlineStr">
        <is>
          <t>Oil stocks/ETFs</t>
        </is>
      </c>
      <c r="D41" s="2" t="inlineStr">
        <is>
          <t>DBO US Equity</t>
        </is>
      </c>
      <c r="E41" s="2" t="inlineStr">
        <is>
          <t>Invesco DB Oil</t>
        </is>
      </c>
      <c r="F41" s="4">
        <f>HYPERLINK("#'DBO US Equity'!A4","Go")</f>
        <v/>
      </c>
      <c r="G41" s="2">
        <f>COUNTA('DBO US Equity'!A5:A20000)</f>
        <v/>
      </c>
      <c r="H41" s="2">
        <f>IF(G41&gt;0,"Done","To do")</f>
        <v/>
      </c>
    </row>
    <row r="42">
      <c r="A42" s="2" t="n">
        <v>33</v>
      </c>
      <c r="B42" s="2" t="n">
        <v>2</v>
      </c>
      <c r="C42" s="2" t="inlineStr">
        <is>
          <t>Oil stocks/ETFs</t>
        </is>
      </c>
      <c r="D42" s="2" t="inlineStr">
        <is>
          <t>UCO US Equity</t>
        </is>
      </c>
      <c r="E42" s="2" t="inlineStr">
        <is>
          <t>ProShares 2x crude</t>
        </is>
      </c>
      <c r="F42" s="4">
        <f>HYPERLINK("#'UCO US Equity'!A4","Go")</f>
        <v/>
      </c>
      <c r="G42" s="2">
        <f>COUNTA('UCO US Equity'!A5:A20000)</f>
        <v/>
      </c>
      <c r="H42" s="2">
        <f>IF(G42&gt;0,"Done","To do")</f>
        <v/>
      </c>
    </row>
    <row r="43">
      <c r="A43" s="2" t="n">
        <v>34</v>
      </c>
      <c r="B43" s="2" t="n">
        <v>2</v>
      </c>
      <c r="C43" s="2" t="inlineStr">
        <is>
          <t>Oil stocks/ETFs</t>
        </is>
      </c>
      <c r="D43" s="2" t="inlineStr">
        <is>
          <t>SCO US Equity</t>
        </is>
      </c>
      <c r="E43" s="2" t="inlineStr">
        <is>
          <t>ProShares -2x crude</t>
        </is>
      </c>
      <c r="F43" s="4">
        <f>HYPERLINK("#'SCO US Equity'!A4","Go")</f>
        <v/>
      </c>
      <c r="G43" s="2">
        <f>COUNTA('SCO US Equity'!A5:A20000)</f>
        <v/>
      </c>
      <c r="H43" s="2">
        <f>IF(G43&gt;0,"Done","To do")</f>
        <v/>
      </c>
    </row>
    <row r="44">
      <c r="A44" s="2" t="n">
        <v>35</v>
      </c>
      <c r="B44" s="2" t="n">
        <v>2</v>
      </c>
      <c r="C44" s="2" t="inlineStr">
        <is>
          <t>Oil stocks/ETFs</t>
        </is>
      </c>
      <c r="D44" s="2" t="inlineStr">
        <is>
          <t>XOP US Equity</t>
        </is>
      </c>
      <c r="E44" s="2" t="inlineStr">
        <is>
          <t>S&amp;P Oil &amp; Gas E&amp;P ETF</t>
        </is>
      </c>
      <c r="F44" s="4">
        <f>HYPERLINK("#'XOP US Equity'!A4","Go")</f>
        <v/>
      </c>
      <c r="G44" s="2">
        <f>COUNTA('XOP US Equity'!A5:A20000)</f>
        <v/>
      </c>
      <c r="H44" s="2">
        <f>IF(G44&gt;0,"Done","To do")</f>
        <v/>
      </c>
    </row>
    <row r="45">
      <c r="A45" s="2" t="n">
        <v>36</v>
      </c>
      <c r="B45" s="2" t="n">
        <v>2</v>
      </c>
      <c r="C45" s="2" t="inlineStr">
        <is>
          <t>Oil stocks/ETFs</t>
        </is>
      </c>
      <c r="D45" s="2" t="inlineStr">
        <is>
          <t>OIH US Equity</t>
        </is>
      </c>
      <c r="E45" s="2" t="inlineStr">
        <is>
          <t>Oil services ETF</t>
        </is>
      </c>
      <c r="F45" s="4">
        <f>HYPERLINK("#'OIH US Equity'!A4","Go")</f>
        <v/>
      </c>
      <c r="G45" s="2">
        <f>COUNTA('OIH US Equity'!A5:A20000)</f>
        <v/>
      </c>
      <c r="H45" s="2">
        <f>IF(G45&gt;0,"Done","To do")</f>
        <v/>
      </c>
    </row>
    <row r="46">
      <c r="A46" s="2" t="n">
        <v>37</v>
      </c>
      <c r="B46" s="2" t="n">
        <v>2</v>
      </c>
      <c r="C46" s="2" t="inlineStr">
        <is>
          <t>Oil stocks/ETFs</t>
        </is>
      </c>
      <c r="D46" s="2" t="inlineStr">
        <is>
          <t>VDE US Equity</t>
        </is>
      </c>
      <c r="E46" s="2" t="inlineStr">
        <is>
          <t>Vanguard energy ETF</t>
        </is>
      </c>
      <c r="F46" s="4">
        <f>HYPERLINK("#'VDE US Equity'!A4","Go")</f>
        <v/>
      </c>
      <c r="G46" s="2">
        <f>COUNTA('VDE US Equity'!A5:A20000)</f>
        <v/>
      </c>
      <c r="H46" s="2">
        <f>IF(G46&gt;0,"Done","To do")</f>
        <v/>
      </c>
    </row>
    <row r="47">
      <c r="A47" s="2" t="n">
        <v>38</v>
      </c>
      <c r="B47" s="2" t="n">
        <v>2</v>
      </c>
      <c r="C47" s="2" t="inlineStr">
        <is>
          <t>Oil stocks/ETFs</t>
        </is>
      </c>
      <c r="D47" s="2" t="inlineStr">
        <is>
          <t>CRAK US Equity</t>
        </is>
      </c>
      <c r="E47" s="2" t="inlineStr">
        <is>
          <t>Oil refiners ETF</t>
        </is>
      </c>
      <c r="F47" s="4">
        <f>HYPERLINK("#'CRAK US Equity'!A4","Go")</f>
        <v/>
      </c>
      <c r="G47" s="2">
        <f>COUNTA('CRAK US Equity'!A5:A20000)</f>
        <v/>
      </c>
      <c r="H47" s="2">
        <f>IF(G47&gt;0,"Done","To do")</f>
        <v/>
      </c>
    </row>
    <row r="48">
      <c r="A48" s="2" t="n">
        <v>39</v>
      </c>
      <c r="B48" s="2" t="n">
        <v>2</v>
      </c>
      <c r="C48" s="2" t="inlineStr">
        <is>
          <t>Oil stocks/ETFs</t>
        </is>
      </c>
      <c r="D48" s="2" t="inlineStr">
        <is>
          <t>XOM US Equity</t>
        </is>
      </c>
      <c r="E48" s="2" t="inlineStr">
        <is>
          <t>ExxonMobil</t>
        </is>
      </c>
      <c r="F48" s="4">
        <f>HYPERLINK("#'XOM US Equity'!A4","Go")</f>
        <v/>
      </c>
      <c r="G48" s="2">
        <f>COUNTA('XOM US Equity'!A5:A20000)</f>
        <v/>
      </c>
      <c r="H48" s="2">
        <f>IF(G48&gt;0,"Done","To do")</f>
        <v/>
      </c>
    </row>
    <row r="49">
      <c r="A49" s="2" t="n">
        <v>40</v>
      </c>
      <c r="B49" s="2" t="n">
        <v>2</v>
      </c>
      <c r="C49" s="2" t="inlineStr">
        <is>
          <t>Oil stocks/ETFs</t>
        </is>
      </c>
      <c r="D49" s="2" t="inlineStr">
        <is>
          <t>CVX US Equity</t>
        </is>
      </c>
      <c r="E49" s="2" t="inlineStr">
        <is>
          <t>Chevron</t>
        </is>
      </c>
      <c r="F49" s="4">
        <f>HYPERLINK("#'CVX US Equity'!A4","Go")</f>
        <v/>
      </c>
      <c r="G49" s="2">
        <f>COUNTA('CVX US Equity'!A5:A20000)</f>
        <v/>
      </c>
      <c r="H49" s="2">
        <f>IF(G49&gt;0,"Done","To do")</f>
        <v/>
      </c>
    </row>
    <row r="50">
      <c r="A50" s="2" t="n">
        <v>41</v>
      </c>
      <c r="B50" s="2" t="n">
        <v>2</v>
      </c>
      <c r="C50" s="2" t="inlineStr">
        <is>
          <t>Oil stocks/ETFs</t>
        </is>
      </c>
      <c r="D50" s="2" t="inlineStr">
        <is>
          <t>COP US Equity</t>
        </is>
      </c>
      <c r="E50" s="2" t="inlineStr">
        <is>
          <t>ConocoPhillips</t>
        </is>
      </c>
      <c r="F50" s="4">
        <f>HYPERLINK("#'COP US Equity'!A4","Go")</f>
        <v/>
      </c>
      <c r="G50" s="2">
        <f>COUNTA('COP US Equity'!A5:A20000)</f>
        <v/>
      </c>
      <c r="H50" s="2">
        <f>IF(G50&gt;0,"Done","To do")</f>
        <v/>
      </c>
    </row>
    <row r="51">
      <c r="A51" s="2" t="n">
        <v>42</v>
      </c>
      <c r="B51" s="2" t="n">
        <v>2</v>
      </c>
      <c r="C51" s="2" t="inlineStr">
        <is>
          <t>Oil stocks/ETFs</t>
        </is>
      </c>
      <c r="D51" s="2" t="inlineStr">
        <is>
          <t>OXY US Equity</t>
        </is>
      </c>
      <c r="E51" s="2" t="inlineStr">
        <is>
          <t>Occidental</t>
        </is>
      </c>
      <c r="F51" s="4">
        <f>HYPERLINK("#'OXY US Equity'!A4","Go")</f>
        <v/>
      </c>
      <c r="G51" s="2">
        <f>COUNTA('OXY US Equity'!A5:A20000)</f>
        <v/>
      </c>
      <c r="H51" s="2">
        <f>IF(G51&gt;0,"Done","To do")</f>
        <v/>
      </c>
    </row>
    <row r="52">
      <c r="A52" s="2" t="n">
        <v>43</v>
      </c>
      <c r="B52" s="2" t="n">
        <v>2</v>
      </c>
      <c r="C52" s="2" t="inlineStr">
        <is>
          <t>Oil stocks/ETFs</t>
        </is>
      </c>
      <c r="D52" s="2" t="inlineStr">
        <is>
          <t>EOG US Equity</t>
        </is>
      </c>
      <c r="E52" s="2" t="inlineStr">
        <is>
          <t>EOG Resources</t>
        </is>
      </c>
      <c r="F52" s="4">
        <f>HYPERLINK("#'EOG US Equity'!A4","Go")</f>
        <v/>
      </c>
      <c r="G52" s="2">
        <f>COUNTA('EOG US Equity'!A5:A20000)</f>
        <v/>
      </c>
      <c r="H52" s="2">
        <f>IF(G52&gt;0,"Done","To do")</f>
        <v/>
      </c>
    </row>
    <row r="53">
      <c r="A53" s="2" t="n">
        <v>44</v>
      </c>
      <c r="B53" s="2" t="n">
        <v>2</v>
      </c>
      <c r="C53" s="2" t="inlineStr">
        <is>
          <t>Oil stocks/ETFs</t>
        </is>
      </c>
      <c r="D53" s="2" t="inlineStr">
        <is>
          <t>DVN US Equity</t>
        </is>
      </c>
      <c r="E53" s="2" t="inlineStr">
        <is>
          <t>Devon</t>
        </is>
      </c>
      <c r="F53" s="4">
        <f>HYPERLINK("#'DVN US Equity'!A4","Go")</f>
        <v/>
      </c>
      <c r="G53" s="2">
        <f>COUNTA('DVN US Equity'!A5:A20000)</f>
        <v/>
      </c>
      <c r="H53" s="2">
        <f>IF(G53&gt;0,"Done","To do")</f>
        <v/>
      </c>
    </row>
    <row r="54">
      <c r="A54" s="2" t="n">
        <v>45</v>
      </c>
      <c r="B54" s="2" t="n">
        <v>2</v>
      </c>
      <c r="C54" s="2" t="inlineStr">
        <is>
          <t>Oil stocks/ETFs</t>
        </is>
      </c>
      <c r="D54" s="2" t="inlineStr">
        <is>
          <t>FANG US Equity</t>
        </is>
      </c>
      <c r="E54" s="2" t="inlineStr">
        <is>
          <t>Diamondback</t>
        </is>
      </c>
      <c r="F54" s="4">
        <f>HYPERLINK("#'FANG US Equity'!A4","Go")</f>
        <v/>
      </c>
      <c r="G54" s="2">
        <f>COUNTA('FANG US Equity'!A5:A20000)</f>
        <v/>
      </c>
      <c r="H54" s="2">
        <f>IF(G54&gt;0,"Done","To do")</f>
        <v/>
      </c>
    </row>
    <row r="55">
      <c r="A55" s="2" t="n">
        <v>46</v>
      </c>
      <c r="B55" s="2" t="n">
        <v>2</v>
      </c>
      <c r="C55" s="2" t="inlineStr">
        <is>
          <t>Oil stocks/ETFs</t>
        </is>
      </c>
      <c r="D55" s="2" t="inlineStr">
        <is>
          <t>APA US Equity</t>
        </is>
      </c>
      <c r="E55" s="2" t="inlineStr">
        <is>
          <t>APA Corp</t>
        </is>
      </c>
      <c r="F55" s="4">
        <f>HYPERLINK("#'APA US Equity'!A4","Go")</f>
        <v/>
      </c>
      <c r="G55" s="2">
        <f>COUNTA('APA US Equity'!A5:A20000)</f>
        <v/>
      </c>
      <c r="H55" s="2">
        <f>IF(G55&gt;0,"Done","To do")</f>
        <v/>
      </c>
    </row>
    <row r="56">
      <c r="A56" s="2" t="n">
        <v>47</v>
      </c>
      <c r="B56" s="2" t="n">
        <v>2</v>
      </c>
      <c r="C56" s="2" t="inlineStr">
        <is>
          <t>Oil stocks/ETFs</t>
        </is>
      </c>
      <c r="D56" s="2" t="inlineStr">
        <is>
          <t>DAL US Equity</t>
        </is>
      </c>
      <c r="E56" s="2" t="inlineStr">
        <is>
          <t>Delta Air Lines</t>
        </is>
      </c>
      <c r="F56" s="4">
        <f>HYPERLINK("#'DAL US Equity'!A4","Go")</f>
        <v/>
      </c>
      <c r="G56" s="2">
        <f>COUNTA('DAL US Equity'!A5:A20000)</f>
        <v/>
      </c>
      <c r="H56" s="2">
        <f>IF(G56&gt;0,"Done","To do")</f>
        <v/>
      </c>
    </row>
    <row r="57">
      <c r="A57" s="2" t="n">
        <v>48</v>
      </c>
      <c r="B57" s="2" t="n">
        <v>2</v>
      </c>
      <c r="C57" s="2" t="inlineStr">
        <is>
          <t>Oil stocks/ETFs</t>
        </is>
      </c>
      <c r="D57" s="2" t="inlineStr">
        <is>
          <t>UAL US Equity</t>
        </is>
      </c>
      <c r="E57" s="2" t="inlineStr">
        <is>
          <t>United Airlines</t>
        </is>
      </c>
      <c r="F57" s="4">
        <f>HYPERLINK("#'UAL US Equity'!A4","Go")</f>
        <v/>
      </c>
      <c r="G57" s="2">
        <f>COUNTA('UAL US Equity'!A5:A20000)</f>
        <v/>
      </c>
      <c r="H57" s="2">
        <f>IF(G57&gt;0,"Done","To do")</f>
        <v/>
      </c>
    </row>
    <row r="58">
      <c r="A58" s="2" t="n">
        <v>49</v>
      </c>
      <c r="B58" s="2" t="n">
        <v>2</v>
      </c>
      <c r="C58" s="2" t="inlineStr">
        <is>
          <t>Oil stocks/ETFs</t>
        </is>
      </c>
      <c r="D58" s="2" t="inlineStr">
        <is>
          <t>AAL US Equity</t>
        </is>
      </c>
      <c r="E58" s="2" t="inlineStr">
        <is>
          <t>American Airlines</t>
        </is>
      </c>
      <c r="F58" s="4">
        <f>HYPERLINK("#'AAL US Equity'!A4","Go")</f>
        <v/>
      </c>
      <c r="G58" s="2">
        <f>COUNTA('AAL US Equity'!A5:A20000)</f>
        <v/>
      </c>
      <c r="H58" s="2">
        <f>IF(G58&gt;0,"Done","To do")</f>
        <v/>
      </c>
    </row>
    <row r="59">
      <c r="A59" s="2" t="n">
        <v>50</v>
      </c>
      <c r="B59" s="2" t="n">
        <v>2</v>
      </c>
      <c r="C59" s="2" t="inlineStr">
        <is>
          <t>Oil stocks/ETFs</t>
        </is>
      </c>
      <c r="D59" s="2" t="inlineStr">
        <is>
          <t>LUV US Equity</t>
        </is>
      </c>
      <c r="E59" s="2" t="inlineStr">
        <is>
          <t>Southwest</t>
        </is>
      </c>
      <c r="F59" s="4">
        <f>HYPERLINK("#'LUV US Equity'!A4","Go")</f>
        <v/>
      </c>
      <c r="G59" s="2">
        <f>COUNTA('LUV US Equity'!A5:A20000)</f>
        <v/>
      </c>
      <c r="H59" s="2">
        <f>IF(G59&gt;0,"Done","To do")</f>
        <v/>
      </c>
    </row>
    <row r="60">
      <c r="A60" s="2" t="n">
        <v>51</v>
      </c>
      <c r="B60" s="2" t="n">
        <v>2</v>
      </c>
      <c r="C60" s="2" t="inlineStr">
        <is>
          <t>Oil stocks/ETFs</t>
        </is>
      </c>
      <c r="D60" s="2" t="inlineStr">
        <is>
          <t>JETS US Equity</t>
        </is>
      </c>
      <c r="E60" s="2" t="inlineStr">
        <is>
          <t>Airlines ETF</t>
        </is>
      </c>
      <c r="F60" s="4">
        <f>HYPERLINK("#'JETS US Equity'!A4","Go")</f>
        <v/>
      </c>
      <c r="G60" s="2">
        <f>COUNTA('JETS US Equity'!A5:A20000)</f>
        <v/>
      </c>
      <c r="H60" s="2">
        <f>IF(G60&gt;0,"Done","To do")</f>
        <v/>
      </c>
    </row>
    <row r="61">
      <c r="A61" s="2" t="n">
        <v>52</v>
      </c>
      <c r="B61" s="2" t="n">
        <v>2</v>
      </c>
      <c r="C61" s="2" t="inlineStr">
        <is>
          <t>Oil stocks/ETFs</t>
        </is>
      </c>
      <c r="D61" s="2" t="inlineStr">
        <is>
          <t>SPY US Equity</t>
        </is>
      </c>
      <c r="E61" s="2" t="inlineStr">
        <is>
          <t>S&amp;P 500 ETF</t>
        </is>
      </c>
      <c r="F61" s="4">
        <f>HYPERLINK("#'SPY US Equity'!A4","Go")</f>
        <v/>
      </c>
      <c r="G61" s="2">
        <f>COUNTA('SPY US Equity'!A5:A20000)</f>
        <v/>
      </c>
      <c r="H61" s="2">
        <f>IF(G61&gt;0,"Done","To do")</f>
        <v/>
      </c>
    </row>
    <row r="62">
      <c r="A62" s="2" t="n">
        <v>53</v>
      </c>
      <c r="B62" s="2" t="n">
        <v>2</v>
      </c>
      <c r="C62" s="2" t="inlineStr">
        <is>
          <t>Macro</t>
        </is>
      </c>
      <c r="D62" s="2" t="inlineStr">
        <is>
          <t>SPX Index</t>
        </is>
      </c>
      <c r="E62" s="2" t="inlineStr">
        <is>
          <t>S&amp;P 500</t>
        </is>
      </c>
      <c r="F62" s="4">
        <f>HYPERLINK("#'SPX Index'!A4","Go")</f>
        <v/>
      </c>
      <c r="G62" s="2">
        <f>COUNTA('SPX Index'!A5:A20000)</f>
        <v/>
      </c>
      <c r="H62" s="2">
        <f>IF(G62&gt;0,"Done","To do")</f>
        <v/>
      </c>
    </row>
    <row r="63">
      <c r="A63" s="2" t="n">
        <v>54</v>
      </c>
      <c r="B63" s="2" t="n">
        <v>2</v>
      </c>
      <c r="C63" s="2" t="inlineStr">
        <is>
          <t>Macro</t>
        </is>
      </c>
      <c r="D63" s="2" t="inlineStr">
        <is>
          <t>USGG1YR Index</t>
        </is>
      </c>
      <c r="E63" s="2" t="inlineStr">
        <is>
          <t>US 1-year Treasury yield</t>
        </is>
      </c>
      <c r="F63" s="4">
        <f>HYPERLINK("#'USGG1YR Index'!A4","Go")</f>
        <v/>
      </c>
      <c r="G63" s="2">
        <f>COUNTA('USGG1YR Index'!A5:A20000)</f>
        <v/>
      </c>
      <c r="H63" s="2">
        <f>IF(G63&gt;0,"Done","To do")</f>
        <v/>
      </c>
    </row>
    <row r="64">
      <c r="A64" s="2" t="n">
        <v>55</v>
      </c>
      <c r="B64" s="2" t="n">
        <v>2</v>
      </c>
      <c r="C64" s="2" t="inlineStr">
        <is>
          <t>Macro</t>
        </is>
      </c>
      <c r="D64" s="2" t="inlineStr">
        <is>
          <t>USGG2YR Index</t>
        </is>
      </c>
      <c r="E64" s="2" t="inlineStr">
        <is>
          <t>US 2-year Treasury yield</t>
        </is>
      </c>
      <c r="F64" s="4">
        <f>HYPERLINK("#'USGG2YR Index'!A4","Go")</f>
        <v/>
      </c>
      <c r="G64" s="2">
        <f>COUNTA('USGG2YR Index'!A5:A20000)</f>
        <v/>
      </c>
      <c r="H64" s="2">
        <f>IF(G64&gt;0,"Done","To do")</f>
        <v/>
      </c>
    </row>
    <row r="65">
      <c r="A65" s="2" t="n">
        <v>56</v>
      </c>
      <c r="B65" s="2" t="n">
        <v>2</v>
      </c>
      <c r="C65" s="2" t="inlineStr">
        <is>
          <t>Macro</t>
        </is>
      </c>
      <c r="D65" s="2" t="inlineStr">
        <is>
          <t>DXY Curncy</t>
        </is>
      </c>
      <c r="E65" s="2" t="inlineStr">
        <is>
          <t>US dollar index</t>
        </is>
      </c>
      <c r="F65" s="4">
        <f>HYPERLINK("#'DXY Curncy'!A4","Go")</f>
        <v/>
      </c>
      <c r="G65" s="2">
        <f>COUNTA('DXY Curncy'!A5:A20000)</f>
        <v/>
      </c>
      <c r="H65" s="2">
        <f>IF(G65&gt;0,"Done","To do")</f>
        <v/>
      </c>
    </row>
    <row r="66">
      <c r="A66" s="2" t="n">
        <v>57</v>
      </c>
      <c r="B66" s="2" t="n">
        <v>2</v>
      </c>
      <c r="C66" s="2" t="inlineStr">
        <is>
          <t>Yen</t>
        </is>
      </c>
      <c r="D66" s="2" t="inlineStr">
        <is>
          <t>USDJPYV1W Curncy</t>
        </is>
      </c>
      <c r="E66" s="2" t="inlineStr">
        <is>
          <t>1-week ATM implied vol</t>
        </is>
      </c>
      <c r="F66" s="4">
        <f>HYPERLINK("#'USDJPYV1W Curncy'!A4","Go")</f>
        <v/>
      </c>
      <c r="G66" s="2">
        <f>COUNTA('USDJPYV1W Curncy'!A5:A20000)</f>
        <v/>
      </c>
      <c r="H66" s="2">
        <f>IF(G66&gt;0,"Done","To do")</f>
        <v/>
      </c>
    </row>
    <row r="67">
      <c r="A67" s="2" t="n">
        <v>58</v>
      </c>
      <c r="B67" s="2" t="n">
        <v>2</v>
      </c>
      <c r="C67" s="2" t="inlineStr">
        <is>
          <t>Yen</t>
        </is>
      </c>
      <c r="D67" s="2" t="inlineStr">
        <is>
          <t>USDJPYV3M Curncy</t>
        </is>
      </c>
      <c r="E67" s="2" t="inlineStr">
        <is>
          <t>3-month ATM implied vol</t>
        </is>
      </c>
      <c r="F67" s="4">
        <f>HYPERLINK("#'USDJPYV3M Curncy'!A4","Go")</f>
        <v/>
      </c>
      <c r="G67" s="2">
        <f>COUNTA('USDJPYV3M Curncy'!A5:A20000)</f>
        <v/>
      </c>
      <c r="H67" s="2">
        <f>IF(G67&gt;0,"Done","To do")</f>
        <v/>
      </c>
    </row>
    <row r="68">
      <c r="A68" s="2" t="n">
        <v>59</v>
      </c>
      <c r="B68" s="2" t="n">
        <v>2</v>
      </c>
      <c r="C68" s="2" t="inlineStr">
        <is>
          <t>Yen</t>
        </is>
      </c>
      <c r="D68" s="2" t="inlineStr">
        <is>
          <t>USDJPY25R1M Curncy</t>
        </is>
      </c>
      <c r="E68" s="2" t="inlineStr">
        <is>
          <t>1-month 25-delta risk reversal</t>
        </is>
      </c>
      <c r="F68" s="4">
        <f>HYPERLINK("#'USDJPY25R1M Curncy'!A4","Go")</f>
        <v/>
      </c>
      <c r="G68" s="2">
        <f>COUNTA('USDJPY25R1M Curncy'!A5:A20000)</f>
        <v/>
      </c>
      <c r="H68" s="2">
        <f>IF(G68&gt;0,"Done","To do")</f>
        <v/>
      </c>
    </row>
    <row r="69">
      <c r="A69" s="2" t="n">
        <v>60</v>
      </c>
      <c r="B69" s="2" t="n">
        <v>2</v>
      </c>
      <c r="C69" s="2" t="inlineStr">
        <is>
          <t>Yen</t>
        </is>
      </c>
      <c r="D69" s="2" t="inlineStr">
        <is>
          <t>USDJPY25B1M Curncy</t>
        </is>
      </c>
      <c r="E69" s="2" t="inlineStr">
        <is>
          <t>1-month 25-delta butterfly</t>
        </is>
      </c>
      <c r="F69" s="4">
        <f>HYPERLINK("#'USDJPY25B1M Curncy'!A4","Go")</f>
        <v/>
      </c>
      <c r="G69" s="2">
        <f>COUNTA('USDJPY25B1M Curncy'!A5:A20000)</f>
        <v/>
      </c>
      <c r="H69" s="2">
        <f>IF(G69&gt;0,"Done","To do")</f>
        <v/>
      </c>
    </row>
    <row r="70">
      <c r="A70" s="2" t="n">
        <v>61</v>
      </c>
      <c r="B70" s="2" t="n">
        <v>2</v>
      </c>
      <c r="C70" s="2" t="inlineStr">
        <is>
          <t>Yen</t>
        </is>
      </c>
      <c r="D70" s="2" t="inlineStr">
        <is>
          <t>USDJPY10R1M Curncy</t>
        </is>
      </c>
      <c r="E70" s="2" t="inlineStr">
        <is>
          <t>1-month 10-delta risk reversal</t>
        </is>
      </c>
      <c r="F70" s="4">
        <f>HYPERLINK("#'USDJPY10R1M Curncy'!A4","Go")</f>
        <v/>
      </c>
      <c r="G70" s="2">
        <f>COUNTA('USDJPY10R1M Curncy'!A5:A20000)</f>
        <v/>
      </c>
      <c r="H70" s="2">
        <f>IF(G70&gt;0,"Done","To do")</f>
        <v/>
      </c>
    </row>
    <row r="71">
      <c r="A71" s="2" t="n">
        <v>62</v>
      </c>
      <c r="B71" s="2" t="n">
        <v>2</v>
      </c>
      <c r="C71" s="2" t="inlineStr">
        <is>
          <t>Yen</t>
        </is>
      </c>
      <c r="D71" s="2" t="inlineStr">
        <is>
          <t>USDJPY10B1M Curncy</t>
        </is>
      </c>
      <c r="E71" s="2" t="inlineStr">
        <is>
          <t>1-month 10-delta butterfly</t>
        </is>
      </c>
      <c r="F71" s="4">
        <f>HYPERLINK("#'USDJPY10B1M Curncy'!A4","Go")</f>
        <v/>
      </c>
      <c r="G71" s="2">
        <f>COUNTA('USDJPY10B1M Curncy'!A5:A20000)</f>
        <v/>
      </c>
      <c r="H71" s="2">
        <f>IF(G71&gt;0,"Done","To do")</f>
        <v/>
      </c>
    </row>
    <row r="72">
      <c r="A72" s="2" t="n">
        <v>63</v>
      </c>
      <c r="B72" s="2" t="n">
        <v>2</v>
      </c>
      <c r="C72" s="2" t="inlineStr">
        <is>
          <t>Yen</t>
        </is>
      </c>
      <c r="D72" s="2" t="inlineStr">
        <is>
          <t>JPY1M Curncy</t>
        </is>
      </c>
      <c r="E72" s="2" t="inlineStr">
        <is>
          <t>1-month forward points</t>
        </is>
      </c>
      <c r="F72" s="4">
        <f>HYPERLINK("#'JPY1M Curncy'!A4","Go")</f>
        <v/>
      </c>
      <c r="G72" s="2">
        <f>COUNTA('JPY1M Curncy'!A5:A20000)</f>
        <v/>
      </c>
      <c r="H72" s="2">
        <f>IF(G72&gt;0,"Done","To do")</f>
        <v/>
      </c>
    </row>
    <row r="73">
      <c r="A73" s="2" t="n">
        <v>64</v>
      </c>
      <c r="B73" s="2" t="n">
        <v>2</v>
      </c>
      <c r="C73" s="2" t="inlineStr">
        <is>
          <t>Yen</t>
        </is>
      </c>
      <c r="D73" s="2" t="inlineStr">
        <is>
          <t>USDJPYV2W Curncy</t>
        </is>
      </c>
      <c r="E73" s="2" t="inlineStr">
        <is>
          <t>2-week ATM implied vol</t>
        </is>
      </c>
      <c r="F73" s="4">
        <f>HYPERLINK("#'USDJPYV2W Curncy'!A4","Go")</f>
        <v/>
      </c>
      <c r="G73" s="2">
        <f>COUNTA('USDJPYV2W Curncy'!A5:A20000)</f>
        <v/>
      </c>
      <c r="H73" s="2">
        <f>IF(G73&gt;0,"Done","To do")</f>
        <v/>
      </c>
    </row>
    <row r="74">
      <c r="A74" s="2" t="n">
        <v>65</v>
      </c>
      <c r="B74" s="2" t="n">
        <v>2</v>
      </c>
      <c r="C74" s="2" t="inlineStr">
        <is>
          <t>Yen</t>
        </is>
      </c>
      <c r="D74" s="2" t="inlineStr">
        <is>
          <t>USDJPYV2M Curncy</t>
        </is>
      </c>
      <c r="E74" s="2" t="inlineStr">
        <is>
          <t>2-month ATM implied vol</t>
        </is>
      </c>
      <c r="F74" s="4">
        <f>HYPERLINK("#'USDJPYV2M Curncy'!A4","Go")</f>
        <v/>
      </c>
      <c r="G74" s="2">
        <f>COUNTA('USDJPYV2M Curncy'!A5:A20000)</f>
        <v/>
      </c>
      <c r="H74" s="2">
        <f>IF(G74&gt;0,"Done","To do")</f>
        <v/>
      </c>
    </row>
    <row r="75">
      <c r="A75" s="2" t="n">
        <v>66</v>
      </c>
      <c r="B75" s="2" t="n">
        <v>2</v>
      </c>
      <c r="C75" s="2" t="inlineStr">
        <is>
          <t>Yen</t>
        </is>
      </c>
      <c r="D75" s="2" t="inlineStr">
        <is>
          <t>USDJPYV6M Curncy</t>
        </is>
      </c>
      <c r="E75" s="2" t="inlineStr">
        <is>
          <t>6-month ATM implied vol</t>
        </is>
      </c>
      <c r="F75" s="4">
        <f>HYPERLINK("#'USDJPYV6M Curncy'!A4","Go")</f>
        <v/>
      </c>
      <c r="G75" s="2">
        <f>COUNTA('USDJPYV6M Curncy'!A5:A20000)</f>
        <v/>
      </c>
      <c r="H75" s="2">
        <f>IF(G75&gt;0,"Done","To do")</f>
        <v/>
      </c>
    </row>
    <row r="76">
      <c r="A76" s="2" t="n">
        <v>67</v>
      </c>
      <c r="B76" s="2" t="n">
        <v>2</v>
      </c>
      <c r="C76" s="2" t="inlineStr">
        <is>
          <t>Yen</t>
        </is>
      </c>
      <c r="D76" s="2" t="inlineStr">
        <is>
          <t>USDJPYV1Y Curncy</t>
        </is>
      </c>
      <c r="E76" s="2" t="inlineStr">
        <is>
          <t>1-year ATM implied vol</t>
        </is>
      </c>
      <c r="F76" s="4">
        <f>HYPERLINK("#'USDJPYV1Y Curncy'!A4","Go")</f>
        <v/>
      </c>
      <c r="G76" s="2">
        <f>COUNTA('USDJPYV1Y Curncy'!A5:A20000)</f>
        <v/>
      </c>
      <c r="H76" s="2">
        <f>IF(G76&gt;0,"Done","To do")</f>
        <v/>
      </c>
    </row>
    <row r="77">
      <c r="A77" s="2" t="n">
        <v>68</v>
      </c>
      <c r="B77" s="2" t="n">
        <v>2</v>
      </c>
      <c r="C77" s="2" t="inlineStr">
        <is>
          <t>Yen</t>
        </is>
      </c>
      <c r="D77" s="2" t="inlineStr">
        <is>
          <t>USDJPY25R1W Curncy</t>
        </is>
      </c>
      <c r="E77" s="2" t="inlineStr">
        <is>
          <t>1-week 25-delta risk reversal</t>
        </is>
      </c>
      <c r="F77" s="4">
        <f>HYPERLINK("#'USDJPY25R1W Curncy'!A4","Go")</f>
        <v/>
      </c>
      <c r="G77" s="2">
        <f>COUNTA('USDJPY25R1W Curncy'!A5:A20000)</f>
        <v/>
      </c>
      <c r="H77" s="2">
        <f>IF(G77&gt;0,"Done","To do")</f>
        <v/>
      </c>
    </row>
    <row r="78">
      <c r="A78" s="2" t="n">
        <v>69</v>
      </c>
      <c r="B78" s="2" t="n">
        <v>2</v>
      </c>
      <c r="C78" s="2" t="inlineStr">
        <is>
          <t>Yen</t>
        </is>
      </c>
      <c r="D78" s="2" t="inlineStr">
        <is>
          <t>USDJPY25R3M Curncy</t>
        </is>
      </c>
      <c r="E78" s="2" t="inlineStr">
        <is>
          <t>3-month 25-delta risk reversal</t>
        </is>
      </c>
      <c r="F78" s="4">
        <f>HYPERLINK("#'USDJPY25R3M Curncy'!A4","Go")</f>
        <v/>
      </c>
      <c r="G78" s="2">
        <f>COUNTA('USDJPY25R3M Curncy'!A5:A20000)</f>
        <v/>
      </c>
      <c r="H78" s="2">
        <f>IF(G78&gt;0,"Done","To do")</f>
        <v/>
      </c>
    </row>
    <row r="79">
      <c r="A79" s="2" t="n">
        <v>70</v>
      </c>
      <c r="B79" s="2" t="n">
        <v>2</v>
      </c>
      <c r="C79" s="2" t="inlineStr">
        <is>
          <t>Yen</t>
        </is>
      </c>
      <c r="D79" s="2" t="inlineStr">
        <is>
          <t>USDJPY25B3M Curncy</t>
        </is>
      </c>
      <c r="E79" s="2" t="inlineStr">
        <is>
          <t>3-month 25-delta butterfly</t>
        </is>
      </c>
      <c r="F79" s="4">
        <f>HYPERLINK("#'USDJPY25B3M Curncy'!A4","Go")</f>
        <v/>
      </c>
      <c r="G79" s="2">
        <f>COUNTA('USDJPY25B3M Curncy'!A5:A20000)</f>
        <v/>
      </c>
      <c r="H79" s="2">
        <f>IF(G79&gt;0,"Done","To do")</f>
        <v/>
      </c>
    </row>
    <row r="80">
      <c r="A80" s="2" t="n">
        <v>71</v>
      </c>
      <c r="B80" s="2" t="n">
        <v>2</v>
      </c>
      <c r="C80" s="2" t="inlineStr">
        <is>
          <t>Yen</t>
        </is>
      </c>
      <c r="D80" s="2" t="inlineStr">
        <is>
          <t>JPY1W Curncy</t>
        </is>
      </c>
      <c r="E80" s="2" t="inlineStr">
        <is>
          <t>1-week forward points</t>
        </is>
      </c>
      <c r="F80" s="4">
        <f>HYPERLINK("#'JPY1W Curncy'!A4","Go")</f>
        <v/>
      </c>
      <c r="G80" s="2">
        <f>COUNTA('JPY1W Curncy'!A5:A20000)</f>
        <v/>
      </c>
      <c r="H80" s="2">
        <f>IF(G80&gt;0,"Done","To do")</f>
        <v/>
      </c>
    </row>
    <row r="81">
      <c r="A81" s="2" t="n">
        <v>72</v>
      </c>
      <c r="B81" s="2" t="n">
        <v>2</v>
      </c>
      <c r="C81" s="2" t="inlineStr">
        <is>
          <t>Yen</t>
        </is>
      </c>
      <c r="D81" s="2" t="inlineStr">
        <is>
          <t>JPY3M Curncy</t>
        </is>
      </c>
      <c r="E81" s="2" t="inlineStr">
        <is>
          <t>3-month forward points</t>
        </is>
      </c>
      <c r="F81" s="4">
        <f>HYPERLINK("#'JPY3M Curncy'!A4","Go")</f>
        <v/>
      </c>
      <c r="G81" s="2">
        <f>COUNTA('JPY3M Curncy'!A5:A20000)</f>
        <v/>
      </c>
      <c r="H81" s="2">
        <f>IF(G81&gt;0,"Done","To do")</f>
        <v/>
      </c>
    </row>
    <row r="82">
      <c r="A82" s="2" t="n">
        <v>73</v>
      </c>
      <c r="B82" s="2" t="n">
        <v>2</v>
      </c>
      <c r="C82" s="2" t="inlineStr">
        <is>
          <t>Yen</t>
        </is>
      </c>
      <c r="D82" s="2" t="inlineStr">
        <is>
          <t>JY1 Curncy</t>
        </is>
      </c>
      <c r="E82" s="2" t="inlineStr">
        <is>
          <t>CME yen futures, front</t>
        </is>
      </c>
      <c r="F82" s="4">
        <f>HYPERLINK("#'JY1 Curncy'!A4","Go")</f>
        <v/>
      </c>
      <c r="G82" s="2">
        <f>COUNTA('JY1 Curncy'!A5:A20000)</f>
        <v/>
      </c>
      <c r="H82" s="2">
        <f>IF(G82&gt;0,"Done","To do")</f>
        <v/>
      </c>
    </row>
    <row r="83">
      <c r="A83" s="2" t="n">
        <v>74</v>
      </c>
      <c r="B83" s="2" t="n">
        <v>2</v>
      </c>
      <c r="C83" s="2" t="inlineStr">
        <is>
          <t>Yen</t>
        </is>
      </c>
      <c r="D83" s="2" t="inlineStr">
        <is>
          <t>JY2 Curncy</t>
        </is>
      </c>
      <c r="E83" s="2" t="inlineStr">
        <is>
          <t>CME yen futures, second</t>
        </is>
      </c>
      <c r="F83" s="4">
        <f>HYPERLINK("#'JY2 Curncy'!A4","Go")</f>
        <v/>
      </c>
      <c r="G83" s="2">
        <f>COUNTA('JY2 Curncy'!A5:A20000)</f>
        <v/>
      </c>
      <c r="H83" s="2">
        <f>IF(G83&gt;0,"Done","To do")</f>
        <v/>
      </c>
    </row>
    <row r="84">
      <c r="A84" s="2" t="n">
        <v>75</v>
      </c>
      <c r="B84" s="2" t="n">
        <v>2</v>
      </c>
      <c r="C84" s="2" t="inlineStr">
        <is>
          <t>Yen</t>
        </is>
      </c>
      <c r="D84" s="2" t="inlineStr">
        <is>
          <t>USGG10YR Index</t>
        </is>
      </c>
      <c r="E84" s="2" t="inlineStr">
        <is>
          <t>US 10-year Treasury yield</t>
        </is>
      </c>
      <c r="F84" s="4">
        <f>HYPERLINK("#'USGG10YR Index'!A4","Go")</f>
        <v/>
      </c>
      <c r="G84" s="2">
        <f>COUNTA('USGG10YR Index'!A5:A20000)</f>
        <v/>
      </c>
      <c r="H84" s="2">
        <f>IF(G84&gt;0,"Done","To do")</f>
        <v/>
      </c>
    </row>
    <row r="85">
      <c r="A85" s="2" t="n">
        <v>76</v>
      </c>
      <c r="B85" s="2" t="n">
        <v>2</v>
      </c>
      <c r="C85" s="2" t="inlineStr">
        <is>
          <t>Yen</t>
        </is>
      </c>
      <c r="D85" s="2" t="inlineStr">
        <is>
          <t>GTJPY2Y Govt</t>
        </is>
      </c>
      <c r="E85" s="2" t="inlineStr">
        <is>
          <t>Japan 2-year JGB yield</t>
        </is>
      </c>
      <c r="F85" s="4">
        <f>HYPERLINK("#'GTJPY2Y Govt'!A4","Go")</f>
        <v/>
      </c>
      <c r="G85" s="2">
        <f>COUNTA('GTJPY2Y Govt'!A5:A20000)</f>
        <v/>
      </c>
      <c r="H85" s="2">
        <f>IF(G85&gt;0,"Done","To do")</f>
        <v/>
      </c>
    </row>
    <row r="86">
      <c r="A86" s="2" t="n">
        <v>77</v>
      </c>
      <c r="B86" s="2" t="n">
        <v>2</v>
      </c>
      <c r="C86" s="2" t="inlineStr">
        <is>
          <t>Yen</t>
        </is>
      </c>
      <c r="D86" s="2" t="inlineStr">
        <is>
          <t>GTJPY10Y Govt</t>
        </is>
      </c>
      <c r="E86" s="2" t="inlineStr">
        <is>
          <t>Japan 10-year JGB yield</t>
        </is>
      </c>
      <c r="F86" s="4">
        <f>HYPERLINK("#'GTJPY10Y Govt'!A4","Go")</f>
        <v/>
      </c>
      <c r="G86" s="2">
        <f>COUNTA('GTJPY10Y Govt'!A5:A20000)</f>
        <v/>
      </c>
      <c r="H86" s="2">
        <f>IF(G86&gt;0,"Done","To do")</f>
        <v/>
      </c>
    </row>
    <row r="87">
      <c r="A87" s="2" t="n">
        <v>78</v>
      </c>
      <c r="B87" s="2" t="n">
        <v>2</v>
      </c>
      <c r="C87" s="2" t="inlineStr">
        <is>
          <t>Extra</t>
        </is>
      </c>
      <c r="D87" s="2">
        <f>IF('Extra 1'!B1="","",'Extra 1'!B1)</f>
        <v/>
      </c>
      <c r="E87" s="2" t="inlineStr">
        <is>
          <t>Extra 1</t>
        </is>
      </c>
      <c r="F87" s="4">
        <f>HYPERLINK("#'Extra 1'!A4","Go")</f>
        <v/>
      </c>
      <c r="G87" s="2">
        <f>COUNTA('Extra 1'!A5:A20000)</f>
        <v/>
      </c>
      <c r="H87" s="2">
        <f>IF(G87&gt;0,"Done","To do")</f>
        <v/>
      </c>
    </row>
    <row r="88">
      <c r="A88" s="2" t="n">
        <v>79</v>
      </c>
      <c r="B88" s="2" t="n">
        <v>2</v>
      </c>
      <c r="C88" s="2" t="inlineStr">
        <is>
          <t>Extra</t>
        </is>
      </c>
      <c r="D88" s="2">
        <f>IF('Extra 2'!B1="","",'Extra 2'!B1)</f>
        <v/>
      </c>
      <c r="E88" s="2" t="inlineStr">
        <is>
          <t>Extra 2</t>
        </is>
      </c>
      <c r="F88" s="4">
        <f>HYPERLINK("#'Extra 2'!A4","Go")</f>
        <v/>
      </c>
      <c r="G88" s="2">
        <f>COUNTA('Extra 2'!A5:A20000)</f>
        <v/>
      </c>
      <c r="H88" s="2">
        <f>IF(G88&gt;0,"Done","To do")</f>
        <v/>
      </c>
    </row>
    <row r="89">
      <c r="A89" s="2" t="n">
        <v>80</v>
      </c>
      <c r="B89" s="2" t="n">
        <v>2</v>
      </c>
      <c r="C89" s="2" t="inlineStr">
        <is>
          <t>Extra</t>
        </is>
      </c>
      <c r="D89" s="2">
        <f>IF('Extra 3'!B1="","",'Extra 3'!B1)</f>
        <v/>
      </c>
      <c r="E89" s="2" t="inlineStr">
        <is>
          <t>Extra 3</t>
        </is>
      </c>
      <c r="F89" s="4">
        <f>HYPERLINK("#'Extra 3'!A4","Go")</f>
        <v/>
      </c>
      <c r="G89" s="2">
        <f>COUNTA('Extra 3'!A5:A20000)</f>
        <v/>
      </c>
      <c r="H89" s="2">
        <f>IF(G89&gt;0,"Done","To do")</f>
        <v/>
      </c>
    </row>
    <row r="91">
      <c r="A91" s="5" t="inlineStr">
        <is>
          <t>Done so far:</t>
        </is>
      </c>
      <c r="C91" s="2">
        <f>COUNTIF(H10:H89,"Done")&amp;" of "&amp;COUNTA(A10:A89)</f>
        <v/>
      </c>
    </row>
  </sheetData>
  <conditionalFormatting sqref="H10:H89">
    <cfRule type="cellIs" priority="1" operator="equal" dxfId="0">
      <formula>"Done"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CL1 Comdty</t>
        </is>
      </c>
      <c r="C1" s="2" t="inlineStr">
        <is>
          <t>WTI crude, generic month 1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CO1 Comdty</t>
        </is>
      </c>
      <c r="C1" s="2" t="inlineStr">
        <is>
          <t>Brent crude, generic month 1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USO US Equity</t>
        </is>
      </c>
      <c r="C1" s="2" t="inlineStr">
        <is>
          <t>US Oil Fund (front WTI)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XLE US Equity</t>
        </is>
      </c>
      <c r="C1" s="2" t="inlineStr">
        <is>
          <t>Energy Select SPDR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OVX Index</t>
        </is>
      </c>
      <c r="C1" s="2" t="inlineStr">
        <is>
          <t>Cboe crude oil volatility index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VIX Index</t>
        </is>
      </c>
      <c r="C1" s="2" t="inlineStr">
        <is>
          <t>Cboe VIX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USGG3M Index</t>
        </is>
      </c>
      <c r="C1" s="2" t="inlineStr">
        <is>
          <t>US 3-month T-bill yield (risk-free rate)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 Curncy</t>
        </is>
      </c>
      <c r="C1" s="2" t="inlineStr">
        <is>
          <t>USD/JPY spot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USDJPYV1M Curncy</t>
        </is>
      </c>
      <c r="C1" s="2" t="inlineStr">
        <is>
          <t>1-month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CL2 Comdty</t>
        </is>
      </c>
      <c r="C1" s="2" t="inlineStr">
        <is>
          <t>WTI crude, generic month 2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CL3 Comdty</t>
        </is>
      </c>
      <c r="C1" s="2" t="inlineStr">
        <is>
          <t>WTI crude, generic month 3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CL4 Comdty</t>
        </is>
      </c>
      <c r="C1" s="2" t="inlineStr">
        <is>
          <t>WTI crude, generic month 4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CL5 Comdty</t>
        </is>
      </c>
      <c r="C1" s="2" t="inlineStr">
        <is>
          <t>WTI crude, generic month 5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CL6 Comdty</t>
        </is>
      </c>
      <c r="C1" s="2" t="inlineStr">
        <is>
          <t>WTI crude, generic month 6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CL7 Comdty</t>
        </is>
      </c>
      <c r="C1" s="2" t="inlineStr">
        <is>
          <t>WTI crude, generic month 7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CL8 Comdty</t>
        </is>
      </c>
      <c r="C1" s="2" t="inlineStr">
        <is>
          <t>WTI crude, generic month 8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CL9 Comdty</t>
        </is>
      </c>
      <c r="C1" s="2" t="inlineStr">
        <is>
          <t>WTI crude, generic month 9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CL10 Comdty</t>
        </is>
      </c>
      <c r="C1" s="2" t="inlineStr">
        <is>
          <t>WTI crude, generic month 10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CL11 Comdty</t>
        </is>
      </c>
      <c r="C1" s="2" t="inlineStr">
        <is>
          <t>WTI crude, generic month 11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CL12 Comdty</t>
        </is>
      </c>
      <c r="C1" s="2" t="inlineStr">
        <is>
          <t>WTI crude, generic month 12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CO2 Comdty</t>
        </is>
      </c>
      <c r="C1" s="2" t="inlineStr">
        <is>
          <t>Brent crude, generic month 2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CO3 Comdty</t>
        </is>
      </c>
      <c r="C1" s="2" t="inlineStr">
        <is>
          <t>Brent crude, generic month 3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CO4 Comdty</t>
        </is>
      </c>
      <c r="C1" s="2" t="inlineStr">
        <is>
          <t>Brent crude, generic month 4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CO5 Comdty</t>
        </is>
      </c>
      <c r="C1" s="2" t="inlineStr">
        <is>
          <t>Brent crude, generic month 5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CO6 Comdty</t>
        </is>
      </c>
      <c r="C1" s="2" t="inlineStr">
        <is>
          <t>Brent crude, generic month 6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HO1 Comdty</t>
        </is>
      </c>
      <c r="C1" s="2" t="inlineStr">
        <is>
          <t>NY Harbor ULSD (heating oil), front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XB1 Comdty</t>
        </is>
      </c>
      <c r="C1" s="2" t="inlineStr">
        <is>
          <t>RBOB gasoline, front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QM1 Comdty</t>
        </is>
      </c>
      <c r="C1" s="2" t="inlineStr">
        <is>
          <t>E-mini WTI, front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NG1 Comdty</t>
        </is>
      </c>
      <c r="C1" s="2" t="inlineStr">
        <is>
          <t>Henry Hub natural gas, front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BNO US Equity</t>
        </is>
      </c>
      <c r="C1" s="2" t="inlineStr">
        <is>
          <t>US Brent Oil Fund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USL US Equity</t>
        </is>
      </c>
      <c r="C1" s="2" t="inlineStr">
        <is>
          <t>US 12-Month Oil Fund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DBO US Equity</t>
        </is>
      </c>
      <c r="C1" s="2" t="inlineStr">
        <is>
          <t>Invesco DB Oil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UCO US Equity</t>
        </is>
      </c>
      <c r="C1" s="2" t="inlineStr">
        <is>
          <t>ProShares 2x crude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SCO US Equity</t>
        </is>
      </c>
      <c r="C1" s="2" t="inlineStr">
        <is>
          <t>ProShares -2x crude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XOP US Equity</t>
        </is>
      </c>
      <c r="C1" s="2" t="inlineStr">
        <is>
          <t>S&amp;P Oil &amp; Gas E&amp;P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OIH US Equity</t>
        </is>
      </c>
      <c r="C1" s="2" t="inlineStr">
        <is>
          <t>Oil services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VDE US Equity</t>
        </is>
      </c>
      <c r="C1" s="2" t="inlineStr">
        <is>
          <t>Vanguard energy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CRAK US Equity</t>
        </is>
      </c>
      <c r="C1" s="2" t="inlineStr">
        <is>
          <t>Oil refiners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XOM US Equity</t>
        </is>
      </c>
      <c r="C1" s="2" t="inlineStr">
        <is>
          <t>ExxonMobil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CVX US Equity</t>
        </is>
      </c>
      <c r="C1" s="2" t="inlineStr">
        <is>
          <t>Chevron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COP US Equity</t>
        </is>
      </c>
      <c r="C1" s="2" t="inlineStr">
        <is>
          <t>ConocoPhillips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OXY US Equity</t>
        </is>
      </c>
      <c r="C1" s="2" t="inlineStr">
        <is>
          <t>Occidental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EOG US Equity</t>
        </is>
      </c>
      <c r="C1" s="2" t="inlineStr">
        <is>
          <t>EOG Resources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DVN US Equity</t>
        </is>
      </c>
      <c r="C1" s="2" t="inlineStr">
        <is>
          <t>Devon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FANG US Equity</t>
        </is>
      </c>
      <c r="C1" s="2" t="inlineStr">
        <is>
          <t>Diamondback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APA US Equity</t>
        </is>
      </c>
      <c r="C1" s="2" t="inlineStr">
        <is>
          <t>APA Corp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DAL US Equity</t>
        </is>
      </c>
      <c r="C1" s="2" t="inlineStr">
        <is>
          <t>Delta Air Lines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UAL US Equity</t>
        </is>
      </c>
      <c r="C1" s="2" t="inlineStr">
        <is>
          <t>United Airlines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AAL US Equity</t>
        </is>
      </c>
      <c r="C1" s="2" t="inlineStr">
        <is>
          <t>American Airlines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LUV US Equity</t>
        </is>
      </c>
      <c r="C1" s="2" t="inlineStr">
        <is>
          <t>Southwest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JETS US Equity</t>
        </is>
      </c>
      <c r="C1" s="2" t="inlineStr">
        <is>
          <t>Airlines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SPY US Equity</t>
        </is>
      </c>
      <c r="C1" s="2" t="inlineStr">
        <is>
          <t>S&amp;P 500 ETF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SPX Index</t>
        </is>
      </c>
      <c r="C1" s="2" t="inlineStr">
        <is>
          <t>S&amp;P 500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USGG1YR Index</t>
        </is>
      </c>
      <c r="C1" s="2" t="inlineStr">
        <is>
          <t>US 1-year Treasury yield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USGG2YR Index</t>
        </is>
      </c>
      <c r="C1" s="2" t="inlineStr">
        <is>
          <t>US 2-year Treasury yield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DXY Curncy</t>
        </is>
      </c>
      <c r="C1" s="2" t="inlineStr">
        <is>
          <t>US dollar index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USDJPYV1W Curncy</t>
        </is>
      </c>
      <c r="C1" s="2" t="inlineStr">
        <is>
          <t>1-week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USDJPYV3M Curncy</t>
        </is>
      </c>
      <c r="C1" s="2" t="inlineStr">
        <is>
          <t>3-month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USDJPY25R1M Curncy</t>
        </is>
      </c>
      <c r="C1" s="2" t="inlineStr">
        <is>
          <t>1-month 25-delta risk reversal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USDJPY25B1M Curncy</t>
        </is>
      </c>
      <c r="C1" s="2" t="inlineStr">
        <is>
          <t>1-month 25-delta butterfly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USDJPY10R1M Curncy</t>
        </is>
      </c>
      <c r="C1" s="2" t="inlineStr">
        <is>
          <t>1-month 10-delta risk reversal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USDJPY10B1M Curncy</t>
        </is>
      </c>
      <c r="C1" s="2" t="inlineStr">
        <is>
          <t>1-month 10-delta butterfly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JPY1M Curncy</t>
        </is>
      </c>
      <c r="C1" s="2" t="inlineStr">
        <is>
          <t>1-month forward points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USDJPYV2W Curncy</t>
        </is>
      </c>
      <c r="C1" s="2" t="inlineStr">
        <is>
          <t>2-week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USDJPYV2M Curncy</t>
        </is>
      </c>
      <c r="C1" s="2" t="inlineStr">
        <is>
          <t>2-month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USDJPYV6M Curncy</t>
        </is>
      </c>
      <c r="C1" s="2" t="inlineStr">
        <is>
          <t>6-month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USDJPYV1Y Curncy</t>
        </is>
      </c>
      <c r="C1" s="2" t="inlineStr">
        <is>
          <t>1-year ATM implied vol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USDJPY25R1W Curncy</t>
        </is>
      </c>
      <c r="C1" s="2" t="inlineStr">
        <is>
          <t>1-week 25-delta risk reversal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USDJPY25R3M Curncy</t>
        </is>
      </c>
      <c r="C1" s="2" t="inlineStr">
        <is>
          <t>3-month 25-delta risk reversal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USDJPY25B3M Curncy</t>
        </is>
      </c>
      <c r="C1" s="2" t="inlineStr">
        <is>
          <t>3-month 25-delta butterfly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JPY1W Curncy</t>
        </is>
      </c>
      <c r="C1" s="2" t="inlineStr">
        <is>
          <t>1-week forward points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JPY3M Curncy</t>
        </is>
      </c>
      <c r="C1" s="2" t="inlineStr">
        <is>
          <t>3-month forward points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JY1 Curncy</t>
        </is>
      </c>
      <c r="C1" s="2" t="inlineStr">
        <is>
          <t>CME yen futures, front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JY2 Curncy</t>
        </is>
      </c>
      <c r="C1" s="2" t="inlineStr">
        <is>
          <t>CME yen futures, second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USGG10YR Index</t>
        </is>
      </c>
      <c r="C1" s="2" t="inlineStr">
        <is>
          <t>US 10-year Treasury yield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GTJPY2Y Govt</t>
        </is>
      </c>
      <c r="C1" s="2" t="inlineStr">
        <is>
          <t>Japan 2-year JGB yield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5" t="inlineStr">
        <is>
          <t>GTJPY10Y Govt</t>
        </is>
      </c>
      <c r="C1" s="2" t="inlineStr">
        <is>
          <t>Japan 10-year JGB yield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6" t="inlineStr"/>
      <c r="C1" s="2" t="inlineStr">
        <is>
          <t>Extra 1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6" t="inlineStr"/>
      <c r="C1" s="2" t="inlineStr">
        <is>
          <t>Extra 2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Ticker:</t>
        </is>
      </c>
      <c r="B1" s="6" t="inlineStr"/>
      <c r="C1" s="2" t="inlineStr">
        <is>
          <t>Extra 3</t>
        </is>
      </c>
    </row>
    <row r="2">
      <c r="A2" s="2" t="inlineStr">
        <is>
          <t>Click the yellow cell A4 and press Ctrl+V to paste the Bloomberg table (headers included).</t>
        </is>
      </c>
    </row>
    <row r="3">
      <c r="A3" s="5" t="inlineStr">
        <is>
          <t>Paste below</t>
        </is>
      </c>
    </row>
    <row r="4">
      <c r="A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2026-10-13T23:59:48Z</dcterms:created>
  <dcterms:modified xmlns:dcterms="http://purl.org/dc/terms/" xmlns:xsi="http://www.w3.org/2001/XMLSchema-instance" xsi:type="dcterms:W3CDTF">2026-10-13T23:59:48Z</dcterms:modified>
</cp:coreProperties>
</file>