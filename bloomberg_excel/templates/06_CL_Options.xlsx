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Jan" sheetId="2" state="visible" r:id="rId2"/>
    <sheet xmlns:r="http://schemas.openxmlformats.org/officeDocument/2006/relationships" name="Feb" sheetId="3" state="visible" r:id="rId3"/>
    <sheet xmlns:r="http://schemas.openxmlformats.org/officeDocument/2006/relationships" name="Mar" sheetId="4" state="visible" r:id="rId4"/>
    <sheet xmlns:r="http://schemas.openxmlformats.org/officeDocument/2006/relationships" name="Apr" sheetId="5" state="visible" r:id="rId5"/>
    <sheet xmlns:r="http://schemas.openxmlformats.org/officeDocument/2006/relationships" name="May" sheetId="6" state="visible" r:id="rId6"/>
    <sheet xmlns:r="http://schemas.openxmlformats.org/officeDocument/2006/relationships" name="Jun" sheetId="7" state="visible" r:id="rId7"/>
    <sheet xmlns:r="http://schemas.openxmlformats.org/officeDocument/2006/relationships" name="Jul" sheetId="8" state="visible" r:id="rId8"/>
    <sheet xmlns:r="http://schemas.openxmlformats.org/officeDocument/2006/relationships" name="Aug" sheetId="9" state="visible" r:id="rId9"/>
    <sheet xmlns:r="http://schemas.openxmlformats.org/officeDocument/2006/relationships" name="Sep" sheetId="10" state="visible" r:id="rId10"/>
    <sheet xmlns:r="http://schemas.openxmlformats.org/officeDocument/2006/relationships" name="Oct" sheetId="11" state="visible" r:id="rId11"/>
    <sheet xmlns:r="http://schemas.openxmlformats.org/officeDocument/2006/relationships" name="Nov" sheetId="12" state="visible" r:id="rId12"/>
    <sheet xmlns:r="http://schemas.openxmlformats.org/officeDocument/2006/relationships" name="De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color rgb="000000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3" fillId="2" borderId="0" pivotButton="0" quotePrefix="0" xfId="0"/>
    <xf numFmtId="0" fontId="4" fillId="0" borderId="0" pivotButton="0" quotePrefix="0" xfId="0"/>
    <xf numFmtId="164" fontId="3" fillId="2" borderId="0" pivotButton="0" quotePrefix="0" xfId="0"/>
    <xf numFmtId="0" fontId="3" fillId="2" borderId="0" pivotButton="0" quotePrefix="0" xfId="0"/>
    <xf numFmtId="1" fontId="4" fillId="0" borderId="0" pivotButton="0" quotePrefix="0" xfId="0"/>
    <xf numFmtId="164" fontId="4" fillId="0" borderId="0" pivotButton="0" quotePrefix="0" xfId="0"/>
    <xf numFmtId="0" fontId="2" fillId="3" borderId="0" pivotButton="0" quotePrefix="0" xfId="0"/>
    <xf numFmtId="2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70" customWidth="1" min="3" max="3"/>
  </cols>
  <sheetData>
    <row r="1">
      <c r="A1" s="1" t="inlineStr">
        <is>
          <t>CL (WTI) monthly options: ATM +/- 8 strikes, last 100 days before expiry (oil-options)</t>
        </is>
      </c>
    </row>
    <row r="3">
      <c r="A3" s="2" t="inlineStr">
        <is>
          <t>Year</t>
        </is>
      </c>
      <c r="B3" s="3" t="n">
        <v>2026</v>
      </c>
      <c r="C3" s="4" t="inlineStr">
        <is>
          <t>Contract year (delivery month) to pull</t>
        </is>
      </c>
    </row>
    <row r="4">
      <c r="A4" s="2" t="inlineStr">
        <is>
          <t>Strike format</t>
        </is>
      </c>
      <c r="B4" s="3" t="n">
        <v>1</v>
      </c>
      <c r="C4" s="4" t="inlineStr">
        <is>
          <t>1 = '70', 2 = '70.00'</t>
        </is>
      </c>
    </row>
    <row r="5">
      <c r="A5" s="2" t="inlineStr">
        <is>
          <t>As-of date</t>
        </is>
      </c>
      <c r="B5" s="5" t="n">
        <v>46308</v>
      </c>
      <c r="C5" s="4" t="inlineStr">
        <is>
          <t>Set to today's date; decides expired vs live tickers</t>
        </is>
      </c>
    </row>
    <row r="7">
      <c r="A7" s="2" t="inlineStr">
        <is>
          <t>Legend</t>
        </is>
      </c>
    </row>
    <row r="8">
      <c r="A8" s="6" t="inlineStr">
        <is>
          <t>Yellow cells with blue text</t>
        </is>
      </c>
      <c r="B8" s="4" t="inlineStr">
        <is>
          <t>inputs you may change; everything else is a formula</t>
        </is>
      </c>
    </row>
    <row r="10">
      <c r="A10" s="2" t="inlineStr">
        <is>
          <t>How to use</t>
        </is>
      </c>
    </row>
    <row r="11">
      <c r="A11" s="4" t="inlineStr">
        <is>
          <t>1. Open this file in Excel on the Bloomberg PC with the Terminal logged in. Click Enable Editing / Enable Content.</t>
        </is>
      </c>
    </row>
    <row r="12">
      <c r="A12" s="4" t="inlineStr">
        <is>
          <t>2. Wait until no cell says 'Requesting Data...'. If nothing loads: Bloomberg tab &gt; Refresh &gt; Refresh Workbook.</t>
        </is>
      </c>
    </row>
    <row r="13">
      <c r="A13" s="4" t="inlineStr">
        <is>
          <t>3. A cell reading '#N/A Invalid Security' or '#N/A Field Not Applicable' just means that item is unavailable.</t>
        </is>
      </c>
    </row>
    <row r="14">
      <c r="A14" s="4" t="inlineStr">
        <is>
          <t>4. Each sheet is one futures contract month of the Year below. Strikes are centred on the futures price 45 days before expiry.</t>
        </is>
      </c>
    </row>
    <row r="15">
      <c r="A15" s="4" t="inlineStr">
        <is>
          <t>5. Save As CL_Options_&lt;year&gt;.xlsx, then change Year, wait for it to reload, and Save As again. Do this for each year 2018-2026.</t>
        </is>
      </c>
    </row>
    <row r="16">
      <c r="A16" s="4" t="inlineStr">
        <is>
          <t>6. If every option shows '#N/A Invalid Security', change Strike format to 2 (e.g. 'CLZ5C 70.00') and check one ticker on the Terminal: CLA Comdty OMON &lt;GO&gt;.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H1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  <col width="12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1" customWidth="1" min="383" max="383"/>
    <col width="11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1" customWidth="1" min="389" max="389"/>
    <col width="11" customWidth="1" min="390" max="390"/>
    <col width="10" customWidth="1" min="391" max="391"/>
    <col width="11" customWidth="1" min="392" max="392"/>
    <col width="13" customWidth="1" min="393" max="393"/>
    <col width="12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1" customWidth="1" min="400" max="400"/>
    <col width="11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1" customWidth="1" min="406" max="406"/>
    <col width="11" customWidth="1" min="407" max="407"/>
    <col width="10" customWidth="1" min="408" max="408"/>
    <col width="11" customWidth="1" min="409" max="409"/>
    <col width="13" customWidth="1" min="410" max="410"/>
    <col width="12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1" customWidth="1" min="417" max="417"/>
    <col width="11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1" customWidth="1" min="423" max="423"/>
    <col width="11" customWidth="1" min="424" max="424"/>
    <col width="10" customWidth="1" min="425" max="425"/>
    <col width="11" customWidth="1" min="426" max="426"/>
    <col width="13" customWidth="1" min="427" max="427"/>
    <col width="12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1" customWidth="1" min="434" max="434"/>
    <col width="11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1" customWidth="1" min="440" max="440"/>
    <col width="11" customWidth="1" min="441" max="441"/>
    <col width="10" customWidth="1" min="442" max="442"/>
    <col width="11" customWidth="1" min="443" max="443"/>
    <col width="13" customWidth="1" min="444" max="444"/>
    <col width="12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1" customWidth="1" min="451" max="451"/>
    <col width="11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1" customWidth="1" min="457" max="457"/>
    <col width="11" customWidth="1" min="458" max="458"/>
    <col width="10" customWidth="1" min="459" max="459"/>
    <col width="11" customWidth="1" min="460" max="460"/>
    <col width="13" customWidth="1" min="461" max="461"/>
    <col width="12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1" customWidth="1" min="468" max="468"/>
    <col width="11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1" customWidth="1" min="474" max="474"/>
    <col width="11" customWidth="1" min="475" max="475"/>
    <col width="10" customWidth="1" min="476" max="476"/>
    <col width="11" customWidth="1" min="477" max="477"/>
    <col width="13" customWidth="1" min="478" max="478"/>
    <col width="12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1" customWidth="1" min="485" max="485"/>
    <col width="11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1" customWidth="1" min="491" max="491"/>
    <col width="11" customWidth="1" min="492" max="492"/>
    <col width="10" customWidth="1" min="493" max="493"/>
    <col width="11" customWidth="1" min="494" max="494"/>
    <col width="13" customWidth="1" min="495" max="495"/>
    <col width="12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1" customWidth="1" min="502" max="502"/>
    <col width="11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1" customWidth="1" min="508" max="508"/>
    <col width="11" customWidth="1" min="509" max="509"/>
    <col width="10" customWidth="1" min="510" max="510"/>
    <col width="11" customWidth="1" min="511" max="511"/>
    <col width="13" customWidth="1" min="512" max="512"/>
    <col width="12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1" customWidth="1" min="519" max="519"/>
    <col width="11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1" customWidth="1" min="525" max="525"/>
    <col width="11" customWidth="1" min="526" max="526"/>
    <col width="10" customWidth="1" min="527" max="527"/>
    <col width="11" customWidth="1" min="528" max="528"/>
    <col width="13" customWidth="1" min="529" max="529"/>
    <col width="12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1" customWidth="1" min="536" max="536"/>
    <col width="11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1" customWidth="1" min="542" max="542"/>
    <col width="11" customWidth="1" min="543" max="543"/>
    <col width="10" customWidth="1" min="544" max="544"/>
    <col width="11" customWidth="1" min="545" max="545"/>
    <col width="13" customWidth="1" min="546" max="546"/>
    <col width="12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1" customWidth="1" min="553" max="553"/>
    <col width="11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1" customWidth="1" min="559" max="559"/>
    <col width="11" customWidth="1" min="560" max="560"/>
    <col width="10" customWidth="1" min="561" max="561"/>
    <col width="11" customWidth="1" min="562" max="562"/>
    <col width="13" customWidth="1" min="563" max="563"/>
    <col width="12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1" customWidth="1" min="570" max="570"/>
    <col width="11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1" customWidth="1" min="576" max="576"/>
    <col width="11" customWidth="1" min="577" max="577"/>
    <col width="10" customWidth="1" min="578" max="578"/>
    <col width="11" customWidth="1" min="579" max="579"/>
    <col width="13" customWidth="1" min="580" max="580"/>
  </cols>
  <sheetData>
    <row r="1">
      <c r="A1" s="2" t="inlineStr">
        <is>
          <t>Contract month</t>
        </is>
      </c>
      <c r="B1" s="7" t="n">
        <v>1</v>
      </c>
      <c r="D1" s="4">
        <f>"CL"&amp;MID("FGHJKMNQUVXZ",B$1,1)&amp;B$4&amp;"C "&amp;IF(Settings!$B$4=2,TEXT((B$8-8),"0.00"),(B$8-8))&amp;" Comdty"</f>
        <v/>
      </c>
      <c r="U1" s="4">
        <f>"CL"&amp;MID("FGHJKMNQUVXZ",B$1,1)&amp;B$4&amp;"P "&amp;IF(Settings!$B$4=2,TEXT((B$8-8),"0.00"),(B$8-8))&amp;" Comdty"</f>
        <v/>
      </c>
      <c r="AL1" s="4">
        <f>"CL"&amp;MID("FGHJKMNQUVXZ",B$1,1)&amp;B$4&amp;"C "&amp;IF(Settings!$B$4=2,TEXT((B$8-7),"0.00"),(B$8-7))&amp;" Comdty"</f>
        <v/>
      </c>
      <c r="BC1" s="4">
        <f>"CL"&amp;MID("FGHJKMNQUVXZ",B$1,1)&amp;B$4&amp;"P "&amp;IF(Settings!$B$4=2,TEXT((B$8-7),"0.00"),(B$8-7))&amp;" Comdty"</f>
        <v/>
      </c>
      <c r="BT1" s="4">
        <f>"CL"&amp;MID("FGHJKMNQUVXZ",B$1,1)&amp;B$4&amp;"C "&amp;IF(Settings!$B$4=2,TEXT((B$8-6),"0.00"),(B$8-6))&amp;" Comdty"</f>
        <v/>
      </c>
      <c r="CK1" s="4">
        <f>"CL"&amp;MID("FGHJKMNQUVXZ",B$1,1)&amp;B$4&amp;"P "&amp;IF(Settings!$B$4=2,TEXT((B$8-6),"0.00"),(B$8-6))&amp;" Comdty"</f>
        <v/>
      </c>
      <c r="DB1" s="4">
        <f>"CL"&amp;MID("FGHJKMNQUVXZ",B$1,1)&amp;B$4&amp;"C "&amp;IF(Settings!$B$4=2,TEXT((B$8-5),"0.00"),(B$8-5))&amp;" Comdty"</f>
        <v/>
      </c>
      <c r="DS1" s="4">
        <f>"CL"&amp;MID("FGHJKMNQUVXZ",B$1,1)&amp;B$4&amp;"P "&amp;IF(Settings!$B$4=2,TEXT((B$8-5),"0.00"),(B$8-5))&amp;" Comdty"</f>
        <v/>
      </c>
      <c r="EJ1" s="4">
        <f>"CL"&amp;MID("FGHJKMNQUVXZ",B$1,1)&amp;B$4&amp;"C "&amp;IF(Settings!$B$4=2,TEXT((B$8-4),"0.00"),(B$8-4))&amp;" Comdty"</f>
        <v/>
      </c>
      <c r="FA1" s="4">
        <f>"CL"&amp;MID("FGHJKMNQUVXZ",B$1,1)&amp;B$4&amp;"P "&amp;IF(Settings!$B$4=2,TEXT((B$8-4),"0.00"),(B$8-4))&amp;" Comdty"</f>
        <v/>
      </c>
      <c r="FR1" s="4">
        <f>"CL"&amp;MID("FGHJKMNQUVXZ",B$1,1)&amp;B$4&amp;"C "&amp;IF(Settings!$B$4=2,TEXT((B$8-3),"0.00"),(B$8-3))&amp;" Comdty"</f>
        <v/>
      </c>
      <c r="GI1" s="4">
        <f>"CL"&amp;MID("FGHJKMNQUVXZ",B$1,1)&amp;B$4&amp;"P "&amp;IF(Settings!$B$4=2,TEXT((B$8-3),"0.00"),(B$8-3))&amp;" Comdty"</f>
        <v/>
      </c>
      <c r="GZ1" s="4">
        <f>"CL"&amp;MID("FGHJKMNQUVXZ",B$1,1)&amp;B$4&amp;"C "&amp;IF(Settings!$B$4=2,TEXT((B$8-2),"0.00"),(B$8-2))&amp;" Comdty"</f>
        <v/>
      </c>
      <c r="HQ1" s="4">
        <f>"CL"&amp;MID("FGHJKMNQUVXZ",B$1,1)&amp;B$4&amp;"P "&amp;IF(Settings!$B$4=2,TEXT((B$8-2),"0.00"),(B$8-2))&amp;" Comdty"</f>
        <v/>
      </c>
      <c r="IH1" s="4">
        <f>"CL"&amp;MID("FGHJKMNQUVXZ",B$1,1)&amp;B$4&amp;"C "&amp;IF(Settings!$B$4=2,TEXT((B$8-1),"0.00"),(B$8-1))&amp;" Comdty"</f>
        <v/>
      </c>
      <c r="IY1" s="4">
        <f>"CL"&amp;MID("FGHJKMNQUVXZ",B$1,1)&amp;B$4&amp;"P "&amp;IF(Settings!$B$4=2,TEXT((B$8-1),"0.00"),(B$8-1))&amp;" Comdty"</f>
        <v/>
      </c>
      <c r="JP1" s="4">
        <f>"CL"&amp;MID("FGHJKMNQUVXZ",B$1,1)&amp;B$4&amp;"C "&amp;IF(Settings!$B$4=2,TEXT(B$8,"0.00"),B$8)&amp;" Comdty"</f>
        <v/>
      </c>
      <c r="KG1" s="4">
        <f>"CL"&amp;MID("FGHJKMNQUVXZ",B$1,1)&amp;B$4&amp;"P "&amp;IF(Settings!$B$4=2,TEXT(B$8,"0.00"),B$8)&amp;" Comdty"</f>
        <v/>
      </c>
      <c r="KX1" s="4">
        <f>"CL"&amp;MID("FGHJKMNQUVXZ",B$1,1)&amp;B$4&amp;"C "&amp;IF(Settings!$B$4=2,TEXT((B$8+1),"0.00"),(B$8+1))&amp;" Comdty"</f>
        <v/>
      </c>
      <c r="LO1" s="4">
        <f>"CL"&amp;MID("FGHJKMNQUVXZ",B$1,1)&amp;B$4&amp;"P "&amp;IF(Settings!$B$4=2,TEXT((B$8+1),"0.00"),(B$8+1))&amp;" Comdty"</f>
        <v/>
      </c>
      <c r="MF1" s="4">
        <f>"CL"&amp;MID("FGHJKMNQUVXZ",B$1,1)&amp;B$4&amp;"C "&amp;IF(Settings!$B$4=2,TEXT((B$8+2),"0.00"),(B$8+2))&amp;" Comdty"</f>
        <v/>
      </c>
      <c r="MW1" s="4">
        <f>"CL"&amp;MID("FGHJKMNQUVXZ",B$1,1)&amp;B$4&amp;"P "&amp;IF(Settings!$B$4=2,TEXT((B$8+2),"0.00"),(B$8+2))&amp;" Comdty"</f>
        <v/>
      </c>
      <c r="NN1" s="4">
        <f>"CL"&amp;MID("FGHJKMNQUVXZ",B$1,1)&amp;B$4&amp;"C "&amp;IF(Settings!$B$4=2,TEXT((B$8+3),"0.00"),(B$8+3))&amp;" Comdty"</f>
        <v/>
      </c>
      <c r="OE1" s="4">
        <f>"CL"&amp;MID("FGHJKMNQUVXZ",B$1,1)&amp;B$4&amp;"P "&amp;IF(Settings!$B$4=2,TEXT((B$8+3),"0.00"),(B$8+3))&amp;" Comdty"</f>
        <v/>
      </c>
      <c r="OV1" s="4">
        <f>"CL"&amp;MID("FGHJKMNQUVXZ",B$1,1)&amp;B$4&amp;"C "&amp;IF(Settings!$B$4=2,TEXT((B$8+4),"0.00"),(B$8+4))&amp;" Comdty"</f>
        <v/>
      </c>
      <c r="PM1" s="4">
        <f>"CL"&amp;MID("FGHJKMNQUVXZ",B$1,1)&amp;B$4&amp;"P "&amp;IF(Settings!$B$4=2,TEXT((B$8+4),"0.00"),(B$8+4))&amp;" Comdty"</f>
        <v/>
      </c>
      <c r="QD1" s="4">
        <f>"CL"&amp;MID("FGHJKMNQUVXZ",B$1,1)&amp;B$4&amp;"C "&amp;IF(Settings!$B$4=2,TEXT((B$8+5),"0.00"),(B$8+5))&amp;" Comdty"</f>
        <v/>
      </c>
      <c r="QU1" s="4">
        <f>"CL"&amp;MID("FGHJKMNQUVXZ",B$1,1)&amp;B$4&amp;"P "&amp;IF(Settings!$B$4=2,TEXT((B$8+5),"0.00"),(B$8+5))&amp;" Comdty"</f>
        <v/>
      </c>
      <c r="RL1" s="4">
        <f>"CL"&amp;MID("FGHJKMNQUVXZ",B$1,1)&amp;B$4&amp;"C "&amp;IF(Settings!$B$4=2,TEXT((B$8+6),"0.00"),(B$8+6))&amp;" Comdty"</f>
        <v/>
      </c>
      <c r="SC1" s="4">
        <f>"CL"&amp;MID("FGHJKMNQUVXZ",B$1,1)&amp;B$4&amp;"P "&amp;IF(Settings!$B$4=2,TEXT((B$8+6),"0.00"),(B$8+6))&amp;" Comdty"</f>
        <v/>
      </c>
      <c r="ST1" s="4">
        <f>"CL"&amp;MID("FGHJKMNQUVXZ",B$1,1)&amp;B$4&amp;"C "&amp;IF(Settings!$B$4=2,TEXT((B$8+7),"0.00"),(B$8+7))&amp;" Comdty"</f>
        <v/>
      </c>
      <c r="TK1" s="4">
        <f>"CL"&amp;MID("FGHJKMNQUVXZ",B$1,1)&amp;B$4&amp;"P "&amp;IF(Settings!$B$4=2,TEXT((B$8+7),"0.00"),(B$8+7))&amp;" Comdty"</f>
        <v/>
      </c>
      <c r="UB1" s="4">
        <f>"CL"&amp;MID("FGHJKMNQUVXZ",B$1,1)&amp;B$4&amp;"C "&amp;IF(Settings!$B$4=2,TEXT((B$8+8),"0.00"),(B$8+8))&amp;" Comdty"</f>
        <v/>
      </c>
      <c r="US1" s="4">
        <f>"CL"&amp;MID("FGHJKMNQUVXZ",B$1,1)&amp;B$4&amp;"P "&amp;IF(Settings!$B$4=2,TEXT((B$8+8),"0.00"),(B$8+8))&amp;" Comdty"</f>
        <v/>
      </c>
    </row>
    <row r="2">
      <c r="A2" s="2" t="inlineStr">
        <is>
          <t>Futures last trade</t>
        </is>
      </c>
      <c r="B2" s="8">
        <f>WORKDAY(DATE(Settings!$B$3,B1-1,25),-3)</f>
        <v/>
      </c>
      <c r="D2" s="4" t="inlineStr">
        <is>
          <t>call -8 from ATM</t>
        </is>
      </c>
      <c r="U2" s="4" t="inlineStr">
        <is>
          <t>put -8 from ATM</t>
        </is>
      </c>
      <c r="AL2" s="4" t="inlineStr">
        <is>
          <t>call -7 from ATM</t>
        </is>
      </c>
      <c r="BC2" s="4" t="inlineStr">
        <is>
          <t>put -7 from ATM</t>
        </is>
      </c>
      <c r="BT2" s="4" t="inlineStr">
        <is>
          <t>call -6 from ATM</t>
        </is>
      </c>
      <c r="CK2" s="4" t="inlineStr">
        <is>
          <t>put -6 from ATM</t>
        </is>
      </c>
      <c r="DB2" s="4" t="inlineStr">
        <is>
          <t>call -5 from ATM</t>
        </is>
      </c>
      <c r="DS2" s="4" t="inlineStr">
        <is>
          <t>put -5 from ATM</t>
        </is>
      </c>
      <c r="EJ2" s="4" t="inlineStr">
        <is>
          <t>call -4 from ATM</t>
        </is>
      </c>
      <c r="FA2" s="4" t="inlineStr">
        <is>
          <t>put -4 from ATM</t>
        </is>
      </c>
      <c r="FR2" s="4" t="inlineStr">
        <is>
          <t>call -3 from ATM</t>
        </is>
      </c>
      <c r="GI2" s="4" t="inlineStr">
        <is>
          <t>put -3 from ATM</t>
        </is>
      </c>
      <c r="GZ2" s="4" t="inlineStr">
        <is>
          <t>call -2 from ATM</t>
        </is>
      </c>
      <c r="HQ2" s="4" t="inlineStr">
        <is>
          <t>put -2 from ATM</t>
        </is>
      </c>
      <c r="IH2" s="4" t="inlineStr">
        <is>
          <t>call -1 from ATM</t>
        </is>
      </c>
      <c r="IY2" s="4" t="inlineStr">
        <is>
          <t>put -1 from ATM</t>
        </is>
      </c>
      <c r="JP2" s="4" t="inlineStr">
        <is>
          <t>call +0 from ATM</t>
        </is>
      </c>
      <c r="KG2" s="4" t="inlineStr">
        <is>
          <t>put +0 from ATM</t>
        </is>
      </c>
      <c r="KX2" s="4" t="inlineStr">
        <is>
          <t>call +1 from ATM</t>
        </is>
      </c>
      <c r="LO2" s="4" t="inlineStr">
        <is>
          <t>put +1 from ATM</t>
        </is>
      </c>
      <c r="MF2" s="4" t="inlineStr">
        <is>
          <t>call +2 from ATM</t>
        </is>
      </c>
      <c r="MW2" s="4" t="inlineStr">
        <is>
          <t>put +2 from ATM</t>
        </is>
      </c>
      <c r="NN2" s="4" t="inlineStr">
        <is>
          <t>call +3 from ATM</t>
        </is>
      </c>
      <c r="OE2" s="4" t="inlineStr">
        <is>
          <t>put +3 from ATM</t>
        </is>
      </c>
      <c r="OV2" s="4" t="inlineStr">
        <is>
          <t>call +4 from ATM</t>
        </is>
      </c>
      <c r="PM2" s="4" t="inlineStr">
        <is>
          <t>put +4 from ATM</t>
        </is>
      </c>
      <c r="QD2" s="4" t="inlineStr">
        <is>
          <t>call +5 from ATM</t>
        </is>
      </c>
      <c r="QU2" s="4" t="inlineStr">
        <is>
          <t>put +5 from ATM</t>
        </is>
      </c>
      <c r="RL2" s="4" t="inlineStr">
        <is>
          <t>call +6 from ATM</t>
        </is>
      </c>
      <c r="SC2" s="4" t="inlineStr">
        <is>
          <t>put +6 from ATM</t>
        </is>
      </c>
      <c r="ST2" s="4" t="inlineStr">
        <is>
          <t>call +7 from ATM</t>
        </is>
      </c>
      <c r="TK2" s="4" t="inlineStr">
        <is>
          <t>put +7 from ATM</t>
        </is>
      </c>
      <c r="UB2" s="4" t="inlineStr">
        <is>
          <t>call +8 from ATM</t>
        </is>
      </c>
      <c r="US2" s="4" t="inlineStr">
        <is>
          <t>put +8 from ATM</t>
        </is>
      </c>
    </row>
    <row r="3">
      <c r="A3" s="2" t="inlineStr">
        <is>
          <t>Option expiry (approx)</t>
        </is>
      </c>
      <c r="B3" s="8">
        <f>WORKDAY(B2,-1)</f>
        <v/>
      </c>
      <c r="D3" s="9" t="inlineStr">
        <is>
          <t>Date</t>
        </is>
      </c>
      <c r="E3" s="9" t="inlineStr">
        <is>
          <t>PX_BID</t>
        </is>
      </c>
      <c r="F3" s="9" t="inlineStr">
        <is>
          <t>PX_ASK</t>
        </is>
      </c>
      <c r="G3" s="9" t="inlineStr">
        <is>
          <t>PX_MID</t>
        </is>
      </c>
      <c r="H3" s="9" t="inlineStr">
        <is>
          <t>PX_LAST</t>
        </is>
      </c>
      <c r="I3" s="9" t="inlineStr">
        <is>
          <t>PX_SETTLE</t>
        </is>
      </c>
      <c r="J3" s="9" t="inlineStr">
        <is>
          <t>PX_VOLUME</t>
        </is>
      </c>
      <c r="K3" s="9" t="inlineStr">
        <is>
          <t>OPEN_INT</t>
        </is>
      </c>
      <c r="L3" s="9" t="inlineStr">
        <is>
          <t>IVOL_MID</t>
        </is>
      </c>
      <c r="M3" s="9" t="inlineStr">
        <is>
          <t>IVOL_BID</t>
        </is>
      </c>
      <c r="N3" s="9" t="inlineStr">
        <is>
          <t>IVOL_ASK</t>
        </is>
      </c>
      <c r="O3" s="9" t="inlineStr">
        <is>
          <t>DELTA_MID</t>
        </is>
      </c>
      <c r="P3" s="9" t="inlineStr">
        <is>
          <t>GAMMA_MID</t>
        </is>
      </c>
      <c r="Q3" s="9" t="inlineStr">
        <is>
          <t>VEGA_MID</t>
        </is>
      </c>
      <c r="R3" s="9" t="inlineStr">
        <is>
          <t>THETA_MID</t>
        </is>
      </c>
      <c r="S3" s="9" t="inlineStr">
        <is>
          <t>OPT_UNDL_PX</t>
        </is>
      </c>
      <c r="U3" s="9" t="inlineStr">
        <is>
          <t>Date</t>
        </is>
      </c>
      <c r="V3" s="9" t="inlineStr">
        <is>
          <t>PX_BID</t>
        </is>
      </c>
      <c r="W3" s="9" t="inlineStr">
        <is>
          <t>PX_ASK</t>
        </is>
      </c>
      <c r="X3" s="9" t="inlineStr">
        <is>
          <t>PX_MID</t>
        </is>
      </c>
      <c r="Y3" s="9" t="inlineStr">
        <is>
          <t>PX_LAST</t>
        </is>
      </c>
      <c r="Z3" s="9" t="inlineStr">
        <is>
          <t>PX_SETTLE</t>
        </is>
      </c>
      <c r="AA3" s="9" t="inlineStr">
        <is>
          <t>PX_VOLUME</t>
        </is>
      </c>
      <c r="AB3" s="9" t="inlineStr">
        <is>
          <t>OPEN_INT</t>
        </is>
      </c>
      <c r="AC3" s="9" t="inlineStr">
        <is>
          <t>IVOL_MID</t>
        </is>
      </c>
      <c r="AD3" s="9" t="inlineStr">
        <is>
          <t>IVOL_BID</t>
        </is>
      </c>
      <c r="AE3" s="9" t="inlineStr">
        <is>
          <t>IVOL_ASK</t>
        </is>
      </c>
      <c r="AF3" s="9" t="inlineStr">
        <is>
          <t>DELTA_MID</t>
        </is>
      </c>
      <c r="AG3" s="9" t="inlineStr">
        <is>
          <t>GAMMA_MID</t>
        </is>
      </c>
      <c r="AH3" s="9" t="inlineStr">
        <is>
          <t>VEGA_MID</t>
        </is>
      </c>
      <c r="AI3" s="9" t="inlineStr">
        <is>
          <t>THETA_MID</t>
        </is>
      </c>
      <c r="AJ3" s="9" t="inlineStr">
        <is>
          <t>OPT_UNDL_PX</t>
        </is>
      </c>
      <c r="AL3" s="9" t="inlineStr">
        <is>
          <t>Date</t>
        </is>
      </c>
      <c r="AM3" s="9" t="inlineStr">
        <is>
          <t>PX_BID</t>
        </is>
      </c>
      <c r="AN3" s="9" t="inlineStr">
        <is>
          <t>PX_ASK</t>
        </is>
      </c>
      <c r="AO3" s="9" t="inlineStr">
        <is>
          <t>PX_MID</t>
        </is>
      </c>
      <c r="AP3" s="9" t="inlineStr">
        <is>
          <t>PX_LAST</t>
        </is>
      </c>
      <c r="AQ3" s="9" t="inlineStr">
        <is>
          <t>PX_SETTLE</t>
        </is>
      </c>
      <c r="AR3" s="9" t="inlineStr">
        <is>
          <t>PX_VOLUME</t>
        </is>
      </c>
      <c r="AS3" s="9" t="inlineStr">
        <is>
          <t>OPEN_INT</t>
        </is>
      </c>
      <c r="AT3" s="9" t="inlineStr">
        <is>
          <t>IVOL_MID</t>
        </is>
      </c>
      <c r="AU3" s="9" t="inlineStr">
        <is>
          <t>IVOL_BID</t>
        </is>
      </c>
      <c r="AV3" s="9" t="inlineStr">
        <is>
          <t>IVOL_ASK</t>
        </is>
      </c>
      <c r="AW3" s="9" t="inlineStr">
        <is>
          <t>DELTA_MID</t>
        </is>
      </c>
      <c r="AX3" s="9" t="inlineStr">
        <is>
          <t>GAMMA_MID</t>
        </is>
      </c>
      <c r="AY3" s="9" t="inlineStr">
        <is>
          <t>VEGA_MID</t>
        </is>
      </c>
      <c r="AZ3" s="9" t="inlineStr">
        <is>
          <t>THETA_MID</t>
        </is>
      </c>
      <c r="BA3" s="9" t="inlineStr">
        <is>
          <t>OPT_UNDL_PX</t>
        </is>
      </c>
      <c r="BC3" s="9" t="inlineStr">
        <is>
          <t>Date</t>
        </is>
      </c>
      <c r="BD3" s="9" t="inlineStr">
        <is>
          <t>PX_BID</t>
        </is>
      </c>
      <c r="BE3" s="9" t="inlineStr">
        <is>
          <t>PX_ASK</t>
        </is>
      </c>
      <c r="BF3" s="9" t="inlineStr">
        <is>
          <t>PX_MID</t>
        </is>
      </c>
      <c r="BG3" s="9" t="inlineStr">
        <is>
          <t>PX_LAST</t>
        </is>
      </c>
      <c r="BH3" s="9" t="inlineStr">
        <is>
          <t>PX_SETTLE</t>
        </is>
      </c>
      <c r="BI3" s="9" t="inlineStr">
        <is>
          <t>PX_VOLUME</t>
        </is>
      </c>
      <c r="BJ3" s="9" t="inlineStr">
        <is>
          <t>OPEN_INT</t>
        </is>
      </c>
      <c r="BK3" s="9" t="inlineStr">
        <is>
          <t>IVOL_MID</t>
        </is>
      </c>
      <c r="BL3" s="9" t="inlineStr">
        <is>
          <t>IVOL_BID</t>
        </is>
      </c>
      <c r="BM3" s="9" t="inlineStr">
        <is>
          <t>IVOL_ASK</t>
        </is>
      </c>
      <c r="BN3" s="9" t="inlineStr">
        <is>
          <t>DELTA_MID</t>
        </is>
      </c>
      <c r="BO3" s="9" t="inlineStr">
        <is>
          <t>GAMMA_MID</t>
        </is>
      </c>
      <c r="BP3" s="9" t="inlineStr">
        <is>
          <t>VEGA_MID</t>
        </is>
      </c>
      <c r="BQ3" s="9" t="inlineStr">
        <is>
          <t>THETA_MID</t>
        </is>
      </c>
      <c r="BR3" s="9" t="inlineStr">
        <is>
          <t>OPT_UNDL_PX</t>
        </is>
      </c>
      <c r="BT3" s="9" t="inlineStr">
        <is>
          <t>Date</t>
        </is>
      </c>
      <c r="BU3" s="9" t="inlineStr">
        <is>
          <t>PX_BID</t>
        </is>
      </c>
      <c r="BV3" s="9" t="inlineStr">
        <is>
          <t>PX_ASK</t>
        </is>
      </c>
      <c r="BW3" s="9" t="inlineStr">
        <is>
          <t>PX_MID</t>
        </is>
      </c>
      <c r="BX3" s="9" t="inlineStr">
        <is>
          <t>PX_LAST</t>
        </is>
      </c>
      <c r="BY3" s="9" t="inlineStr">
        <is>
          <t>PX_SETTLE</t>
        </is>
      </c>
      <c r="BZ3" s="9" t="inlineStr">
        <is>
          <t>PX_VOLUME</t>
        </is>
      </c>
      <c r="CA3" s="9" t="inlineStr">
        <is>
          <t>OPEN_INT</t>
        </is>
      </c>
      <c r="CB3" s="9" t="inlineStr">
        <is>
          <t>IVOL_MID</t>
        </is>
      </c>
      <c r="CC3" s="9" t="inlineStr">
        <is>
          <t>IVOL_BID</t>
        </is>
      </c>
      <c r="CD3" s="9" t="inlineStr">
        <is>
          <t>IVOL_ASK</t>
        </is>
      </c>
      <c r="CE3" s="9" t="inlineStr">
        <is>
          <t>DELTA_MID</t>
        </is>
      </c>
      <c r="CF3" s="9" t="inlineStr">
        <is>
          <t>GAMMA_MID</t>
        </is>
      </c>
      <c r="CG3" s="9" t="inlineStr">
        <is>
          <t>VEGA_MID</t>
        </is>
      </c>
      <c r="CH3" s="9" t="inlineStr">
        <is>
          <t>THETA_MID</t>
        </is>
      </c>
      <c r="CI3" s="9" t="inlineStr">
        <is>
          <t>OPT_UNDL_PX</t>
        </is>
      </c>
      <c r="CK3" s="9" t="inlineStr">
        <is>
          <t>Date</t>
        </is>
      </c>
      <c r="CL3" s="9" t="inlineStr">
        <is>
          <t>PX_BID</t>
        </is>
      </c>
      <c r="CM3" s="9" t="inlineStr">
        <is>
          <t>PX_ASK</t>
        </is>
      </c>
      <c r="CN3" s="9" t="inlineStr">
        <is>
          <t>PX_MID</t>
        </is>
      </c>
      <c r="CO3" s="9" t="inlineStr">
        <is>
          <t>PX_LAST</t>
        </is>
      </c>
      <c r="CP3" s="9" t="inlineStr">
        <is>
          <t>PX_SETTLE</t>
        </is>
      </c>
      <c r="CQ3" s="9" t="inlineStr">
        <is>
          <t>PX_VOLUME</t>
        </is>
      </c>
      <c r="CR3" s="9" t="inlineStr">
        <is>
          <t>OPEN_INT</t>
        </is>
      </c>
      <c r="CS3" s="9" t="inlineStr">
        <is>
          <t>IVOL_MID</t>
        </is>
      </c>
      <c r="CT3" s="9" t="inlineStr">
        <is>
          <t>IVOL_BID</t>
        </is>
      </c>
      <c r="CU3" s="9" t="inlineStr">
        <is>
          <t>IVOL_ASK</t>
        </is>
      </c>
      <c r="CV3" s="9" t="inlineStr">
        <is>
          <t>DELTA_MID</t>
        </is>
      </c>
      <c r="CW3" s="9" t="inlineStr">
        <is>
          <t>GAMMA_MID</t>
        </is>
      </c>
      <c r="CX3" s="9" t="inlineStr">
        <is>
          <t>VEGA_MID</t>
        </is>
      </c>
      <c r="CY3" s="9" t="inlineStr">
        <is>
          <t>THETA_MID</t>
        </is>
      </c>
      <c r="CZ3" s="9" t="inlineStr">
        <is>
          <t>OPT_UNDL_PX</t>
        </is>
      </c>
      <c r="DB3" s="9" t="inlineStr">
        <is>
          <t>Date</t>
        </is>
      </c>
      <c r="DC3" s="9" t="inlineStr">
        <is>
          <t>PX_BID</t>
        </is>
      </c>
      <c r="DD3" s="9" t="inlineStr">
        <is>
          <t>PX_ASK</t>
        </is>
      </c>
      <c r="DE3" s="9" t="inlineStr">
        <is>
          <t>PX_MID</t>
        </is>
      </c>
      <c r="DF3" s="9" t="inlineStr">
        <is>
          <t>PX_LAST</t>
        </is>
      </c>
      <c r="DG3" s="9" t="inlineStr">
        <is>
          <t>PX_SETTLE</t>
        </is>
      </c>
      <c r="DH3" s="9" t="inlineStr">
        <is>
          <t>PX_VOLUME</t>
        </is>
      </c>
      <c r="DI3" s="9" t="inlineStr">
        <is>
          <t>OPEN_INT</t>
        </is>
      </c>
      <c r="DJ3" s="9" t="inlineStr">
        <is>
          <t>IVOL_MID</t>
        </is>
      </c>
      <c r="DK3" s="9" t="inlineStr">
        <is>
          <t>IVOL_BID</t>
        </is>
      </c>
      <c r="DL3" s="9" t="inlineStr">
        <is>
          <t>IVOL_ASK</t>
        </is>
      </c>
      <c r="DM3" s="9" t="inlineStr">
        <is>
          <t>DELTA_MID</t>
        </is>
      </c>
      <c r="DN3" s="9" t="inlineStr">
        <is>
          <t>GAMMA_MID</t>
        </is>
      </c>
      <c r="DO3" s="9" t="inlineStr">
        <is>
          <t>VEGA_MID</t>
        </is>
      </c>
      <c r="DP3" s="9" t="inlineStr">
        <is>
          <t>THETA_MID</t>
        </is>
      </c>
      <c r="DQ3" s="9" t="inlineStr">
        <is>
          <t>OPT_UNDL_PX</t>
        </is>
      </c>
      <c r="DS3" s="9" t="inlineStr">
        <is>
          <t>Date</t>
        </is>
      </c>
      <c r="DT3" s="9" t="inlineStr">
        <is>
          <t>PX_BID</t>
        </is>
      </c>
      <c r="DU3" s="9" t="inlineStr">
        <is>
          <t>PX_ASK</t>
        </is>
      </c>
      <c r="DV3" s="9" t="inlineStr">
        <is>
          <t>PX_MID</t>
        </is>
      </c>
      <c r="DW3" s="9" t="inlineStr">
        <is>
          <t>PX_LAST</t>
        </is>
      </c>
      <c r="DX3" s="9" t="inlineStr">
        <is>
          <t>PX_SETTLE</t>
        </is>
      </c>
      <c r="DY3" s="9" t="inlineStr">
        <is>
          <t>PX_VOLUME</t>
        </is>
      </c>
      <c r="DZ3" s="9" t="inlineStr">
        <is>
          <t>OPEN_INT</t>
        </is>
      </c>
      <c r="EA3" s="9" t="inlineStr">
        <is>
          <t>IVOL_MID</t>
        </is>
      </c>
      <c r="EB3" s="9" t="inlineStr">
        <is>
          <t>IVOL_BID</t>
        </is>
      </c>
      <c r="EC3" s="9" t="inlineStr">
        <is>
          <t>IVOL_ASK</t>
        </is>
      </c>
      <c r="ED3" s="9" t="inlineStr">
        <is>
          <t>DELTA_MID</t>
        </is>
      </c>
      <c r="EE3" s="9" t="inlineStr">
        <is>
          <t>GAMMA_MID</t>
        </is>
      </c>
      <c r="EF3" s="9" t="inlineStr">
        <is>
          <t>VEGA_MID</t>
        </is>
      </c>
      <c r="EG3" s="9" t="inlineStr">
        <is>
          <t>THETA_MID</t>
        </is>
      </c>
      <c r="EH3" s="9" t="inlineStr">
        <is>
          <t>OPT_UNDL_PX</t>
        </is>
      </c>
      <c r="EJ3" s="9" t="inlineStr">
        <is>
          <t>Date</t>
        </is>
      </c>
      <c r="EK3" s="9" t="inlineStr">
        <is>
          <t>PX_BID</t>
        </is>
      </c>
      <c r="EL3" s="9" t="inlineStr">
        <is>
          <t>PX_ASK</t>
        </is>
      </c>
      <c r="EM3" s="9" t="inlineStr">
        <is>
          <t>PX_MID</t>
        </is>
      </c>
      <c r="EN3" s="9" t="inlineStr">
        <is>
          <t>PX_LAST</t>
        </is>
      </c>
      <c r="EO3" s="9" t="inlineStr">
        <is>
          <t>PX_SETTLE</t>
        </is>
      </c>
      <c r="EP3" s="9" t="inlineStr">
        <is>
          <t>PX_VOLUME</t>
        </is>
      </c>
      <c r="EQ3" s="9" t="inlineStr">
        <is>
          <t>OPEN_INT</t>
        </is>
      </c>
      <c r="ER3" s="9" t="inlineStr">
        <is>
          <t>IVOL_MID</t>
        </is>
      </c>
      <c r="ES3" s="9" t="inlineStr">
        <is>
          <t>IVOL_BID</t>
        </is>
      </c>
      <c r="ET3" s="9" t="inlineStr">
        <is>
          <t>IVOL_ASK</t>
        </is>
      </c>
      <c r="EU3" s="9" t="inlineStr">
        <is>
          <t>DELTA_MID</t>
        </is>
      </c>
      <c r="EV3" s="9" t="inlineStr">
        <is>
          <t>GAMMA_MID</t>
        </is>
      </c>
      <c r="EW3" s="9" t="inlineStr">
        <is>
          <t>VEGA_MID</t>
        </is>
      </c>
      <c r="EX3" s="9" t="inlineStr">
        <is>
          <t>THETA_MID</t>
        </is>
      </c>
      <c r="EY3" s="9" t="inlineStr">
        <is>
          <t>OPT_UNDL_PX</t>
        </is>
      </c>
      <c r="FA3" s="9" t="inlineStr">
        <is>
          <t>Date</t>
        </is>
      </c>
      <c r="FB3" s="9" t="inlineStr">
        <is>
          <t>PX_BID</t>
        </is>
      </c>
      <c r="FC3" s="9" t="inlineStr">
        <is>
          <t>PX_ASK</t>
        </is>
      </c>
      <c r="FD3" s="9" t="inlineStr">
        <is>
          <t>PX_MID</t>
        </is>
      </c>
      <c r="FE3" s="9" t="inlineStr">
        <is>
          <t>PX_LAST</t>
        </is>
      </c>
      <c r="FF3" s="9" t="inlineStr">
        <is>
          <t>PX_SETTLE</t>
        </is>
      </c>
      <c r="FG3" s="9" t="inlineStr">
        <is>
          <t>PX_VOLUME</t>
        </is>
      </c>
      <c r="FH3" s="9" t="inlineStr">
        <is>
          <t>OPEN_INT</t>
        </is>
      </c>
      <c r="FI3" s="9" t="inlineStr">
        <is>
          <t>IVOL_MID</t>
        </is>
      </c>
      <c r="FJ3" s="9" t="inlineStr">
        <is>
          <t>IVOL_BID</t>
        </is>
      </c>
      <c r="FK3" s="9" t="inlineStr">
        <is>
          <t>IVOL_ASK</t>
        </is>
      </c>
      <c r="FL3" s="9" t="inlineStr">
        <is>
          <t>DELTA_MID</t>
        </is>
      </c>
      <c r="FM3" s="9" t="inlineStr">
        <is>
          <t>GAMMA_MID</t>
        </is>
      </c>
      <c r="FN3" s="9" t="inlineStr">
        <is>
          <t>VEGA_MID</t>
        </is>
      </c>
      <c r="FO3" s="9" t="inlineStr">
        <is>
          <t>THETA_MID</t>
        </is>
      </c>
      <c r="FP3" s="9" t="inlineStr">
        <is>
          <t>OPT_UNDL_PX</t>
        </is>
      </c>
      <c r="FR3" s="9" t="inlineStr">
        <is>
          <t>Date</t>
        </is>
      </c>
      <c r="FS3" s="9" t="inlineStr">
        <is>
          <t>PX_BID</t>
        </is>
      </c>
      <c r="FT3" s="9" t="inlineStr">
        <is>
          <t>PX_ASK</t>
        </is>
      </c>
      <c r="FU3" s="9" t="inlineStr">
        <is>
          <t>PX_MID</t>
        </is>
      </c>
      <c r="FV3" s="9" t="inlineStr">
        <is>
          <t>PX_LAST</t>
        </is>
      </c>
      <c r="FW3" s="9" t="inlineStr">
        <is>
          <t>PX_SETTLE</t>
        </is>
      </c>
      <c r="FX3" s="9" t="inlineStr">
        <is>
          <t>PX_VOLUME</t>
        </is>
      </c>
      <c r="FY3" s="9" t="inlineStr">
        <is>
          <t>OPEN_INT</t>
        </is>
      </c>
      <c r="FZ3" s="9" t="inlineStr">
        <is>
          <t>IVOL_MID</t>
        </is>
      </c>
      <c r="GA3" s="9" t="inlineStr">
        <is>
          <t>IVOL_BID</t>
        </is>
      </c>
      <c r="GB3" s="9" t="inlineStr">
        <is>
          <t>IVOL_ASK</t>
        </is>
      </c>
      <c r="GC3" s="9" t="inlineStr">
        <is>
          <t>DELTA_MID</t>
        </is>
      </c>
      <c r="GD3" s="9" t="inlineStr">
        <is>
          <t>GAMMA_MID</t>
        </is>
      </c>
      <c r="GE3" s="9" t="inlineStr">
        <is>
          <t>VEGA_MID</t>
        </is>
      </c>
      <c r="GF3" s="9" t="inlineStr">
        <is>
          <t>THETA_MID</t>
        </is>
      </c>
      <c r="GG3" s="9" t="inlineStr">
        <is>
          <t>OPT_UNDL_PX</t>
        </is>
      </c>
      <c r="GI3" s="9" t="inlineStr">
        <is>
          <t>Date</t>
        </is>
      </c>
      <c r="GJ3" s="9" t="inlineStr">
        <is>
          <t>PX_BID</t>
        </is>
      </c>
      <c r="GK3" s="9" t="inlineStr">
        <is>
          <t>PX_ASK</t>
        </is>
      </c>
      <c r="GL3" s="9" t="inlineStr">
        <is>
          <t>PX_MID</t>
        </is>
      </c>
      <c r="GM3" s="9" t="inlineStr">
        <is>
          <t>PX_LAST</t>
        </is>
      </c>
      <c r="GN3" s="9" t="inlineStr">
        <is>
          <t>PX_SETTLE</t>
        </is>
      </c>
      <c r="GO3" s="9" t="inlineStr">
        <is>
          <t>PX_VOLUME</t>
        </is>
      </c>
      <c r="GP3" s="9" t="inlineStr">
        <is>
          <t>OPEN_INT</t>
        </is>
      </c>
      <c r="GQ3" s="9" t="inlineStr">
        <is>
          <t>IVOL_MID</t>
        </is>
      </c>
      <c r="GR3" s="9" t="inlineStr">
        <is>
          <t>IVOL_BID</t>
        </is>
      </c>
      <c r="GS3" s="9" t="inlineStr">
        <is>
          <t>IVOL_ASK</t>
        </is>
      </c>
      <c r="GT3" s="9" t="inlineStr">
        <is>
          <t>DELTA_MID</t>
        </is>
      </c>
      <c r="GU3" s="9" t="inlineStr">
        <is>
          <t>GAMMA_MID</t>
        </is>
      </c>
      <c r="GV3" s="9" t="inlineStr">
        <is>
          <t>VEGA_MID</t>
        </is>
      </c>
      <c r="GW3" s="9" t="inlineStr">
        <is>
          <t>THETA_MID</t>
        </is>
      </c>
      <c r="GX3" s="9" t="inlineStr">
        <is>
          <t>OPT_UNDL_PX</t>
        </is>
      </c>
      <c r="GZ3" s="9" t="inlineStr">
        <is>
          <t>Date</t>
        </is>
      </c>
      <c r="HA3" s="9" t="inlineStr">
        <is>
          <t>PX_BID</t>
        </is>
      </c>
      <c r="HB3" s="9" t="inlineStr">
        <is>
          <t>PX_ASK</t>
        </is>
      </c>
      <c r="HC3" s="9" t="inlineStr">
        <is>
          <t>PX_MID</t>
        </is>
      </c>
      <c r="HD3" s="9" t="inlineStr">
        <is>
          <t>PX_LAST</t>
        </is>
      </c>
      <c r="HE3" s="9" t="inlineStr">
        <is>
          <t>PX_SETTLE</t>
        </is>
      </c>
      <c r="HF3" s="9" t="inlineStr">
        <is>
          <t>PX_VOLUME</t>
        </is>
      </c>
      <c r="HG3" s="9" t="inlineStr">
        <is>
          <t>OPEN_INT</t>
        </is>
      </c>
      <c r="HH3" s="9" t="inlineStr">
        <is>
          <t>IVOL_MID</t>
        </is>
      </c>
      <c r="HI3" s="9" t="inlineStr">
        <is>
          <t>IVOL_BID</t>
        </is>
      </c>
      <c r="HJ3" s="9" t="inlineStr">
        <is>
          <t>IVOL_ASK</t>
        </is>
      </c>
      <c r="HK3" s="9" t="inlineStr">
        <is>
          <t>DELTA_MID</t>
        </is>
      </c>
      <c r="HL3" s="9" t="inlineStr">
        <is>
          <t>GAMMA_MID</t>
        </is>
      </c>
      <c r="HM3" s="9" t="inlineStr">
        <is>
          <t>VEGA_MID</t>
        </is>
      </c>
      <c r="HN3" s="9" t="inlineStr">
        <is>
          <t>THETA_MID</t>
        </is>
      </c>
      <c r="HO3" s="9" t="inlineStr">
        <is>
          <t>OPT_UNDL_PX</t>
        </is>
      </c>
      <c r="HQ3" s="9" t="inlineStr">
        <is>
          <t>Date</t>
        </is>
      </c>
      <c r="HR3" s="9" t="inlineStr">
        <is>
          <t>PX_BID</t>
        </is>
      </c>
      <c r="HS3" s="9" t="inlineStr">
        <is>
          <t>PX_ASK</t>
        </is>
      </c>
      <c r="HT3" s="9" t="inlineStr">
        <is>
          <t>PX_MID</t>
        </is>
      </c>
      <c r="HU3" s="9" t="inlineStr">
        <is>
          <t>PX_LAST</t>
        </is>
      </c>
      <c r="HV3" s="9" t="inlineStr">
        <is>
          <t>PX_SETTLE</t>
        </is>
      </c>
      <c r="HW3" s="9" t="inlineStr">
        <is>
          <t>PX_VOLUME</t>
        </is>
      </c>
      <c r="HX3" s="9" t="inlineStr">
        <is>
          <t>OPEN_INT</t>
        </is>
      </c>
      <c r="HY3" s="9" t="inlineStr">
        <is>
          <t>IVOL_MID</t>
        </is>
      </c>
      <c r="HZ3" s="9" t="inlineStr">
        <is>
          <t>IVOL_BID</t>
        </is>
      </c>
      <c r="IA3" s="9" t="inlineStr">
        <is>
          <t>IVOL_ASK</t>
        </is>
      </c>
      <c r="IB3" s="9" t="inlineStr">
        <is>
          <t>DELTA_MID</t>
        </is>
      </c>
      <c r="IC3" s="9" t="inlineStr">
        <is>
          <t>GAMMA_MID</t>
        </is>
      </c>
      <c r="ID3" s="9" t="inlineStr">
        <is>
          <t>VEGA_MID</t>
        </is>
      </c>
      <c r="IE3" s="9" t="inlineStr">
        <is>
          <t>THETA_MID</t>
        </is>
      </c>
      <c r="IF3" s="9" t="inlineStr">
        <is>
          <t>OPT_UNDL_PX</t>
        </is>
      </c>
      <c r="IH3" s="9" t="inlineStr">
        <is>
          <t>Date</t>
        </is>
      </c>
      <c r="II3" s="9" t="inlineStr">
        <is>
          <t>PX_BID</t>
        </is>
      </c>
      <c r="IJ3" s="9" t="inlineStr">
        <is>
          <t>PX_ASK</t>
        </is>
      </c>
      <c r="IK3" s="9" t="inlineStr">
        <is>
          <t>PX_MID</t>
        </is>
      </c>
      <c r="IL3" s="9" t="inlineStr">
        <is>
          <t>PX_LAST</t>
        </is>
      </c>
      <c r="IM3" s="9" t="inlineStr">
        <is>
          <t>PX_SETTLE</t>
        </is>
      </c>
      <c r="IN3" s="9" t="inlineStr">
        <is>
          <t>PX_VOLUME</t>
        </is>
      </c>
      <c r="IO3" s="9" t="inlineStr">
        <is>
          <t>OPEN_INT</t>
        </is>
      </c>
      <c r="IP3" s="9" t="inlineStr">
        <is>
          <t>IVOL_MID</t>
        </is>
      </c>
      <c r="IQ3" s="9" t="inlineStr">
        <is>
          <t>IVOL_BID</t>
        </is>
      </c>
      <c r="IR3" s="9" t="inlineStr">
        <is>
          <t>IVOL_ASK</t>
        </is>
      </c>
      <c r="IS3" s="9" t="inlineStr">
        <is>
          <t>DELTA_MID</t>
        </is>
      </c>
      <c r="IT3" s="9" t="inlineStr">
        <is>
          <t>GAMMA_MID</t>
        </is>
      </c>
      <c r="IU3" s="9" t="inlineStr">
        <is>
          <t>VEGA_MID</t>
        </is>
      </c>
      <c r="IV3" s="9" t="inlineStr">
        <is>
          <t>THETA_MID</t>
        </is>
      </c>
      <c r="IW3" s="9" t="inlineStr">
        <is>
          <t>OPT_UNDL_PX</t>
        </is>
      </c>
      <c r="IY3" s="9" t="inlineStr">
        <is>
          <t>Date</t>
        </is>
      </c>
      <c r="IZ3" s="9" t="inlineStr">
        <is>
          <t>PX_BID</t>
        </is>
      </c>
      <c r="JA3" s="9" t="inlineStr">
        <is>
          <t>PX_ASK</t>
        </is>
      </c>
      <c r="JB3" s="9" t="inlineStr">
        <is>
          <t>PX_MID</t>
        </is>
      </c>
      <c r="JC3" s="9" t="inlineStr">
        <is>
          <t>PX_LAST</t>
        </is>
      </c>
      <c r="JD3" s="9" t="inlineStr">
        <is>
          <t>PX_SETTLE</t>
        </is>
      </c>
      <c r="JE3" s="9" t="inlineStr">
        <is>
          <t>PX_VOLUME</t>
        </is>
      </c>
      <c r="JF3" s="9" t="inlineStr">
        <is>
          <t>OPEN_INT</t>
        </is>
      </c>
      <c r="JG3" s="9" t="inlineStr">
        <is>
          <t>IVOL_MID</t>
        </is>
      </c>
      <c r="JH3" s="9" t="inlineStr">
        <is>
          <t>IVOL_BID</t>
        </is>
      </c>
      <c r="JI3" s="9" t="inlineStr">
        <is>
          <t>IVOL_ASK</t>
        </is>
      </c>
      <c r="JJ3" s="9" t="inlineStr">
        <is>
          <t>DELTA_MID</t>
        </is>
      </c>
      <c r="JK3" s="9" t="inlineStr">
        <is>
          <t>GAMMA_MID</t>
        </is>
      </c>
      <c r="JL3" s="9" t="inlineStr">
        <is>
          <t>VEGA_MID</t>
        </is>
      </c>
      <c r="JM3" s="9" t="inlineStr">
        <is>
          <t>THETA_MID</t>
        </is>
      </c>
      <c r="JN3" s="9" t="inlineStr">
        <is>
          <t>OPT_UNDL_PX</t>
        </is>
      </c>
      <c r="JP3" s="9" t="inlineStr">
        <is>
          <t>Date</t>
        </is>
      </c>
      <c r="JQ3" s="9" t="inlineStr">
        <is>
          <t>PX_BID</t>
        </is>
      </c>
      <c r="JR3" s="9" t="inlineStr">
        <is>
          <t>PX_ASK</t>
        </is>
      </c>
      <c r="JS3" s="9" t="inlineStr">
        <is>
          <t>PX_MID</t>
        </is>
      </c>
      <c r="JT3" s="9" t="inlineStr">
        <is>
          <t>PX_LAST</t>
        </is>
      </c>
      <c r="JU3" s="9" t="inlineStr">
        <is>
          <t>PX_SETTLE</t>
        </is>
      </c>
      <c r="JV3" s="9" t="inlineStr">
        <is>
          <t>PX_VOLUME</t>
        </is>
      </c>
      <c r="JW3" s="9" t="inlineStr">
        <is>
          <t>OPEN_INT</t>
        </is>
      </c>
      <c r="JX3" s="9" t="inlineStr">
        <is>
          <t>IVOL_MID</t>
        </is>
      </c>
      <c r="JY3" s="9" t="inlineStr">
        <is>
          <t>IVOL_BID</t>
        </is>
      </c>
      <c r="JZ3" s="9" t="inlineStr">
        <is>
          <t>IVOL_ASK</t>
        </is>
      </c>
      <c r="KA3" s="9" t="inlineStr">
        <is>
          <t>DELTA_MID</t>
        </is>
      </c>
      <c r="KB3" s="9" t="inlineStr">
        <is>
          <t>GAMMA_MID</t>
        </is>
      </c>
      <c r="KC3" s="9" t="inlineStr">
        <is>
          <t>VEGA_MID</t>
        </is>
      </c>
      <c r="KD3" s="9" t="inlineStr">
        <is>
          <t>THETA_MID</t>
        </is>
      </c>
      <c r="KE3" s="9" t="inlineStr">
        <is>
          <t>OPT_UNDL_PX</t>
        </is>
      </c>
      <c r="KG3" s="9" t="inlineStr">
        <is>
          <t>Date</t>
        </is>
      </c>
      <c r="KH3" s="9" t="inlineStr">
        <is>
          <t>PX_BID</t>
        </is>
      </c>
      <c r="KI3" s="9" t="inlineStr">
        <is>
          <t>PX_ASK</t>
        </is>
      </c>
      <c r="KJ3" s="9" t="inlineStr">
        <is>
          <t>PX_MID</t>
        </is>
      </c>
      <c r="KK3" s="9" t="inlineStr">
        <is>
          <t>PX_LAST</t>
        </is>
      </c>
      <c r="KL3" s="9" t="inlineStr">
        <is>
          <t>PX_SETTLE</t>
        </is>
      </c>
      <c r="KM3" s="9" t="inlineStr">
        <is>
          <t>PX_VOLUME</t>
        </is>
      </c>
      <c r="KN3" s="9" t="inlineStr">
        <is>
          <t>OPEN_INT</t>
        </is>
      </c>
      <c r="KO3" s="9" t="inlineStr">
        <is>
          <t>IVOL_MID</t>
        </is>
      </c>
      <c r="KP3" s="9" t="inlineStr">
        <is>
          <t>IVOL_BID</t>
        </is>
      </c>
      <c r="KQ3" s="9" t="inlineStr">
        <is>
          <t>IVOL_ASK</t>
        </is>
      </c>
      <c r="KR3" s="9" t="inlineStr">
        <is>
          <t>DELTA_MID</t>
        </is>
      </c>
      <c r="KS3" s="9" t="inlineStr">
        <is>
          <t>GAMMA_MID</t>
        </is>
      </c>
      <c r="KT3" s="9" t="inlineStr">
        <is>
          <t>VEGA_MID</t>
        </is>
      </c>
      <c r="KU3" s="9" t="inlineStr">
        <is>
          <t>THETA_MID</t>
        </is>
      </c>
      <c r="KV3" s="9" t="inlineStr">
        <is>
          <t>OPT_UNDL_PX</t>
        </is>
      </c>
      <c r="KX3" s="9" t="inlineStr">
        <is>
          <t>Date</t>
        </is>
      </c>
      <c r="KY3" s="9" t="inlineStr">
        <is>
          <t>PX_BID</t>
        </is>
      </c>
      <c r="KZ3" s="9" t="inlineStr">
        <is>
          <t>PX_ASK</t>
        </is>
      </c>
      <c r="LA3" s="9" t="inlineStr">
        <is>
          <t>PX_MID</t>
        </is>
      </c>
      <c r="LB3" s="9" t="inlineStr">
        <is>
          <t>PX_LAST</t>
        </is>
      </c>
      <c r="LC3" s="9" t="inlineStr">
        <is>
          <t>PX_SETTLE</t>
        </is>
      </c>
      <c r="LD3" s="9" t="inlineStr">
        <is>
          <t>PX_VOLUME</t>
        </is>
      </c>
      <c r="LE3" s="9" t="inlineStr">
        <is>
          <t>OPEN_INT</t>
        </is>
      </c>
      <c r="LF3" s="9" t="inlineStr">
        <is>
          <t>IVOL_MID</t>
        </is>
      </c>
      <c r="LG3" s="9" t="inlineStr">
        <is>
          <t>IVOL_BID</t>
        </is>
      </c>
      <c r="LH3" s="9" t="inlineStr">
        <is>
          <t>IVOL_ASK</t>
        </is>
      </c>
      <c r="LI3" s="9" t="inlineStr">
        <is>
          <t>DELTA_MID</t>
        </is>
      </c>
      <c r="LJ3" s="9" t="inlineStr">
        <is>
          <t>GAMMA_MID</t>
        </is>
      </c>
      <c r="LK3" s="9" t="inlineStr">
        <is>
          <t>VEGA_MID</t>
        </is>
      </c>
      <c r="LL3" s="9" t="inlineStr">
        <is>
          <t>THETA_MID</t>
        </is>
      </c>
      <c r="LM3" s="9" t="inlineStr">
        <is>
          <t>OPT_UNDL_PX</t>
        </is>
      </c>
      <c r="LO3" s="9" t="inlineStr">
        <is>
          <t>Date</t>
        </is>
      </c>
      <c r="LP3" s="9" t="inlineStr">
        <is>
          <t>PX_BID</t>
        </is>
      </c>
      <c r="LQ3" s="9" t="inlineStr">
        <is>
          <t>PX_ASK</t>
        </is>
      </c>
      <c r="LR3" s="9" t="inlineStr">
        <is>
          <t>PX_MID</t>
        </is>
      </c>
      <c r="LS3" s="9" t="inlineStr">
        <is>
          <t>PX_LAST</t>
        </is>
      </c>
      <c r="LT3" s="9" t="inlineStr">
        <is>
          <t>PX_SETTLE</t>
        </is>
      </c>
      <c r="LU3" s="9" t="inlineStr">
        <is>
          <t>PX_VOLUME</t>
        </is>
      </c>
      <c r="LV3" s="9" t="inlineStr">
        <is>
          <t>OPEN_INT</t>
        </is>
      </c>
      <c r="LW3" s="9" t="inlineStr">
        <is>
          <t>IVOL_MID</t>
        </is>
      </c>
      <c r="LX3" s="9" t="inlineStr">
        <is>
          <t>IVOL_BID</t>
        </is>
      </c>
      <c r="LY3" s="9" t="inlineStr">
        <is>
          <t>IVOL_ASK</t>
        </is>
      </c>
      <c r="LZ3" s="9" t="inlineStr">
        <is>
          <t>DELTA_MID</t>
        </is>
      </c>
      <c r="MA3" s="9" t="inlineStr">
        <is>
          <t>GAMMA_MID</t>
        </is>
      </c>
      <c r="MB3" s="9" t="inlineStr">
        <is>
          <t>VEGA_MID</t>
        </is>
      </c>
      <c r="MC3" s="9" t="inlineStr">
        <is>
          <t>THETA_MID</t>
        </is>
      </c>
      <c r="MD3" s="9" t="inlineStr">
        <is>
          <t>OPT_UNDL_PX</t>
        </is>
      </c>
      <c r="MF3" s="9" t="inlineStr">
        <is>
          <t>Date</t>
        </is>
      </c>
      <c r="MG3" s="9" t="inlineStr">
        <is>
          <t>PX_BID</t>
        </is>
      </c>
      <c r="MH3" s="9" t="inlineStr">
        <is>
          <t>PX_ASK</t>
        </is>
      </c>
      <c r="MI3" s="9" t="inlineStr">
        <is>
          <t>PX_MID</t>
        </is>
      </c>
      <c r="MJ3" s="9" t="inlineStr">
        <is>
          <t>PX_LAST</t>
        </is>
      </c>
      <c r="MK3" s="9" t="inlineStr">
        <is>
          <t>PX_SETTLE</t>
        </is>
      </c>
      <c r="ML3" s="9" t="inlineStr">
        <is>
          <t>PX_VOLUME</t>
        </is>
      </c>
      <c r="MM3" s="9" t="inlineStr">
        <is>
          <t>OPEN_INT</t>
        </is>
      </c>
      <c r="MN3" s="9" t="inlineStr">
        <is>
          <t>IVOL_MID</t>
        </is>
      </c>
      <c r="MO3" s="9" t="inlineStr">
        <is>
          <t>IVOL_BID</t>
        </is>
      </c>
      <c r="MP3" s="9" t="inlineStr">
        <is>
          <t>IVOL_ASK</t>
        </is>
      </c>
      <c r="MQ3" s="9" t="inlineStr">
        <is>
          <t>DELTA_MID</t>
        </is>
      </c>
      <c r="MR3" s="9" t="inlineStr">
        <is>
          <t>GAMMA_MID</t>
        </is>
      </c>
      <c r="MS3" s="9" t="inlineStr">
        <is>
          <t>VEGA_MID</t>
        </is>
      </c>
      <c r="MT3" s="9" t="inlineStr">
        <is>
          <t>THETA_MID</t>
        </is>
      </c>
      <c r="MU3" s="9" t="inlineStr">
        <is>
          <t>OPT_UNDL_PX</t>
        </is>
      </c>
      <c r="MW3" s="9" t="inlineStr">
        <is>
          <t>Date</t>
        </is>
      </c>
      <c r="MX3" s="9" t="inlineStr">
        <is>
          <t>PX_BID</t>
        </is>
      </c>
      <c r="MY3" s="9" t="inlineStr">
        <is>
          <t>PX_ASK</t>
        </is>
      </c>
      <c r="MZ3" s="9" t="inlineStr">
        <is>
          <t>PX_MID</t>
        </is>
      </c>
      <c r="NA3" s="9" t="inlineStr">
        <is>
          <t>PX_LAST</t>
        </is>
      </c>
      <c r="NB3" s="9" t="inlineStr">
        <is>
          <t>PX_SETTLE</t>
        </is>
      </c>
      <c r="NC3" s="9" t="inlineStr">
        <is>
          <t>PX_VOLUME</t>
        </is>
      </c>
      <c r="ND3" s="9" t="inlineStr">
        <is>
          <t>OPEN_INT</t>
        </is>
      </c>
      <c r="NE3" s="9" t="inlineStr">
        <is>
          <t>IVOL_MID</t>
        </is>
      </c>
      <c r="NF3" s="9" t="inlineStr">
        <is>
          <t>IVOL_BID</t>
        </is>
      </c>
      <c r="NG3" s="9" t="inlineStr">
        <is>
          <t>IVOL_ASK</t>
        </is>
      </c>
      <c r="NH3" s="9" t="inlineStr">
        <is>
          <t>DELTA_MID</t>
        </is>
      </c>
      <c r="NI3" s="9" t="inlineStr">
        <is>
          <t>GAMMA_MID</t>
        </is>
      </c>
      <c r="NJ3" s="9" t="inlineStr">
        <is>
          <t>VEGA_MID</t>
        </is>
      </c>
      <c r="NK3" s="9" t="inlineStr">
        <is>
          <t>THETA_MID</t>
        </is>
      </c>
      <c r="NL3" s="9" t="inlineStr">
        <is>
          <t>OPT_UNDL_PX</t>
        </is>
      </c>
      <c r="NN3" s="9" t="inlineStr">
        <is>
          <t>Date</t>
        </is>
      </c>
      <c r="NO3" s="9" t="inlineStr">
        <is>
          <t>PX_BID</t>
        </is>
      </c>
      <c r="NP3" s="9" t="inlineStr">
        <is>
          <t>PX_ASK</t>
        </is>
      </c>
      <c r="NQ3" s="9" t="inlineStr">
        <is>
          <t>PX_MID</t>
        </is>
      </c>
      <c r="NR3" s="9" t="inlineStr">
        <is>
          <t>PX_LAST</t>
        </is>
      </c>
      <c r="NS3" s="9" t="inlineStr">
        <is>
          <t>PX_SETTLE</t>
        </is>
      </c>
      <c r="NT3" s="9" t="inlineStr">
        <is>
          <t>PX_VOLUME</t>
        </is>
      </c>
      <c r="NU3" s="9" t="inlineStr">
        <is>
          <t>OPEN_INT</t>
        </is>
      </c>
      <c r="NV3" s="9" t="inlineStr">
        <is>
          <t>IVOL_MID</t>
        </is>
      </c>
      <c r="NW3" s="9" t="inlineStr">
        <is>
          <t>IVOL_BID</t>
        </is>
      </c>
      <c r="NX3" s="9" t="inlineStr">
        <is>
          <t>IVOL_ASK</t>
        </is>
      </c>
      <c r="NY3" s="9" t="inlineStr">
        <is>
          <t>DELTA_MID</t>
        </is>
      </c>
      <c r="NZ3" s="9" t="inlineStr">
        <is>
          <t>GAMMA_MID</t>
        </is>
      </c>
      <c r="OA3" s="9" t="inlineStr">
        <is>
          <t>VEGA_MID</t>
        </is>
      </c>
      <c r="OB3" s="9" t="inlineStr">
        <is>
          <t>THETA_MID</t>
        </is>
      </c>
      <c r="OC3" s="9" t="inlineStr">
        <is>
          <t>OPT_UNDL_PX</t>
        </is>
      </c>
      <c r="OE3" s="9" t="inlineStr">
        <is>
          <t>Date</t>
        </is>
      </c>
      <c r="OF3" s="9" t="inlineStr">
        <is>
          <t>PX_BID</t>
        </is>
      </c>
      <c r="OG3" s="9" t="inlineStr">
        <is>
          <t>PX_ASK</t>
        </is>
      </c>
      <c r="OH3" s="9" t="inlineStr">
        <is>
          <t>PX_MID</t>
        </is>
      </c>
      <c r="OI3" s="9" t="inlineStr">
        <is>
          <t>PX_LAST</t>
        </is>
      </c>
      <c r="OJ3" s="9" t="inlineStr">
        <is>
          <t>PX_SETTLE</t>
        </is>
      </c>
      <c r="OK3" s="9" t="inlineStr">
        <is>
          <t>PX_VOLUME</t>
        </is>
      </c>
      <c r="OL3" s="9" t="inlineStr">
        <is>
          <t>OPEN_INT</t>
        </is>
      </c>
      <c r="OM3" s="9" t="inlineStr">
        <is>
          <t>IVOL_MID</t>
        </is>
      </c>
      <c r="ON3" s="9" t="inlineStr">
        <is>
          <t>IVOL_BID</t>
        </is>
      </c>
      <c r="OO3" s="9" t="inlineStr">
        <is>
          <t>IVOL_ASK</t>
        </is>
      </c>
      <c r="OP3" s="9" t="inlineStr">
        <is>
          <t>DELTA_MID</t>
        </is>
      </c>
      <c r="OQ3" s="9" t="inlineStr">
        <is>
          <t>GAMMA_MID</t>
        </is>
      </c>
      <c r="OR3" s="9" t="inlineStr">
        <is>
          <t>VEGA_MID</t>
        </is>
      </c>
      <c r="OS3" s="9" t="inlineStr">
        <is>
          <t>THETA_MID</t>
        </is>
      </c>
      <c r="OT3" s="9" t="inlineStr">
        <is>
          <t>OPT_UNDL_PX</t>
        </is>
      </c>
      <c r="OV3" s="9" t="inlineStr">
        <is>
          <t>Date</t>
        </is>
      </c>
      <c r="OW3" s="9" t="inlineStr">
        <is>
          <t>PX_BID</t>
        </is>
      </c>
      <c r="OX3" s="9" t="inlineStr">
        <is>
          <t>PX_ASK</t>
        </is>
      </c>
      <c r="OY3" s="9" t="inlineStr">
        <is>
          <t>PX_MID</t>
        </is>
      </c>
      <c r="OZ3" s="9" t="inlineStr">
        <is>
          <t>PX_LAST</t>
        </is>
      </c>
      <c r="PA3" s="9" t="inlineStr">
        <is>
          <t>PX_SETTLE</t>
        </is>
      </c>
      <c r="PB3" s="9" t="inlineStr">
        <is>
          <t>PX_VOLUME</t>
        </is>
      </c>
      <c r="PC3" s="9" t="inlineStr">
        <is>
          <t>OPEN_INT</t>
        </is>
      </c>
      <c r="PD3" s="9" t="inlineStr">
        <is>
          <t>IVOL_MID</t>
        </is>
      </c>
      <c r="PE3" s="9" t="inlineStr">
        <is>
          <t>IVOL_BID</t>
        </is>
      </c>
      <c r="PF3" s="9" t="inlineStr">
        <is>
          <t>IVOL_ASK</t>
        </is>
      </c>
      <c r="PG3" s="9" t="inlineStr">
        <is>
          <t>DELTA_MID</t>
        </is>
      </c>
      <c r="PH3" s="9" t="inlineStr">
        <is>
          <t>GAMMA_MID</t>
        </is>
      </c>
      <c r="PI3" s="9" t="inlineStr">
        <is>
          <t>VEGA_MID</t>
        </is>
      </c>
      <c r="PJ3" s="9" t="inlineStr">
        <is>
          <t>THETA_MID</t>
        </is>
      </c>
      <c r="PK3" s="9" t="inlineStr">
        <is>
          <t>OPT_UNDL_PX</t>
        </is>
      </c>
      <c r="PM3" s="9" t="inlineStr">
        <is>
          <t>Date</t>
        </is>
      </c>
      <c r="PN3" s="9" t="inlineStr">
        <is>
          <t>PX_BID</t>
        </is>
      </c>
      <c r="PO3" s="9" t="inlineStr">
        <is>
          <t>PX_ASK</t>
        </is>
      </c>
      <c r="PP3" s="9" t="inlineStr">
        <is>
          <t>PX_MID</t>
        </is>
      </c>
      <c r="PQ3" s="9" t="inlineStr">
        <is>
          <t>PX_LAST</t>
        </is>
      </c>
      <c r="PR3" s="9" t="inlineStr">
        <is>
          <t>PX_SETTLE</t>
        </is>
      </c>
      <c r="PS3" s="9" t="inlineStr">
        <is>
          <t>PX_VOLUME</t>
        </is>
      </c>
      <c r="PT3" s="9" t="inlineStr">
        <is>
          <t>OPEN_INT</t>
        </is>
      </c>
      <c r="PU3" s="9" t="inlineStr">
        <is>
          <t>IVOL_MID</t>
        </is>
      </c>
      <c r="PV3" s="9" t="inlineStr">
        <is>
          <t>IVOL_BID</t>
        </is>
      </c>
      <c r="PW3" s="9" t="inlineStr">
        <is>
          <t>IVOL_ASK</t>
        </is>
      </c>
      <c r="PX3" s="9" t="inlineStr">
        <is>
          <t>DELTA_MID</t>
        </is>
      </c>
      <c r="PY3" s="9" t="inlineStr">
        <is>
          <t>GAMMA_MID</t>
        </is>
      </c>
      <c r="PZ3" s="9" t="inlineStr">
        <is>
          <t>VEGA_MID</t>
        </is>
      </c>
      <c r="QA3" s="9" t="inlineStr">
        <is>
          <t>THETA_MID</t>
        </is>
      </c>
      <c r="QB3" s="9" t="inlineStr">
        <is>
          <t>OPT_UNDL_PX</t>
        </is>
      </c>
      <c r="QD3" s="9" t="inlineStr">
        <is>
          <t>Date</t>
        </is>
      </c>
      <c r="QE3" s="9" t="inlineStr">
        <is>
          <t>PX_BID</t>
        </is>
      </c>
      <c r="QF3" s="9" t="inlineStr">
        <is>
          <t>PX_ASK</t>
        </is>
      </c>
      <c r="QG3" s="9" t="inlineStr">
        <is>
          <t>PX_MID</t>
        </is>
      </c>
      <c r="QH3" s="9" t="inlineStr">
        <is>
          <t>PX_LAST</t>
        </is>
      </c>
      <c r="QI3" s="9" t="inlineStr">
        <is>
          <t>PX_SETTLE</t>
        </is>
      </c>
      <c r="QJ3" s="9" t="inlineStr">
        <is>
          <t>PX_VOLUME</t>
        </is>
      </c>
      <c r="QK3" s="9" t="inlineStr">
        <is>
          <t>OPEN_INT</t>
        </is>
      </c>
      <c r="QL3" s="9" t="inlineStr">
        <is>
          <t>IVOL_MID</t>
        </is>
      </c>
      <c r="QM3" s="9" t="inlineStr">
        <is>
          <t>IVOL_BID</t>
        </is>
      </c>
      <c r="QN3" s="9" t="inlineStr">
        <is>
          <t>IVOL_ASK</t>
        </is>
      </c>
      <c r="QO3" s="9" t="inlineStr">
        <is>
          <t>DELTA_MID</t>
        </is>
      </c>
      <c r="QP3" s="9" t="inlineStr">
        <is>
          <t>GAMMA_MID</t>
        </is>
      </c>
      <c r="QQ3" s="9" t="inlineStr">
        <is>
          <t>VEGA_MID</t>
        </is>
      </c>
      <c r="QR3" s="9" t="inlineStr">
        <is>
          <t>THETA_MID</t>
        </is>
      </c>
      <c r="QS3" s="9" t="inlineStr">
        <is>
          <t>OPT_UNDL_PX</t>
        </is>
      </c>
      <c r="QU3" s="9" t="inlineStr">
        <is>
          <t>Date</t>
        </is>
      </c>
      <c r="QV3" s="9" t="inlineStr">
        <is>
          <t>PX_BID</t>
        </is>
      </c>
      <c r="QW3" s="9" t="inlineStr">
        <is>
          <t>PX_ASK</t>
        </is>
      </c>
      <c r="QX3" s="9" t="inlineStr">
        <is>
          <t>PX_MID</t>
        </is>
      </c>
      <c r="QY3" s="9" t="inlineStr">
        <is>
          <t>PX_LAST</t>
        </is>
      </c>
      <c r="QZ3" s="9" t="inlineStr">
        <is>
          <t>PX_SETTLE</t>
        </is>
      </c>
      <c r="RA3" s="9" t="inlineStr">
        <is>
          <t>PX_VOLUME</t>
        </is>
      </c>
      <c r="RB3" s="9" t="inlineStr">
        <is>
          <t>OPEN_INT</t>
        </is>
      </c>
      <c r="RC3" s="9" t="inlineStr">
        <is>
          <t>IVOL_MID</t>
        </is>
      </c>
      <c r="RD3" s="9" t="inlineStr">
        <is>
          <t>IVOL_BID</t>
        </is>
      </c>
      <c r="RE3" s="9" t="inlineStr">
        <is>
          <t>IVOL_ASK</t>
        </is>
      </c>
      <c r="RF3" s="9" t="inlineStr">
        <is>
          <t>DELTA_MID</t>
        </is>
      </c>
      <c r="RG3" s="9" t="inlineStr">
        <is>
          <t>GAMMA_MID</t>
        </is>
      </c>
      <c r="RH3" s="9" t="inlineStr">
        <is>
          <t>VEGA_MID</t>
        </is>
      </c>
      <c r="RI3" s="9" t="inlineStr">
        <is>
          <t>THETA_MID</t>
        </is>
      </c>
      <c r="RJ3" s="9" t="inlineStr">
        <is>
          <t>OPT_UNDL_PX</t>
        </is>
      </c>
      <c r="RL3" s="9" t="inlineStr">
        <is>
          <t>Date</t>
        </is>
      </c>
      <c r="RM3" s="9" t="inlineStr">
        <is>
          <t>PX_BID</t>
        </is>
      </c>
      <c r="RN3" s="9" t="inlineStr">
        <is>
          <t>PX_ASK</t>
        </is>
      </c>
      <c r="RO3" s="9" t="inlineStr">
        <is>
          <t>PX_MID</t>
        </is>
      </c>
      <c r="RP3" s="9" t="inlineStr">
        <is>
          <t>PX_LAST</t>
        </is>
      </c>
      <c r="RQ3" s="9" t="inlineStr">
        <is>
          <t>PX_SETTLE</t>
        </is>
      </c>
      <c r="RR3" s="9" t="inlineStr">
        <is>
          <t>PX_VOLUME</t>
        </is>
      </c>
      <c r="RS3" s="9" t="inlineStr">
        <is>
          <t>OPEN_INT</t>
        </is>
      </c>
      <c r="RT3" s="9" t="inlineStr">
        <is>
          <t>IVOL_MID</t>
        </is>
      </c>
      <c r="RU3" s="9" t="inlineStr">
        <is>
          <t>IVOL_BID</t>
        </is>
      </c>
      <c r="RV3" s="9" t="inlineStr">
        <is>
          <t>IVOL_ASK</t>
        </is>
      </c>
      <c r="RW3" s="9" t="inlineStr">
        <is>
          <t>DELTA_MID</t>
        </is>
      </c>
      <c r="RX3" s="9" t="inlineStr">
        <is>
          <t>GAMMA_MID</t>
        </is>
      </c>
      <c r="RY3" s="9" t="inlineStr">
        <is>
          <t>VEGA_MID</t>
        </is>
      </c>
      <c r="RZ3" s="9" t="inlineStr">
        <is>
          <t>THETA_MID</t>
        </is>
      </c>
      <c r="SA3" s="9" t="inlineStr">
        <is>
          <t>OPT_UNDL_PX</t>
        </is>
      </c>
      <c r="SC3" s="9" t="inlineStr">
        <is>
          <t>Date</t>
        </is>
      </c>
      <c r="SD3" s="9" t="inlineStr">
        <is>
          <t>PX_BID</t>
        </is>
      </c>
      <c r="SE3" s="9" t="inlineStr">
        <is>
          <t>PX_ASK</t>
        </is>
      </c>
      <c r="SF3" s="9" t="inlineStr">
        <is>
          <t>PX_MID</t>
        </is>
      </c>
      <c r="SG3" s="9" t="inlineStr">
        <is>
          <t>PX_LAST</t>
        </is>
      </c>
      <c r="SH3" s="9" t="inlineStr">
        <is>
          <t>PX_SETTLE</t>
        </is>
      </c>
      <c r="SI3" s="9" t="inlineStr">
        <is>
          <t>PX_VOLUME</t>
        </is>
      </c>
      <c r="SJ3" s="9" t="inlineStr">
        <is>
          <t>OPEN_INT</t>
        </is>
      </c>
      <c r="SK3" s="9" t="inlineStr">
        <is>
          <t>IVOL_MID</t>
        </is>
      </c>
      <c r="SL3" s="9" t="inlineStr">
        <is>
          <t>IVOL_BID</t>
        </is>
      </c>
      <c r="SM3" s="9" t="inlineStr">
        <is>
          <t>IVOL_ASK</t>
        </is>
      </c>
      <c r="SN3" s="9" t="inlineStr">
        <is>
          <t>DELTA_MID</t>
        </is>
      </c>
      <c r="SO3" s="9" t="inlineStr">
        <is>
          <t>GAMMA_MID</t>
        </is>
      </c>
      <c r="SP3" s="9" t="inlineStr">
        <is>
          <t>VEGA_MID</t>
        </is>
      </c>
      <c r="SQ3" s="9" t="inlineStr">
        <is>
          <t>THETA_MID</t>
        </is>
      </c>
      <c r="SR3" s="9" t="inlineStr">
        <is>
          <t>OPT_UNDL_PX</t>
        </is>
      </c>
      <c r="ST3" s="9" t="inlineStr">
        <is>
          <t>Date</t>
        </is>
      </c>
      <c r="SU3" s="9" t="inlineStr">
        <is>
          <t>PX_BID</t>
        </is>
      </c>
      <c r="SV3" s="9" t="inlineStr">
        <is>
          <t>PX_ASK</t>
        </is>
      </c>
      <c r="SW3" s="9" t="inlineStr">
        <is>
          <t>PX_MID</t>
        </is>
      </c>
      <c r="SX3" s="9" t="inlineStr">
        <is>
          <t>PX_LAST</t>
        </is>
      </c>
      <c r="SY3" s="9" t="inlineStr">
        <is>
          <t>PX_SETTLE</t>
        </is>
      </c>
      <c r="SZ3" s="9" t="inlineStr">
        <is>
          <t>PX_VOLUME</t>
        </is>
      </c>
      <c r="TA3" s="9" t="inlineStr">
        <is>
          <t>OPEN_INT</t>
        </is>
      </c>
      <c r="TB3" s="9" t="inlineStr">
        <is>
          <t>IVOL_MID</t>
        </is>
      </c>
      <c r="TC3" s="9" t="inlineStr">
        <is>
          <t>IVOL_BID</t>
        </is>
      </c>
      <c r="TD3" s="9" t="inlineStr">
        <is>
          <t>IVOL_ASK</t>
        </is>
      </c>
      <c r="TE3" s="9" t="inlineStr">
        <is>
          <t>DELTA_MID</t>
        </is>
      </c>
      <c r="TF3" s="9" t="inlineStr">
        <is>
          <t>GAMMA_MID</t>
        </is>
      </c>
      <c r="TG3" s="9" t="inlineStr">
        <is>
          <t>VEGA_MID</t>
        </is>
      </c>
      <c r="TH3" s="9" t="inlineStr">
        <is>
          <t>THETA_MID</t>
        </is>
      </c>
      <c r="TI3" s="9" t="inlineStr">
        <is>
          <t>OPT_UNDL_PX</t>
        </is>
      </c>
      <c r="TK3" s="9" t="inlineStr">
        <is>
          <t>Date</t>
        </is>
      </c>
      <c r="TL3" s="9" t="inlineStr">
        <is>
          <t>PX_BID</t>
        </is>
      </c>
      <c r="TM3" s="9" t="inlineStr">
        <is>
          <t>PX_ASK</t>
        </is>
      </c>
      <c r="TN3" s="9" t="inlineStr">
        <is>
          <t>PX_MID</t>
        </is>
      </c>
      <c r="TO3" s="9" t="inlineStr">
        <is>
          <t>PX_LAST</t>
        </is>
      </c>
      <c r="TP3" s="9" t="inlineStr">
        <is>
          <t>PX_SETTLE</t>
        </is>
      </c>
      <c r="TQ3" s="9" t="inlineStr">
        <is>
          <t>PX_VOLUME</t>
        </is>
      </c>
      <c r="TR3" s="9" t="inlineStr">
        <is>
          <t>OPEN_INT</t>
        </is>
      </c>
      <c r="TS3" s="9" t="inlineStr">
        <is>
          <t>IVOL_MID</t>
        </is>
      </c>
      <c r="TT3" s="9" t="inlineStr">
        <is>
          <t>IVOL_BID</t>
        </is>
      </c>
      <c r="TU3" s="9" t="inlineStr">
        <is>
          <t>IVOL_ASK</t>
        </is>
      </c>
      <c r="TV3" s="9" t="inlineStr">
        <is>
          <t>DELTA_MID</t>
        </is>
      </c>
      <c r="TW3" s="9" t="inlineStr">
        <is>
          <t>GAMMA_MID</t>
        </is>
      </c>
      <c r="TX3" s="9" t="inlineStr">
        <is>
          <t>VEGA_MID</t>
        </is>
      </c>
      <c r="TY3" s="9" t="inlineStr">
        <is>
          <t>THETA_MID</t>
        </is>
      </c>
      <c r="TZ3" s="9" t="inlineStr">
        <is>
          <t>OPT_UNDL_PX</t>
        </is>
      </c>
      <c r="UB3" s="9" t="inlineStr">
        <is>
          <t>Date</t>
        </is>
      </c>
      <c r="UC3" s="9" t="inlineStr">
        <is>
          <t>PX_BID</t>
        </is>
      </c>
      <c r="UD3" s="9" t="inlineStr">
        <is>
          <t>PX_ASK</t>
        </is>
      </c>
      <c r="UE3" s="9" t="inlineStr">
        <is>
          <t>PX_MID</t>
        </is>
      </c>
      <c r="UF3" s="9" t="inlineStr">
        <is>
          <t>PX_LAST</t>
        </is>
      </c>
      <c r="UG3" s="9" t="inlineStr">
        <is>
          <t>PX_SETTLE</t>
        </is>
      </c>
      <c r="UH3" s="9" t="inlineStr">
        <is>
          <t>PX_VOLUME</t>
        </is>
      </c>
      <c r="UI3" s="9" t="inlineStr">
        <is>
          <t>OPEN_INT</t>
        </is>
      </c>
      <c r="UJ3" s="9" t="inlineStr">
        <is>
          <t>IVOL_MID</t>
        </is>
      </c>
      <c r="UK3" s="9" t="inlineStr">
        <is>
          <t>IVOL_BID</t>
        </is>
      </c>
      <c r="UL3" s="9" t="inlineStr">
        <is>
          <t>IVOL_ASK</t>
        </is>
      </c>
      <c r="UM3" s="9" t="inlineStr">
        <is>
          <t>DELTA_MID</t>
        </is>
      </c>
      <c r="UN3" s="9" t="inlineStr">
        <is>
          <t>GAMMA_MID</t>
        </is>
      </c>
      <c r="UO3" s="9" t="inlineStr">
        <is>
          <t>VEGA_MID</t>
        </is>
      </c>
      <c r="UP3" s="9" t="inlineStr">
        <is>
          <t>THETA_MID</t>
        </is>
      </c>
      <c r="UQ3" s="9" t="inlineStr">
        <is>
          <t>OPT_UNDL_PX</t>
        </is>
      </c>
      <c r="US3" s="9" t="inlineStr">
        <is>
          <t>Date</t>
        </is>
      </c>
      <c r="UT3" s="9" t="inlineStr">
        <is>
          <t>PX_BID</t>
        </is>
      </c>
      <c r="UU3" s="9" t="inlineStr">
        <is>
          <t>PX_ASK</t>
        </is>
      </c>
      <c r="UV3" s="9" t="inlineStr">
        <is>
          <t>PX_MID</t>
        </is>
      </c>
      <c r="UW3" s="9" t="inlineStr">
        <is>
          <t>PX_LAST</t>
        </is>
      </c>
      <c r="UX3" s="9" t="inlineStr">
        <is>
          <t>PX_SETTLE</t>
        </is>
      </c>
      <c r="UY3" s="9" t="inlineStr">
        <is>
          <t>PX_VOLUME</t>
        </is>
      </c>
      <c r="UZ3" s="9" t="inlineStr">
        <is>
          <t>OPEN_INT</t>
        </is>
      </c>
      <c r="VA3" s="9" t="inlineStr">
        <is>
          <t>IVOL_MID</t>
        </is>
      </c>
      <c r="VB3" s="9" t="inlineStr">
        <is>
          <t>IVOL_BID</t>
        </is>
      </c>
      <c r="VC3" s="9" t="inlineStr">
        <is>
          <t>IVOL_ASK</t>
        </is>
      </c>
      <c r="VD3" s="9" t="inlineStr">
        <is>
          <t>DELTA_MID</t>
        </is>
      </c>
      <c r="VE3" s="9" t="inlineStr">
        <is>
          <t>GAMMA_MID</t>
        </is>
      </c>
      <c r="VF3" s="9" t="inlineStr">
        <is>
          <t>VEGA_MID</t>
        </is>
      </c>
      <c r="VG3" s="9" t="inlineStr">
        <is>
          <t>THETA_MID</t>
        </is>
      </c>
      <c r="VH3" s="9" t="inlineStr">
        <is>
          <t>OPT_UNDL_PX</t>
        </is>
      </c>
    </row>
    <row r="4">
      <c r="A4" s="2" t="inlineStr">
        <is>
          <t>Year in ticker</t>
        </is>
      </c>
      <c r="B4" s="4">
        <f>IF(B2&lt;Settings!$B$5,TEXT(MOD(Settings!$B$3,100),"00"),TEXT(MOD(Settings!$B$3,10),"0"))</f>
        <v/>
      </c>
      <c r="D4" s="4">
        <f>BDH(D$1,E$3:S$3,$B$9,$B$10,"Dir=V","Dts=S","Sort=A","Days=T","Fill=B")</f>
        <v/>
      </c>
      <c r="U4" s="4">
        <f>BDH(U$1,V$3:AJ$3,$B$9,$B$10,"Dir=V","Dts=S","Sort=A","Days=T","Fill=B")</f>
        <v/>
      </c>
      <c r="AL4" s="4">
        <f>BDH(AL$1,AM$3:BA$3,$B$9,$B$10,"Dir=V","Dts=S","Sort=A","Days=T","Fill=B")</f>
        <v/>
      </c>
      <c r="BC4" s="4">
        <f>BDH(BC$1,BD$3:BR$3,$B$9,$B$10,"Dir=V","Dts=S","Sort=A","Days=T","Fill=B")</f>
        <v/>
      </c>
      <c r="BT4" s="4">
        <f>BDH(BT$1,BU$3:CI$3,$B$9,$B$10,"Dir=V","Dts=S","Sort=A","Days=T","Fill=B")</f>
        <v/>
      </c>
      <c r="CK4" s="4">
        <f>BDH(CK$1,CL$3:CZ$3,$B$9,$B$10,"Dir=V","Dts=S","Sort=A","Days=T","Fill=B")</f>
        <v/>
      </c>
      <c r="DB4" s="4">
        <f>BDH(DB$1,DC$3:DQ$3,$B$9,$B$10,"Dir=V","Dts=S","Sort=A","Days=T","Fill=B")</f>
        <v/>
      </c>
      <c r="DS4" s="4">
        <f>BDH(DS$1,DT$3:EH$3,$B$9,$B$10,"Dir=V","Dts=S","Sort=A","Days=T","Fill=B")</f>
        <v/>
      </c>
      <c r="EJ4" s="4">
        <f>BDH(EJ$1,EK$3:EY$3,$B$9,$B$10,"Dir=V","Dts=S","Sort=A","Days=T","Fill=B")</f>
        <v/>
      </c>
      <c r="FA4" s="4">
        <f>BDH(FA$1,FB$3:FP$3,$B$9,$B$10,"Dir=V","Dts=S","Sort=A","Days=T","Fill=B")</f>
        <v/>
      </c>
      <c r="FR4" s="4">
        <f>BDH(FR$1,FS$3:GG$3,$B$9,$B$10,"Dir=V","Dts=S","Sort=A","Days=T","Fill=B")</f>
        <v/>
      </c>
      <c r="GI4" s="4">
        <f>BDH(GI$1,GJ$3:GX$3,$B$9,$B$10,"Dir=V","Dts=S","Sort=A","Days=T","Fill=B")</f>
        <v/>
      </c>
      <c r="GZ4" s="4">
        <f>BDH(GZ$1,HA$3:HO$3,$B$9,$B$10,"Dir=V","Dts=S","Sort=A","Days=T","Fill=B")</f>
        <v/>
      </c>
      <c r="HQ4" s="4">
        <f>BDH(HQ$1,HR$3:IF$3,$B$9,$B$10,"Dir=V","Dts=S","Sort=A","Days=T","Fill=B")</f>
        <v/>
      </c>
      <c r="IH4" s="4">
        <f>BDH(IH$1,II$3:IW$3,$B$9,$B$10,"Dir=V","Dts=S","Sort=A","Days=T","Fill=B")</f>
        <v/>
      </c>
      <c r="IY4" s="4">
        <f>BDH(IY$1,IZ$3:JN$3,$B$9,$B$10,"Dir=V","Dts=S","Sort=A","Days=T","Fill=B")</f>
        <v/>
      </c>
      <c r="JP4" s="4">
        <f>BDH(JP$1,JQ$3:KE$3,$B$9,$B$10,"Dir=V","Dts=S","Sort=A","Days=T","Fill=B")</f>
        <v/>
      </c>
      <c r="KG4" s="4">
        <f>BDH(KG$1,KH$3:KV$3,$B$9,$B$10,"Dir=V","Dts=S","Sort=A","Days=T","Fill=B")</f>
        <v/>
      </c>
      <c r="KX4" s="4">
        <f>BDH(KX$1,KY$3:LM$3,$B$9,$B$10,"Dir=V","Dts=S","Sort=A","Days=T","Fill=B")</f>
        <v/>
      </c>
      <c r="LO4" s="4">
        <f>BDH(LO$1,LP$3:MD$3,$B$9,$B$10,"Dir=V","Dts=S","Sort=A","Days=T","Fill=B")</f>
        <v/>
      </c>
      <c r="MF4" s="4">
        <f>BDH(MF$1,MG$3:MU$3,$B$9,$B$10,"Dir=V","Dts=S","Sort=A","Days=T","Fill=B")</f>
        <v/>
      </c>
      <c r="MW4" s="4">
        <f>BDH(MW$1,MX$3:NL$3,$B$9,$B$10,"Dir=V","Dts=S","Sort=A","Days=T","Fill=B")</f>
        <v/>
      </c>
      <c r="NN4" s="4">
        <f>BDH(NN$1,NO$3:OC$3,$B$9,$B$10,"Dir=V","Dts=S","Sort=A","Days=T","Fill=B")</f>
        <v/>
      </c>
      <c r="OE4" s="4">
        <f>BDH(OE$1,OF$3:OT$3,$B$9,$B$10,"Dir=V","Dts=S","Sort=A","Days=T","Fill=B")</f>
        <v/>
      </c>
      <c r="OV4" s="4">
        <f>BDH(OV$1,OW$3:PK$3,$B$9,$B$10,"Dir=V","Dts=S","Sort=A","Days=T","Fill=B")</f>
        <v/>
      </c>
      <c r="PM4" s="4">
        <f>BDH(PM$1,PN$3:QB$3,$B$9,$B$10,"Dir=V","Dts=S","Sort=A","Days=T","Fill=B")</f>
        <v/>
      </c>
      <c r="QD4" s="4">
        <f>BDH(QD$1,QE$3:QS$3,$B$9,$B$10,"Dir=V","Dts=S","Sort=A","Days=T","Fill=B")</f>
        <v/>
      </c>
      <c r="QU4" s="4">
        <f>BDH(QU$1,QV$3:RJ$3,$B$9,$B$10,"Dir=V","Dts=S","Sort=A","Days=T","Fill=B")</f>
        <v/>
      </c>
      <c r="RL4" s="4">
        <f>BDH(RL$1,RM$3:SA$3,$B$9,$B$10,"Dir=V","Dts=S","Sort=A","Days=T","Fill=B")</f>
        <v/>
      </c>
      <c r="SC4" s="4">
        <f>BDH(SC$1,SD$3:SR$3,$B$9,$B$10,"Dir=V","Dts=S","Sort=A","Days=T","Fill=B")</f>
        <v/>
      </c>
      <c r="ST4" s="4">
        <f>BDH(ST$1,SU$3:TI$3,$B$9,$B$10,"Dir=V","Dts=S","Sort=A","Days=T","Fill=B")</f>
        <v/>
      </c>
      <c r="TK4" s="4">
        <f>BDH(TK$1,TL$3:TZ$3,$B$9,$B$10,"Dir=V","Dts=S","Sort=A","Days=T","Fill=B")</f>
        <v/>
      </c>
      <c r="UB4" s="4">
        <f>BDH(UB$1,UC$3:UQ$3,$B$9,$B$10,"Dir=V","Dts=S","Sort=A","Days=T","Fill=B")</f>
        <v/>
      </c>
      <c r="US4" s="4">
        <f>BDH(US$1,UT$3:VH$3,$B$9,$B$10,"Dir=V","Dts=S","Sort=A","Days=T","Fill=B")</f>
        <v/>
      </c>
    </row>
    <row r="5">
      <c r="A5" s="2" t="inlineStr">
        <is>
          <t>Futures ticker</t>
        </is>
      </c>
      <c r="B5" s="4">
        <f>"CL"&amp;MID("FGHJKMNQUVXZ",B1,1)&amp;B4&amp;" Comdty"</f>
        <v/>
      </c>
    </row>
    <row r="6">
      <c r="A6" s="2" t="inlineStr">
        <is>
          <t>Strike reference date</t>
        </is>
      </c>
      <c r="B6" s="8">
        <f>B3-45</f>
        <v/>
      </c>
    </row>
    <row r="7">
      <c r="A7" s="2" t="inlineStr">
        <is>
          <t>Futures price on that date</t>
        </is>
      </c>
      <c r="B7" s="10">
        <f>BDH(B5,"PX_LAST",B6,B6,"Days=A","Fill=P","Dts=H")</f>
        <v/>
      </c>
    </row>
    <row r="8">
      <c r="A8" s="2" t="inlineStr">
        <is>
          <t>ATM strike</t>
        </is>
      </c>
      <c r="B8" s="7">
        <f>ROUND(B7,0)</f>
        <v/>
      </c>
    </row>
    <row r="9">
      <c r="A9" s="2" t="inlineStr">
        <is>
          <t>History start</t>
        </is>
      </c>
      <c r="B9" s="8">
        <f>B3-100</f>
        <v/>
      </c>
    </row>
    <row r="10">
      <c r="A10" s="2" t="inlineStr">
        <is>
          <t>History end</t>
        </is>
      </c>
      <c r="B10" s="8">
        <f>B3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H1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  <col width="12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1" customWidth="1" min="383" max="383"/>
    <col width="11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1" customWidth="1" min="389" max="389"/>
    <col width="11" customWidth="1" min="390" max="390"/>
    <col width="10" customWidth="1" min="391" max="391"/>
    <col width="11" customWidth="1" min="392" max="392"/>
    <col width="13" customWidth="1" min="393" max="393"/>
    <col width="12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1" customWidth="1" min="400" max="400"/>
    <col width="11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1" customWidth="1" min="406" max="406"/>
    <col width="11" customWidth="1" min="407" max="407"/>
    <col width="10" customWidth="1" min="408" max="408"/>
    <col width="11" customWidth="1" min="409" max="409"/>
    <col width="13" customWidth="1" min="410" max="410"/>
    <col width="12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1" customWidth="1" min="417" max="417"/>
    <col width="11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1" customWidth="1" min="423" max="423"/>
    <col width="11" customWidth="1" min="424" max="424"/>
    <col width="10" customWidth="1" min="425" max="425"/>
    <col width="11" customWidth="1" min="426" max="426"/>
    <col width="13" customWidth="1" min="427" max="427"/>
    <col width="12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1" customWidth="1" min="434" max="434"/>
    <col width="11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1" customWidth="1" min="440" max="440"/>
    <col width="11" customWidth="1" min="441" max="441"/>
    <col width="10" customWidth="1" min="442" max="442"/>
    <col width="11" customWidth="1" min="443" max="443"/>
    <col width="13" customWidth="1" min="444" max="444"/>
    <col width="12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1" customWidth="1" min="451" max="451"/>
    <col width="11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1" customWidth="1" min="457" max="457"/>
    <col width="11" customWidth="1" min="458" max="458"/>
    <col width="10" customWidth="1" min="459" max="459"/>
    <col width="11" customWidth="1" min="460" max="460"/>
    <col width="13" customWidth="1" min="461" max="461"/>
    <col width="12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1" customWidth="1" min="468" max="468"/>
    <col width="11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1" customWidth="1" min="474" max="474"/>
    <col width="11" customWidth="1" min="475" max="475"/>
    <col width="10" customWidth="1" min="476" max="476"/>
    <col width="11" customWidth="1" min="477" max="477"/>
    <col width="13" customWidth="1" min="478" max="478"/>
    <col width="12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1" customWidth="1" min="485" max="485"/>
    <col width="11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1" customWidth="1" min="491" max="491"/>
    <col width="11" customWidth="1" min="492" max="492"/>
    <col width="10" customWidth="1" min="493" max="493"/>
    <col width="11" customWidth="1" min="494" max="494"/>
    <col width="13" customWidth="1" min="495" max="495"/>
    <col width="12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1" customWidth="1" min="502" max="502"/>
    <col width="11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1" customWidth="1" min="508" max="508"/>
    <col width="11" customWidth="1" min="509" max="509"/>
    <col width="10" customWidth="1" min="510" max="510"/>
    <col width="11" customWidth="1" min="511" max="511"/>
    <col width="13" customWidth="1" min="512" max="512"/>
    <col width="12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1" customWidth="1" min="519" max="519"/>
    <col width="11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1" customWidth="1" min="525" max="525"/>
    <col width="11" customWidth="1" min="526" max="526"/>
    <col width="10" customWidth="1" min="527" max="527"/>
    <col width="11" customWidth="1" min="528" max="528"/>
    <col width="13" customWidth="1" min="529" max="529"/>
    <col width="12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1" customWidth="1" min="536" max="536"/>
    <col width="11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1" customWidth="1" min="542" max="542"/>
    <col width="11" customWidth="1" min="543" max="543"/>
    <col width="10" customWidth="1" min="544" max="544"/>
    <col width="11" customWidth="1" min="545" max="545"/>
    <col width="13" customWidth="1" min="546" max="546"/>
    <col width="12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1" customWidth="1" min="553" max="553"/>
    <col width="11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1" customWidth="1" min="559" max="559"/>
    <col width="11" customWidth="1" min="560" max="560"/>
    <col width="10" customWidth="1" min="561" max="561"/>
    <col width="11" customWidth="1" min="562" max="562"/>
    <col width="13" customWidth="1" min="563" max="563"/>
    <col width="12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1" customWidth="1" min="570" max="570"/>
    <col width="11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1" customWidth="1" min="576" max="576"/>
    <col width="11" customWidth="1" min="577" max="577"/>
    <col width="10" customWidth="1" min="578" max="578"/>
    <col width="11" customWidth="1" min="579" max="579"/>
    <col width="13" customWidth="1" min="580" max="580"/>
  </cols>
  <sheetData>
    <row r="1">
      <c r="A1" s="2" t="inlineStr">
        <is>
          <t>Contract month</t>
        </is>
      </c>
      <c r="B1" s="7" t="n">
        <v>2</v>
      </c>
      <c r="D1" s="4">
        <f>"CL"&amp;MID("FGHJKMNQUVXZ",B$1,1)&amp;B$4&amp;"C "&amp;IF(Settings!$B$4=2,TEXT((B$8-8),"0.00"),(B$8-8))&amp;" Comdty"</f>
        <v/>
      </c>
      <c r="U1" s="4">
        <f>"CL"&amp;MID("FGHJKMNQUVXZ",B$1,1)&amp;B$4&amp;"P "&amp;IF(Settings!$B$4=2,TEXT((B$8-8),"0.00"),(B$8-8))&amp;" Comdty"</f>
        <v/>
      </c>
      <c r="AL1" s="4">
        <f>"CL"&amp;MID("FGHJKMNQUVXZ",B$1,1)&amp;B$4&amp;"C "&amp;IF(Settings!$B$4=2,TEXT((B$8-7),"0.00"),(B$8-7))&amp;" Comdty"</f>
        <v/>
      </c>
      <c r="BC1" s="4">
        <f>"CL"&amp;MID("FGHJKMNQUVXZ",B$1,1)&amp;B$4&amp;"P "&amp;IF(Settings!$B$4=2,TEXT((B$8-7),"0.00"),(B$8-7))&amp;" Comdty"</f>
        <v/>
      </c>
      <c r="BT1" s="4">
        <f>"CL"&amp;MID("FGHJKMNQUVXZ",B$1,1)&amp;B$4&amp;"C "&amp;IF(Settings!$B$4=2,TEXT((B$8-6),"0.00"),(B$8-6))&amp;" Comdty"</f>
        <v/>
      </c>
      <c r="CK1" s="4">
        <f>"CL"&amp;MID("FGHJKMNQUVXZ",B$1,1)&amp;B$4&amp;"P "&amp;IF(Settings!$B$4=2,TEXT((B$8-6),"0.00"),(B$8-6))&amp;" Comdty"</f>
        <v/>
      </c>
      <c r="DB1" s="4">
        <f>"CL"&amp;MID("FGHJKMNQUVXZ",B$1,1)&amp;B$4&amp;"C "&amp;IF(Settings!$B$4=2,TEXT((B$8-5),"0.00"),(B$8-5))&amp;" Comdty"</f>
        <v/>
      </c>
      <c r="DS1" s="4">
        <f>"CL"&amp;MID("FGHJKMNQUVXZ",B$1,1)&amp;B$4&amp;"P "&amp;IF(Settings!$B$4=2,TEXT((B$8-5),"0.00"),(B$8-5))&amp;" Comdty"</f>
        <v/>
      </c>
      <c r="EJ1" s="4">
        <f>"CL"&amp;MID("FGHJKMNQUVXZ",B$1,1)&amp;B$4&amp;"C "&amp;IF(Settings!$B$4=2,TEXT((B$8-4),"0.00"),(B$8-4))&amp;" Comdty"</f>
        <v/>
      </c>
      <c r="FA1" s="4">
        <f>"CL"&amp;MID("FGHJKMNQUVXZ",B$1,1)&amp;B$4&amp;"P "&amp;IF(Settings!$B$4=2,TEXT((B$8-4),"0.00"),(B$8-4))&amp;" Comdty"</f>
        <v/>
      </c>
      <c r="FR1" s="4">
        <f>"CL"&amp;MID("FGHJKMNQUVXZ",B$1,1)&amp;B$4&amp;"C "&amp;IF(Settings!$B$4=2,TEXT((B$8-3),"0.00"),(B$8-3))&amp;" Comdty"</f>
        <v/>
      </c>
      <c r="GI1" s="4">
        <f>"CL"&amp;MID("FGHJKMNQUVXZ",B$1,1)&amp;B$4&amp;"P "&amp;IF(Settings!$B$4=2,TEXT((B$8-3),"0.00"),(B$8-3))&amp;" Comdty"</f>
        <v/>
      </c>
      <c r="GZ1" s="4">
        <f>"CL"&amp;MID("FGHJKMNQUVXZ",B$1,1)&amp;B$4&amp;"C "&amp;IF(Settings!$B$4=2,TEXT((B$8-2),"0.00"),(B$8-2))&amp;" Comdty"</f>
        <v/>
      </c>
      <c r="HQ1" s="4">
        <f>"CL"&amp;MID("FGHJKMNQUVXZ",B$1,1)&amp;B$4&amp;"P "&amp;IF(Settings!$B$4=2,TEXT((B$8-2),"0.00"),(B$8-2))&amp;" Comdty"</f>
        <v/>
      </c>
      <c r="IH1" s="4">
        <f>"CL"&amp;MID("FGHJKMNQUVXZ",B$1,1)&amp;B$4&amp;"C "&amp;IF(Settings!$B$4=2,TEXT((B$8-1),"0.00"),(B$8-1))&amp;" Comdty"</f>
        <v/>
      </c>
      <c r="IY1" s="4">
        <f>"CL"&amp;MID("FGHJKMNQUVXZ",B$1,1)&amp;B$4&amp;"P "&amp;IF(Settings!$B$4=2,TEXT((B$8-1),"0.00"),(B$8-1))&amp;" Comdty"</f>
        <v/>
      </c>
      <c r="JP1" s="4">
        <f>"CL"&amp;MID("FGHJKMNQUVXZ",B$1,1)&amp;B$4&amp;"C "&amp;IF(Settings!$B$4=2,TEXT(B$8,"0.00"),B$8)&amp;" Comdty"</f>
        <v/>
      </c>
      <c r="KG1" s="4">
        <f>"CL"&amp;MID("FGHJKMNQUVXZ",B$1,1)&amp;B$4&amp;"P "&amp;IF(Settings!$B$4=2,TEXT(B$8,"0.00"),B$8)&amp;" Comdty"</f>
        <v/>
      </c>
      <c r="KX1" s="4">
        <f>"CL"&amp;MID("FGHJKMNQUVXZ",B$1,1)&amp;B$4&amp;"C "&amp;IF(Settings!$B$4=2,TEXT((B$8+1),"0.00"),(B$8+1))&amp;" Comdty"</f>
        <v/>
      </c>
      <c r="LO1" s="4">
        <f>"CL"&amp;MID("FGHJKMNQUVXZ",B$1,1)&amp;B$4&amp;"P "&amp;IF(Settings!$B$4=2,TEXT((B$8+1),"0.00"),(B$8+1))&amp;" Comdty"</f>
        <v/>
      </c>
      <c r="MF1" s="4">
        <f>"CL"&amp;MID("FGHJKMNQUVXZ",B$1,1)&amp;B$4&amp;"C "&amp;IF(Settings!$B$4=2,TEXT((B$8+2),"0.00"),(B$8+2))&amp;" Comdty"</f>
        <v/>
      </c>
      <c r="MW1" s="4">
        <f>"CL"&amp;MID("FGHJKMNQUVXZ",B$1,1)&amp;B$4&amp;"P "&amp;IF(Settings!$B$4=2,TEXT((B$8+2),"0.00"),(B$8+2))&amp;" Comdty"</f>
        <v/>
      </c>
      <c r="NN1" s="4">
        <f>"CL"&amp;MID("FGHJKMNQUVXZ",B$1,1)&amp;B$4&amp;"C "&amp;IF(Settings!$B$4=2,TEXT((B$8+3),"0.00"),(B$8+3))&amp;" Comdty"</f>
        <v/>
      </c>
      <c r="OE1" s="4">
        <f>"CL"&amp;MID("FGHJKMNQUVXZ",B$1,1)&amp;B$4&amp;"P "&amp;IF(Settings!$B$4=2,TEXT((B$8+3),"0.00"),(B$8+3))&amp;" Comdty"</f>
        <v/>
      </c>
      <c r="OV1" s="4">
        <f>"CL"&amp;MID("FGHJKMNQUVXZ",B$1,1)&amp;B$4&amp;"C "&amp;IF(Settings!$B$4=2,TEXT((B$8+4),"0.00"),(B$8+4))&amp;" Comdty"</f>
        <v/>
      </c>
      <c r="PM1" s="4">
        <f>"CL"&amp;MID("FGHJKMNQUVXZ",B$1,1)&amp;B$4&amp;"P "&amp;IF(Settings!$B$4=2,TEXT((B$8+4),"0.00"),(B$8+4))&amp;" Comdty"</f>
        <v/>
      </c>
      <c r="QD1" s="4">
        <f>"CL"&amp;MID("FGHJKMNQUVXZ",B$1,1)&amp;B$4&amp;"C "&amp;IF(Settings!$B$4=2,TEXT((B$8+5),"0.00"),(B$8+5))&amp;" Comdty"</f>
        <v/>
      </c>
      <c r="QU1" s="4">
        <f>"CL"&amp;MID("FGHJKMNQUVXZ",B$1,1)&amp;B$4&amp;"P "&amp;IF(Settings!$B$4=2,TEXT((B$8+5),"0.00"),(B$8+5))&amp;" Comdty"</f>
        <v/>
      </c>
      <c r="RL1" s="4">
        <f>"CL"&amp;MID("FGHJKMNQUVXZ",B$1,1)&amp;B$4&amp;"C "&amp;IF(Settings!$B$4=2,TEXT((B$8+6),"0.00"),(B$8+6))&amp;" Comdty"</f>
        <v/>
      </c>
      <c r="SC1" s="4">
        <f>"CL"&amp;MID("FGHJKMNQUVXZ",B$1,1)&amp;B$4&amp;"P "&amp;IF(Settings!$B$4=2,TEXT((B$8+6),"0.00"),(B$8+6))&amp;" Comdty"</f>
        <v/>
      </c>
      <c r="ST1" s="4">
        <f>"CL"&amp;MID("FGHJKMNQUVXZ",B$1,1)&amp;B$4&amp;"C "&amp;IF(Settings!$B$4=2,TEXT((B$8+7),"0.00"),(B$8+7))&amp;" Comdty"</f>
        <v/>
      </c>
      <c r="TK1" s="4">
        <f>"CL"&amp;MID("FGHJKMNQUVXZ",B$1,1)&amp;B$4&amp;"P "&amp;IF(Settings!$B$4=2,TEXT((B$8+7),"0.00"),(B$8+7))&amp;" Comdty"</f>
        <v/>
      </c>
      <c r="UB1" s="4">
        <f>"CL"&amp;MID("FGHJKMNQUVXZ",B$1,1)&amp;B$4&amp;"C "&amp;IF(Settings!$B$4=2,TEXT((B$8+8),"0.00"),(B$8+8))&amp;" Comdty"</f>
        <v/>
      </c>
      <c r="US1" s="4">
        <f>"CL"&amp;MID("FGHJKMNQUVXZ",B$1,1)&amp;B$4&amp;"P "&amp;IF(Settings!$B$4=2,TEXT((B$8+8),"0.00"),(B$8+8))&amp;" Comdty"</f>
        <v/>
      </c>
    </row>
    <row r="2">
      <c r="A2" s="2" t="inlineStr">
        <is>
          <t>Futures last trade</t>
        </is>
      </c>
      <c r="B2" s="8">
        <f>WORKDAY(DATE(Settings!$B$3,B1-1,25),-3)</f>
        <v/>
      </c>
      <c r="D2" s="4" t="inlineStr">
        <is>
          <t>call -8 from ATM</t>
        </is>
      </c>
      <c r="U2" s="4" t="inlineStr">
        <is>
          <t>put -8 from ATM</t>
        </is>
      </c>
      <c r="AL2" s="4" t="inlineStr">
        <is>
          <t>call -7 from ATM</t>
        </is>
      </c>
      <c r="BC2" s="4" t="inlineStr">
        <is>
          <t>put -7 from ATM</t>
        </is>
      </c>
      <c r="BT2" s="4" t="inlineStr">
        <is>
          <t>call -6 from ATM</t>
        </is>
      </c>
      <c r="CK2" s="4" t="inlineStr">
        <is>
          <t>put -6 from ATM</t>
        </is>
      </c>
      <c r="DB2" s="4" t="inlineStr">
        <is>
          <t>call -5 from ATM</t>
        </is>
      </c>
      <c r="DS2" s="4" t="inlineStr">
        <is>
          <t>put -5 from ATM</t>
        </is>
      </c>
      <c r="EJ2" s="4" t="inlineStr">
        <is>
          <t>call -4 from ATM</t>
        </is>
      </c>
      <c r="FA2" s="4" t="inlineStr">
        <is>
          <t>put -4 from ATM</t>
        </is>
      </c>
      <c r="FR2" s="4" t="inlineStr">
        <is>
          <t>call -3 from ATM</t>
        </is>
      </c>
      <c r="GI2" s="4" t="inlineStr">
        <is>
          <t>put -3 from ATM</t>
        </is>
      </c>
      <c r="GZ2" s="4" t="inlineStr">
        <is>
          <t>call -2 from ATM</t>
        </is>
      </c>
      <c r="HQ2" s="4" t="inlineStr">
        <is>
          <t>put -2 from ATM</t>
        </is>
      </c>
      <c r="IH2" s="4" t="inlineStr">
        <is>
          <t>call -1 from ATM</t>
        </is>
      </c>
      <c r="IY2" s="4" t="inlineStr">
        <is>
          <t>put -1 from ATM</t>
        </is>
      </c>
      <c r="JP2" s="4" t="inlineStr">
        <is>
          <t>call +0 from ATM</t>
        </is>
      </c>
      <c r="KG2" s="4" t="inlineStr">
        <is>
          <t>put +0 from ATM</t>
        </is>
      </c>
      <c r="KX2" s="4" t="inlineStr">
        <is>
          <t>call +1 from ATM</t>
        </is>
      </c>
      <c r="LO2" s="4" t="inlineStr">
        <is>
          <t>put +1 from ATM</t>
        </is>
      </c>
      <c r="MF2" s="4" t="inlineStr">
        <is>
          <t>call +2 from ATM</t>
        </is>
      </c>
      <c r="MW2" s="4" t="inlineStr">
        <is>
          <t>put +2 from ATM</t>
        </is>
      </c>
      <c r="NN2" s="4" t="inlineStr">
        <is>
          <t>call +3 from ATM</t>
        </is>
      </c>
      <c r="OE2" s="4" t="inlineStr">
        <is>
          <t>put +3 from ATM</t>
        </is>
      </c>
      <c r="OV2" s="4" t="inlineStr">
        <is>
          <t>call +4 from ATM</t>
        </is>
      </c>
      <c r="PM2" s="4" t="inlineStr">
        <is>
          <t>put +4 from ATM</t>
        </is>
      </c>
      <c r="QD2" s="4" t="inlineStr">
        <is>
          <t>call +5 from ATM</t>
        </is>
      </c>
      <c r="QU2" s="4" t="inlineStr">
        <is>
          <t>put +5 from ATM</t>
        </is>
      </c>
      <c r="RL2" s="4" t="inlineStr">
        <is>
          <t>call +6 from ATM</t>
        </is>
      </c>
      <c r="SC2" s="4" t="inlineStr">
        <is>
          <t>put +6 from ATM</t>
        </is>
      </c>
      <c r="ST2" s="4" t="inlineStr">
        <is>
          <t>call +7 from ATM</t>
        </is>
      </c>
      <c r="TK2" s="4" t="inlineStr">
        <is>
          <t>put +7 from ATM</t>
        </is>
      </c>
      <c r="UB2" s="4" t="inlineStr">
        <is>
          <t>call +8 from ATM</t>
        </is>
      </c>
      <c r="US2" s="4" t="inlineStr">
        <is>
          <t>put +8 from ATM</t>
        </is>
      </c>
    </row>
    <row r="3">
      <c r="A3" s="2" t="inlineStr">
        <is>
          <t>Option expiry (approx)</t>
        </is>
      </c>
      <c r="B3" s="8">
        <f>WORKDAY(B2,-1)</f>
        <v/>
      </c>
      <c r="D3" s="9" t="inlineStr">
        <is>
          <t>Date</t>
        </is>
      </c>
      <c r="E3" s="9" t="inlineStr">
        <is>
          <t>PX_BID</t>
        </is>
      </c>
      <c r="F3" s="9" t="inlineStr">
        <is>
          <t>PX_ASK</t>
        </is>
      </c>
      <c r="G3" s="9" t="inlineStr">
        <is>
          <t>PX_MID</t>
        </is>
      </c>
      <c r="H3" s="9" t="inlineStr">
        <is>
          <t>PX_LAST</t>
        </is>
      </c>
      <c r="I3" s="9" t="inlineStr">
        <is>
          <t>PX_SETTLE</t>
        </is>
      </c>
      <c r="J3" s="9" t="inlineStr">
        <is>
          <t>PX_VOLUME</t>
        </is>
      </c>
      <c r="K3" s="9" t="inlineStr">
        <is>
          <t>OPEN_INT</t>
        </is>
      </c>
      <c r="L3" s="9" t="inlineStr">
        <is>
          <t>IVOL_MID</t>
        </is>
      </c>
      <c r="M3" s="9" t="inlineStr">
        <is>
          <t>IVOL_BID</t>
        </is>
      </c>
      <c r="N3" s="9" t="inlineStr">
        <is>
          <t>IVOL_ASK</t>
        </is>
      </c>
      <c r="O3" s="9" t="inlineStr">
        <is>
          <t>DELTA_MID</t>
        </is>
      </c>
      <c r="P3" s="9" t="inlineStr">
        <is>
          <t>GAMMA_MID</t>
        </is>
      </c>
      <c r="Q3" s="9" t="inlineStr">
        <is>
          <t>VEGA_MID</t>
        </is>
      </c>
      <c r="R3" s="9" t="inlineStr">
        <is>
          <t>THETA_MID</t>
        </is>
      </c>
      <c r="S3" s="9" t="inlineStr">
        <is>
          <t>OPT_UNDL_PX</t>
        </is>
      </c>
      <c r="U3" s="9" t="inlineStr">
        <is>
          <t>Date</t>
        </is>
      </c>
      <c r="V3" s="9" t="inlineStr">
        <is>
          <t>PX_BID</t>
        </is>
      </c>
      <c r="W3" s="9" t="inlineStr">
        <is>
          <t>PX_ASK</t>
        </is>
      </c>
      <c r="X3" s="9" t="inlineStr">
        <is>
          <t>PX_MID</t>
        </is>
      </c>
      <c r="Y3" s="9" t="inlineStr">
        <is>
          <t>PX_LAST</t>
        </is>
      </c>
      <c r="Z3" s="9" t="inlineStr">
        <is>
          <t>PX_SETTLE</t>
        </is>
      </c>
      <c r="AA3" s="9" t="inlineStr">
        <is>
          <t>PX_VOLUME</t>
        </is>
      </c>
      <c r="AB3" s="9" t="inlineStr">
        <is>
          <t>OPEN_INT</t>
        </is>
      </c>
      <c r="AC3" s="9" t="inlineStr">
        <is>
          <t>IVOL_MID</t>
        </is>
      </c>
      <c r="AD3" s="9" t="inlineStr">
        <is>
          <t>IVOL_BID</t>
        </is>
      </c>
      <c r="AE3" s="9" t="inlineStr">
        <is>
          <t>IVOL_ASK</t>
        </is>
      </c>
      <c r="AF3" s="9" t="inlineStr">
        <is>
          <t>DELTA_MID</t>
        </is>
      </c>
      <c r="AG3" s="9" t="inlineStr">
        <is>
          <t>GAMMA_MID</t>
        </is>
      </c>
      <c r="AH3" s="9" t="inlineStr">
        <is>
          <t>VEGA_MID</t>
        </is>
      </c>
      <c r="AI3" s="9" t="inlineStr">
        <is>
          <t>THETA_MID</t>
        </is>
      </c>
      <c r="AJ3" s="9" t="inlineStr">
        <is>
          <t>OPT_UNDL_PX</t>
        </is>
      </c>
      <c r="AL3" s="9" t="inlineStr">
        <is>
          <t>Date</t>
        </is>
      </c>
      <c r="AM3" s="9" t="inlineStr">
        <is>
          <t>PX_BID</t>
        </is>
      </c>
      <c r="AN3" s="9" t="inlineStr">
        <is>
          <t>PX_ASK</t>
        </is>
      </c>
      <c r="AO3" s="9" t="inlineStr">
        <is>
          <t>PX_MID</t>
        </is>
      </c>
      <c r="AP3" s="9" t="inlineStr">
        <is>
          <t>PX_LAST</t>
        </is>
      </c>
      <c r="AQ3" s="9" t="inlineStr">
        <is>
          <t>PX_SETTLE</t>
        </is>
      </c>
      <c r="AR3" s="9" t="inlineStr">
        <is>
          <t>PX_VOLUME</t>
        </is>
      </c>
      <c r="AS3" s="9" t="inlineStr">
        <is>
          <t>OPEN_INT</t>
        </is>
      </c>
      <c r="AT3" s="9" t="inlineStr">
        <is>
          <t>IVOL_MID</t>
        </is>
      </c>
      <c r="AU3" s="9" t="inlineStr">
        <is>
          <t>IVOL_BID</t>
        </is>
      </c>
      <c r="AV3" s="9" t="inlineStr">
        <is>
          <t>IVOL_ASK</t>
        </is>
      </c>
      <c r="AW3" s="9" t="inlineStr">
        <is>
          <t>DELTA_MID</t>
        </is>
      </c>
      <c r="AX3" s="9" t="inlineStr">
        <is>
          <t>GAMMA_MID</t>
        </is>
      </c>
      <c r="AY3" s="9" t="inlineStr">
        <is>
          <t>VEGA_MID</t>
        </is>
      </c>
      <c r="AZ3" s="9" t="inlineStr">
        <is>
          <t>THETA_MID</t>
        </is>
      </c>
      <c r="BA3" s="9" t="inlineStr">
        <is>
          <t>OPT_UNDL_PX</t>
        </is>
      </c>
      <c r="BC3" s="9" t="inlineStr">
        <is>
          <t>Date</t>
        </is>
      </c>
      <c r="BD3" s="9" t="inlineStr">
        <is>
          <t>PX_BID</t>
        </is>
      </c>
      <c r="BE3" s="9" t="inlineStr">
        <is>
          <t>PX_ASK</t>
        </is>
      </c>
      <c r="BF3" s="9" t="inlineStr">
        <is>
          <t>PX_MID</t>
        </is>
      </c>
      <c r="BG3" s="9" t="inlineStr">
        <is>
          <t>PX_LAST</t>
        </is>
      </c>
      <c r="BH3" s="9" t="inlineStr">
        <is>
          <t>PX_SETTLE</t>
        </is>
      </c>
      <c r="BI3" s="9" t="inlineStr">
        <is>
          <t>PX_VOLUME</t>
        </is>
      </c>
      <c r="BJ3" s="9" t="inlineStr">
        <is>
          <t>OPEN_INT</t>
        </is>
      </c>
      <c r="BK3" s="9" t="inlineStr">
        <is>
          <t>IVOL_MID</t>
        </is>
      </c>
      <c r="BL3" s="9" t="inlineStr">
        <is>
          <t>IVOL_BID</t>
        </is>
      </c>
      <c r="BM3" s="9" t="inlineStr">
        <is>
          <t>IVOL_ASK</t>
        </is>
      </c>
      <c r="BN3" s="9" t="inlineStr">
        <is>
          <t>DELTA_MID</t>
        </is>
      </c>
      <c r="BO3" s="9" t="inlineStr">
        <is>
          <t>GAMMA_MID</t>
        </is>
      </c>
      <c r="BP3" s="9" t="inlineStr">
        <is>
          <t>VEGA_MID</t>
        </is>
      </c>
      <c r="BQ3" s="9" t="inlineStr">
        <is>
          <t>THETA_MID</t>
        </is>
      </c>
      <c r="BR3" s="9" t="inlineStr">
        <is>
          <t>OPT_UNDL_PX</t>
        </is>
      </c>
      <c r="BT3" s="9" t="inlineStr">
        <is>
          <t>Date</t>
        </is>
      </c>
      <c r="BU3" s="9" t="inlineStr">
        <is>
          <t>PX_BID</t>
        </is>
      </c>
      <c r="BV3" s="9" t="inlineStr">
        <is>
          <t>PX_ASK</t>
        </is>
      </c>
      <c r="BW3" s="9" t="inlineStr">
        <is>
          <t>PX_MID</t>
        </is>
      </c>
      <c r="BX3" s="9" t="inlineStr">
        <is>
          <t>PX_LAST</t>
        </is>
      </c>
      <c r="BY3" s="9" t="inlineStr">
        <is>
          <t>PX_SETTLE</t>
        </is>
      </c>
      <c r="BZ3" s="9" t="inlineStr">
        <is>
          <t>PX_VOLUME</t>
        </is>
      </c>
      <c r="CA3" s="9" t="inlineStr">
        <is>
          <t>OPEN_INT</t>
        </is>
      </c>
      <c r="CB3" s="9" t="inlineStr">
        <is>
          <t>IVOL_MID</t>
        </is>
      </c>
      <c r="CC3" s="9" t="inlineStr">
        <is>
          <t>IVOL_BID</t>
        </is>
      </c>
      <c r="CD3" s="9" t="inlineStr">
        <is>
          <t>IVOL_ASK</t>
        </is>
      </c>
      <c r="CE3" s="9" t="inlineStr">
        <is>
          <t>DELTA_MID</t>
        </is>
      </c>
      <c r="CF3" s="9" t="inlineStr">
        <is>
          <t>GAMMA_MID</t>
        </is>
      </c>
      <c r="CG3" s="9" t="inlineStr">
        <is>
          <t>VEGA_MID</t>
        </is>
      </c>
      <c r="CH3" s="9" t="inlineStr">
        <is>
          <t>THETA_MID</t>
        </is>
      </c>
      <c r="CI3" s="9" t="inlineStr">
        <is>
          <t>OPT_UNDL_PX</t>
        </is>
      </c>
      <c r="CK3" s="9" t="inlineStr">
        <is>
          <t>Date</t>
        </is>
      </c>
      <c r="CL3" s="9" t="inlineStr">
        <is>
          <t>PX_BID</t>
        </is>
      </c>
      <c r="CM3" s="9" t="inlineStr">
        <is>
          <t>PX_ASK</t>
        </is>
      </c>
      <c r="CN3" s="9" t="inlineStr">
        <is>
          <t>PX_MID</t>
        </is>
      </c>
      <c r="CO3" s="9" t="inlineStr">
        <is>
          <t>PX_LAST</t>
        </is>
      </c>
      <c r="CP3" s="9" t="inlineStr">
        <is>
          <t>PX_SETTLE</t>
        </is>
      </c>
      <c r="CQ3" s="9" t="inlineStr">
        <is>
          <t>PX_VOLUME</t>
        </is>
      </c>
      <c r="CR3" s="9" t="inlineStr">
        <is>
          <t>OPEN_INT</t>
        </is>
      </c>
      <c r="CS3" s="9" t="inlineStr">
        <is>
          <t>IVOL_MID</t>
        </is>
      </c>
      <c r="CT3" s="9" t="inlineStr">
        <is>
          <t>IVOL_BID</t>
        </is>
      </c>
      <c r="CU3" s="9" t="inlineStr">
        <is>
          <t>IVOL_ASK</t>
        </is>
      </c>
      <c r="CV3" s="9" t="inlineStr">
        <is>
          <t>DELTA_MID</t>
        </is>
      </c>
      <c r="CW3" s="9" t="inlineStr">
        <is>
          <t>GAMMA_MID</t>
        </is>
      </c>
      <c r="CX3" s="9" t="inlineStr">
        <is>
          <t>VEGA_MID</t>
        </is>
      </c>
      <c r="CY3" s="9" t="inlineStr">
        <is>
          <t>THETA_MID</t>
        </is>
      </c>
      <c r="CZ3" s="9" t="inlineStr">
        <is>
          <t>OPT_UNDL_PX</t>
        </is>
      </c>
      <c r="DB3" s="9" t="inlineStr">
        <is>
          <t>Date</t>
        </is>
      </c>
      <c r="DC3" s="9" t="inlineStr">
        <is>
          <t>PX_BID</t>
        </is>
      </c>
      <c r="DD3" s="9" t="inlineStr">
        <is>
          <t>PX_ASK</t>
        </is>
      </c>
      <c r="DE3" s="9" t="inlineStr">
        <is>
          <t>PX_MID</t>
        </is>
      </c>
      <c r="DF3" s="9" t="inlineStr">
        <is>
          <t>PX_LAST</t>
        </is>
      </c>
      <c r="DG3" s="9" t="inlineStr">
        <is>
          <t>PX_SETTLE</t>
        </is>
      </c>
      <c r="DH3" s="9" t="inlineStr">
        <is>
          <t>PX_VOLUME</t>
        </is>
      </c>
      <c r="DI3" s="9" t="inlineStr">
        <is>
          <t>OPEN_INT</t>
        </is>
      </c>
      <c r="DJ3" s="9" t="inlineStr">
        <is>
          <t>IVOL_MID</t>
        </is>
      </c>
      <c r="DK3" s="9" t="inlineStr">
        <is>
          <t>IVOL_BID</t>
        </is>
      </c>
      <c r="DL3" s="9" t="inlineStr">
        <is>
          <t>IVOL_ASK</t>
        </is>
      </c>
      <c r="DM3" s="9" t="inlineStr">
        <is>
          <t>DELTA_MID</t>
        </is>
      </c>
      <c r="DN3" s="9" t="inlineStr">
        <is>
          <t>GAMMA_MID</t>
        </is>
      </c>
      <c r="DO3" s="9" t="inlineStr">
        <is>
          <t>VEGA_MID</t>
        </is>
      </c>
      <c r="DP3" s="9" t="inlineStr">
        <is>
          <t>THETA_MID</t>
        </is>
      </c>
      <c r="DQ3" s="9" t="inlineStr">
        <is>
          <t>OPT_UNDL_PX</t>
        </is>
      </c>
      <c r="DS3" s="9" t="inlineStr">
        <is>
          <t>Date</t>
        </is>
      </c>
      <c r="DT3" s="9" t="inlineStr">
        <is>
          <t>PX_BID</t>
        </is>
      </c>
      <c r="DU3" s="9" t="inlineStr">
        <is>
          <t>PX_ASK</t>
        </is>
      </c>
      <c r="DV3" s="9" t="inlineStr">
        <is>
          <t>PX_MID</t>
        </is>
      </c>
      <c r="DW3" s="9" t="inlineStr">
        <is>
          <t>PX_LAST</t>
        </is>
      </c>
      <c r="DX3" s="9" t="inlineStr">
        <is>
          <t>PX_SETTLE</t>
        </is>
      </c>
      <c r="DY3" s="9" t="inlineStr">
        <is>
          <t>PX_VOLUME</t>
        </is>
      </c>
      <c r="DZ3" s="9" t="inlineStr">
        <is>
          <t>OPEN_INT</t>
        </is>
      </c>
      <c r="EA3" s="9" t="inlineStr">
        <is>
          <t>IVOL_MID</t>
        </is>
      </c>
      <c r="EB3" s="9" t="inlineStr">
        <is>
          <t>IVOL_BID</t>
        </is>
      </c>
      <c r="EC3" s="9" t="inlineStr">
        <is>
          <t>IVOL_ASK</t>
        </is>
      </c>
      <c r="ED3" s="9" t="inlineStr">
        <is>
          <t>DELTA_MID</t>
        </is>
      </c>
      <c r="EE3" s="9" t="inlineStr">
        <is>
          <t>GAMMA_MID</t>
        </is>
      </c>
      <c r="EF3" s="9" t="inlineStr">
        <is>
          <t>VEGA_MID</t>
        </is>
      </c>
      <c r="EG3" s="9" t="inlineStr">
        <is>
          <t>THETA_MID</t>
        </is>
      </c>
      <c r="EH3" s="9" t="inlineStr">
        <is>
          <t>OPT_UNDL_PX</t>
        </is>
      </c>
      <c r="EJ3" s="9" t="inlineStr">
        <is>
          <t>Date</t>
        </is>
      </c>
      <c r="EK3" s="9" t="inlineStr">
        <is>
          <t>PX_BID</t>
        </is>
      </c>
      <c r="EL3" s="9" t="inlineStr">
        <is>
          <t>PX_ASK</t>
        </is>
      </c>
      <c r="EM3" s="9" t="inlineStr">
        <is>
          <t>PX_MID</t>
        </is>
      </c>
      <c r="EN3" s="9" t="inlineStr">
        <is>
          <t>PX_LAST</t>
        </is>
      </c>
      <c r="EO3" s="9" t="inlineStr">
        <is>
          <t>PX_SETTLE</t>
        </is>
      </c>
      <c r="EP3" s="9" t="inlineStr">
        <is>
          <t>PX_VOLUME</t>
        </is>
      </c>
      <c r="EQ3" s="9" t="inlineStr">
        <is>
          <t>OPEN_INT</t>
        </is>
      </c>
      <c r="ER3" s="9" t="inlineStr">
        <is>
          <t>IVOL_MID</t>
        </is>
      </c>
      <c r="ES3" s="9" t="inlineStr">
        <is>
          <t>IVOL_BID</t>
        </is>
      </c>
      <c r="ET3" s="9" t="inlineStr">
        <is>
          <t>IVOL_ASK</t>
        </is>
      </c>
      <c r="EU3" s="9" t="inlineStr">
        <is>
          <t>DELTA_MID</t>
        </is>
      </c>
      <c r="EV3" s="9" t="inlineStr">
        <is>
          <t>GAMMA_MID</t>
        </is>
      </c>
      <c r="EW3" s="9" t="inlineStr">
        <is>
          <t>VEGA_MID</t>
        </is>
      </c>
      <c r="EX3" s="9" t="inlineStr">
        <is>
          <t>THETA_MID</t>
        </is>
      </c>
      <c r="EY3" s="9" t="inlineStr">
        <is>
          <t>OPT_UNDL_PX</t>
        </is>
      </c>
      <c r="FA3" s="9" t="inlineStr">
        <is>
          <t>Date</t>
        </is>
      </c>
      <c r="FB3" s="9" t="inlineStr">
        <is>
          <t>PX_BID</t>
        </is>
      </c>
      <c r="FC3" s="9" t="inlineStr">
        <is>
          <t>PX_ASK</t>
        </is>
      </c>
      <c r="FD3" s="9" t="inlineStr">
        <is>
          <t>PX_MID</t>
        </is>
      </c>
      <c r="FE3" s="9" t="inlineStr">
        <is>
          <t>PX_LAST</t>
        </is>
      </c>
      <c r="FF3" s="9" t="inlineStr">
        <is>
          <t>PX_SETTLE</t>
        </is>
      </c>
      <c r="FG3" s="9" t="inlineStr">
        <is>
          <t>PX_VOLUME</t>
        </is>
      </c>
      <c r="FH3" s="9" t="inlineStr">
        <is>
          <t>OPEN_INT</t>
        </is>
      </c>
      <c r="FI3" s="9" t="inlineStr">
        <is>
          <t>IVOL_MID</t>
        </is>
      </c>
      <c r="FJ3" s="9" t="inlineStr">
        <is>
          <t>IVOL_BID</t>
        </is>
      </c>
      <c r="FK3" s="9" t="inlineStr">
        <is>
          <t>IVOL_ASK</t>
        </is>
      </c>
      <c r="FL3" s="9" t="inlineStr">
        <is>
          <t>DELTA_MID</t>
        </is>
      </c>
      <c r="FM3" s="9" t="inlineStr">
        <is>
          <t>GAMMA_MID</t>
        </is>
      </c>
      <c r="FN3" s="9" t="inlineStr">
        <is>
          <t>VEGA_MID</t>
        </is>
      </c>
      <c r="FO3" s="9" t="inlineStr">
        <is>
          <t>THETA_MID</t>
        </is>
      </c>
      <c r="FP3" s="9" t="inlineStr">
        <is>
          <t>OPT_UNDL_PX</t>
        </is>
      </c>
      <c r="FR3" s="9" t="inlineStr">
        <is>
          <t>Date</t>
        </is>
      </c>
      <c r="FS3" s="9" t="inlineStr">
        <is>
          <t>PX_BID</t>
        </is>
      </c>
      <c r="FT3" s="9" t="inlineStr">
        <is>
          <t>PX_ASK</t>
        </is>
      </c>
      <c r="FU3" s="9" t="inlineStr">
        <is>
          <t>PX_MID</t>
        </is>
      </c>
      <c r="FV3" s="9" t="inlineStr">
        <is>
          <t>PX_LAST</t>
        </is>
      </c>
      <c r="FW3" s="9" t="inlineStr">
        <is>
          <t>PX_SETTLE</t>
        </is>
      </c>
      <c r="FX3" s="9" t="inlineStr">
        <is>
          <t>PX_VOLUME</t>
        </is>
      </c>
      <c r="FY3" s="9" t="inlineStr">
        <is>
          <t>OPEN_INT</t>
        </is>
      </c>
      <c r="FZ3" s="9" t="inlineStr">
        <is>
          <t>IVOL_MID</t>
        </is>
      </c>
      <c r="GA3" s="9" t="inlineStr">
        <is>
          <t>IVOL_BID</t>
        </is>
      </c>
      <c r="GB3" s="9" t="inlineStr">
        <is>
          <t>IVOL_ASK</t>
        </is>
      </c>
      <c r="GC3" s="9" t="inlineStr">
        <is>
          <t>DELTA_MID</t>
        </is>
      </c>
      <c r="GD3" s="9" t="inlineStr">
        <is>
          <t>GAMMA_MID</t>
        </is>
      </c>
      <c r="GE3" s="9" t="inlineStr">
        <is>
          <t>VEGA_MID</t>
        </is>
      </c>
      <c r="GF3" s="9" t="inlineStr">
        <is>
          <t>THETA_MID</t>
        </is>
      </c>
      <c r="GG3" s="9" t="inlineStr">
        <is>
          <t>OPT_UNDL_PX</t>
        </is>
      </c>
      <c r="GI3" s="9" t="inlineStr">
        <is>
          <t>Date</t>
        </is>
      </c>
      <c r="GJ3" s="9" t="inlineStr">
        <is>
          <t>PX_BID</t>
        </is>
      </c>
      <c r="GK3" s="9" t="inlineStr">
        <is>
          <t>PX_ASK</t>
        </is>
      </c>
      <c r="GL3" s="9" t="inlineStr">
        <is>
          <t>PX_MID</t>
        </is>
      </c>
      <c r="GM3" s="9" t="inlineStr">
        <is>
          <t>PX_LAST</t>
        </is>
      </c>
      <c r="GN3" s="9" t="inlineStr">
        <is>
          <t>PX_SETTLE</t>
        </is>
      </c>
      <c r="GO3" s="9" t="inlineStr">
        <is>
          <t>PX_VOLUME</t>
        </is>
      </c>
      <c r="GP3" s="9" t="inlineStr">
        <is>
          <t>OPEN_INT</t>
        </is>
      </c>
      <c r="GQ3" s="9" t="inlineStr">
        <is>
          <t>IVOL_MID</t>
        </is>
      </c>
      <c r="GR3" s="9" t="inlineStr">
        <is>
          <t>IVOL_BID</t>
        </is>
      </c>
      <c r="GS3" s="9" t="inlineStr">
        <is>
          <t>IVOL_ASK</t>
        </is>
      </c>
      <c r="GT3" s="9" t="inlineStr">
        <is>
          <t>DELTA_MID</t>
        </is>
      </c>
      <c r="GU3" s="9" t="inlineStr">
        <is>
          <t>GAMMA_MID</t>
        </is>
      </c>
      <c r="GV3" s="9" t="inlineStr">
        <is>
          <t>VEGA_MID</t>
        </is>
      </c>
      <c r="GW3" s="9" t="inlineStr">
        <is>
          <t>THETA_MID</t>
        </is>
      </c>
      <c r="GX3" s="9" t="inlineStr">
        <is>
          <t>OPT_UNDL_PX</t>
        </is>
      </c>
      <c r="GZ3" s="9" t="inlineStr">
        <is>
          <t>Date</t>
        </is>
      </c>
      <c r="HA3" s="9" t="inlineStr">
        <is>
          <t>PX_BID</t>
        </is>
      </c>
      <c r="HB3" s="9" t="inlineStr">
        <is>
          <t>PX_ASK</t>
        </is>
      </c>
      <c r="HC3" s="9" t="inlineStr">
        <is>
          <t>PX_MID</t>
        </is>
      </c>
      <c r="HD3" s="9" t="inlineStr">
        <is>
          <t>PX_LAST</t>
        </is>
      </c>
      <c r="HE3" s="9" t="inlineStr">
        <is>
          <t>PX_SETTLE</t>
        </is>
      </c>
      <c r="HF3" s="9" t="inlineStr">
        <is>
          <t>PX_VOLUME</t>
        </is>
      </c>
      <c r="HG3" s="9" t="inlineStr">
        <is>
          <t>OPEN_INT</t>
        </is>
      </c>
      <c r="HH3" s="9" t="inlineStr">
        <is>
          <t>IVOL_MID</t>
        </is>
      </c>
      <c r="HI3" s="9" t="inlineStr">
        <is>
          <t>IVOL_BID</t>
        </is>
      </c>
      <c r="HJ3" s="9" t="inlineStr">
        <is>
          <t>IVOL_ASK</t>
        </is>
      </c>
      <c r="HK3" s="9" t="inlineStr">
        <is>
          <t>DELTA_MID</t>
        </is>
      </c>
      <c r="HL3" s="9" t="inlineStr">
        <is>
          <t>GAMMA_MID</t>
        </is>
      </c>
      <c r="HM3" s="9" t="inlineStr">
        <is>
          <t>VEGA_MID</t>
        </is>
      </c>
      <c r="HN3" s="9" t="inlineStr">
        <is>
          <t>THETA_MID</t>
        </is>
      </c>
      <c r="HO3" s="9" t="inlineStr">
        <is>
          <t>OPT_UNDL_PX</t>
        </is>
      </c>
      <c r="HQ3" s="9" t="inlineStr">
        <is>
          <t>Date</t>
        </is>
      </c>
      <c r="HR3" s="9" t="inlineStr">
        <is>
          <t>PX_BID</t>
        </is>
      </c>
      <c r="HS3" s="9" t="inlineStr">
        <is>
          <t>PX_ASK</t>
        </is>
      </c>
      <c r="HT3" s="9" t="inlineStr">
        <is>
          <t>PX_MID</t>
        </is>
      </c>
      <c r="HU3" s="9" t="inlineStr">
        <is>
          <t>PX_LAST</t>
        </is>
      </c>
      <c r="HV3" s="9" t="inlineStr">
        <is>
          <t>PX_SETTLE</t>
        </is>
      </c>
      <c r="HW3" s="9" t="inlineStr">
        <is>
          <t>PX_VOLUME</t>
        </is>
      </c>
      <c r="HX3" s="9" t="inlineStr">
        <is>
          <t>OPEN_INT</t>
        </is>
      </c>
      <c r="HY3" s="9" t="inlineStr">
        <is>
          <t>IVOL_MID</t>
        </is>
      </c>
      <c r="HZ3" s="9" t="inlineStr">
        <is>
          <t>IVOL_BID</t>
        </is>
      </c>
      <c r="IA3" s="9" t="inlineStr">
        <is>
          <t>IVOL_ASK</t>
        </is>
      </c>
      <c r="IB3" s="9" t="inlineStr">
        <is>
          <t>DELTA_MID</t>
        </is>
      </c>
      <c r="IC3" s="9" t="inlineStr">
        <is>
          <t>GAMMA_MID</t>
        </is>
      </c>
      <c r="ID3" s="9" t="inlineStr">
        <is>
          <t>VEGA_MID</t>
        </is>
      </c>
      <c r="IE3" s="9" t="inlineStr">
        <is>
          <t>THETA_MID</t>
        </is>
      </c>
      <c r="IF3" s="9" t="inlineStr">
        <is>
          <t>OPT_UNDL_PX</t>
        </is>
      </c>
      <c r="IH3" s="9" t="inlineStr">
        <is>
          <t>Date</t>
        </is>
      </c>
      <c r="II3" s="9" t="inlineStr">
        <is>
          <t>PX_BID</t>
        </is>
      </c>
      <c r="IJ3" s="9" t="inlineStr">
        <is>
          <t>PX_ASK</t>
        </is>
      </c>
      <c r="IK3" s="9" t="inlineStr">
        <is>
          <t>PX_MID</t>
        </is>
      </c>
      <c r="IL3" s="9" t="inlineStr">
        <is>
          <t>PX_LAST</t>
        </is>
      </c>
      <c r="IM3" s="9" t="inlineStr">
        <is>
          <t>PX_SETTLE</t>
        </is>
      </c>
      <c r="IN3" s="9" t="inlineStr">
        <is>
          <t>PX_VOLUME</t>
        </is>
      </c>
      <c r="IO3" s="9" t="inlineStr">
        <is>
          <t>OPEN_INT</t>
        </is>
      </c>
      <c r="IP3" s="9" t="inlineStr">
        <is>
          <t>IVOL_MID</t>
        </is>
      </c>
      <c r="IQ3" s="9" t="inlineStr">
        <is>
          <t>IVOL_BID</t>
        </is>
      </c>
      <c r="IR3" s="9" t="inlineStr">
        <is>
          <t>IVOL_ASK</t>
        </is>
      </c>
      <c r="IS3" s="9" t="inlineStr">
        <is>
          <t>DELTA_MID</t>
        </is>
      </c>
      <c r="IT3" s="9" t="inlineStr">
        <is>
          <t>GAMMA_MID</t>
        </is>
      </c>
      <c r="IU3" s="9" t="inlineStr">
        <is>
          <t>VEGA_MID</t>
        </is>
      </c>
      <c r="IV3" s="9" t="inlineStr">
        <is>
          <t>THETA_MID</t>
        </is>
      </c>
      <c r="IW3" s="9" t="inlineStr">
        <is>
          <t>OPT_UNDL_PX</t>
        </is>
      </c>
      <c r="IY3" s="9" t="inlineStr">
        <is>
          <t>Date</t>
        </is>
      </c>
      <c r="IZ3" s="9" t="inlineStr">
        <is>
          <t>PX_BID</t>
        </is>
      </c>
      <c r="JA3" s="9" t="inlineStr">
        <is>
          <t>PX_ASK</t>
        </is>
      </c>
      <c r="JB3" s="9" t="inlineStr">
        <is>
          <t>PX_MID</t>
        </is>
      </c>
      <c r="JC3" s="9" t="inlineStr">
        <is>
          <t>PX_LAST</t>
        </is>
      </c>
      <c r="JD3" s="9" t="inlineStr">
        <is>
          <t>PX_SETTLE</t>
        </is>
      </c>
      <c r="JE3" s="9" t="inlineStr">
        <is>
          <t>PX_VOLUME</t>
        </is>
      </c>
      <c r="JF3" s="9" t="inlineStr">
        <is>
          <t>OPEN_INT</t>
        </is>
      </c>
      <c r="JG3" s="9" t="inlineStr">
        <is>
          <t>IVOL_MID</t>
        </is>
      </c>
      <c r="JH3" s="9" t="inlineStr">
        <is>
          <t>IVOL_BID</t>
        </is>
      </c>
      <c r="JI3" s="9" t="inlineStr">
        <is>
          <t>IVOL_ASK</t>
        </is>
      </c>
      <c r="JJ3" s="9" t="inlineStr">
        <is>
          <t>DELTA_MID</t>
        </is>
      </c>
      <c r="JK3" s="9" t="inlineStr">
        <is>
          <t>GAMMA_MID</t>
        </is>
      </c>
      <c r="JL3" s="9" t="inlineStr">
        <is>
          <t>VEGA_MID</t>
        </is>
      </c>
      <c r="JM3" s="9" t="inlineStr">
        <is>
          <t>THETA_MID</t>
        </is>
      </c>
      <c r="JN3" s="9" t="inlineStr">
        <is>
          <t>OPT_UNDL_PX</t>
        </is>
      </c>
      <c r="JP3" s="9" t="inlineStr">
        <is>
          <t>Date</t>
        </is>
      </c>
      <c r="JQ3" s="9" t="inlineStr">
        <is>
          <t>PX_BID</t>
        </is>
      </c>
      <c r="JR3" s="9" t="inlineStr">
        <is>
          <t>PX_ASK</t>
        </is>
      </c>
      <c r="JS3" s="9" t="inlineStr">
        <is>
          <t>PX_MID</t>
        </is>
      </c>
      <c r="JT3" s="9" t="inlineStr">
        <is>
          <t>PX_LAST</t>
        </is>
      </c>
      <c r="JU3" s="9" t="inlineStr">
        <is>
          <t>PX_SETTLE</t>
        </is>
      </c>
      <c r="JV3" s="9" t="inlineStr">
        <is>
          <t>PX_VOLUME</t>
        </is>
      </c>
      <c r="JW3" s="9" t="inlineStr">
        <is>
          <t>OPEN_INT</t>
        </is>
      </c>
      <c r="JX3" s="9" t="inlineStr">
        <is>
          <t>IVOL_MID</t>
        </is>
      </c>
      <c r="JY3" s="9" t="inlineStr">
        <is>
          <t>IVOL_BID</t>
        </is>
      </c>
      <c r="JZ3" s="9" t="inlineStr">
        <is>
          <t>IVOL_ASK</t>
        </is>
      </c>
      <c r="KA3" s="9" t="inlineStr">
        <is>
          <t>DELTA_MID</t>
        </is>
      </c>
      <c r="KB3" s="9" t="inlineStr">
        <is>
          <t>GAMMA_MID</t>
        </is>
      </c>
      <c r="KC3" s="9" t="inlineStr">
        <is>
          <t>VEGA_MID</t>
        </is>
      </c>
      <c r="KD3" s="9" t="inlineStr">
        <is>
          <t>THETA_MID</t>
        </is>
      </c>
      <c r="KE3" s="9" t="inlineStr">
        <is>
          <t>OPT_UNDL_PX</t>
        </is>
      </c>
      <c r="KG3" s="9" t="inlineStr">
        <is>
          <t>Date</t>
        </is>
      </c>
      <c r="KH3" s="9" t="inlineStr">
        <is>
          <t>PX_BID</t>
        </is>
      </c>
      <c r="KI3" s="9" t="inlineStr">
        <is>
          <t>PX_ASK</t>
        </is>
      </c>
      <c r="KJ3" s="9" t="inlineStr">
        <is>
          <t>PX_MID</t>
        </is>
      </c>
      <c r="KK3" s="9" t="inlineStr">
        <is>
          <t>PX_LAST</t>
        </is>
      </c>
      <c r="KL3" s="9" t="inlineStr">
        <is>
          <t>PX_SETTLE</t>
        </is>
      </c>
      <c r="KM3" s="9" t="inlineStr">
        <is>
          <t>PX_VOLUME</t>
        </is>
      </c>
      <c r="KN3" s="9" t="inlineStr">
        <is>
          <t>OPEN_INT</t>
        </is>
      </c>
      <c r="KO3" s="9" t="inlineStr">
        <is>
          <t>IVOL_MID</t>
        </is>
      </c>
      <c r="KP3" s="9" t="inlineStr">
        <is>
          <t>IVOL_BID</t>
        </is>
      </c>
      <c r="KQ3" s="9" t="inlineStr">
        <is>
          <t>IVOL_ASK</t>
        </is>
      </c>
      <c r="KR3" s="9" t="inlineStr">
        <is>
          <t>DELTA_MID</t>
        </is>
      </c>
      <c r="KS3" s="9" t="inlineStr">
        <is>
          <t>GAMMA_MID</t>
        </is>
      </c>
      <c r="KT3" s="9" t="inlineStr">
        <is>
          <t>VEGA_MID</t>
        </is>
      </c>
      <c r="KU3" s="9" t="inlineStr">
        <is>
          <t>THETA_MID</t>
        </is>
      </c>
      <c r="KV3" s="9" t="inlineStr">
        <is>
          <t>OPT_UNDL_PX</t>
        </is>
      </c>
      <c r="KX3" s="9" t="inlineStr">
        <is>
          <t>Date</t>
        </is>
      </c>
      <c r="KY3" s="9" t="inlineStr">
        <is>
          <t>PX_BID</t>
        </is>
      </c>
      <c r="KZ3" s="9" t="inlineStr">
        <is>
          <t>PX_ASK</t>
        </is>
      </c>
      <c r="LA3" s="9" t="inlineStr">
        <is>
          <t>PX_MID</t>
        </is>
      </c>
      <c r="LB3" s="9" t="inlineStr">
        <is>
          <t>PX_LAST</t>
        </is>
      </c>
      <c r="LC3" s="9" t="inlineStr">
        <is>
          <t>PX_SETTLE</t>
        </is>
      </c>
      <c r="LD3" s="9" t="inlineStr">
        <is>
          <t>PX_VOLUME</t>
        </is>
      </c>
      <c r="LE3" s="9" t="inlineStr">
        <is>
          <t>OPEN_INT</t>
        </is>
      </c>
      <c r="LF3" s="9" t="inlineStr">
        <is>
          <t>IVOL_MID</t>
        </is>
      </c>
      <c r="LG3" s="9" t="inlineStr">
        <is>
          <t>IVOL_BID</t>
        </is>
      </c>
      <c r="LH3" s="9" t="inlineStr">
        <is>
          <t>IVOL_ASK</t>
        </is>
      </c>
      <c r="LI3" s="9" t="inlineStr">
        <is>
          <t>DELTA_MID</t>
        </is>
      </c>
      <c r="LJ3" s="9" t="inlineStr">
        <is>
          <t>GAMMA_MID</t>
        </is>
      </c>
      <c r="LK3" s="9" t="inlineStr">
        <is>
          <t>VEGA_MID</t>
        </is>
      </c>
      <c r="LL3" s="9" t="inlineStr">
        <is>
          <t>THETA_MID</t>
        </is>
      </c>
      <c r="LM3" s="9" t="inlineStr">
        <is>
          <t>OPT_UNDL_PX</t>
        </is>
      </c>
      <c r="LO3" s="9" t="inlineStr">
        <is>
          <t>Date</t>
        </is>
      </c>
      <c r="LP3" s="9" t="inlineStr">
        <is>
          <t>PX_BID</t>
        </is>
      </c>
      <c r="LQ3" s="9" t="inlineStr">
        <is>
          <t>PX_ASK</t>
        </is>
      </c>
      <c r="LR3" s="9" t="inlineStr">
        <is>
          <t>PX_MID</t>
        </is>
      </c>
      <c r="LS3" s="9" t="inlineStr">
        <is>
          <t>PX_LAST</t>
        </is>
      </c>
      <c r="LT3" s="9" t="inlineStr">
        <is>
          <t>PX_SETTLE</t>
        </is>
      </c>
      <c r="LU3" s="9" t="inlineStr">
        <is>
          <t>PX_VOLUME</t>
        </is>
      </c>
      <c r="LV3" s="9" t="inlineStr">
        <is>
          <t>OPEN_INT</t>
        </is>
      </c>
      <c r="LW3" s="9" t="inlineStr">
        <is>
          <t>IVOL_MID</t>
        </is>
      </c>
      <c r="LX3" s="9" t="inlineStr">
        <is>
          <t>IVOL_BID</t>
        </is>
      </c>
      <c r="LY3" s="9" t="inlineStr">
        <is>
          <t>IVOL_ASK</t>
        </is>
      </c>
      <c r="LZ3" s="9" t="inlineStr">
        <is>
          <t>DELTA_MID</t>
        </is>
      </c>
      <c r="MA3" s="9" t="inlineStr">
        <is>
          <t>GAMMA_MID</t>
        </is>
      </c>
      <c r="MB3" s="9" t="inlineStr">
        <is>
          <t>VEGA_MID</t>
        </is>
      </c>
      <c r="MC3" s="9" t="inlineStr">
        <is>
          <t>THETA_MID</t>
        </is>
      </c>
      <c r="MD3" s="9" t="inlineStr">
        <is>
          <t>OPT_UNDL_PX</t>
        </is>
      </c>
      <c r="MF3" s="9" t="inlineStr">
        <is>
          <t>Date</t>
        </is>
      </c>
      <c r="MG3" s="9" t="inlineStr">
        <is>
          <t>PX_BID</t>
        </is>
      </c>
      <c r="MH3" s="9" t="inlineStr">
        <is>
          <t>PX_ASK</t>
        </is>
      </c>
      <c r="MI3" s="9" t="inlineStr">
        <is>
          <t>PX_MID</t>
        </is>
      </c>
      <c r="MJ3" s="9" t="inlineStr">
        <is>
          <t>PX_LAST</t>
        </is>
      </c>
      <c r="MK3" s="9" t="inlineStr">
        <is>
          <t>PX_SETTLE</t>
        </is>
      </c>
      <c r="ML3" s="9" t="inlineStr">
        <is>
          <t>PX_VOLUME</t>
        </is>
      </c>
      <c r="MM3" s="9" t="inlineStr">
        <is>
          <t>OPEN_INT</t>
        </is>
      </c>
      <c r="MN3" s="9" t="inlineStr">
        <is>
          <t>IVOL_MID</t>
        </is>
      </c>
      <c r="MO3" s="9" t="inlineStr">
        <is>
          <t>IVOL_BID</t>
        </is>
      </c>
      <c r="MP3" s="9" t="inlineStr">
        <is>
          <t>IVOL_ASK</t>
        </is>
      </c>
      <c r="MQ3" s="9" t="inlineStr">
        <is>
          <t>DELTA_MID</t>
        </is>
      </c>
      <c r="MR3" s="9" t="inlineStr">
        <is>
          <t>GAMMA_MID</t>
        </is>
      </c>
      <c r="MS3" s="9" t="inlineStr">
        <is>
          <t>VEGA_MID</t>
        </is>
      </c>
      <c r="MT3" s="9" t="inlineStr">
        <is>
          <t>THETA_MID</t>
        </is>
      </c>
      <c r="MU3" s="9" t="inlineStr">
        <is>
          <t>OPT_UNDL_PX</t>
        </is>
      </c>
      <c r="MW3" s="9" t="inlineStr">
        <is>
          <t>Date</t>
        </is>
      </c>
      <c r="MX3" s="9" t="inlineStr">
        <is>
          <t>PX_BID</t>
        </is>
      </c>
      <c r="MY3" s="9" t="inlineStr">
        <is>
          <t>PX_ASK</t>
        </is>
      </c>
      <c r="MZ3" s="9" t="inlineStr">
        <is>
          <t>PX_MID</t>
        </is>
      </c>
      <c r="NA3" s="9" t="inlineStr">
        <is>
          <t>PX_LAST</t>
        </is>
      </c>
      <c r="NB3" s="9" t="inlineStr">
        <is>
          <t>PX_SETTLE</t>
        </is>
      </c>
      <c r="NC3" s="9" t="inlineStr">
        <is>
          <t>PX_VOLUME</t>
        </is>
      </c>
      <c r="ND3" s="9" t="inlineStr">
        <is>
          <t>OPEN_INT</t>
        </is>
      </c>
      <c r="NE3" s="9" t="inlineStr">
        <is>
          <t>IVOL_MID</t>
        </is>
      </c>
      <c r="NF3" s="9" t="inlineStr">
        <is>
          <t>IVOL_BID</t>
        </is>
      </c>
      <c r="NG3" s="9" t="inlineStr">
        <is>
          <t>IVOL_ASK</t>
        </is>
      </c>
      <c r="NH3" s="9" t="inlineStr">
        <is>
          <t>DELTA_MID</t>
        </is>
      </c>
      <c r="NI3" s="9" t="inlineStr">
        <is>
          <t>GAMMA_MID</t>
        </is>
      </c>
      <c r="NJ3" s="9" t="inlineStr">
        <is>
          <t>VEGA_MID</t>
        </is>
      </c>
      <c r="NK3" s="9" t="inlineStr">
        <is>
          <t>THETA_MID</t>
        </is>
      </c>
      <c r="NL3" s="9" t="inlineStr">
        <is>
          <t>OPT_UNDL_PX</t>
        </is>
      </c>
      <c r="NN3" s="9" t="inlineStr">
        <is>
          <t>Date</t>
        </is>
      </c>
      <c r="NO3" s="9" t="inlineStr">
        <is>
          <t>PX_BID</t>
        </is>
      </c>
      <c r="NP3" s="9" t="inlineStr">
        <is>
          <t>PX_ASK</t>
        </is>
      </c>
      <c r="NQ3" s="9" t="inlineStr">
        <is>
          <t>PX_MID</t>
        </is>
      </c>
      <c r="NR3" s="9" t="inlineStr">
        <is>
          <t>PX_LAST</t>
        </is>
      </c>
      <c r="NS3" s="9" t="inlineStr">
        <is>
          <t>PX_SETTLE</t>
        </is>
      </c>
      <c r="NT3" s="9" t="inlineStr">
        <is>
          <t>PX_VOLUME</t>
        </is>
      </c>
      <c r="NU3" s="9" t="inlineStr">
        <is>
          <t>OPEN_INT</t>
        </is>
      </c>
      <c r="NV3" s="9" t="inlineStr">
        <is>
          <t>IVOL_MID</t>
        </is>
      </c>
      <c r="NW3" s="9" t="inlineStr">
        <is>
          <t>IVOL_BID</t>
        </is>
      </c>
      <c r="NX3" s="9" t="inlineStr">
        <is>
          <t>IVOL_ASK</t>
        </is>
      </c>
      <c r="NY3" s="9" t="inlineStr">
        <is>
          <t>DELTA_MID</t>
        </is>
      </c>
      <c r="NZ3" s="9" t="inlineStr">
        <is>
          <t>GAMMA_MID</t>
        </is>
      </c>
      <c r="OA3" s="9" t="inlineStr">
        <is>
          <t>VEGA_MID</t>
        </is>
      </c>
      <c r="OB3" s="9" t="inlineStr">
        <is>
          <t>THETA_MID</t>
        </is>
      </c>
      <c r="OC3" s="9" t="inlineStr">
        <is>
          <t>OPT_UNDL_PX</t>
        </is>
      </c>
      <c r="OE3" s="9" t="inlineStr">
        <is>
          <t>Date</t>
        </is>
      </c>
      <c r="OF3" s="9" t="inlineStr">
        <is>
          <t>PX_BID</t>
        </is>
      </c>
      <c r="OG3" s="9" t="inlineStr">
        <is>
          <t>PX_ASK</t>
        </is>
      </c>
      <c r="OH3" s="9" t="inlineStr">
        <is>
          <t>PX_MID</t>
        </is>
      </c>
      <c r="OI3" s="9" t="inlineStr">
        <is>
          <t>PX_LAST</t>
        </is>
      </c>
      <c r="OJ3" s="9" t="inlineStr">
        <is>
          <t>PX_SETTLE</t>
        </is>
      </c>
      <c r="OK3" s="9" t="inlineStr">
        <is>
          <t>PX_VOLUME</t>
        </is>
      </c>
      <c r="OL3" s="9" t="inlineStr">
        <is>
          <t>OPEN_INT</t>
        </is>
      </c>
      <c r="OM3" s="9" t="inlineStr">
        <is>
          <t>IVOL_MID</t>
        </is>
      </c>
      <c r="ON3" s="9" t="inlineStr">
        <is>
          <t>IVOL_BID</t>
        </is>
      </c>
      <c r="OO3" s="9" t="inlineStr">
        <is>
          <t>IVOL_ASK</t>
        </is>
      </c>
      <c r="OP3" s="9" t="inlineStr">
        <is>
          <t>DELTA_MID</t>
        </is>
      </c>
      <c r="OQ3" s="9" t="inlineStr">
        <is>
          <t>GAMMA_MID</t>
        </is>
      </c>
      <c r="OR3" s="9" t="inlineStr">
        <is>
          <t>VEGA_MID</t>
        </is>
      </c>
      <c r="OS3" s="9" t="inlineStr">
        <is>
          <t>THETA_MID</t>
        </is>
      </c>
      <c r="OT3" s="9" t="inlineStr">
        <is>
          <t>OPT_UNDL_PX</t>
        </is>
      </c>
      <c r="OV3" s="9" t="inlineStr">
        <is>
          <t>Date</t>
        </is>
      </c>
      <c r="OW3" s="9" t="inlineStr">
        <is>
          <t>PX_BID</t>
        </is>
      </c>
      <c r="OX3" s="9" t="inlineStr">
        <is>
          <t>PX_ASK</t>
        </is>
      </c>
      <c r="OY3" s="9" t="inlineStr">
        <is>
          <t>PX_MID</t>
        </is>
      </c>
      <c r="OZ3" s="9" t="inlineStr">
        <is>
          <t>PX_LAST</t>
        </is>
      </c>
      <c r="PA3" s="9" t="inlineStr">
        <is>
          <t>PX_SETTLE</t>
        </is>
      </c>
      <c r="PB3" s="9" t="inlineStr">
        <is>
          <t>PX_VOLUME</t>
        </is>
      </c>
      <c r="PC3" s="9" t="inlineStr">
        <is>
          <t>OPEN_INT</t>
        </is>
      </c>
      <c r="PD3" s="9" t="inlineStr">
        <is>
          <t>IVOL_MID</t>
        </is>
      </c>
      <c r="PE3" s="9" t="inlineStr">
        <is>
          <t>IVOL_BID</t>
        </is>
      </c>
      <c r="PF3" s="9" t="inlineStr">
        <is>
          <t>IVOL_ASK</t>
        </is>
      </c>
      <c r="PG3" s="9" t="inlineStr">
        <is>
          <t>DELTA_MID</t>
        </is>
      </c>
      <c r="PH3" s="9" t="inlineStr">
        <is>
          <t>GAMMA_MID</t>
        </is>
      </c>
      <c r="PI3" s="9" t="inlineStr">
        <is>
          <t>VEGA_MID</t>
        </is>
      </c>
      <c r="PJ3" s="9" t="inlineStr">
        <is>
          <t>THETA_MID</t>
        </is>
      </c>
      <c r="PK3" s="9" t="inlineStr">
        <is>
          <t>OPT_UNDL_PX</t>
        </is>
      </c>
      <c r="PM3" s="9" t="inlineStr">
        <is>
          <t>Date</t>
        </is>
      </c>
      <c r="PN3" s="9" t="inlineStr">
        <is>
          <t>PX_BID</t>
        </is>
      </c>
      <c r="PO3" s="9" t="inlineStr">
        <is>
          <t>PX_ASK</t>
        </is>
      </c>
      <c r="PP3" s="9" t="inlineStr">
        <is>
          <t>PX_MID</t>
        </is>
      </c>
      <c r="PQ3" s="9" t="inlineStr">
        <is>
          <t>PX_LAST</t>
        </is>
      </c>
      <c r="PR3" s="9" t="inlineStr">
        <is>
          <t>PX_SETTLE</t>
        </is>
      </c>
      <c r="PS3" s="9" t="inlineStr">
        <is>
          <t>PX_VOLUME</t>
        </is>
      </c>
      <c r="PT3" s="9" t="inlineStr">
        <is>
          <t>OPEN_INT</t>
        </is>
      </c>
      <c r="PU3" s="9" t="inlineStr">
        <is>
          <t>IVOL_MID</t>
        </is>
      </c>
      <c r="PV3" s="9" t="inlineStr">
        <is>
          <t>IVOL_BID</t>
        </is>
      </c>
      <c r="PW3" s="9" t="inlineStr">
        <is>
          <t>IVOL_ASK</t>
        </is>
      </c>
      <c r="PX3" s="9" t="inlineStr">
        <is>
          <t>DELTA_MID</t>
        </is>
      </c>
      <c r="PY3" s="9" t="inlineStr">
        <is>
          <t>GAMMA_MID</t>
        </is>
      </c>
      <c r="PZ3" s="9" t="inlineStr">
        <is>
          <t>VEGA_MID</t>
        </is>
      </c>
      <c r="QA3" s="9" t="inlineStr">
        <is>
          <t>THETA_MID</t>
        </is>
      </c>
      <c r="QB3" s="9" t="inlineStr">
        <is>
          <t>OPT_UNDL_PX</t>
        </is>
      </c>
      <c r="QD3" s="9" t="inlineStr">
        <is>
          <t>Date</t>
        </is>
      </c>
      <c r="QE3" s="9" t="inlineStr">
        <is>
          <t>PX_BID</t>
        </is>
      </c>
      <c r="QF3" s="9" t="inlineStr">
        <is>
          <t>PX_ASK</t>
        </is>
      </c>
      <c r="QG3" s="9" t="inlineStr">
        <is>
          <t>PX_MID</t>
        </is>
      </c>
      <c r="QH3" s="9" t="inlineStr">
        <is>
          <t>PX_LAST</t>
        </is>
      </c>
      <c r="QI3" s="9" t="inlineStr">
        <is>
          <t>PX_SETTLE</t>
        </is>
      </c>
      <c r="QJ3" s="9" t="inlineStr">
        <is>
          <t>PX_VOLUME</t>
        </is>
      </c>
      <c r="QK3" s="9" t="inlineStr">
        <is>
          <t>OPEN_INT</t>
        </is>
      </c>
      <c r="QL3" s="9" t="inlineStr">
        <is>
          <t>IVOL_MID</t>
        </is>
      </c>
      <c r="QM3" s="9" t="inlineStr">
        <is>
          <t>IVOL_BID</t>
        </is>
      </c>
      <c r="QN3" s="9" t="inlineStr">
        <is>
          <t>IVOL_ASK</t>
        </is>
      </c>
      <c r="QO3" s="9" t="inlineStr">
        <is>
          <t>DELTA_MID</t>
        </is>
      </c>
      <c r="QP3" s="9" t="inlineStr">
        <is>
          <t>GAMMA_MID</t>
        </is>
      </c>
      <c r="QQ3" s="9" t="inlineStr">
        <is>
          <t>VEGA_MID</t>
        </is>
      </c>
      <c r="QR3" s="9" t="inlineStr">
        <is>
          <t>THETA_MID</t>
        </is>
      </c>
      <c r="QS3" s="9" t="inlineStr">
        <is>
          <t>OPT_UNDL_PX</t>
        </is>
      </c>
      <c r="QU3" s="9" t="inlineStr">
        <is>
          <t>Date</t>
        </is>
      </c>
      <c r="QV3" s="9" t="inlineStr">
        <is>
          <t>PX_BID</t>
        </is>
      </c>
      <c r="QW3" s="9" t="inlineStr">
        <is>
          <t>PX_ASK</t>
        </is>
      </c>
      <c r="QX3" s="9" t="inlineStr">
        <is>
          <t>PX_MID</t>
        </is>
      </c>
      <c r="QY3" s="9" t="inlineStr">
        <is>
          <t>PX_LAST</t>
        </is>
      </c>
      <c r="QZ3" s="9" t="inlineStr">
        <is>
          <t>PX_SETTLE</t>
        </is>
      </c>
      <c r="RA3" s="9" t="inlineStr">
        <is>
          <t>PX_VOLUME</t>
        </is>
      </c>
      <c r="RB3" s="9" t="inlineStr">
        <is>
          <t>OPEN_INT</t>
        </is>
      </c>
      <c r="RC3" s="9" t="inlineStr">
        <is>
          <t>IVOL_MID</t>
        </is>
      </c>
      <c r="RD3" s="9" t="inlineStr">
        <is>
          <t>IVOL_BID</t>
        </is>
      </c>
      <c r="RE3" s="9" t="inlineStr">
        <is>
          <t>IVOL_ASK</t>
        </is>
      </c>
      <c r="RF3" s="9" t="inlineStr">
        <is>
          <t>DELTA_MID</t>
        </is>
      </c>
      <c r="RG3" s="9" t="inlineStr">
        <is>
          <t>GAMMA_MID</t>
        </is>
      </c>
      <c r="RH3" s="9" t="inlineStr">
        <is>
          <t>VEGA_MID</t>
        </is>
      </c>
      <c r="RI3" s="9" t="inlineStr">
        <is>
          <t>THETA_MID</t>
        </is>
      </c>
      <c r="RJ3" s="9" t="inlineStr">
        <is>
          <t>OPT_UNDL_PX</t>
        </is>
      </c>
      <c r="RL3" s="9" t="inlineStr">
        <is>
          <t>Date</t>
        </is>
      </c>
      <c r="RM3" s="9" t="inlineStr">
        <is>
          <t>PX_BID</t>
        </is>
      </c>
      <c r="RN3" s="9" t="inlineStr">
        <is>
          <t>PX_ASK</t>
        </is>
      </c>
      <c r="RO3" s="9" t="inlineStr">
        <is>
          <t>PX_MID</t>
        </is>
      </c>
      <c r="RP3" s="9" t="inlineStr">
        <is>
          <t>PX_LAST</t>
        </is>
      </c>
      <c r="RQ3" s="9" t="inlineStr">
        <is>
          <t>PX_SETTLE</t>
        </is>
      </c>
      <c r="RR3" s="9" t="inlineStr">
        <is>
          <t>PX_VOLUME</t>
        </is>
      </c>
      <c r="RS3" s="9" t="inlineStr">
        <is>
          <t>OPEN_INT</t>
        </is>
      </c>
      <c r="RT3" s="9" t="inlineStr">
        <is>
          <t>IVOL_MID</t>
        </is>
      </c>
      <c r="RU3" s="9" t="inlineStr">
        <is>
          <t>IVOL_BID</t>
        </is>
      </c>
      <c r="RV3" s="9" t="inlineStr">
        <is>
          <t>IVOL_ASK</t>
        </is>
      </c>
      <c r="RW3" s="9" t="inlineStr">
        <is>
          <t>DELTA_MID</t>
        </is>
      </c>
      <c r="RX3" s="9" t="inlineStr">
        <is>
          <t>GAMMA_MID</t>
        </is>
      </c>
      <c r="RY3" s="9" t="inlineStr">
        <is>
          <t>VEGA_MID</t>
        </is>
      </c>
      <c r="RZ3" s="9" t="inlineStr">
        <is>
          <t>THETA_MID</t>
        </is>
      </c>
      <c r="SA3" s="9" t="inlineStr">
        <is>
          <t>OPT_UNDL_PX</t>
        </is>
      </c>
      <c r="SC3" s="9" t="inlineStr">
        <is>
          <t>Date</t>
        </is>
      </c>
      <c r="SD3" s="9" t="inlineStr">
        <is>
          <t>PX_BID</t>
        </is>
      </c>
      <c r="SE3" s="9" t="inlineStr">
        <is>
          <t>PX_ASK</t>
        </is>
      </c>
      <c r="SF3" s="9" t="inlineStr">
        <is>
          <t>PX_MID</t>
        </is>
      </c>
      <c r="SG3" s="9" t="inlineStr">
        <is>
          <t>PX_LAST</t>
        </is>
      </c>
      <c r="SH3" s="9" t="inlineStr">
        <is>
          <t>PX_SETTLE</t>
        </is>
      </c>
      <c r="SI3" s="9" t="inlineStr">
        <is>
          <t>PX_VOLUME</t>
        </is>
      </c>
      <c r="SJ3" s="9" t="inlineStr">
        <is>
          <t>OPEN_INT</t>
        </is>
      </c>
      <c r="SK3" s="9" t="inlineStr">
        <is>
          <t>IVOL_MID</t>
        </is>
      </c>
      <c r="SL3" s="9" t="inlineStr">
        <is>
          <t>IVOL_BID</t>
        </is>
      </c>
      <c r="SM3" s="9" t="inlineStr">
        <is>
          <t>IVOL_ASK</t>
        </is>
      </c>
      <c r="SN3" s="9" t="inlineStr">
        <is>
          <t>DELTA_MID</t>
        </is>
      </c>
      <c r="SO3" s="9" t="inlineStr">
        <is>
          <t>GAMMA_MID</t>
        </is>
      </c>
      <c r="SP3" s="9" t="inlineStr">
        <is>
          <t>VEGA_MID</t>
        </is>
      </c>
      <c r="SQ3" s="9" t="inlineStr">
        <is>
          <t>THETA_MID</t>
        </is>
      </c>
      <c r="SR3" s="9" t="inlineStr">
        <is>
          <t>OPT_UNDL_PX</t>
        </is>
      </c>
      <c r="ST3" s="9" t="inlineStr">
        <is>
          <t>Date</t>
        </is>
      </c>
      <c r="SU3" s="9" t="inlineStr">
        <is>
          <t>PX_BID</t>
        </is>
      </c>
      <c r="SV3" s="9" t="inlineStr">
        <is>
          <t>PX_ASK</t>
        </is>
      </c>
      <c r="SW3" s="9" t="inlineStr">
        <is>
          <t>PX_MID</t>
        </is>
      </c>
      <c r="SX3" s="9" t="inlineStr">
        <is>
          <t>PX_LAST</t>
        </is>
      </c>
      <c r="SY3" s="9" t="inlineStr">
        <is>
          <t>PX_SETTLE</t>
        </is>
      </c>
      <c r="SZ3" s="9" t="inlineStr">
        <is>
          <t>PX_VOLUME</t>
        </is>
      </c>
      <c r="TA3" s="9" t="inlineStr">
        <is>
          <t>OPEN_INT</t>
        </is>
      </c>
      <c r="TB3" s="9" t="inlineStr">
        <is>
          <t>IVOL_MID</t>
        </is>
      </c>
      <c r="TC3" s="9" t="inlineStr">
        <is>
          <t>IVOL_BID</t>
        </is>
      </c>
      <c r="TD3" s="9" t="inlineStr">
        <is>
          <t>IVOL_ASK</t>
        </is>
      </c>
      <c r="TE3" s="9" t="inlineStr">
        <is>
          <t>DELTA_MID</t>
        </is>
      </c>
      <c r="TF3" s="9" t="inlineStr">
        <is>
          <t>GAMMA_MID</t>
        </is>
      </c>
      <c r="TG3" s="9" t="inlineStr">
        <is>
          <t>VEGA_MID</t>
        </is>
      </c>
      <c r="TH3" s="9" t="inlineStr">
        <is>
          <t>THETA_MID</t>
        </is>
      </c>
      <c r="TI3" s="9" t="inlineStr">
        <is>
          <t>OPT_UNDL_PX</t>
        </is>
      </c>
      <c r="TK3" s="9" t="inlineStr">
        <is>
          <t>Date</t>
        </is>
      </c>
      <c r="TL3" s="9" t="inlineStr">
        <is>
          <t>PX_BID</t>
        </is>
      </c>
      <c r="TM3" s="9" t="inlineStr">
        <is>
          <t>PX_ASK</t>
        </is>
      </c>
      <c r="TN3" s="9" t="inlineStr">
        <is>
          <t>PX_MID</t>
        </is>
      </c>
      <c r="TO3" s="9" t="inlineStr">
        <is>
          <t>PX_LAST</t>
        </is>
      </c>
      <c r="TP3" s="9" t="inlineStr">
        <is>
          <t>PX_SETTLE</t>
        </is>
      </c>
      <c r="TQ3" s="9" t="inlineStr">
        <is>
          <t>PX_VOLUME</t>
        </is>
      </c>
      <c r="TR3" s="9" t="inlineStr">
        <is>
          <t>OPEN_INT</t>
        </is>
      </c>
      <c r="TS3" s="9" t="inlineStr">
        <is>
          <t>IVOL_MID</t>
        </is>
      </c>
      <c r="TT3" s="9" t="inlineStr">
        <is>
          <t>IVOL_BID</t>
        </is>
      </c>
      <c r="TU3" s="9" t="inlineStr">
        <is>
          <t>IVOL_ASK</t>
        </is>
      </c>
      <c r="TV3" s="9" t="inlineStr">
        <is>
          <t>DELTA_MID</t>
        </is>
      </c>
      <c r="TW3" s="9" t="inlineStr">
        <is>
          <t>GAMMA_MID</t>
        </is>
      </c>
      <c r="TX3" s="9" t="inlineStr">
        <is>
          <t>VEGA_MID</t>
        </is>
      </c>
      <c r="TY3" s="9" t="inlineStr">
        <is>
          <t>THETA_MID</t>
        </is>
      </c>
      <c r="TZ3" s="9" t="inlineStr">
        <is>
          <t>OPT_UNDL_PX</t>
        </is>
      </c>
      <c r="UB3" s="9" t="inlineStr">
        <is>
          <t>Date</t>
        </is>
      </c>
      <c r="UC3" s="9" t="inlineStr">
        <is>
          <t>PX_BID</t>
        </is>
      </c>
      <c r="UD3" s="9" t="inlineStr">
        <is>
          <t>PX_ASK</t>
        </is>
      </c>
      <c r="UE3" s="9" t="inlineStr">
        <is>
          <t>PX_MID</t>
        </is>
      </c>
      <c r="UF3" s="9" t="inlineStr">
        <is>
          <t>PX_LAST</t>
        </is>
      </c>
      <c r="UG3" s="9" t="inlineStr">
        <is>
          <t>PX_SETTLE</t>
        </is>
      </c>
      <c r="UH3" s="9" t="inlineStr">
        <is>
          <t>PX_VOLUME</t>
        </is>
      </c>
      <c r="UI3" s="9" t="inlineStr">
        <is>
          <t>OPEN_INT</t>
        </is>
      </c>
      <c r="UJ3" s="9" t="inlineStr">
        <is>
          <t>IVOL_MID</t>
        </is>
      </c>
      <c r="UK3" s="9" t="inlineStr">
        <is>
          <t>IVOL_BID</t>
        </is>
      </c>
      <c r="UL3" s="9" t="inlineStr">
        <is>
          <t>IVOL_ASK</t>
        </is>
      </c>
      <c r="UM3" s="9" t="inlineStr">
        <is>
          <t>DELTA_MID</t>
        </is>
      </c>
      <c r="UN3" s="9" t="inlineStr">
        <is>
          <t>GAMMA_MID</t>
        </is>
      </c>
      <c r="UO3" s="9" t="inlineStr">
        <is>
          <t>VEGA_MID</t>
        </is>
      </c>
      <c r="UP3" s="9" t="inlineStr">
        <is>
          <t>THETA_MID</t>
        </is>
      </c>
      <c r="UQ3" s="9" t="inlineStr">
        <is>
          <t>OPT_UNDL_PX</t>
        </is>
      </c>
      <c r="US3" s="9" t="inlineStr">
        <is>
          <t>Date</t>
        </is>
      </c>
      <c r="UT3" s="9" t="inlineStr">
        <is>
          <t>PX_BID</t>
        </is>
      </c>
      <c r="UU3" s="9" t="inlineStr">
        <is>
          <t>PX_ASK</t>
        </is>
      </c>
      <c r="UV3" s="9" t="inlineStr">
        <is>
          <t>PX_MID</t>
        </is>
      </c>
      <c r="UW3" s="9" t="inlineStr">
        <is>
          <t>PX_LAST</t>
        </is>
      </c>
      <c r="UX3" s="9" t="inlineStr">
        <is>
          <t>PX_SETTLE</t>
        </is>
      </c>
      <c r="UY3" s="9" t="inlineStr">
        <is>
          <t>PX_VOLUME</t>
        </is>
      </c>
      <c r="UZ3" s="9" t="inlineStr">
        <is>
          <t>OPEN_INT</t>
        </is>
      </c>
      <c r="VA3" s="9" t="inlineStr">
        <is>
          <t>IVOL_MID</t>
        </is>
      </c>
      <c r="VB3" s="9" t="inlineStr">
        <is>
          <t>IVOL_BID</t>
        </is>
      </c>
      <c r="VC3" s="9" t="inlineStr">
        <is>
          <t>IVOL_ASK</t>
        </is>
      </c>
      <c r="VD3" s="9" t="inlineStr">
        <is>
          <t>DELTA_MID</t>
        </is>
      </c>
      <c r="VE3" s="9" t="inlineStr">
        <is>
          <t>GAMMA_MID</t>
        </is>
      </c>
      <c r="VF3" s="9" t="inlineStr">
        <is>
          <t>VEGA_MID</t>
        </is>
      </c>
      <c r="VG3" s="9" t="inlineStr">
        <is>
          <t>THETA_MID</t>
        </is>
      </c>
      <c r="VH3" s="9" t="inlineStr">
        <is>
          <t>OPT_UNDL_PX</t>
        </is>
      </c>
    </row>
    <row r="4">
      <c r="A4" s="2" t="inlineStr">
        <is>
          <t>Year in ticker</t>
        </is>
      </c>
      <c r="B4" s="4">
        <f>IF(B2&lt;Settings!$B$5,TEXT(MOD(Settings!$B$3,100),"00"),TEXT(MOD(Settings!$B$3,10),"0"))</f>
        <v/>
      </c>
      <c r="D4" s="4">
        <f>BDH(D$1,E$3:S$3,$B$9,$B$10,"Dir=V","Dts=S","Sort=A","Days=T","Fill=B")</f>
        <v/>
      </c>
      <c r="U4" s="4">
        <f>BDH(U$1,V$3:AJ$3,$B$9,$B$10,"Dir=V","Dts=S","Sort=A","Days=T","Fill=B")</f>
        <v/>
      </c>
      <c r="AL4" s="4">
        <f>BDH(AL$1,AM$3:BA$3,$B$9,$B$10,"Dir=V","Dts=S","Sort=A","Days=T","Fill=B")</f>
        <v/>
      </c>
      <c r="BC4" s="4">
        <f>BDH(BC$1,BD$3:BR$3,$B$9,$B$10,"Dir=V","Dts=S","Sort=A","Days=T","Fill=B")</f>
        <v/>
      </c>
      <c r="BT4" s="4">
        <f>BDH(BT$1,BU$3:CI$3,$B$9,$B$10,"Dir=V","Dts=S","Sort=A","Days=T","Fill=B")</f>
        <v/>
      </c>
      <c r="CK4" s="4">
        <f>BDH(CK$1,CL$3:CZ$3,$B$9,$B$10,"Dir=V","Dts=S","Sort=A","Days=T","Fill=B")</f>
        <v/>
      </c>
      <c r="DB4" s="4">
        <f>BDH(DB$1,DC$3:DQ$3,$B$9,$B$10,"Dir=V","Dts=S","Sort=A","Days=T","Fill=B")</f>
        <v/>
      </c>
      <c r="DS4" s="4">
        <f>BDH(DS$1,DT$3:EH$3,$B$9,$B$10,"Dir=V","Dts=S","Sort=A","Days=T","Fill=B")</f>
        <v/>
      </c>
      <c r="EJ4" s="4">
        <f>BDH(EJ$1,EK$3:EY$3,$B$9,$B$10,"Dir=V","Dts=S","Sort=A","Days=T","Fill=B")</f>
        <v/>
      </c>
      <c r="FA4" s="4">
        <f>BDH(FA$1,FB$3:FP$3,$B$9,$B$10,"Dir=V","Dts=S","Sort=A","Days=T","Fill=B")</f>
        <v/>
      </c>
      <c r="FR4" s="4">
        <f>BDH(FR$1,FS$3:GG$3,$B$9,$B$10,"Dir=V","Dts=S","Sort=A","Days=T","Fill=B")</f>
        <v/>
      </c>
      <c r="GI4" s="4">
        <f>BDH(GI$1,GJ$3:GX$3,$B$9,$B$10,"Dir=V","Dts=S","Sort=A","Days=T","Fill=B")</f>
        <v/>
      </c>
      <c r="GZ4" s="4">
        <f>BDH(GZ$1,HA$3:HO$3,$B$9,$B$10,"Dir=V","Dts=S","Sort=A","Days=T","Fill=B")</f>
        <v/>
      </c>
      <c r="HQ4" s="4">
        <f>BDH(HQ$1,HR$3:IF$3,$B$9,$B$10,"Dir=V","Dts=S","Sort=A","Days=T","Fill=B")</f>
        <v/>
      </c>
      <c r="IH4" s="4">
        <f>BDH(IH$1,II$3:IW$3,$B$9,$B$10,"Dir=V","Dts=S","Sort=A","Days=T","Fill=B")</f>
        <v/>
      </c>
      <c r="IY4" s="4">
        <f>BDH(IY$1,IZ$3:JN$3,$B$9,$B$10,"Dir=V","Dts=S","Sort=A","Days=T","Fill=B")</f>
        <v/>
      </c>
      <c r="JP4" s="4">
        <f>BDH(JP$1,JQ$3:KE$3,$B$9,$B$10,"Dir=V","Dts=S","Sort=A","Days=T","Fill=B")</f>
        <v/>
      </c>
      <c r="KG4" s="4">
        <f>BDH(KG$1,KH$3:KV$3,$B$9,$B$10,"Dir=V","Dts=S","Sort=A","Days=T","Fill=B")</f>
        <v/>
      </c>
      <c r="KX4" s="4">
        <f>BDH(KX$1,KY$3:LM$3,$B$9,$B$10,"Dir=V","Dts=S","Sort=A","Days=T","Fill=B")</f>
        <v/>
      </c>
      <c r="LO4" s="4">
        <f>BDH(LO$1,LP$3:MD$3,$B$9,$B$10,"Dir=V","Dts=S","Sort=A","Days=T","Fill=B")</f>
        <v/>
      </c>
      <c r="MF4" s="4">
        <f>BDH(MF$1,MG$3:MU$3,$B$9,$B$10,"Dir=V","Dts=S","Sort=A","Days=T","Fill=B")</f>
        <v/>
      </c>
      <c r="MW4" s="4">
        <f>BDH(MW$1,MX$3:NL$3,$B$9,$B$10,"Dir=V","Dts=S","Sort=A","Days=T","Fill=B")</f>
        <v/>
      </c>
      <c r="NN4" s="4">
        <f>BDH(NN$1,NO$3:OC$3,$B$9,$B$10,"Dir=V","Dts=S","Sort=A","Days=T","Fill=B")</f>
        <v/>
      </c>
      <c r="OE4" s="4">
        <f>BDH(OE$1,OF$3:OT$3,$B$9,$B$10,"Dir=V","Dts=S","Sort=A","Days=T","Fill=B")</f>
        <v/>
      </c>
      <c r="OV4" s="4">
        <f>BDH(OV$1,OW$3:PK$3,$B$9,$B$10,"Dir=V","Dts=S","Sort=A","Days=T","Fill=B")</f>
        <v/>
      </c>
      <c r="PM4" s="4">
        <f>BDH(PM$1,PN$3:QB$3,$B$9,$B$10,"Dir=V","Dts=S","Sort=A","Days=T","Fill=B")</f>
        <v/>
      </c>
      <c r="QD4" s="4">
        <f>BDH(QD$1,QE$3:QS$3,$B$9,$B$10,"Dir=V","Dts=S","Sort=A","Days=T","Fill=B")</f>
        <v/>
      </c>
      <c r="QU4" s="4">
        <f>BDH(QU$1,QV$3:RJ$3,$B$9,$B$10,"Dir=V","Dts=S","Sort=A","Days=T","Fill=B")</f>
        <v/>
      </c>
      <c r="RL4" s="4">
        <f>BDH(RL$1,RM$3:SA$3,$B$9,$B$10,"Dir=V","Dts=S","Sort=A","Days=T","Fill=B")</f>
        <v/>
      </c>
      <c r="SC4" s="4">
        <f>BDH(SC$1,SD$3:SR$3,$B$9,$B$10,"Dir=V","Dts=S","Sort=A","Days=T","Fill=B")</f>
        <v/>
      </c>
      <c r="ST4" s="4">
        <f>BDH(ST$1,SU$3:TI$3,$B$9,$B$10,"Dir=V","Dts=S","Sort=A","Days=T","Fill=B")</f>
        <v/>
      </c>
      <c r="TK4" s="4">
        <f>BDH(TK$1,TL$3:TZ$3,$B$9,$B$10,"Dir=V","Dts=S","Sort=A","Days=T","Fill=B")</f>
        <v/>
      </c>
      <c r="UB4" s="4">
        <f>BDH(UB$1,UC$3:UQ$3,$B$9,$B$10,"Dir=V","Dts=S","Sort=A","Days=T","Fill=B")</f>
        <v/>
      </c>
      <c r="US4" s="4">
        <f>BDH(US$1,UT$3:VH$3,$B$9,$B$10,"Dir=V","Dts=S","Sort=A","Days=T","Fill=B")</f>
        <v/>
      </c>
    </row>
    <row r="5">
      <c r="A5" s="2" t="inlineStr">
        <is>
          <t>Futures ticker</t>
        </is>
      </c>
      <c r="B5" s="4">
        <f>"CL"&amp;MID("FGHJKMNQUVXZ",B1,1)&amp;B4&amp;" Comdty"</f>
        <v/>
      </c>
    </row>
    <row r="6">
      <c r="A6" s="2" t="inlineStr">
        <is>
          <t>Strike reference date</t>
        </is>
      </c>
      <c r="B6" s="8">
        <f>B3-45</f>
        <v/>
      </c>
    </row>
    <row r="7">
      <c r="A7" s="2" t="inlineStr">
        <is>
          <t>Futures price on that date</t>
        </is>
      </c>
      <c r="B7" s="10">
        <f>BDH(B5,"PX_LAST",B6,B6,"Days=A","Fill=P","Dts=H")</f>
        <v/>
      </c>
    </row>
    <row r="8">
      <c r="A8" s="2" t="inlineStr">
        <is>
          <t>ATM strike</t>
        </is>
      </c>
      <c r="B8" s="7">
        <f>ROUND(B7,0)</f>
        <v/>
      </c>
    </row>
    <row r="9">
      <c r="A9" s="2" t="inlineStr">
        <is>
          <t>History start</t>
        </is>
      </c>
      <c r="B9" s="8">
        <f>B3-100</f>
        <v/>
      </c>
    </row>
    <row r="10">
      <c r="A10" s="2" t="inlineStr">
        <is>
          <t>History end</t>
        </is>
      </c>
      <c r="B10" s="8">
        <f>B3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H1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  <col width="12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1" customWidth="1" min="383" max="383"/>
    <col width="11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1" customWidth="1" min="389" max="389"/>
    <col width="11" customWidth="1" min="390" max="390"/>
    <col width="10" customWidth="1" min="391" max="391"/>
    <col width="11" customWidth="1" min="392" max="392"/>
    <col width="13" customWidth="1" min="393" max="393"/>
    <col width="12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1" customWidth="1" min="400" max="400"/>
    <col width="11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1" customWidth="1" min="406" max="406"/>
    <col width="11" customWidth="1" min="407" max="407"/>
    <col width="10" customWidth="1" min="408" max="408"/>
    <col width="11" customWidth="1" min="409" max="409"/>
    <col width="13" customWidth="1" min="410" max="410"/>
    <col width="12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1" customWidth="1" min="417" max="417"/>
    <col width="11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1" customWidth="1" min="423" max="423"/>
    <col width="11" customWidth="1" min="424" max="424"/>
    <col width="10" customWidth="1" min="425" max="425"/>
    <col width="11" customWidth="1" min="426" max="426"/>
    <col width="13" customWidth="1" min="427" max="427"/>
    <col width="12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1" customWidth="1" min="434" max="434"/>
    <col width="11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1" customWidth="1" min="440" max="440"/>
    <col width="11" customWidth="1" min="441" max="441"/>
    <col width="10" customWidth="1" min="442" max="442"/>
    <col width="11" customWidth="1" min="443" max="443"/>
    <col width="13" customWidth="1" min="444" max="444"/>
    <col width="12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1" customWidth="1" min="451" max="451"/>
    <col width="11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1" customWidth="1" min="457" max="457"/>
    <col width="11" customWidth="1" min="458" max="458"/>
    <col width="10" customWidth="1" min="459" max="459"/>
    <col width="11" customWidth="1" min="460" max="460"/>
    <col width="13" customWidth="1" min="461" max="461"/>
    <col width="12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1" customWidth="1" min="468" max="468"/>
    <col width="11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1" customWidth="1" min="474" max="474"/>
    <col width="11" customWidth="1" min="475" max="475"/>
    <col width="10" customWidth="1" min="476" max="476"/>
    <col width="11" customWidth="1" min="477" max="477"/>
    <col width="13" customWidth="1" min="478" max="478"/>
    <col width="12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1" customWidth="1" min="485" max="485"/>
    <col width="11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1" customWidth="1" min="491" max="491"/>
    <col width="11" customWidth="1" min="492" max="492"/>
    <col width="10" customWidth="1" min="493" max="493"/>
    <col width="11" customWidth="1" min="494" max="494"/>
    <col width="13" customWidth="1" min="495" max="495"/>
    <col width="12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1" customWidth="1" min="502" max="502"/>
    <col width="11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1" customWidth="1" min="508" max="508"/>
    <col width="11" customWidth="1" min="509" max="509"/>
    <col width="10" customWidth="1" min="510" max="510"/>
    <col width="11" customWidth="1" min="511" max="511"/>
    <col width="13" customWidth="1" min="512" max="512"/>
    <col width="12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1" customWidth="1" min="519" max="519"/>
    <col width="11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1" customWidth="1" min="525" max="525"/>
    <col width="11" customWidth="1" min="526" max="526"/>
    <col width="10" customWidth="1" min="527" max="527"/>
    <col width="11" customWidth="1" min="528" max="528"/>
    <col width="13" customWidth="1" min="529" max="529"/>
    <col width="12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1" customWidth="1" min="536" max="536"/>
    <col width="11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1" customWidth="1" min="542" max="542"/>
    <col width="11" customWidth="1" min="543" max="543"/>
    <col width="10" customWidth="1" min="544" max="544"/>
    <col width="11" customWidth="1" min="545" max="545"/>
    <col width="13" customWidth="1" min="546" max="546"/>
    <col width="12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1" customWidth="1" min="553" max="553"/>
    <col width="11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1" customWidth="1" min="559" max="559"/>
    <col width="11" customWidth="1" min="560" max="560"/>
    <col width="10" customWidth="1" min="561" max="561"/>
    <col width="11" customWidth="1" min="562" max="562"/>
    <col width="13" customWidth="1" min="563" max="563"/>
    <col width="12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1" customWidth="1" min="570" max="570"/>
    <col width="11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1" customWidth="1" min="576" max="576"/>
    <col width="11" customWidth="1" min="577" max="577"/>
    <col width="10" customWidth="1" min="578" max="578"/>
    <col width="11" customWidth="1" min="579" max="579"/>
    <col width="13" customWidth="1" min="580" max="580"/>
  </cols>
  <sheetData>
    <row r="1">
      <c r="A1" s="2" t="inlineStr">
        <is>
          <t>Contract month</t>
        </is>
      </c>
      <c r="B1" s="7" t="n">
        <v>3</v>
      </c>
      <c r="D1" s="4">
        <f>"CL"&amp;MID("FGHJKMNQUVXZ",B$1,1)&amp;B$4&amp;"C "&amp;IF(Settings!$B$4=2,TEXT((B$8-8),"0.00"),(B$8-8))&amp;" Comdty"</f>
        <v/>
      </c>
      <c r="U1" s="4">
        <f>"CL"&amp;MID("FGHJKMNQUVXZ",B$1,1)&amp;B$4&amp;"P "&amp;IF(Settings!$B$4=2,TEXT((B$8-8),"0.00"),(B$8-8))&amp;" Comdty"</f>
        <v/>
      </c>
      <c r="AL1" s="4">
        <f>"CL"&amp;MID("FGHJKMNQUVXZ",B$1,1)&amp;B$4&amp;"C "&amp;IF(Settings!$B$4=2,TEXT((B$8-7),"0.00"),(B$8-7))&amp;" Comdty"</f>
        <v/>
      </c>
      <c r="BC1" s="4">
        <f>"CL"&amp;MID("FGHJKMNQUVXZ",B$1,1)&amp;B$4&amp;"P "&amp;IF(Settings!$B$4=2,TEXT((B$8-7),"0.00"),(B$8-7))&amp;" Comdty"</f>
        <v/>
      </c>
      <c r="BT1" s="4">
        <f>"CL"&amp;MID("FGHJKMNQUVXZ",B$1,1)&amp;B$4&amp;"C "&amp;IF(Settings!$B$4=2,TEXT((B$8-6),"0.00"),(B$8-6))&amp;" Comdty"</f>
        <v/>
      </c>
      <c r="CK1" s="4">
        <f>"CL"&amp;MID("FGHJKMNQUVXZ",B$1,1)&amp;B$4&amp;"P "&amp;IF(Settings!$B$4=2,TEXT((B$8-6),"0.00"),(B$8-6))&amp;" Comdty"</f>
        <v/>
      </c>
      <c r="DB1" s="4">
        <f>"CL"&amp;MID("FGHJKMNQUVXZ",B$1,1)&amp;B$4&amp;"C "&amp;IF(Settings!$B$4=2,TEXT((B$8-5),"0.00"),(B$8-5))&amp;" Comdty"</f>
        <v/>
      </c>
      <c r="DS1" s="4">
        <f>"CL"&amp;MID("FGHJKMNQUVXZ",B$1,1)&amp;B$4&amp;"P "&amp;IF(Settings!$B$4=2,TEXT((B$8-5),"0.00"),(B$8-5))&amp;" Comdty"</f>
        <v/>
      </c>
      <c r="EJ1" s="4">
        <f>"CL"&amp;MID("FGHJKMNQUVXZ",B$1,1)&amp;B$4&amp;"C "&amp;IF(Settings!$B$4=2,TEXT((B$8-4),"0.00"),(B$8-4))&amp;" Comdty"</f>
        <v/>
      </c>
      <c r="FA1" s="4">
        <f>"CL"&amp;MID("FGHJKMNQUVXZ",B$1,1)&amp;B$4&amp;"P "&amp;IF(Settings!$B$4=2,TEXT((B$8-4),"0.00"),(B$8-4))&amp;" Comdty"</f>
        <v/>
      </c>
      <c r="FR1" s="4">
        <f>"CL"&amp;MID("FGHJKMNQUVXZ",B$1,1)&amp;B$4&amp;"C "&amp;IF(Settings!$B$4=2,TEXT((B$8-3),"0.00"),(B$8-3))&amp;" Comdty"</f>
        <v/>
      </c>
      <c r="GI1" s="4">
        <f>"CL"&amp;MID("FGHJKMNQUVXZ",B$1,1)&amp;B$4&amp;"P "&amp;IF(Settings!$B$4=2,TEXT((B$8-3),"0.00"),(B$8-3))&amp;" Comdty"</f>
        <v/>
      </c>
      <c r="GZ1" s="4">
        <f>"CL"&amp;MID("FGHJKMNQUVXZ",B$1,1)&amp;B$4&amp;"C "&amp;IF(Settings!$B$4=2,TEXT((B$8-2),"0.00"),(B$8-2))&amp;" Comdty"</f>
        <v/>
      </c>
      <c r="HQ1" s="4">
        <f>"CL"&amp;MID("FGHJKMNQUVXZ",B$1,1)&amp;B$4&amp;"P "&amp;IF(Settings!$B$4=2,TEXT((B$8-2),"0.00"),(B$8-2))&amp;" Comdty"</f>
        <v/>
      </c>
      <c r="IH1" s="4">
        <f>"CL"&amp;MID("FGHJKMNQUVXZ",B$1,1)&amp;B$4&amp;"C "&amp;IF(Settings!$B$4=2,TEXT((B$8-1),"0.00"),(B$8-1))&amp;" Comdty"</f>
        <v/>
      </c>
      <c r="IY1" s="4">
        <f>"CL"&amp;MID("FGHJKMNQUVXZ",B$1,1)&amp;B$4&amp;"P "&amp;IF(Settings!$B$4=2,TEXT((B$8-1),"0.00"),(B$8-1))&amp;" Comdty"</f>
        <v/>
      </c>
      <c r="JP1" s="4">
        <f>"CL"&amp;MID("FGHJKMNQUVXZ",B$1,1)&amp;B$4&amp;"C "&amp;IF(Settings!$B$4=2,TEXT(B$8,"0.00"),B$8)&amp;" Comdty"</f>
        <v/>
      </c>
      <c r="KG1" s="4">
        <f>"CL"&amp;MID("FGHJKMNQUVXZ",B$1,1)&amp;B$4&amp;"P "&amp;IF(Settings!$B$4=2,TEXT(B$8,"0.00"),B$8)&amp;" Comdty"</f>
        <v/>
      </c>
      <c r="KX1" s="4">
        <f>"CL"&amp;MID("FGHJKMNQUVXZ",B$1,1)&amp;B$4&amp;"C "&amp;IF(Settings!$B$4=2,TEXT((B$8+1),"0.00"),(B$8+1))&amp;" Comdty"</f>
        <v/>
      </c>
      <c r="LO1" s="4">
        <f>"CL"&amp;MID("FGHJKMNQUVXZ",B$1,1)&amp;B$4&amp;"P "&amp;IF(Settings!$B$4=2,TEXT((B$8+1),"0.00"),(B$8+1))&amp;" Comdty"</f>
        <v/>
      </c>
      <c r="MF1" s="4">
        <f>"CL"&amp;MID("FGHJKMNQUVXZ",B$1,1)&amp;B$4&amp;"C "&amp;IF(Settings!$B$4=2,TEXT((B$8+2),"0.00"),(B$8+2))&amp;" Comdty"</f>
        <v/>
      </c>
      <c r="MW1" s="4">
        <f>"CL"&amp;MID("FGHJKMNQUVXZ",B$1,1)&amp;B$4&amp;"P "&amp;IF(Settings!$B$4=2,TEXT((B$8+2),"0.00"),(B$8+2))&amp;" Comdty"</f>
        <v/>
      </c>
      <c r="NN1" s="4">
        <f>"CL"&amp;MID("FGHJKMNQUVXZ",B$1,1)&amp;B$4&amp;"C "&amp;IF(Settings!$B$4=2,TEXT((B$8+3),"0.00"),(B$8+3))&amp;" Comdty"</f>
        <v/>
      </c>
      <c r="OE1" s="4">
        <f>"CL"&amp;MID("FGHJKMNQUVXZ",B$1,1)&amp;B$4&amp;"P "&amp;IF(Settings!$B$4=2,TEXT((B$8+3),"0.00"),(B$8+3))&amp;" Comdty"</f>
        <v/>
      </c>
      <c r="OV1" s="4">
        <f>"CL"&amp;MID("FGHJKMNQUVXZ",B$1,1)&amp;B$4&amp;"C "&amp;IF(Settings!$B$4=2,TEXT((B$8+4),"0.00"),(B$8+4))&amp;" Comdty"</f>
        <v/>
      </c>
      <c r="PM1" s="4">
        <f>"CL"&amp;MID("FGHJKMNQUVXZ",B$1,1)&amp;B$4&amp;"P "&amp;IF(Settings!$B$4=2,TEXT((B$8+4),"0.00"),(B$8+4))&amp;" Comdty"</f>
        <v/>
      </c>
      <c r="QD1" s="4">
        <f>"CL"&amp;MID("FGHJKMNQUVXZ",B$1,1)&amp;B$4&amp;"C "&amp;IF(Settings!$B$4=2,TEXT((B$8+5),"0.00"),(B$8+5))&amp;" Comdty"</f>
        <v/>
      </c>
      <c r="QU1" s="4">
        <f>"CL"&amp;MID("FGHJKMNQUVXZ",B$1,1)&amp;B$4&amp;"P "&amp;IF(Settings!$B$4=2,TEXT((B$8+5),"0.00"),(B$8+5))&amp;" Comdty"</f>
        <v/>
      </c>
      <c r="RL1" s="4">
        <f>"CL"&amp;MID("FGHJKMNQUVXZ",B$1,1)&amp;B$4&amp;"C "&amp;IF(Settings!$B$4=2,TEXT((B$8+6),"0.00"),(B$8+6))&amp;" Comdty"</f>
        <v/>
      </c>
      <c r="SC1" s="4">
        <f>"CL"&amp;MID("FGHJKMNQUVXZ",B$1,1)&amp;B$4&amp;"P "&amp;IF(Settings!$B$4=2,TEXT((B$8+6),"0.00"),(B$8+6))&amp;" Comdty"</f>
        <v/>
      </c>
      <c r="ST1" s="4">
        <f>"CL"&amp;MID("FGHJKMNQUVXZ",B$1,1)&amp;B$4&amp;"C "&amp;IF(Settings!$B$4=2,TEXT((B$8+7),"0.00"),(B$8+7))&amp;" Comdty"</f>
        <v/>
      </c>
      <c r="TK1" s="4">
        <f>"CL"&amp;MID("FGHJKMNQUVXZ",B$1,1)&amp;B$4&amp;"P "&amp;IF(Settings!$B$4=2,TEXT((B$8+7),"0.00"),(B$8+7))&amp;" Comdty"</f>
        <v/>
      </c>
      <c r="UB1" s="4">
        <f>"CL"&amp;MID("FGHJKMNQUVXZ",B$1,1)&amp;B$4&amp;"C "&amp;IF(Settings!$B$4=2,TEXT((B$8+8),"0.00"),(B$8+8))&amp;" Comdty"</f>
        <v/>
      </c>
      <c r="US1" s="4">
        <f>"CL"&amp;MID("FGHJKMNQUVXZ",B$1,1)&amp;B$4&amp;"P "&amp;IF(Settings!$B$4=2,TEXT((B$8+8),"0.00"),(B$8+8))&amp;" Comdty"</f>
        <v/>
      </c>
    </row>
    <row r="2">
      <c r="A2" s="2" t="inlineStr">
        <is>
          <t>Futures last trade</t>
        </is>
      </c>
      <c r="B2" s="8">
        <f>WORKDAY(DATE(Settings!$B$3,B1-1,25),-3)</f>
        <v/>
      </c>
      <c r="D2" s="4" t="inlineStr">
        <is>
          <t>call -8 from ATM</t>
        </is>
      </c>
      <c r="U2" s="4" t="inlineStr">
        <is>
          <t>put -8 from ATM</t>
        </is>
      </c>
      <c r="AL2" s="4" t="inlineStr">
        <is>
          <t>call -7 from ATM</t>
        </is>
      </c>
      <c r="BC2" s="4" t="inlineStr">
        <is>
          <t>put -7 from ATM</t>
        </is>
      </c>
      <c r="BT2" s="4" t="inlineStr">
        <is>
          <t>call -6 from ATM</t>
        </is>
      </c>
      <c r="CK2" s="4" t="inlineStr">
        <is>
          <t>put -6 from ATM</t>
        </is>
      </c>
      <c r="DB2" s="4" t="inlineStr">
        <is>
          <t>call -5 from ATM</t>
        </is>
      </c>
      <c r="DS2" s="4" t="inlineStr">
        <is>
          <t>put -5 from ATM</t>
        </is>
      </c>
      <c r="EJ2" s="4" t="inlineStr">
        <is>
          <t>call -4 from ATM</t>
        </is>
      </c>
      <c r="FA2" s="4" t="inlineStr">
        <is>
          <t>put -4 from ATM</t>
        </is>
      </c>
      <c r="FR2" s="4" t="inlineStr">
        <is>
          <t>call -3 from ATM</t>
        </is>
      </c>
      <c r="GI2" s="4" t="inlineStr">
        <is>
          <t>put -3 from ATM</t>
        </is>
      </c>
      <c r="GZ2" s="4" t="inlineStr">
        <is>
          <t>call -2 from ATM</t>
        </is>
      </c>
      <c r="HQ2" s="4" t="inlineStr">
        <is>
          <t>put -2 from ATM</t>
        </is>
      </c>
      <c r="IH2" s="4" t="inlineStr">
        <is>
          <t>call -1 from ATM</t>
        </is>
      </c>
      <c r="IY2" s="4" t="inlineStr">
        <is>
          <t>put -1 from ATM</t>
        </is>
      </c>
      <c r="JP2" s="4" t="inlineStr">
        <is>
          <t>call +0 from ATM</t>
        </is>
      </c>
      <c r="KG2" s="4" t="inlineStr">
        <is>
          <t>put +0 from ATM</t>
        </is>
      </c>
      <c r="KX2" s="4" t="inlineStr">
        <is>
          <t>call +1 from ATM</t>
        </is>
      </c>
      <c r="LO2" s="4" t="inlineStr">
        <is>
          <t>put +1 from ATM</t>
        </is>
      </c>
      <c r="MF2" s="4" t="inlineStr">
        <is>
          <t>call +2 from ATM</t>
        </is>
      </c>
      <c r="MW2" s="4" t="inlineStr">
        <is>
          <t>put +2 from ATM</t>
        </is>
      </c>
      <c r="NN2" s="4" t="inlineStr">
        <is>
          <t>call +3 from ATM</t>
        </is>
      </c>
      <c r="OE2" s="4" t="inlineStr">
        <is>
          <t>put +3 from ATM</t>
        </is>
      </c>
      <c r="OV2" s="4" t="inlineStr">
        <is>
          <t>call +4 from ATM</t>
        </is>
      </c>
      <c r="PM2" s="4" t="inlineStr">
        <is>
          <t>put +4 from ATM</t>
        </is>
      </c>
      <c r="QD2" s="4" t="inlineStr">
        <is>
          <t>call +5 from ATM</t>
        </is>
      </c>
      <c r="QU2" s="4" t="inlineStr">
        <is>
          <t>put +5 from ATM</t>
        </is>
      </c>
      <c r="RL2" s="4" t="inlineStr">
        <is>
          <t>call +6 from ATM</t>
        </is>
      </c>
      <c r="SC2" s="4" t="inlineStr">
        <is>
          <t>put +6 from ATM</t>
        </is>
      </c>
      <c r="ST2" s="4" t="inlineStr">
        <is>
          <t>call +7 from ATM</t>
        </is>
      </c>
      <c r="TK2" s="4" t="inlineStr">
        <is>
          <t>put +7 from ATM</t>
        </is>
      </c>
      <c r="UB2" s="4" t="inlineStr">
        <is>
          <t>call +8 from ATM</t>
        </is>
      </c>
      <c r="US2" s="4" t="inlineStr">
        <is>
          <t>put +8 from ATM</t>
        </is>
      </c>
    </row>
    <row r="3">
      <c r="A3" s="2" t="inlineStr">
        <is>
          <t>Option expiry (approx)</t>
        </is>
      </c>
      <c r="B3" s="8">
        <f>WORKDAY(B2,-1)</f>
        <v/>
      </c>
      <c r="D3" s="9" t="inlineStr">
        <is>
          <t>Date</t>
        </is>
      </c>
      <c r="E3" s="9" t="inlineStr">
        <is>
          <t>PX_BID</t>
        </is>
      </c>
      <c r="F3" s="9" t="inlineStr">
        <is>
          <t>PX_ASK</t>
        </is>
      </c>
      <c r="G3" s="9" t="inlineStr">
        <is>
          <t>PX_MID</t>
        </is>
      </c>
      <c r="H3" s="9" t="inlineStr">
        <is>
          <t>PX_LAST</t>
        </is>
      </c>
      <c r="I3" s="9" t="inlineStr">
        <is>
          <t>PX_SETTLE</t>
        </is>
      </c>
      <c r="J3" s="9" t="inlineStr">
        <is>
          <t>PX_VOLUME</t>
        </is>
      </c>
      <c r="K3" s="9" t="inlineStr">
        <is>
          <t>OPEN_INT</t>
        </is>
      </c>
      <c r="L3" s="9" t="inlineStr">
        <is>
          <t>IVOL_MID</t>
        </is>
      </c>
      <c r="M3" s="9" t="inlineStr">
        <is>
          <t>IVOL_BID</t>
        </is>
      </c>
      <c r="N3" s="9" t="inlineStr">
        <is>
          <t>IVOL_ASK</t>
        </is>
      </c>
      <c r="O3" s="9" t="inlineStr">
        <is>
          <t>DELTA_MID</t>
        </is>
      </c>
      <c r="P3" s="9" t="inlineStr">
        <is>
          <t>GAMMA_MID</t>
        </is>
      </c>
      <c r="Q3" s="9" t="inlineStr">
        <is>
          <t>VEGA_MID</t>
        </is>
      </c>
      <c r="R3" s="9" t="inlineStr">
        <is>
          <t>THETA_MID</t>
        </is>
      </c>
      <c r="S3" s="9" t="inlineStr">
        <is>
          <t>OPT_UNDL_PX</t>
        </is>
      </c>
      <c r="U3" s="9" t="inlineStr">
        <is>
          <t>Date</t>
        </is>
      </c>
      <c r="V3" s="9" t="inlineStr">
        <is>
          <t>PX_BID</t>
        </is>
      </c>
      <c r="W3" s="9" t="inlineStr">
        <is>
          <t>PX_ASK</t>
        </is>
      </c>
      <c r="X3" s="9" t="inlineStr">
        <is>
          <t>PX_MID</t>
        </is>
      </c>
      <c r="Y3" s="9" t="inlineStr">
        <is>
          <t>PX_LAST</t>
        </is>
      </c>
      <c r="Z3" s="9" t="inlineStr">
        <is>
          <t>PX_SETTLE</t>
        </is>
      </c>
      <c r="AA3" s="9" t="inlineStr">
        <is>
          <t>PX_VOLUME</t>
        </is>
      </c>
      <c r="AB3" s="9" t="inlineStr">
        <is>
          <t>OPEN_INT</t>
        </is>
      </c>
      <c r="AC3" s="9" t="inlineStr">
        <is>
          <t>IVOL_MID</t>
        </is>
      </c>
      <c r="AD3" s="9" t="inlineStr">
        <is>
          <t>IVOL_BID</t>
        </is>
      </c>
      <c r="AE3" s="9" t="inlineStr">
        <is>
          <t>IVOL_ASK</t>
        </is>
      </c>
      <c r="AF3" s="9" t="inlineStr">
        <is>
          <t>DELTA_MID</t>
        </is>
      </c>
      <c r="AG3" s="9" t="inlineStr">
        <is>
          <t>GAMMA_MID</t>
        </is>
      </c>
      <c r="AH3" s="9" t="inlineStr">
        <is>
          <t>VEGA_MID</t>
        </is>
      </c>
      <c r="AI3" s="9" t="inlineStr">
        <is>
          <t>THETA_MID</t>
        </is>
      </c>
      <c r="AJ3" s="9" t="inlineStr">
        <is>
          <t>OPT_UNDL_PX</t>
        </is>
      </c>
      <c r="AL3" s="9" t="inlineStr">
        <is>
          <t>Date</t>
        </is>
      </c>
      <c r="AM3" s="9" t="inlineStr">
        <is>
          <t>PX_BID</t>
        </is>
      </c>
      <c r="AN3" s="9" t="inlineStr">
        <is>
          <t>PX_ASK</t>
        </is>
      </c>
      <c r="AO3" s="9" t="inlineStr">
        <is>
          <t>PX_MID</t>
        </is>
      </c>
      <c r="AP3" s="9" t="inlineStr">
        <is>
          <t>PX_LAST</t>
        </is>
      </c>
      <c r="AQ3" s="9" t="inlineStr">
        <is>
          <t>PX_SETTLE</t>
        </is>
      </c>
      <c r="AR3" s="9" t="inlineStr">
        <is>
          <t>PX_VOLUME</t>
        </is>
      </c>
      <c r="AS3" s="9" t="inlineStr">
        <is>
          <t>OPEN_INT</t>
        </is>
      </c>
      <c r="AT3" s="9" t="inlineStr">
        <is>
          <t>IVOL_MID</t>
        </is>
      </c>
      <c r="AU3" s="9" t="inlineStr">
        <is>
          <t>IVOL_BID</t>
        </is>
      </c>
      <c r="AV3" s="9" t="inlineStr">
        <is>
          <t>IVOL_ASK</t>
        </is>
      </c>
      <c r="AW3" s="9" t="inlineStr">
        <is>
          <t>DELTA_MID</t>
        </is>
      </c>
      <c r="AX3" s="9" t="inlineStr">
        <is>
          <t>GAMMA_MID</t>
        </is>
      </c>
      <c r="AY3" s="9" t="inlineStr">
        <is>
          <t>VEGA_MID</t>
        </is>
      </c>
      <c r="AZ3" s="9" t="inlineStr">
        <is>
          <t>THETA_MID</t>
        </is>
      </c>
      <c r="BA3" s="9" t="inlineStr">
        <is>
          <t>OPT_UNDL_PX</t>
        </is>
      </c>
      <c r="BC3" s="9" t="inlineStr">
        <is>
          <t>Date</t>
        </is>
      </c>
      <c r="BD3" s="9" t="inlineStr">
        <is>
          <t>PX_BID</t>
        </is>
      </c>
      <c r="BE3" s="9" t="inlineStr">
        <is>
          <t>PX_ASK</t>
        </is>
      </c>
      <c r="BF3" s="9" t="inlineStr">
        <is>
          <t>PX_MID</t>
        </is>
      </c>
      <c r="BG3" s="9" t="inlineStr">
        <is>
          <t>PX_LAST</t>
        </is>
      </c>
      <c r="BH3" s="9" t="inlineStr">
        <is>
          <t>PX_SETTLE</t>
        </is>
      </c>
      <c r="BI3" s="9" t="inlineStr">
        <is>
          <t>PX_VOLUME</t>
        </is>
      </c>
      <c r="BJ3" s="9" t="inlineStr">
        <is>
          <t>OPEN_INT</t>
        </is>
      </c>
      <c r="BK3" s="9" t="inlineStr">
        <is>
          <t>IVOL_MID</t>
        </is>
      </c>
      <c r="BL3" s="9" t="inlineStr">
        <is>
          <t>IVOL_BID</t>
        </is>
      </c>
      <c r="BM3" s="9" t="inlineStr">
        <is>
          <t>IVOL_ASK</t>
        </is>
      </c>
      <c r="BN3" s="9" t="inlineStr">
        <is>
          <t>DELTA_MID</t>
        </is>
      </c>
      <c r="BO3" s="9" t="inlineStr">
        <is>
          <t>GAMMA_MID</t>
        </is>
      </c>
      <c r="BP3" s="9" t="inlineStr">
        <is>
          <t>VEGA_MID</t>
        </is>
      </c>
      <c r="BQ3" s="9" t="inlineStr">
        <is>
          <t>THETA_MID</t>
        </is>
      </c>
      <c r="BR3" s="9" t="inlineStr">
        <is>
          <t>OPT_UNDL_PX</t>
        </is>
      </c>
      <c r="BT3" s="9" t="inlineStr">
        <is>
          <t>Date</t>
        </is>
      </c>
      <c r="BU3" s="9" t="inlineStr">
        <is>
          <t>PX_BID</t>
        </is>
      </c>
      <c r="BV3" s="9" t="inlineStr">
        <is>
          <t>PX_ASK</t>
        </is>
      </c>
      <c r="BW3" s="9" t="inlineStr">
        <is>
          <t>PX_MID</t>
        </is>
      </c>
      <c r="BX3" s="9" t="inlineStr">
        <is>
          <t>PX_LAST</t>
        </is>
      </c>
      <c r="BY3" s="9" t="inlineStr">
        <is>
          <t>PX_SETTLE</t>
        </is>
      </c>
      <c r="BZ3" s="9" t="inlineStr">
        <is>
          <t>PX_VOLUME</t>
        </is>
      </c>
      <c r="CA3" s="9" t="inlineStr">
        <is>
          <t>OPEN_INT</t>
        </is>
      </c>
      <c r="CB3" s="9" t="inlineStr">
        <is>
          <t>IVOL_MID</t>
        </is>
      </c>
      <c r="CC3" s="9" t="inlineStr">
        <is>
          <t>IVOL_BID</t>
        </is>
      </c>
      <c r="CD3" s="9" t="inlineStr">
        <is>
          <t>IVOL_ASK</t>
        </is>
      </c>
      <c r="CE3" s="9" t="inlineStr">
        <is>
          <t>DELTA_MID</t>
        </is>
      </c>
      <c r="CF3" s="9" t="inlineStr">
        <is>
          <t>GAMMA_MID</t>
        </is>
      </c>
      <c r="CG3" s="9" t="inlineStr">
        <is>
          <t>VEGA_MID</t>
        </is>
      </c>
      <c r="CH3" s="9" t="inlineStr">
        <is>
          <t>THETA_MID</t>
        </is>
      </c>
      <c r="CI3" s="9" t="inlineStr">
        <is>
          <t>OPT_UNDL_PX</t>
        </is>
      </c>
      <c r="CK3" s="9" t="inlineStr">
        <is>
          <t>Date</t>
        </is>
      </c>
      <c r="CL3" s="9" t="inlineStr">
        <is>
          <t>PX_BID</t>
        </is>
      </c>
      <c r="CM3" s="9" t="inlineStr">
        <is>
          <t>PX_ASK</t>
        </is>
      </c>
      <c r="CN3" s="9" t="inlineStr">
        <is>
          <t>PX_MID</t>
        </is>
      </c>
      <c r="CO3" s="9" t="inlineStr">
        <is>
          <t>PX_LAST</t>
        </is>
      </c>
      <c r="CP3" s="9" t="inlineStr">
        <is>
          <t>PX_SETTLE</t>
        </is>
      </c>
      <c r="CQ3" s="9" t="inlineStr">
        <is>
          <t>PX_VOLUME</t>
        </is>
      </c>
      <c r="CR3" s="9" t="inlineStr">
        <is>
          <t>OPEN_INT</t>
        </is>
      </c>
      <c r="CS3" s="9" t="inlineStr">
        <is>
          <t>IVOL_MID</t>
        </is>
      </c>
      <c r="CT3" s="9" t="inlineStr">
        <is>
          <t>IVOL_BID</t>
        </is>
      </c>
      <c r="CU3" s="9" t="inlineStr">
        <is>
          <t>IVOL_ASK</t>
        </is>
      </c>
      <c r="CV3" s="9" t="inlineStr">
        <is>
          <t>DELTA_MID</t>
        </is>
      </c>
      <c r="CW3" s="9" t="inlineStr">
        <is>
          <t>GAMMA_MID</t>
        </is>
      </c>
      <c r="CX3" s="9" t="inlineStr">
        <is>
          <t>VEGA_MID</t>
        </is>
      </c>
      <c r="CY3" s="9" t="inlineStr">
        <is>
          <t>THETA_MID</t>
        </is>
      </c>
      <c r="CZ3" s="9" t="inlineStr">
        <is>
          <t>OPT_UNDL_PX</t>
        </is>
      </c>
      <c r="DB3" s="9" t="inlineStr">
        <is>
          <t>Date</t>
        </is>
      </c>
      <c r="DC3" s="9" t="inlineStr">
        <is>
          <t>PX_BID</t>
        </is>
      </c>
      <c r="DD3" s="9" t="inlineStr">
        <is>
          <t>PX_ASK</t>
        </is>
      </c>
      <c r="DE3" s="9" t="inlineStr">
        <is>
          <t>PX_MID</t>
        </is>
      </c>
      <c r="DF3" s="9" t="inlineStr">
        <is>
          <t>PX_LAST</t>
        </is>
      </c>
      <c r="DG3" s="9" t="inlineStr">
        <is>
          <t>PX_SETTLE</t>
        </is>
      </c>
      <c r="DH3" s="9" t="inlineStr">
        <is>
          <t>PX_VOLUME</t>
        </is>
      </c>
      <c r="DI3" s="9" t="inlineStr">
        <is>
          <t>OPEN_INT</t>
        </is>
      </c>
      <c r="DJ3" s="9" t="inlineStr">
        <is>
          <t>IVOL_MID</t>
        </is>
      </c>
      <c r="DK3" s="9" t="inlineStr">
        <is>
          <t>IVOL_BID</t>
        </is>
      </c>
      <c r="DL3" s="9" t="inlineStr">
        <is>
          <t>IVOL_ASK</t>
        </is>
      </c>
      <c r="DM3" s="9" t="inlineStr">
        <is>
          <t>DELTA_MID</t>
        </is>
      </c>
      <c r="DN3" s="9" t="inlineStr">
        <is>
          <t>GAMMA_MID</t>
        </is>
      </c>
      <c r="DO3" s="9" t="inlineStr">
        <is>
          <t>VEGA_MID</t>
        </is>
      </c>
      <c r="DP3" s="9" t="inlineStr">
        <is>
          <t>THETA_MID</t>
        </is>
      </c>
      <c r="DQ3" s="9" t="inlineStr">
        <is>
          <t>OPT_UNDL_PX</t>
        </is>
      </c>
      <c r="DS3" s="9" t="inlineStr">
        <is>
          <t>Date</t>
        </is>
      </c>
      <c r="DT3" s="9" t="inlineStr">
        <is>
          <t>PX_BID</t>
        </is>
      </c>
      <c r="DU3" s="9" t="inlineStr">
        <is>
          <t>PX_ASK</t>
        </is>
      </c>
      <c r="DV3" s="9" t="inlineStr">
        <is>
          <t>PX_MID</t>
        </is>
      </c>
      <c r="DW3" s="9" t="inlineStr">
        <is>
          <t>PX_LAST</t>
        </is>
      </c>
      <c r="DX3" s="9" t="inlineStr">
        <is>
          <t>PX_SETTLE</t>
        </is>
      </c>
      <c r="DY3" s="9" t="inlineStr">
        <is>
          <t>PX_VOLUME</t>
        </is>
      </c>
      <c r="DZ3" s="9" t="inlineStr">
        <is>
          <t>OPEN_INT</t>
        </is>
      </c>
      <c r="EA3" s="9" t="inlineStr">
        <is>
          <t>IVOL_MID</t>
        </is>
      </c>
      <c r="EB3" s="9" t="inlineStr">
        <is>
          <t>IVOL_BID</t>
        </is>
      </c>
      <c r="EC3" s="9" t="inlineStr">
        <is>
          <t>IVOL_ASK</t>
        </is>
      </c>
      <c r="ED3" s="9" t="inlineStr">
        <is>
          <t>DELTA_MID</t>
        </is>
      </c>
      <c r="EE3" s="9" t="inlineStr">
        <is>
          <t>GAMMA_MID</t>
        </is>
      </c>
      <c r="EF3" s="9" t="inlineStr">
        <is>
          <t>VEGA_MID</t>
        </is>
      </c>
      <c r="EG3" s="9" t="inlineStr">
        <is>
          <t>THETA_MID</t>
        </is>
      </c>
      <c r="EH3" s="9" t="inlineStr">
        <is>
          <t>OPT_UNDL_PX</t>
        </is>
      </c>
      <c r="EJ3" s="9" t="inlineStr">
        <is>
          <t>Date</t>
        </is>
      </c>
      <c r="EK3" s="9" t="inlineStr">
        <is>
          <t>PX_BID</t>
        </is>
      </c>
      <c r="EL3" s="9" t="inlineStr">
        <is>
          <t>PX_ASK</t>
        </is>
      </c>
      <c r="EM3" s="9" t="inlineStr">
        <is>
          <t>PX_MID</t>
        </is>
      </c>
      <c r="EN3" s="9" t="inlineStr">
        <is>
          <t>PX_LAST</t>
        </is>
      </c>
      <c r="EO3" s="9" t="inlineStr">
        <is>
          <t>PX_SETTLE</t>
        </is>
      </c>
      <c r="EP3" s="9" t="inlineStr">
        <is>
          <t>PX_VOLUME</t>
        </is>
      </c>
      <c r="EQ3" s="9" t="inlineStr">
        <is>
          <t>OPEN_INT</t>
        </is>
      </c>
      <c r="ER3" s="9" t="inlineStr">
        <is>
          <t>IVOL_MID</t>
        </is>
      </c>
      <c r="ES3" s="9" t="inlineStr">
        <is>
          <t>IVOL_BID</t>
        </is>
      </c>
      <c r="ET3" s="9" t="inlineStr">
        <is>
          <t>IVOL_ASK</t>
        </is>
      </c>
      <c r="EU3" s="9" t="inlineStr">
        <is>
          <t>DELTA_MID</t>
        </is>
      </c>
      <c r="EV3" s="9" t="inlineStr">
        <is>
          <t>GAMMA_MID</t>
        </is>
      </c>
      <c r="EW3" s="9" t="inlineStr">
        <is>
          <t>VEGA_MID</t>
        </is>
      </c>
      <c r="EX3" s="9" t="inlineStr">
        <is>
          <t>THETA_MID</t>
        </is>
      </c>
      <c r="EY3" s="9" t="inlineStr">
        <is>
          <t>OPT_UNDL_PX</t>
        </is>
      </c>
      <c r="FA3" s="9" t="inlineStr">
        <is>
          <t>Date</t>
        </is>
      </c>
      <c r="FB3" s="9" t="inlineStr">
        <is>
          <t>PX_BID</t>
        </is>
      </c>
      <c r="FC3" s="9" t="inlineStr">
        <is>
          <t>PX_ASK</t>
        </is>
      </c>
      <c r="FD3" s="9" t="inlineStr">
        <is>
          <t>PX_MID</t>
        </is>
      </c>
      <c r="FE3" s="9" t="inlineStr">
        <is>
          <t>PX_LAST</t>
        </is>
      </c>
      <c r="FF3" s="9" t="inlineStr">
        <is>
          <t>PX_SETTLE</t>
        </is>
      </c>
      <c r="FG3" s="9" t="inlineStr">
        <is>
          <t>PX_VOLUME</t>
        </is>
      </c>
      <c r="FH3" s="9" t="inlineStr">
        <is>
          <t>OPEN_INT</t>
        </is>
      </c>
      <c r="FI3" s="9" t="inlineStr">
        <is>
          <t>IVOL_MID</t>
        </is>
      </c>
      <c r="FJ3" s="9" t="inlineStr">
        <is>
          <t>IVOL_BID</t>
        </is>
      </c>
      <c r="FK3" s="9" t="inlineStr">
        <is>
          <t>IVOL_ASK</t>
        </is>
      </c>
      <c r="FL3" s="9" t="inlineStr">
        <is>
          <t>DELTA_MID</t>
        </is>
      </c>
      <c r="FM3" s="9" t="inlineStr">
        <is>
          <t>GAMMA_MID</t>
        </is>
      </c>
      <c r="FN3" s="9" t="inlineStr">
        <is>
          <t>VEGA_MID</t>
        </is>
      </c>
      <c r="FO3" s="9" t="inlineStr">
        <is>
          <t>THETA_MID</t>
        </is>
      </c>
      <c r="FP3" s="9" t="inlineStr">
        <is>
          <t>OPT_UNDL_PX</t>
        </is>
      </c>
      <c r="FR3" s="9" t="inlineStr">
        <is>
          <t>Date</t>
        </is>
      </c>
      <c r="FS3" s="9" t="inlineStr">
        <is>
          <t>PX_BID</t>
        </is>
      </c>
      <c r="FT3" s="9" t="inlineStr">
        <is>
          <t>PX_ASK</t>
        </is>
      </c>
      <c r="FU3" s="9" t="inlineStr">
        <is>
          <t>PX_MID</t>
        </is>
      </c>
      <c r="FV3" s="9" t="inlineStr">
        <is>
          <t>PX_LAST</t>
        </is>
      </c>
      <c r="FW3" s="9" t="inlineStr">
        <is>
          <t>PX_SETTLE</t>
        </is>
      </c>
      <c r="FX3" s="9" t="inlineStr">
        <is>
          <t>PX_VOLUME</t>
        </is>
      </c>
      <c r="FY3" s="9" t="inlineStr">
        <is>
          <t>OPEN_INT</t>
        </is>
      </c>
      <c r="FZ3" s="9" t="inlineStr">
        <is>
          <t>IVOL_MID</t>
        </is>
      </c>
      <c r="GA3" s="9" t="inlineStr">
        <is>
          <t>IVOL_BID</t>
        </is>
      </c>
      <c r="GB3" s="9" t="inlineStr">
        <is>
          <t>IVOL_ASK</t>
        </is>
      </c>
      <c r="GC3" s="9" t="inlineStr">
        <is>
          <t>DELTA_MID</t>
        </is>
      </c>
      <c r="GD3" s="9" t="inlineStr">
        <is>
          <t>GAMMA_MID</t>
        </is>
      </c>
      <c r="GE3" s="9" t="inlineStr">
        <is>
          <t>VEGA_MID</t>
        </is>
      </c>
      <c r="GF3" s="9" t="inlineStr">
        <is>
          <t>THETA_MID</t>
        </is>
      </c>
      <c r="GG3" s="9" t="inlineStr">
        <is>
          <t>OPT_UNDL_PX</t>
        </is>
      </c>
      <c r="GI3" s="9" t="inlineStr">
        <is>
          <t>Date</t>
        </is>
      </c>
      <c r="GJ3" s="9" t="inlineStr">
        <is>
          <t>PX_BID</t>
        </is>
      </c>
      <c r="GK3" s="9" t="inlineStr">
        <is>
          <t>PX_ASK</t>
        </is>
      </c>
      <c r="GL3" s="9" t="inlineStr">
        <is>
          <t>PX_MID</t>
        </is>
      </c>
      <c r="GM3" s="9" t="inlineStr">
        <is>
          <t>PX_LAST</t>
        </is>
      </c>
      <c r="GN3" s="9" t="inlineStr">
        <is>
          <t>PX_SETTLE</t>
        </is>
      </c>
      <c r="GO3" s="9" t="inlineStr">
        <is>
          <t>PX_VOLUME</t>
        </is>
      </c>
      <c r="GP3" s="9" t="inlineStr">
        <is>
          <t>OPEN_INT</t>
        </is>
      </c>
      <c r="GQ3" s="9" t="inlineStr">
        <is>
          <t>IVOL_MID</t>
        </is>
      </c>
      <c r="GR3" s="9" t="inlineStr">
        <is>
          <t>IVOL_BID</t>
        </is>
      </c>
      <c r="GS3" s="9" t="inlineStr">
        <is>
          <t>IVOL_ASK</t>
        </is>
      </c>
      <c r="GT3" s="9" t="inlineStr">
        <is>
          <t>DELTA_MID</t>
        </is>
      </c>
      <c r="GU3" s="9" t="inlineStr">
        <is>
          <t>GAMMA_MID</t>
        </is>
      </c>
      <c r="GV3" s="9" t="inlineStr">
        <is>
          <t>VEGA_MID</t>
        </is>
      </c>
      <c r="GW3" s="9" t="inlineStr">
        <is>
          <t>THETA_MID</t>
        </is>
      </c>
      <c r="GX3" s="9" t="inlineStr">
        <is>
          <t>OPT_UNDL_PX</t>
        </is>
      </c>
      <c r="GZ3" s="9" t="inlineStr">
        <is>
          <t>Date</t>
        </is>
      </c>
      <c r="HA3" s="9" t="inlineStr">
        <is>
          <t>PX_BID</t>
        </is>
      </c>
      <c r="HB3" s="9" t="inlineStr">
        <is>
          <t>PX_ASK</t>
        </is>
      </c>
      <c r="HC3" s="9" t="inlineStr">
        <is>
          <t>PX_MID</t>
        </is>
      </c>
      <c r="HD3" s="9" t="inlineStr">
        <is>
          <t>PX_LAST</t>
        </is>
      </c>
      <c r="HE3" s="9" t="inlineStr">
        <is>
          <t>PX_SETTLE</t>
        </is>
      </c>
      <c r="HF3" s="9" t="inlineStr">
        <is>
          <t>PX_VOLUME</t>
        </is>
      </c>
      <c r="HG3" s="9" t="inlineStr">
        <is>
          <t>OPEN_INT</t>
        </is>
      </c>
      <c r="HH3" s="9" t="inlineStr">
        <is>
          <t>IVOL_MID</t>
        </is>
      </c>
      <c r="HI3" s="9" t="inlineStr">
        <is>
          <t>IVOL_BID</t>
        </is>
      </c>
      <c r="HJ3" s="9" t="inlineStr">
        <is>
          <t>IVOL_ASK</t>
        </is>
      </c>
      <c r="HK3" s="9" t="inlineStr">
        <is>
          <t>DELTA_MID</t>
        </is>
      </c>
      <c r="HL3" s="9" t="inlineStr">
        <is>
          <t>GAMMA_MID</t>
        </is>
      </c>
      <c r="HM3" s="9" t="inlineStr">
        <is>
          <t>VEGA_MID</t>
        </is>
      </c>
      <c r="HN3" s="9" t="inlineStr">
        <is>
          <t>THETA_MID</t>
        </is>
      </c>
      <c r="HO3" s="9" t="inlineStr">
        <is>
          <t>OPT_UNDL_PX</t>
        </is>
      </c>
      <c r="HQ3" s="9" t="inlineStr">
        <is>
          <t>Date</t>
        </is>
      </c>
      <c r="HR3" s="9" t="inlineStr">
        <is>
          <t>PX_BID</t>
        </is>
      </c>
      <c r="HS3" s="9" t="inlineStr">
        <is>
          <t>PX_ASK</t>
        </is>
      </c>
      <c r="HT3" s="9" t="inlineStr">
        <is>
          <t>PX_MID</t>
        </is>
      </c>
      <c r="HU3" s="9" t="inlineStr">
        <is>
          <t>PX_LAST</t>
        </is>
      </c>
      <c r="HV3" s="9" t="inlineStr">
        <is>
          <t>PX_SETTLE</t>
        </is>
      </c>
      <c r="HW3" s="9" t="inlineStr">
        <is>
          <t>PX_VOLUME</t>
        </is>
      </c>
      <c r="HX3" s="9" t="inlineStr">
        <is>
          <t>OPEN_INT</t>
        </is>
      </c>
      <c r="HY3" s="9" t="inlineStr">
        <is>
          <t>IVOL_MID</t>
        </is>
      </c>
      <c r="HZ3" s="9" t="inlineStr">
        <is>
          <t>IVOL_BID</t>
        </is>
      </c>
      <c r="IA3" s="9" t="inlineStr">
        <is>
          <t>IVOL_ASK</t>
        </is>
      </c>
      <c r="IB3" s="9" t="inlineStr">
        <is>
          <t>DELTA_MID</t>
        </is>
      </c>
      <c r="IC3" s="9" t="inlineStr">
        <is>
          <t>GAMMA_MID</t>
        </is>
      </c>
      <c r="ID3" s="9" t="inlineStr">
        <is>
          <t>VEGA_MID</t>
        </is>
      </c>
      <c r="IE3" s="9" t="inlineStr">
        <is>
          <t>THETA_MID</t>
        </is>
      </c>
      <c r="IF3" s="9" t="inlineStr">
        <is>
          <t>OPT_UNDL_PX</t>
        </is>
      </c>
      <c r="IH3" s="9" t="inlineStr">
        <is>
          <t>Date</t>
        </is>
      </c>
      <c r="II3" s="9" t="inlineStr">
        <is>
          <t>PX_BID</t>
        </is>
      </c>
      <c r="IJ3" s="9" t="inlineStr">
        <is>
          <t>PX_ASK</t>
        </is>
      </c>
      <c r="IK3" s="9" t="inlineStr">
        <is>
          <t>PX_MID</t>
        </is>
      </c>
      <c r="IL3" s="9" t="inlineStr">
        <is>
          <t>PX_LAST</t>
        </is>
      </c>
      <c r="IM3" s="9" t="inlineStr">
        <is>
          <t>PX_SETTLE</t>
        </is>
      </c>
      <c r="IN3" s="9" t="inlineStr">
        <is>
          <t>PX_VOLUME</t>
        </is>
      </c>
      <c r="IO3" s="9" t="inlineStr">
        <is>
          <t>OPEN_INT</t>
        </is>
      </c>
      <c r="IP3" s="9" t="inlineStr">
        <is>
          <t>IVOL_MID</t>
        </is>
      </c>
      <c r="IQ3" s="9" t="inlineStr">
        <is>
          <t>IVOL_BID</t>
        </is>
      </c>
      <c r="IR3" s="9" t="inlineStr">
        <is>
          <t>IVOL_ASK</t>
        </is>
      </c>
      <c r="IS3" s="9" t="inlineStr">
        <is>
          <t>DELTA_MID</t>
        </is>
      </c>
      <c r="IT3" s="9" t="inlineStr">
        <is>
          <t>GAMMA_MID</t>
        </is>
      </c>
      <c r="IU3" s="9" t="inlineStr">
        <is>
          <t>VEGA_MID</t>
        </is>
      </c>
      <c r="IV3" s="9" t="inlineStr">
        <is>
          <t>THETA_MID</t>
        </is>
      </c>
      <c r="IW3" s="9" t="inlineStr">
        <is>
          <t>OPT_UNDL_PX</t>
        </is>
      </c>
      <c r="IY3" s="9" t="inlineStr">
        <is>
          <t>Date</t>
        </is>
      </c>
      <c r="IZ3" s="9" t="inlineStr">
        <is>
          <t>PX_BID</t>
        </is>
      </c>
      <c r="JA3" s="9" t="inlineStr">
        <is>
          <t>PX_ASK</t>
        </is>
      </c>
      <c r="JB3" s="9" t="inlineStr">
        <is>
          <t>PX_MID</t>
        </is>
      </c>
      <c r="JC3" s="9" t="inlineStr">
        <is>
          <t>PX_LAST</t>
        </is>
      </c>
      <c r="JD3" s="9" t="inlineStr">
        <is>
          <t>PX_SETTLE</t>
        </is>
      </c>
      <c r="JE3" s="9" t="inlineStr">
        <is>
          <t>PX_VOLUME</t>
        </is>
      </c>
      <c r="JF3" s="9" t="inlineStr">
        <is>
          <t>OPEN_INT</t>
        </is>
      </c>
      <c r="JG3" s="9" t="inlineStr">
        <is>
          <t>IVOL_MID</t>
        </is>
      </c>
      <c r="JH3" s="9" t="inlineStr">
        <is>
          <t>IVOL_BID</t>
        </is>
      </c>
      <c r="JI3" s="9" t="inlineStr">
        <is>
          <t>IVOL_ASK</t>
        </is>
      </c>
      <c r="JJ3" s="9" t="inlineStr">
        <is>
          <t>DELTA_MID</t>
        </is>
      </c>
      <c r="JK3" s="9" t="inlineStr">
        <is>
          <t>GAMMA_MID</t>
        </is>
      </c>
      <c r="JL3" s="9" t="inlineStr">
        <is>
          <t>VEGA_MID</t>
        </is>
      </c>
      <c r="JM3" s="9" t="inlineStr">
        <is>
          <t>THETA_MID</t>
        </is>
      </c>
      <c r="JN3" s="9" t="inlineStr">
        <is>
          <t>OPT_UNDL_PX</t>
        </is>
      </c>
      <c r="JP3" s="9" t="inlineStr">
        <is>
          <t>Date</t>
        </is>
      </c>
      <c r="JQ3" s="9" t="inlineStr">
        <is>
          <t>PX_BID</t>
        </is>
      </c>
      <c r="JR3" s="9" t="inlineStr">
        <is>
          <t>PX_ASK</t>
        </is>
      </c>
      <c r="JS3" s="9" t="inlineStr">
        <is>
          <t>PX_MID</t>
        </is>
      </c>
      <c r="JT3" s="9" t="inlineStr">
        <is>
          <t>PX_LAST</t>
        </is>
      </c>
      <c r="JU3" s="9" t="inlineStr">
        <is>
          <t>PX_SETTLE</t>
        </is>
      </c>
      <c r="JV3" s="9" t="inlineStr">
        <is>
          <t>PX_VOLUME</t>
        </is>
      </c>
      <c r="JW3" s="9" t="inlineStr">
        <is>
          <t>OPEN_INT</t>
        </is>
      </c>
      <c r="JX3" s="9" t="inlineStr">
        <is>
          <t>IVOL_MID</t>
        </is>
      </c>
      <c r="JY3" s="9" t="inlineStr">
        <is>
          <t>IVOL_BID</t>
        </is>
      </c>
      <c r="JZ3" s="9" t="inlineStr">
        <is>
          <t>IVOL_ASK</t>
        </is>
      </c>
      <c r="KA3" s="9" t="inlineStr">
        <is>
          <t>DELTA_MID</t>
        </is>
      </c>
      <c r="KB3" s="9" t="inlineStr">
        <is>
          <t>GAMMA_MID</t>
        </is>
      </c>
      <c r="KC3" s="9" t="inlineStr">
        <is>
          <t>VEGA_MID</t>
        </is>
      </c>
      <c r="KD3" s="9" t="inlineStr">
        <is>
          <t>THETA_MID</t>
        </is>
      </c>
      <c r="KE3" s="9" t="inlineStr">
        <is>
          <t>OPT_UNDL_PX</t>
        </is>
      </c>
      <c r="KG3" s="9" t="inlineStr">
        <is>
          <t>Date</t>
        </is>
      </c>
      <c r="KH3" s="9" t="inlineStr">
        <is>
          <t>PX_BID</t>
        </is>
      </c>
      <c r="KI3" s="9" t="inlineStr">
        <is>
          <t>PX_ASK</t>
        </is>
      </c>
      <c r="KJ3" s="9" t="inlineStr">
        <is>
          <t>PX_MID</t>
        </is>
      </c>
      <c r="KK3" s="9" t="inlineStr">
        <is>
          <t>PX_LAST</t>
        </is>
      </c>
      <c r="KL3" s="9" t="inlineStr">
        <is>
          <t>PX_SETTLE</t>
        </is>
      </c>
      <c r="KM3" s="9" t="inlineStr">
        <is>
          <t>PX_VOLUME</t>
        </is>
      </c>
      <c r="KN3" s="9" t="inlineStr">
        <is>
          <t>OPEN_INT</t>
        </is>
      </c>
      <c r="KO3" s="9" t="inlineStr">
        <is>
          <t>IVOL_MID</t>
        </is>
      </c>
      <c r="KP3" s="9" t="inlineStr">
        <is>
          <t>IVOL_BID</t>
        </is>
      </c>
      <c r="KQ3" s="9" t="inlineStr">
        <is>
          <t>IVOL_ASK</t>
        </is>
      </c>
      <c r="KR3" s="9" t="inlineStr">
        <is>
          <t>DELTA_MID</t>
        </is>
      </c>
      <c r="KS3" s="9" t="inlineStr">
        <is>
          <t>GAMMA_MID</t>
        </is>
      </c>
      <c r="KT3" s="9" t="inlineStr">
        <is>
          <t>VEGA_MID</t>
        </is>
      </c>
      <c r="KU3" s="9" t="inlineStr">
        <is>
          <t>THETA_MID</t>
        </is>
      </c>
      <c r="KV3" s="9" t="inlineStr">
        <is>
          <t>OPT_UNDL_PX</t>
        </is>
      </c>
      <c r="KX3" s="9" t="inlineStr">
        <is>
          <t>Date</t>
        </is>
      </c>
      <c r="KY3" s="9" t="inlineStr">
        <is>
          <t>PX_BID</t>
        </is>
      </c>
      <c r="KZ3" s="9" t="inlineStr">
        <is>
          <t>PX_ASK</t>
        </is>
      </c>
      <c r="LA3" s="9" t="inlineStr">
        <is>
          <t>PX_MID</t>
        </is>
      </c>
      <c r="LB3" s="9" t="inlineStr">
        <is>
          <t>PX_LAST</t>
        </is>
      </c>
      <c r="LC3" s="9" t="inlineStr">
        <is>
          <t>PX_SETTLE</t>
        </is>
      </c>
      <c r="LD3" s="9" t="inlineStr">
        <is>
          <t>PX_VOLUME</t>
        </is>
      </c>
      <c r="LE3" s="9" t="inlineStr">
        <is>
          <t>OPEN_INT</t>
        </is>
      </c>
      <c r="LF3" s="9" t="inlineStr">
        <is>
          <t>IVOL_MID</t>
        </is>
      </c>
      <c r="LG3" s="9" t="inlineStr">
        <is>
          <t>IVOL_BID</t>
        </is>
      </c>
      <c r="LH3" s="9" t="inlineStr">
        <is>
          <t>IVOL_ASK</t>
        </is>
      </c>
      <c r="LI3" s="9" t="inlineStr">
        <is>
          <t>DELTA_MID</t>
        </is>
      </c>
      <c r="LJ3" s="9" t="inlineStr">
        <is>
          <t>GAMMA_MID</t>
        </is>
      </c>
      <c r="LK3" s="9" t="inlineStr">
        <is>
          <t>VEGA_MID</t>
        </is>
      </c>
      <c r="LL3" s="9" t="inlineStr">
        <is>
          <t>THETA_MID</t>
        </is>
      </c>
      <c r="LM3" s="9" t="inlineStr">
        <is>
          <t>OPT_UNDL_PX</t>
        </is>
      </c>
      <c r="LO3" s="9" t="inlineStr">
        <is>
          <t>Date</t>
        </is>
      </c>
      <c r="LP3" s="9" t="inlineStr">
        <is>
          <t>PX_BID</t>
        </is>
      </c>
      <c r="LQ3" s="9" t="inlineStr">
        <is>
          <t>PX_ASK</t>
        </is>
      </c>
      <c r="LR3" s="9" t="inlineStr">
        <is>
          <t>PX_MID</t>
        </is>
      </c>
      <c r="LS3" s="9" t="inlineStr">
        <is>
          <t>PX_LAST</t>
        </is>
      </c>
      <c r="LT3" s="9" t="inlineStr">
        <is>
          <t>PX_SETTLE</t>
        </is>
      </c>
      <c r="LU3" s="9" t="inlineStr">
        <is>
          <t>PX_VOLUME</t>
        </is>
      </c>
      <c r="LV3" s="9" t="inlineStr">
        <is>
          <t>OPEN_INT</t>
        </is>
      </c>
      <c r="LW3" s="9" t="inlineStr">
        <is>
          <t>IVOL_MID</t>
        </is>
      </c>
      <c r="LX3" s="9" t="inlineStr">
        <is>
          <t>IVOL_BID</t>
        </is>
      </c>
      <c r="LY3" s="9" t="inlineStr">
        <is>
          <t>IVOL_ASK</t>
        </is>
      </c>
      <c r="LZ3" s="9" t="inlineStr">
        <is>
          <t>DELTA_MID</t>
        </is>
      </c>
      <c r="MA3" s="9" t="inlineStr">
        <is>
          <t>GAMMA_MID</t>
        </is>
      </c>
      <c r="MB3" s="9" t="inlineStr">
        <is>
          <t>VEGA_MID</t>
        </is>
      </c>
      <c r="MC3" s="9" t="inlineStr">
        <is>
          <t>THETA_MID</t>
        </is>
      </c>
      <c r="MD3" s="9" t="inlineStr">
        <is>
          <t>OPT_UNDL_PX</t>
        </is>
      </c>
      <c r="MF3" s="9" t="inlineStr">
        <is>
          <t>Date</t>
        </is>
      </c>
      <c r="MG3" s="9" t="inlineStr">
        <is>
          <t>PX_BID</t>
        </is>
      </c>
      <c r="MH3" s="9" t="inlineStr">
        <is>
          <t>PX_ASK</t>
        </is>
      </c>
      <c r="MI3" s="9" t="inlineStr">
        <is>
          <t>PX_MID</t>
        </is>
      </c>
      <c r="MJ3" s="9" t="inlineStr">
        <is>
          <t>PX_LAST</t>
        </is>
      </c>
      <c r="MK3" s="9" t="inlineStr">
        <is>
          <t>PX_SETTLE</t>
        </is>
      </c>
      <c r="ML3" s="9" t="inlineStr">
        <is>
          <t>PX_VOLUME</t>
        </is>
      </c>
      <c r="MM3" s="9" t="inlineStr">
        <is>
          <t>OPEN_INT</t>
        </is>
      </c>
      <c r="MN3" s="9" t="inlineStr">
        <is>
          <t>IVOL_MID</t>
        </is>
      </c>
      <c r="MO3" s="9" t="inlineStr">
        <is>
          <t>IVOL_BID</t>
        </is>
      </c>
      <c r="MP3" s="9" t="inlineStr">
        <is>
          <t>IVOL_ASK</t>
        </is>
      </c>
      <c r="MQ3" s="9" t="inlineStr">
        <is>
          <t>DELTA_MID</t>
        </is>
      </c>
      <c r="MR3" s="9" t="inlineStr">
        <is>
          <t>GAMMA_MID</t>
        </is>
      </c>
      <c r="MS3" s="9" t="inlineStr">
        <is>
          <t>VEGA_MID</t>
        </is>
      </c>
      <c r="MT3" s="9" t="inlineStr">
        <is>
          <t>THETA_MID</t>
        </is>
      </c>
      <c r="MU3" s="9" t="inlineStr">
        <is>
          <t>OPT_UNDL_PX</t>
        </is>
      </c>
      <c r="MW3" s="9" t="inlineStr">
        <is>
          <t>Date</t>
        </is>
      </c>
      <c r="MX3" s="9" t="inlineStr">
        <is>
          <t>PX_BID</t>
        </is>
      </c>
      <c r="MY3" s="9" t="inlineStr">
        <is>
          <t>PX_ASK</t>
        </is>
      </c>
      <c r="MZ3" s="9" t="inlineStr">
        <is>
          <t>PX_MID</t>
        </is>
      </c>
      <c r="NA3" s="9" t="inlineStr">
        <is>
          <t>PX_LAST</t>
        </is>
      </c>
      <c r="NB3" s="9" t="inlineStr">
        <is>
          <t>PX_SETTLE</t>
        </is>
      </c>
      <c r="NC3" s="9" t="inlineStr">
        <is>
          <t>PX_VOLUME</t>
        </is>
      </c>
      <c r="ND3" s="9" t="inlineStr">
        <is>
          <t>OPEN_INT</t>
        </is>
      </c>
      <c r="NE3" s="9" t="inlineStr">
        <is>
          <t>IVOL_MID</t>
        </is>
      </c>
      <c r="NF3" s="9" t="inlineStr">
        <is>
          <t>IVOL_BID</t>
        </is>
      </c>
      <c r="NG3" s="9" t="inlineStr">
        <is>
          <t>IVOL_ASK</t>
        </is>
      </c>
      <c r="NH3" s="9" t="inlineStr">
        <is>
          <t>DELTA_MID</t>
        </is>
      </c>
      <c r="NI3" s="9" t="inlineStr">
        <is>
          <t>GAMMA_MID</t>
        </is>
      </c>
      <c r="NJ3" s="9" t="inlineStr">
        <is>
          <t>VEGA_MID</t>
        </is>
      </c>
      <c r="NK3" s="9" t="inlineStr">
        <is>
          <t>THETA_MID</t>
        </is>
      </c>
      <c r="NL3" s="9" t="inlineStr">
        <is>
          <t>OPT_UNDL_PX</t>
        </is>
      </c>
      <c r="NN3" s="9" t="inlineStr">
        <is>
          <t>Date</t>
        </is>
      </c>
      <c r="NO3" s="9" t="inlineStr">
        <is>
          <t>PX_BID</t>
        </is>
      </c>
      <c r="NP3" s="9" t="inlineStr">
        <is>
          <t>PX_ASK</t>
        </is>
      </c>
      <c r="NQ3" s="9" t="inlineStr">
        <is>
          <t>PX_MID</t>
        </is>
      </c>
      <c r="NR3" s="9" t="inlineStr">
        <is>
          <t>PX_LAST</t>
        </is>
      </c>
      <c r="NS3" s="9" t="inlineStr">
        <is>
          <t>PX_SETTLE</t>
        </is>
      </c>
      <c r="NT3" s="9" t="inlineStr">
        <is>
          <t>PX_VOLUME</t>
        </is>
      </c>
      <c r="NU3" s="9" t="inlineStr">
        <is>
          <t>OPEN_INT</t>
        </is>
      </c>
      <c r="NV3" s="9" t="inlineStr">
        <is>
          <t>IVOL_MID</t>
        </is>
      </c>
      <c r="NW3" s="9" t="inlineStr">
        <is>
          <t>IVOL_BID</t>
        </is>
      </c>
      <c r="NX3" s="9" t="inlineStr">
        <is>
          <t>IVOL_ASK</t>
        </is>
      </c>
      <c r="NY3" s="9" t="inlineStr">
        <is>
          <t>DELTA_MID</t>
        </is>
      </c>
      <c r="NZ3" s="9" t="inlineStr">
        <is>
          <t>GAMMA_MID</t>
        </is>
      </c>
      <c r="OA3" s="9" t="inlineStr">
        <is>
          <t>VEGA_MID</t>
        </is>
      </c>
      <c r="OB3" s="9" t="inlineStr">
        <is>
          <t>THETA_MID</t>
        </is>
      </c>
      <c r="OC3" s="9" t="inlineStr">
        <is>
          <t>OPT_UNDL_PX</t>
        </is>
      </c>
      <c r="OE3" s="9" t="inlineStr">
        <is>
          <t>Date</t>
        </is>
      </c>
      <c r="OF3" s="9" t="inlineStr">
        <is>
          <t>PX_BID</t>
        </is>
      </c>
      <c r="OG3" s="9" t="inlineStr">
        <is>
          <t>PX_ASK</t>
        </is>
      </c>
      <c r="OH3" s="9" t="inlineStr">
        <is>
          <t>PX_MID</t>
        </is>
      </c>
      <c r="OI3" s="9" t="inlineStr">
        <is>
          <t>PX_LAST</t>
        </is>
      </c>
      <c r="OJ3" s="9" t="inlineStr">
        <is>
          <t>PX_SETTLE</t>
        </is>
      </c>
      <c r="OK3" s="9" t="inlineStr">
        <is>
          <t>PX_VOLUME</t>
        </is>
      </c>
      <c r="OL3" s="9" t="inlineStr">
        <is>
          <t>OPEN_INT</t>
        </is>
      </c>
      <c r="OM3" s="9" t="inlineStr">
        <is>
          <t>IVOL_MID</t>
        </is>
      </c>
      <c r="ON3" s="9" t="inlineStr">
        <is>
          <t>IVOL_BID</t>
        </is>
      </c>
      <c r="OO3" s="9" t="inlineStr">
        <is>
          <t>IVOL_ASK</t>
        </is>
      </c>
      <c r="OP3" s="9" t="inlineStr">
        <is>
          <t>DELTA_MID</t>
        </is>
      </c>
      <c r="OQ3" s="9" t="inlineStr">
        <is>
          <t>GAMMA_MID</t>
        </is>
      </c>
      <c r="OR3" s="9" t="inlineStr">
        <is>
          <t>VEGA_MID</t>
        </is>
      </c>
      <c r="OS3" s="9" t="inlineStr">
        <is>
          <t>THETA_MID</t>
        </is>
      </c>
      <c r="OT3" s="9" t="inlineStr">
        <is>
          <t>OPT_UNDL_PX</t>
        </is>
      </c>
      <c r="OV3" s="9" t="inlineStr">
        <is>
          <t>Date</t>
        </is>
      </c>
      <c r="OW3" s="9" t="inlineStr">
        <is>
          <t>PX_BID</t>
        </is>
      </c>
      <c r="OX3" s="9" t="inlineStr">
        <is>
          <t>PX_ASK</t>
        </is>
      </c>
      <c r="OY3" s="9" t="inlineStr">
        <is>
          <t>PX_MID</t>
        </is>
      </c>
      <c r="OZ3" s="9" t="inlineStr">
        <is>
          <t>PX_LAST</t>
        </is>
      </c>
      <c r="PA3" s="9" t="inlineStr">
        <is>
          <t>PX_SETTLE</t>
        </is>
      </c>
      <c r="PB3" s="9" t="inlineStr">
        <is>
          <t>PX_VOLUME</t>
        </is>
      </c>
      <c r="PC3" s="9" t="inlineStr">
        <is>
          <t>OPEN_INT</t>
        </is>
      </c>
      <c r="PD3" s="9" t="inlineStr">
        <is>
          <t>IVOL_MID</t>
        </is>
      </c>
      <c r="PE3" s="9" t="inlineStr">
        <is>
          <t>IVOL_BID</t>
        </is>
      </c>
      <c r="PF3" s="9" t="inlineStr">
        <is>
          <t>IVOL_ASK</t>
        </is>
      </c>
      <c r="PG3" s="9" t="inlineStr">
        <is>
          <t>DELTA_MID</t>
        </is>
      </c>
      <c r="PH3" s="9" t="inlineStr">
        <is>
          <t>GAMMA_MID</t>
        </is>
      </c>
      <c r="PI3" s="9" t="inlineStr">
        <is>
          <t>VEGA_MID</t>
        </is>
      </c>
      <c r="PJ3" s="9" t="inlineStr">
        <is>
          <t>THETA_MID</t>
        </is>
      </c>
      <c r="PK3" s="9" t="inlineStr">
        <is>
          <t>OPT_UNDL_PX</t>
        </is>
      </c>
      <c r="PM3" s="9" t="inlineStr">
        <is>
          <t>Date</t>
        </is>
      </c>
      <c r="PN3" s="9" t="inlineStr">
        <is>
          <t>PX_BID</t>
        </is>
      </c>
      <c r="PO3" s="9" t="inlineStr">
        <is>
          <t>PX_ASK</t>
        </is>
      </c>
      <c r="PP3" s="9" t="inlineStr">
        <is>
          <t>PX_MID</t>
        </is>
      </c>
      <c r="PQ3" s="9" t="inlineStr">
        <is>
          <t>PX_LAST</t>
        </is>
      </c>
      <c r="PR3" s="9" t="inlineStr">
        <is>
          <t>PX_SETTLE</t>
        </is>
      </c>
      <c r="PS3" s="9" t="inlineStr">
        <is>
          <t>PX_VOLUME</t>
        </is>
      </c>
      <c r="PT3" s="9" t="inlineStr">
        <is>
          <t>OPEN_INT</t>
        </is>
      </c>
      <c r="PU3" s="9" t="inlineStr">
        <is>
          <t>IVOL_MID</t>
        </is>
      </c>
      <c r="PV3" s="9" t="inlineStr">
        <is>
          <t>IVOL_BID</t>
        </is>
      </c>
      <c r="PW3" s="9" t="inlineStr">
        <is>
          <t>IVOL_ASK</t>
        </is>
      </c>
      <c r="PX3" s="9" t="inlineStr">
        <is>
          <t>DELTA_MID</t>
        </is>
      </c>
      <c r="PY3" s="9" t="inlineStr">
        <is>
          <t>GAMMA_MID</t>
        </is>
      </c>
      <c r="PZ3" s="9" t="inlineStr">
        <is>
          <t>VEGA_MID</t>
        </is>
      </c>
      <c r="QA3" s="9" t="inlineStr">
        <is>
          <t>THETA_MID</t>
        </is>
      </c>
      <c r="QB3" s="9" t="inlineStr">
        <is>
          <t>OPT_UNDL_PX</t>
        </is>
      </c>
      <c r="QD3" s="9" t="inlineStr">
        <is>
          <t>Date</t>
        </is>
      </c>
      <c r="QE3" s="9" t="inlineStr">
        <is>
          <t>PX_BID</t>
        </is>
      </c>
      <c r="QF3" s="9" t="inlineStr">
        <is>
          <t>PX_ASK</t>
        </is>
      </c>
      <c r="QG3" s="9" t="inlineStr">
        <is>
          <t>PX_MID</t>
        </is>
      </c>
      <c r="QH3" s="9" t="inlineStr">
        <is>
          <t>PX_LAST</t>
        </is>
      </c>
      <c r="QI3" s="9" t="inlineStr">
        <is>
          <t>PX_SETTLE</t>
        </is>
      </c>
      <c r="QJ3" s="9" t="inlineStr">
        <is>
          <t>PX_VOLUME</t>
        </is>
      </c>
      <c r="QK3" s="9" t="inlineStr">
        <is>
          <t>OPEN_INT</t>
        </is>
      </c>
      <c r="QL3" s="9" t="inlineStr">
        <is>
          <t>IVOL_MID</t>
        </is>
      </c>
      <c r="QM3" s="9" t="inlineStr">
        <is>
          <t>IVOL_BID</t>
        </is>
      </c>
      <c r="QN3" s="9" t="inlineStr">
        <is>
          <t>IVOL_ASK</t>
        </is>
      </c>
      <c r="QO3" s="9" t="inlineStr">
        <is>
          <t>DELTA_MID</t>
        </is>
      </c>
      <c r="QP3" s="9" t="inlineStr">
        <is>
          <t>GAMMA_MID</t>
        </is>
      </c>
      <c r="QQ3" s="9" t="inlineStr">
        <is>
          <t>VEGA_MID</t>
        </is>
      </c>
      <c r="QR3" s="9" t="inlineStr">
        <is>
          <t>THETA_MID</t>
        </is>
      </c>
      <c r="QS3" s="9" t="inlineStr">
        <is>
          <t>OPT_UNDL_PX</t>
        </is>
      </c>
      <c r="QU3" s="9" t="inlineStr">
        <is>
          <t>Date</t>
        </is>
      </c>
      <c r="QV3" s="9" t="inlineStr">
        <is>
          <t>PX_BID</t>
        </is>
      </c>
      <c r="QW3" s="9" t="inlineStr">
        <is>
          <t>PX_ASK</t>
        </is>
      </c>
      <c r="QX3" s="9" t="inlineStr">
        <is>
          <t>PX_MID</t>
        </is>
      </c>
      <c r="QY3" s="9" t="inlineStr">
        <is>
          <t>PX_LAST</t>
        </is>
      </c>
      <c r="QZ3" s="9" t="inlineStr">
        <is>
          <t>PX_SETTLE</t>
        </is>
      </c>
      <c r="RA3" s="9" t="inlineStr">
        <is>
          <t>PX_VOLUME</t>
        </is>
      </c>
      <c r="RB3" s="9" t="inlineStr">
        <is>
          <t>OPEN_INT</t>
        </is>
      </c>
      <c r="RC3" s="9" t="inlineStr">
        <is>
          <t>IVOL_MID</t>
        </is>
      </c>
      <c r="RD3" s="9" t="inlineStr">
        <is>
          <t>IVOL_BID</t>
        </is>
      </c>
      <c r="RE3" s="9" t="inlineStr">
        <is>
          <t>IVOL_ASK</t>
        </is>
      </c>
      <c r="RF3" s="9" t="inlineStr">
        <is>
          <t>DELTA_MID</t>
        </is>
      </c>
      <c r="RG3" s="9" t="inlineStr">
        <is>
          <t>GAMMA_MID</t>
        </is>
      </c>
      <c r="RH3" s="9" t="inlineStr">
        <is>
          <t>VEGA_MID</t>
        </is>
      </c>
      <c r="RI3" s="9" t="inlineStr">
        <is>
          <t>THETA_MID</t>
        </is>
      </c>
      <c r="RJ3" s="9" t="inlineStr">
        <is>
          <t>OPT_UNDL_PX</t>
        </is>
      </c>
      <c r="RL3" s="9" t="inlineStr">
        <is>
          <t>Date</t>
        </is>
      </c>
      <c r="RM3" s="9" t="inlineStr">
        <is>
          <t>PX_BID</t>
        </is>
      </c>
      <c r="RN3" s="9" t="inlineStr">
        <is>
          <t>PX_ASK</t>
        </is>
      </c>
      <c r="RO3" s="9" t="inlineStr">
        <is>
          <t>PX_MID</t>
        </is>
      </c>
      <c r="RP3" s="9" t="inlineStr">
        <is>
          <t>PX_LAST</t>
        </is>
      </c>
      <c r="RQ3" s="9" t="inlineStr">
        <is>
          <t>PX_SETTLE</t>
        </is>
      </c>
      <c r="RR3" s="9" t="inlineStr">
        <is>
          <t>PX_VOLUME</t>
        </is>
      </c>
      <c r="RS3" s="9" t="inlineStr">
        <is>
          <t>OPEN_INT</t>
        </is>
      </c>
      <c r="RT3" s="9" t="inlineStr">
        <is>
          <t>IVOL_MID</t>
        </is>
      </c>
      <c r="RU3" s="9" t="inlineStr">
        <is>
          <t>IVOL_BID</t>
        </is>
      </c>
      <c r="RV3" s="9" t="inlineStr">
        <is>
          <t>IVOL_ASK</t>
        </is>
      </c>
      <c r="RW3" s="9" t="inlineStr">
        <is>
          <t>DELTA_MID</t>
        </is>
      </c>
      <c r="RX3" s="9" t="inlineStr">
        <is>
          <t>GAMMA_MID</t>
        </is>
      </c>
      <c r="RY3" s="9" t="inlineStr">
        <is>
          <t>VEGA_MID</t>
        </is>
      </c>
      <c r="RZ3" s="9" t="inlineStr">
        <is>
          <t>THETA_MID</t>
        </is>
      </c>
      <c r="SA3" s="9" t="inlineStr">
        <is>
          <t>OPT_UNDL_PX</t>
        </is>
      </c>
      <c r="SC3" s="9" t="inlineStr">
        <is>
          <t>Date</t>
        </is>
      </c>
      <c r="SD3" s="9" t="inlineStr">
        <is>
          <t>PX_BID</t>
        </is>
      </c>
      <c r="SE3" s="9" t="inlineStr">
        <is>
          <t>PX_ASK</t>
        </is>
      </c>
      <c r="SF3" s="9" t="inlineStr">
        <is>
          <t>PX_MID</t>
        </is>
      </c>
      <c r="SG3" s="9" t="inlineStr">
        <is>
          <t>PX_LAST</t>
        </is>
      </c>
      <c r="SH3" s="9" t="inlineStr">
        <is>
          <t>PX_SETTLE</t>
        </is>
      </c>
      <c r="SI3" s="9" t="inlineStr">
        <is>
          <t>PX_VOLUME</t>
        </is>
      </c>
      <c r="SJ3" s="9" t="inlineStr">
        <is>
          <t>OPEN_INT</t>
        </is>
      </c>
      <c r="SK3" s="9" t="inlineStr">
        <is>
          <t>IVOL_MID</t>
        </is>
      </c>
      <c r="SL3" s="9" t="inlineStr">
        <is>
          <t>IVOL_BID</t>
        </is>
      </c>
      <c r="SM3" s="9" t="inlineStr">
        <is>
          <t>IVOL_ASK</t>
        </is>
      </c>
      <c r="SN3" s="9" t="inlineStr">
        <is>
          <t>DELTA_MID</t>
        </is>
      </c>
      <c r="SO3" s="9" t="inlineStr">
        <is>
          <t>GAMMA_MID</t>
        </is>
      </c>
      <c r="SP3" s="9" t="inlineStr">
        <is>
          <t>VEGA_MID</t>
        </is>
      </c>
      <c r="SQ3" s="9" t="inlineStr">
        <is>
          <t>THETA_MID</t>
        </is>
      </c>
      <c r="SR3" s="9" t="inlineStr">
        <is>
          <t>OPT_UNDL_PX</t>
        </is>
      </c>
      <c r="ST3" s="9" t="inlineStr">
        <is>
          <t>Date</t>
        </is>
      </c>
      <c r="SU3" s="9" t="inlineStr">
        <is>
          <t>PX_BID</t>
        </is>
      </c>
      <c r="SV3" s="9" t="inlineStr">
        <is>
          <t>PX_ASK</t>
        </is>
      </c>
      <c r="SW3" s="9" t="inlineStr">
        <is>
          <t>PX_MID</t>
        </is>
      </c>
      <c r="SX3" s="9" t="inlineStr">
        <is>
          <t>PX_LAST</t>
        </is>
      </c>
      <c r="SY3" s="9" t="inlineStr">
        <is>
          <t>PX_SETTLE</t>
        </is>
      </c>
      <c r="SZ3" s="9" t="inlineStr">
        <is>
          <t>PX_VOLUME</t>
        </is>
      </c>
      <c r="TA3" s="9" t="inlineStr">
        <is>
          <t>OPEN_INT</t>
        </is>
      </c>
      <c r="TB3" s="9" t="inlineStr">
        <is>
          <t>IVOL_MID</t>
        </is>
      </c>
      <c r="TC3" s="9" t="inlineStr">
        <is>
          <t>IVOL_BID</t>
        </is>
      </c>
      <c r="TD3" s="9" t="inlineStr">
        <is>
          <t>IVOL_ASK</t>
        </is>
      </c>
      <c r="TE3" s="9" t="inlineStr">
        <is>
          <t>DELTA_MID</t>
        </is>
      </c>
      <c r="TF3" s="9" t="inlineStr">
        <is>
          <t>GAMMA_MID</t>
        </is>
      </c>
      <c r="TG3" s="9" t="inlineStr">
        <is>
          <t>VEGA_MID</t>
        </is>
      </c>
      <c r="TH3" s="9" t="inlineStr">
        <is>
          <t>THETA_MID</t>
        </is>
      </c>
      <c r="TI3" s="9" t="inlineStr">
        <is>
          <t>OPT_UNDL_PX</t>
        </is>
      </c>
      <c r="TK3" s="9" t="inlineStr">
        <is>
          <t>Date</t>
        </is>
      </c>
      <c r="TL3" s="9" t="inlineStr">
        <is>
          <t>PX_BID</t>
        </is>
      </c>
      <c r="TM3" s="9" t="inlineStr">
        <is>
          <t>PX_ASK</t>
        </is>
      </c>
      <c r="TN3" s="9" t="inlineStr">
        <is>
          <t>PX_MID</t>
        </is>
      </c>
      <c r="TO3" s="9" t="inlineStr">
        <is>
          <t>PX_LAST</t>
        </is>
      </c>
      <c r="TP3" s="9" t="inlineStr">
        <is>
          <t>PX_SETTLE</t>
        </is>
      </c>
      <c r="TQ3" s="9" t="inlineStr">
        <is>
          <t>PX_VOLUME</t>
        </is>
      </c>
      <c r="TR3" s="9" t="inlineStr">
        <is>
          <t>OPEN_INT</t>
        </is>
      </c>
      <c r="TS3" s="9" t="inlineStr">
        <is>
          <t>IVOL_MID</t>
        </is>
      </c>
      <c r="TT3" s="9" t="inlineStr">
        <is>
          <t>IVOL_BID</t>
        </is>
      </c>
      <c r="TU3" s="9" t="inlineStr">
        <is>
          <t>IVOL_ASK</t>
        </is>
      </c>
      <c r="TV3" s="9" t="inlineStr">
        <is>
          <t>DELTA_MID</t>
        </is>
      </c>
      <c r="TW3" s="9" t="inlineStr">
        <is>
          <t>GAMMA_MID</t>
        </is>
      </c>
      <c r="TX3" s="9" t="inlineStr">
        <is>
          <t>VEGA_MID</t>
        </is>
      </c>
      <c r="TY3" s="9" t="inlineStr">
        <is>
          <t>THETA_MID</t>
        </is>
      </c>
      <c r="TZ3" s="9" t="inlineStr">
        <is>
          <t>OPT_UNDL_PX</t>
        </is>
      </c>
      <c r="UB3" s="9" t="inlineStr">
        <is>
          <t>Date</t>
        </is>
      </c>
      <c r="UC3" s="9" t="inlineStr">
        <is>
          <t>PX_BID</t>
        </is>
      </c>
      <c r="UD3" s="9" t="inlineStr">
        <is>
          <t>PX_ASK</t>
        </is>
      </c>
      <c r="UE3" s="9" t="inlineStr">
        <is>
          <t>PX_MID</t>
        </is>
      </c>
      <c r="UF3" s="9" t="inlineStr">
        <is>
          <t>PX_LAST</t>
        </is>
      </c>
      <c r="UG3" s="9" t="inlineStr">
        <is>
          <t>PX_SETTLE</t>
        </is>
      </c>
      <c r="UH3" s="9" t="inlineStr">
        <is>
          <t>PX_VOLUME</t>
        </is>
      </c>
      <c r="UI3" s="9" t="inlineStr">
        <is>
          <t>OPEN_INT</t>
        </is>
      </c>
      <c r="UJ3" s="9" t="inlineStr">
        <is>
          <t>IVOL_MID</t>
        </is>
      </c>
      <c r="UK3" s="9" t="inlineStr">
        <is>
          <t>IVOL_BID</t>
        </is>
      </c>
      <c r="UL3" s="9" t="inlineStr">
        <is>
          <t>IVOL_ASK</t>
        </is>
      </c>
      <c r="UM3" s="9" t="inlineStr">
        <is>
          <t>DELTA_MID</t>
        </is>
      </c>
      <c r="UN3" s="9" t="inlineStr">
        <is>
          <t>GAMMA_MID</t>
        </is>
      </c>
      <c r="UO3" s="9" t="inlineStr">
        <is>
          <t>VEGA_MID</t>
        </is>
      </c>
      <c r="UP3" s="9" t="inlineStr">
        <is>
          <t>THETA_MID</t>
        </is>
      </c>
      <c r="UQ3" s="9" t="inlineStr">
        <is>
          <t>OPT_UNDL_PX</t>
        </is>
      </c>
      <c r="US3" s="9" t="inlineStr">
        <is>
          <t>Date</t>
        </is>
      </c>
      <c r="UT3" s="9" t="inlineStr">
        <is>
          <t>PX_BID</t>
        </is>
      </c>
      <c r="UU3" s="9" t="inlineStr">
        <is>
          <t>PX_ASK</t>
        </is>
      </c>
      <c r="UV3" s="9" t="inlineStr">
        <is>
          <t>PX_MID</t>
        </is>
      </c>
      <c r="UW3" s="9" t="inlineStr">
        <is>
          <t>PX_LAST</t>
        </is>
      </c>
      <c r="UX3" s="9" t="inlineStr">
        <is>
          <t>PX_SETTLE</t>
        </is>
      </c>
      <c r="UY3" s="9" t="inlineStr">
        <is>
          <t>PX_VOLUME</t>
        </is>
      </c>
      <c r="UZ3" s="9" t="inlineStr">
        <is>
          <t>OPEN_INT</t>
        </is>
      </c>
      <c r="VA3" s="9" t="inlineStr">
        <is>
          <t>IVOL_MID</t>
        </is>
      </c>
      <c r="VB3" s="9" t="inlineStr">
        <is>
          <t>IVOL_BID</t>
        </is>
      </c>
      <c r="VC3" s="9" t="inlineStr">
        <is>
          <t>IVOL_ASK</t>
        </is>
      </c>
      <c r="VD3" s="9" t="inlineStr">
        <is>
          <t>DELTA_MID</t>
        </is>
      </c>
      <c r="VE3" s="9" t="inlineStr">
        <is>
          <t>GAMMA_MID</t>
        </is>
      </c>
      <c r="VF3" s="9" t="inlineStr">
        <is>
          <t>VEGA_MID</t>
        </is>
      </c>
      <c r="VG3" s="9" t="inlineStr">
        <is>
          <t>THETA_MID</t>
        </is>
      </c>
      <c r="VH3" s="9" t="inlineStr">
        <is>
          <t>OPT_UNDL_PX</t>
        </is>
      </c>
    </row>
    <row r="4">
      <c r="A4" s="2" t="inlineStr">
        <is>
          <t>Year in ticker</t>
        </is>
      </c>
      <c r="B4" s="4">
        <f>IF(B2&lt;Settings!$B$5,TEXT(MOD(Settings!$B$3,100),"00"),TEXT(MOD(Settings!$B$3,10),"0"))</f>
        <v/>
      </c>
      <c r="D4" s="4">
        <f>BDH(D$1,E$3:S$3,$B$9,$B$10,"Dir=V","Dts=S","Sort=A","Days=T","Fill=B")</f>
        <v/>
      </c>
      <c r="U4" s="4">
        <f>BDH(U$1,V$3:AJ$3,$B$9,$B$10,"Dir=V","Dts=S","Sort=A","Days=T","Fill=B")</f>
        <v/>
      </c>
      <c r="AL4" s="4">
        <f>BDH(AL$1,AM$3:BA$3,$B$9,$B$10,"Dir=V","Dts=S","Sort=A","Days=T","Fill=B")</f>
        <v/>
      </c>
      <c r="BC4" s="4">
        <f>BDH(BC$1,BD$3:BR$3,$B$9,$B$10,"Dir=V","Dts=S","Sort=A","Days=T","Fill=B")</f>
        <v/>
      </c>
      <c r="BT4" s="4">
        <f>BDH(BT$1,BU$3:CI$3,$B$9,$B$10,"Dir=V","Dts=S","Sort=A","Days=T","Fill=B")</f>
        <v/>
      </c>
      <c r="CK4" s="4">
        <f>BDH(CK$1,CL$3:CZ$3,$B$9,$B$10,"Dir=V","Dts=S","Sort=A","Days=T","Fill=B")</f>
        <v/>
      </c>
      <c r="DB4" s="4">
        <f>BDH(DB$1,DC$3:DQ$3,$B$9,$B$10,"Dir=V","Dts=S","Sort=A","Days=T","Fill=B")</f>
        <v/>
      </c>
      <c r="DS4" s="4">
        <f>BDH(DS$1,DT$3:EH$3,$B$9,$B$10,"Dir=V","Dts=S","Sort=A","Days=T","Fill=B")</f>
        <v/>
      </c>
      <c r="EJ4" s="4">
        <f>BDH(EJ$1,EK$3:EY$3,$B$9,$B$10,"Dir=V","Dts=S","Sort=A","Days=T","Fill=B")</f>
        <v/>
      </c>
      <c r="FA4" s="4">
        <f>BDH(FA$1,FB$3:FP$3,$B$9,$B$10,"Dir=V","Dts=S","Sort=A","Days=T","Fill=B")</f>
        <v/>
      </c>
      <c r="FR4" s="4">
        <f>BDH(FR$1,FS$3:GG$3,$B$9,$B$10,"Dir=V","Dts=S","Sort=A","Days=T","Fill=B")</f>
        <v/>
      </c>
      <c r="GI4" s="4">
        <f>BDH(GI$1,GJ$3:GX$3,$B$9,$B$10,"Dir=V","Dts=S","Sort=A","Days=T","Fill=B")</f>
        <v/>
      </c>
      <c r="GZ4" s="4">
        <f>BDH(GZ$1,HA$3:HO$3,$B$9,$B$10,"Dir=V","Dts=S","Sort=A","Days=T","Fill=B")</f>
        <v/>
      </c>
      <c r="HQ4" s="4">
        <f>BDH(HQ$1,HR$3:IF$3,$B$9,$B$10,"Dir=V","Dts=S","Sort=A","Days=T","Fill=B")</f>
        <v/>
      </c>
      <c r="IH4" s="4">
        <f>BDH(IH$1,II$3:IW$3,$B$9,$B$10,"Dir=V","Dts=S","Sort=A","Days=T","Fill=B")</f>
        <v/>
      </c>
      <c r="IY4" s="4">
        <f>BDH(IY$1,IZ$3:JN$3,$B$9,$B$10,"Dir=V","Dts=S","Sort=A","Days=T","Fill=B")</f>
        <v/>
      </c>
      <c r="JP4" s="4">
        <f>BDH(JP$1,JQ$3:KE$3,$B$9,$B$10,"Dir=V","Dts=S","Sort=A","Days=T","Fill=B")</f>
        <v/>
      </c>
      <c r="KG4" s="4">
        <f>BDH(KG$1,KH$3:KV$3,$B$9,$B$10,"Dir=V","Dts=S","Sort=A","Days=T","Fill=B")</f>
        <v/>
      </c>
      <c r="KX4" s="4">
        <f>BDH(KX$1,KY$3:LM$3,$B$9,$B$10,"Dir=V","Dts=S","Sort=A","Days=T","Fill=B")</f>
        <v/>
      </c>
      <c r="LO4" s="4">
        <f>BDH(LO$1,LP$3:MD$3,$B$9,$B$10,"Dir=V","Dts=S","Sort=A","Days=T","Fill=B")</f>
        <v/>
      </c>
      <c r="MF4" s="4">
        <f>BDH(MF$1,MG$3:MU$3,$B$9,$B$10,"Dir=V","Dts=S","Sort=A","Days=T","Fill=B")</f>
        <v/>
      </c>
      <c r="MW4" s="4">
        <f>BDH(MW$1,MX$3:NL$3,$B$9,$B$10,"Dir=V","Dts=S","Sort=A","Days=T","Fill=B")</f>
        <v/>
      </c>
      <c r="NN4" s="4">
        <f>BDH(NN$1,NO$3:OC$3,$B$9,$B$10,"Dir=V","Dts=S","Sort=A","Days=T","Fill=B")</f>
        <v/>
      </c>
      <c r="OE4" s="4">
        <f>BDH(OE$1,OF$3:OT$3,$B$9,$B$10,"Dir=V","Dts=S","Sort=A","Days=T","Fill=B")</f>
        <v/>
      </c>
      <c r="OV4" s="4">
        <f>BDH(OV$1,OW$3:PK$3,$B$9,$B$10,"Dir=V","Dts=S","Sort=A","Days=T","Fill=B")</f>
        <v/>
      </c>
      <c r="PM4" s="4">
        <f>BDH(PM$1,PN$3:QB$3,$B$9,$B$10,"Dir=V","Dts=S","Sort=A","Days=T","Fill=B")</f>
        <v/>
      </c>
      <c r="QD4" s="4">
        <f>BDH(QD$1,QE$3:QS$3,$B$9,$B$10,"Dir=V","Dts=S","Sort=A","Days=T","Fill=B")</f>
        <v/>
      </c>
      <c r="QU4" s="4">
        <f>BDH(QU$1,QV$3:RJ$3,$B$9,$B$10,"Dir=V","Dts=S","Sort=A","Days=T","Fill=B")</f>
        <v/>
      </c>
      <c r="RL4" s="4">
        <f>BDH(RL$1,RM$3:SA$3,$B$9,$B$10,"Dir=V","Dts=S","Sort=A","Days=T","Fill=B")</f>
        <v/>
      </c>
      <c r="SC4" s="4">
        <f>BDH(SC$1,SD$3:SR$3,$B$9,$B$10,"Dir=V","Dts=S","Sort=A","Days=T","Fill=B")</f>
        <v/>
      </c>
      <c r="ST4" s="4">
        <f>BDH(ST$1,SU$3:TI$3,$B$9,$B$10,"Dir=V","Dts=S","Sort=A","Days=T","Fill=B")</f>
        <v/>
      </c>
      <c r="TK4" s="4">
        <f>BDH(TK$1,TL$3:TZ$3,$B$9,$B$10,"Dir=V","Dts=S","Sort=A","Days=T","Fill=B")</f>
        <v/>
      </c>
      <c r="UB4" s="4">
        <f>BDH(UB$1,UC$3:UQ$3,$B$9,$B$10,"Dir=V","Dts=S","Sort=A","Days=T","Fill=B")</f>
        <v/>
      </c>
      <c r="US4" s="4">
        <f>BDH(US$1,UT$3:VH$3,$B$9,$B$10,"Dir=V","Dts=S","Sort=A","Days=T","Fill=B")</f>
        <v/>
      </c>
    </row>
    <row r="5">
      <c r="A5" s="2" t="inlineStr">
        <is>
          <t>Futures ticker</t>
        </is>
      </c>
      <c r="B5" s="4">
        <f>"CL"&amp;MID("FGHJKMNQUVXZ",B1,1)&amp;B4&amp;" Comdty"</f>
        <v/>
      </c>
    </row>
    <row r="6">
      <c r="A6" s="2" t="inlineStr">
        <is>
          <t>Strike reference date</t>
        </is>
      </c>
      <c r="B6" s="8">
        <f>B3-45</f>
        <v/>
      </c>
    </row>
    <row r="7">
      <c r="A7" s="2" t="inlineStr">
        <is>
          <t>Futures price on that date</t>
        </is>
      </c>
      <c r="B7" s="10">
        <f>BDH(B5,"PX_LAST",B6,B6,"Days=A","Fill=P","Dts=H")</f>
        <v/>
      </c>
    </row>
    <row r="8">
      <c r="A8" s="2" t="inlineStr">
        <is>
          <t>ATM strike</t>
        </is>
      </c>
      <c r="B8" s="7">
        <f>ROUND(B7,0)</f>
        <v/>
      </c>
    </row>
    <row r="9">
      <c r="A9" s="2" t="inlineStr">
        <is>
          <t>History start</t>
        </is>
      </c>
      <c r="B9" s="8">
        <f>B3-100</f>
        <v/>
      </c>
    </row>
    <row r="10">
      <c r="A10" s="2" t="inlineStr">
        <is>
          <t>History end</t>
        </is>
      </c>
      <c r="B10" s="8">
        <f>B3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H1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  <col width="12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1" customWidth="1" min="383" max="383"/>
    <col width="11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1" customWidth="1" min="389" max="389"/>
    <col width="11" customWidth="1" min="390" max="390"/>
    <col width="10" customWidth="1" min="391" max="391"/>
    <col width="11" customWidth="1" min="392" max="392"/>
    <col width="13" customWidth="1" min="393" max="393"/>
    <col width="12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1" customWidth="1" min="400" max="400"/>
    <col width="11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1" customWidth="1" min="406" max="406"/>
    <col width="11" customWidth="1" min="407" max="407"/>
    <col width="10" customWidth="1" min="408" max="408"/>
    <col width="11" customWidth="1" min="409" max="409"/>
    <col width="13" customWidth="1" min="410" max="410"/>
    <col width="12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1" customWidth="1" min="417" max="417"/>
    <col width="11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1" customWidth="1" min="423" max="423"/>
    <col width="11" customWidth="1" min="424" max="424"/>
    <col width="10" customWidth="1" min="425" max="425"/>
    <col width="11" customWidth="1" min="426" max="426"/>
    <col width="13" customWidth="1" min="427" max="427"/>
    <col width="12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1" customWidth="1" min="434" max="434"/>
    <col width="11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1" customWidth="1" min="440" max="440"/>
    <col width="11" customWidth="1" min="441" max="441"/>
    <col width="10" customWidth="1" min="442" max="442"/>
    <col width="11" customWidth="1" min="443" max="443"/>
    <col width="13" customWidth="1" min="444" max="444"/>
    <col width="12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1" customWidth="1" min="451" max="451"/>
    <col width="11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1" customWidth="1" min="457" max="457"/>
    <col width="11" customWidth="1" min="458" max="458"/>
    <col width="10" customWidth="1" min="459" max="459"/>
    <col width="11" customWidth="1" min="460" max="460"/>
    <col width="13" customWidth="1" min="461" max="461"/>
    <col width="12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1" customWidth="1" min="468" max="468"/>
    <col width="11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1" customWidth="1" min="474" max="474"/>
    <col width="11" customWidth="1" min="475" max="475"/>
    <col width="10" customWidth="1" min="476" max="476"/>
    <col width="11" customWidth="1" min="477" max="477"/>
    <col width="13" customWidth="1" min="478" max="478"/>
    <col width="12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1" customWidth="1" min="485" max="485"/>
    <col width="11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1" customWidth="1" min="491" max="491"/>
    <col width="11" customWidth="1" min="492" max="492"/>
    <col width="10" customWidth="1" min="493" max="493"/>
    <col width="11" customWidth="1" min="494" max="494"/>
    <col width="13" customWidth="1" min="495" max="495"/>
    <col width="12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1" customWidth="1" min="502" max="502"/>
    <col width="11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1" customWidth="1" min="508" max="508"/>
    <col width="11" customWidth="1" min="509" max="509"/>
    <col width="10" customWidth="1" min="510" max="510"/>
    <col width="11" customWidth="1" min="511" max="511"/>
    <col width="13" customWidth="1" min="512" max="512"/>
    <col width="12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1" customWidth="1" min="519" max="519"/>
    <col width="11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1" customWidth="1" min="525" max="525"/>
    <col width="11" customWidth="1" min="526" max="526"/>
    <col width="10" customWidth="1" min="527" max="527"/>
    <col width="11" customWidth="1" min="528" max="528"/>
    <col width="13" customWidth="1" min="529" max="529"/>
    <col width="12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1" customWidth="1" min="536" max="536"/>
    <col width="11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1" customWidth="1" min="542" max="542"/>
    <col width="11" customWidth="1" min="543" max="543"/>
    <col width="10" customWidth="1" min="544" max="544"/>
    <col width="11" customWidth="1" min="545" max="545"/>
    <col width="13" customWidth="1" min="546" max="546"/>
    <col width="12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1" customWidth="1" min="553" max="553"/>
    <col width="11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1" customWidth="1" min="559" max="559"/>
    <col width="11" customWidth="1" min="560" max="560"/>
    <col width="10" customWidth="1" min="561" max="561"/>
    <col width="11" customWidth="1" min="562" max="562"/>
    <col width="13" customWidth="1" min="563" max="563"/>
    <col width="12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1" customWidth="1" min="570" max="570"/>
    <col width="11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1" customWidth="1" min="576" max="576"/>
    <col width="11" customWidth="1" min="577" max="577"/>
    <col width="10" customWidth="1" min="578" max="578"/>
    <col width="11" customWidth="1" min="579" max="579"/>
    <col width="13" customWidth="1" min="580" max="580"/>
  </cols>
  <sheetData>
    <row r="1">
      <c r="A1" s="2" t="inlineStr">
        <is>
          <t>Contract month</t>
        </is>
      </c>
      <c r="B1" s="7" t="n">
        <v>4</v>
      </c>
      <c r="D1" s="4">
        <f>"CL"&amp;MID("FGHJKMNQUVXZ",B$1,1)&amp;B$4&amp;"C "&amp;IF(Settings!$B$4=2,TEXT((B$8-8),"0.00"),(B$8-8))&amp;" Comdty"</f>
        <v/>
      </c>
      <c r="U1" s="4">
        <f>"CL"&amp;MID("FGHJKMNQUVXZ",B$1,1)&amp;B$4&amp;"P "&amp;IF(Settings!$B$4=2,TEXT((B$8-8),"0.00"),(B$8-8))&amp;" Comdty"</f>
        <v/>
      </c>
      <c r="AL1" s="4">
        <f>"CL"&amp;MID("FGHJKMNQUVXZ",B$1,1)&amp;B$4&amp;"C "&amp;IF(Settings!$B$4=2,TEXT((B$8-7),"0.00"),(B$8-7))&amp;" Comdty"</f>
        <v/>
      </c>
      <c r="BC1" s="4">
        <f>"CL"&amp;MID("FGHJKMNQUVXZ",B$1,1)&amp;B$4&amp;"P "&amp;IF(Settings!$B$4=2,TEXT((B$8-7),"0.00"),(B$8-7))&amp;" Comdty"</f>
        <v/>
      </c>
      <c r="BT1" s="4">
        <f>"CL"&amp;MID("FGHJKMNQUVXZ",B$1,1)&amp;B$4&amp;"C "&amp;IF(Settings!$B$4=2,TEXT((B$8-6),"0.00"),(B$8-6))&amp;" Comdty"</f>
        <v/>
      </c>
      <c r="CK1" s="4">
        <f>"CL"&amp;MID("FGHJKMNQUVXZ",B$1,1)&amp;B$4&amp;"P "&amp;IF(Settings!$B$4=2,TEXT((B$8-6),"0.00"),(B$8-6))&amp;" Comdty"</f>
        <v/>
      </c>
      <c r="DB1" s="4">
        <f>"CL"&amp;MID("FGHJKMNQUVXZ",B$1,1)&amp;B$4&amp;"C "&amp;IF(Settings!$B$4=2,TEXT((B$8-5),"0.00"),(B$8-5))&amp;" Comdty"</f>
        <v/>
      </c>
      <c r="DS1" s="4">
        <f>"CL"&amp;MID("FGHJKMNQUVXZ",B$1,1)&amp;B$4&amp;"P "&amp;IF(Settings!$B$4=2,TEXT((B$8-5),"0.00"),(B$8-5))&amp;" Comdty"</f>
        <v/>
      </c>
      <c r="EJ1" s="4">
        <f>"CL"&amp;MID("FGHJKMNQUVXZ",B$1,1)&amp;B$4&amp;"C "&amp;IF(Settings!$B$4=2,TEXT((B$8-4),"0.00"),(B$8-4))&amp;" Comdty"</f>
        <v/>
      </c>
      <c r="FA1" s="4">
        <f>"CL"&amp;MID("FGHJKMNQUVXZ",B$1,1)&amp;B$4&amp;"P "&amp;IF(Settings!$B$4=2,TEXT((B$8-4),"0.00"),(B$8-4))&amp;" Comdty"</f>
        <v/>
      </c>
      <c r="FR1" s="4">
        <f>"CL"&amp;MID("FGHJKMNQUVXZ",B$1,1)&amp;B$4&amp;"C "&amp;IF(Settings!$B$4=2,TEXT((B$8-3),"0.00"),(B$8-3))&amp;" Comdty"</f>
        <v/>
      </c>
      <c r="GI1" s="4">
        <f>"CL"&amp;MID("FGHJKMNQUVXZ",B$1,1)&amp;B$4&amp;"P "&amp;IF(Settings!$B$4=2,TEXT((B$8-3),"0.00"),(B$8-3))&amp;" Comdty"</f>
        <v/>
      </c>
      <c r="GZ1" s="4">
        <f>"CL"&amp;MID("FGHJKMNQUVXZ",B$1,1)&amp;B$4&amp;"C "&amp;IF(Settings!$B$4=2,TEXT((B$8-2),"0.00"),(B$8-2))&amp;" Comdty"</f>
        <v/>
      </c>
      <c r="HQ1" s="4">
        <f>"CL"&amp;MID("FGHJKMNQUVXZ",B$1,1)&amp;B$4&amp;"P "&amp;IF(Settings!$B$4=2,TEXT((B$8-2),"0.00"),(B$8-2))&amp;" Comdty"</f>
        <v/>
      </c>
      <c r="IH1" s="4">
        <f>"CL"&amp;MID("FGHJKMNQUVXZ",B$1,1)&amp;B$4&amp;"C "&amp;IF(Settings!$B$4=2,TEXT((B$8-1),"0.00"),(B$8-1))&amp;" Comdty"</f>
        <v/>
      </c>
      <c r="IY1" s="4">
        <f>"CL"&amp;MID("FGHJKMNQUVXZ",B$1,1)&amp;B$4&amp;"P "&amp;IF(Settings!$B$4=2,TEXT((B$8-1),"0.00"),(B$8-1))&amp;" Comdty"</f>
        <v/>
      </c>
      <c r="JP1" s="4">
        <f>"CL"&amp;MID("FGHJKMNQUVXZ",B$1,1)&amp;B$4&amp;"C "&amp;IF(Settings!$B$4=2,TEXT(B$8,"0.00"),B$8)&amp;" Comdty"</f>
        <v/>
      </c>
      <c r="KG1" s="4">
        <f>"CL"&amp;MID("FGHJKMNQUVXZ",B$1,1)&amp;B$4&amp;"P "&amp;IF(Settings!$B$4=2,TEXT(B$8,"0.00"),B$8)&amp;" Comdty"</f>
        <v/>
      </c>
      <c r="KX1" s="4">
        <f>"CL"&amp;MID("FGHJKMNQUVXZ",B$1,1)&amp;B$4&amp;"C "&amp;IF(Settings!$B$4=2,TEXT((B$8+1),"0.00"),(B$8+1))&amp;" Comdty"</f>
        <v/>
      </c>
      <c r="LO1" s="4">
        <f>"CL"&amp;MID("FGHJKMNQUVXZ",B$1,1)&amp;B$4&amp;"P "&amp;IF(Settings!$B$4=2,TEXT((B$8+1),"0.00"),(B$8+1))&amp;" Comdty"</f>
        <v/>
      </c>
      <c r="MF1" s="4">
        <f>"CL"&amp;MID("FGHJKMNQUVXZ",B$1,1)&amp;B$4&amp;"C "&amp;IF(Settings!$B$4=2,TEXT((B$8+2),"0.00"),(B$8+2))&amp;" Comdty"</f>
        <v/>
      </c>
      <c r="MW1" s="4">
        <f>"CL"&amp;MID("FGHJKMNQUVXZ",B$1,1)&amp;B$4&amp;"P "&amp;IF(Settings!$B$4=2,TEXT((B$8+2),"0.00"),(B$8+2))&amp;" Comdty"</f>
        <v/>
      </c>
      <c r="NN1" s="4">
        <f>"CL"&amp;MID("FGHJKMNQUVXZ",B$1,1)&amp;B$4&amp;"C "&amp;IF(Settings!$B$4=2,TEXT((B$8+3),"0.00"),(B$8+3))&amp;" Comdty"</f>
        <v/>
      </c>
      <c r="OE1" s="4">
        <f>"CL"&amp;MID("FGHJKMNQUVXZ",B$1,1)&amp;B$4&amp;"P "&amp;IF(Settings!$B$4=2,TEXT((B$8+3),"0.00"),(B$8+3))&amp;" Comdty"</f>
        <v/>
      </c>
      <c r="OV1" s="4">
        <f>"CL"&amp;MID("FGHJKMNQUVXZ",B$1,1)&amp;B$4&amp;"C "&amp;IF(Settings!$B$4=2,TEXT((B$8+4),"0.00"),(B$8+4))&amp;" Comdty"</f>
        <v/>
      </c>
      <c r="PM1" s="4">
        <f>"CL"&amp;MID("FGHJKMNQUVXZ",B$1,1)&amp;B$4&amp;"P "&amp;IF(Settings!$B$4=2,TEXT((B$8+4),"0.00"),(B$8+4))&amp;" Comdty"</f>
        <v/>
      </c>
      <c r="QD1" s="4">
        <f>"CL"&amp;MID("FGHJKMNQUVXZ",B$1,1)&amp;B$4&amp;"C "&amp;IF(Settings!$B$4=2,TEXT((B$8+5),"0.00"),(B$8+5))&amp;" Comdty"</f>
        <v/>
      </c>
      <c r="QU1" s="4">
        <f>"CL"&amp;MID("FGHJKMNQUVXZ",B$1,1)&amp;B$4&amp;"P "&amp;IF(Settings!$B$4=2,TEXT((B$8+5),"0.00"),(B$8+5))&amp;" Comdty"</f>
        <v/>
      </c>
      <c r="RL1" s="4">
        <f>"CL"&amp;MID("FGHJKMNQUVXZ",B$1,1)&amp;B$4&amp;"C "&amp;IF(Settings!$B$4=2,TEXT((B$8+6),"0.00"),(B$8+6))&amp;" Comdty"</f>
        <v/>
      </c>
      <c r="SC1" s="4">
        <f>"CL"&amp;MID("FGHJKMNQUVXZ",B$1,1)&amp;B$4&amp;"P "&amp;IF(Settings!$B$4=2,TEXT((B$8+6),"0.00"),(B$8+6))&amp;" Comdty"</f>
        <v/>
      </c>
      <c r="ST1" s="4">
        <f>"CL"&amp;MID("FGHJKMNQUVXZ",B$1,1)&amp;B$4&amp;"C "&amp;IF(Settings!$B$4=2,TEXT((B$8+7),"0.00"),(B$8+7))&amp;" Comdty"</f>
        <v/>
      </c>
      <c r="TK1" s="4">
        <f>"CL"&amp;MID("FGHJKMNQUVXZ",B$1,1)&amp;B$4&amp;"P "&amp;IF(Settings!$B$4=2,TEXT((B$8+7),"0.00"),(B$8+7))&amp;" Comdty"</f>
        <v/>
      </c>
      <c r="UB1" s="4">
        <f>"CL"&amp;MID("FGHJKMNQUVXZ",B$1,1)&amp;B$4&amp;"C "&amp;IF(Settings!$B$4=2,TEXT((B$8+8),"0.00"),(B$8+8))&amp;" Comdty"</f>
        <v/>
      </c>
      <c r="US1" s="4">
        <f>"CL"&amp;MID("FGHJKMNQUVXZ",B$1,1)&amp;B$4&amp;"P "&amp;IF(Settings!$B$4=2,TEXT((B$8+8),"0.00"),(B$8+8))&amp;" Comdty"</f>
        <v/>
      </c>
    </row>
    <row r="2">
      <c r="A2" s="2" t="inlineStr">
        <is>
          <t>Futures last trade</t>
        </is>
      </c>
      <c r="B2" s="8">
        <f>WORKDAY(DATE(Settings!$B$3,B1-1,25),-3)</f>
        <v/>
      </c>
      <c r="D2" s="4" t="inlineStr">
        <is>
          <t>call -8 from ATM</t>
        </is>
      </c>
      <c r="U2" s="4" t="inlineStr">
        <is>
          <t>put -8 from ATM</t>
        </is>
      </c>
      <c r="AL2" s="4" t="inlineStr">
        <is>
          <t>call -7 from ATM</t>
        </is>
      </c>
      <c r="BC2" s="4" t="inlineStr">
        <is>
          <t>put -7 from ATM</t>
        </is>
      </c>
      <c r="BT2" s="4" t="inlineStr">
        <is>
          <t>call -6 from ATM</t>
        </is>
      </c>
      <c r="CK2" s="4" t="inlineStr">
        <is>
          <t>put -6 from ATM</t>
        </is>
      </c>
      <c r="DB2" s="4" t="inlineStr">
        <is>
          <t>call -5 from ATM</t>
        </is>
      </c>
      <c r="DS2" s="4" t="inlineStr">
        <is>
          <t>put -5 from ATM</t>
        </is>
      </c>
      <c r="EJ2" s="4" t="inlineStr">
        <is>
          <t>call -4 from ATM</t>
        </is>
      </c>
      <c r="FA2" s="4" t="inlineStr">
        <is>
          <t>put -4 from ATM</t>
        </is>
      </c>
      <c r="FR2" s="4" t="inlineStr">
        <is>
          <t>call -3 from ATM</t>
        </is>
      </c>
      <c r="GI2" s="4" t="inlineStr">
        <is>
          <t>put -3 from ATM</t>
        </is>
      </c>
      <c r="GZ2" s="4" t="inlineStr">
        <is>
          <t>call -2 from ATM</t>
        </is>
      </c>
      <c r="HQ2" s="4" t="inlineStr">
        <is>
          <t>put -2 from ATM</t>
        </is>
      </c>
      <c r="IH2" s="4" t="inlineStr">
        <is>
          <t>call -1 from ATM</t>
        </is>
      </c>
      <c r="IY2" s="4" t="inlineStr">
        <is>
          <t>put -1 from ATM</t>
        </is>
      </c>
      <c r="JP2" s="4" t="inlineStr">
        <is>
          <t>call +0 from ATM</t>
        </is>
      </c>
      <c r="KG2" s="4" t="inlineStr">
        <is>
          <t>put +0 from ATM</t>
        </is>
      </c>
      <c r="KX2" s="4" t="inlineStr">
        <is>
          <t>call +1 from ATM</t>
        </is>
      </c>
      <c r="LO2" s="4" t="inlineStr">
        <is>
          <t>put +1 from ATM</t>
        </is>
      </c>
      <c r="MF2" s="4" t="inlineStr">
        <is>
          <t>call +2 from ATM</t>
        </is>
      </c>
      <c r="MW2" s="4" t="inlineStr">
        <is>
          <t>put +2 from ATM</t>
        </is>
      </c>
      <c r="NN2" s="4" t="inlineStr">
        <is>
          <t>call +3 from ATM</t>
        </is>
      </c>
      <c r="OE2" s="4" t="inlineStr">
        <is>
          <t>put +3 from ATM</t>
        </is>
      </c>
      <c r="OV2" s="4" t="inlineStr">
        <is>
          <t>call +4 from ATM</t>
        </is>
      </c>
      <c r="PM2" s="4" t="inlineStr">
        <is>
          <t>put +4 from ATM</t>
        </is>
      </c>
      <c r="QD2" s="4" t="inlineStr">
        <is>
          <t>call +5 from ATM</t>
        </is>
      </c>
      <c r="QU2" s="4" t="inlineStr">
        <is>
          <t>put +5 from ATM</t>
        </is>
      </c>
      <c r="RL2" s="4" t="inlineStr">
        <is>
          <t>call +6 from ATM</t>
        </is>
      </c>
      <c r="SC2" s="4" t="inlineStr">
        <is>
          <t>put +6 from ATM</t>
        </is>
      </c>
      <c r="ST2" s="4" t="inlineStr">
        <is>
          <t>call +7 from ATM</t>
        </is>
      </c>
      <c r="TK2" s="4" t="inlineStr">
        <is>
          <t>put +7 from ATM</t>
        </is>
      </c>
      <c r="UB2" s="4" t="inlineStr">
        <is>
          <t>call +8 from ATM</t>
        </is>
      </c>
      <c r="US2" s="4" t="inlineStr">
        <is>
          <t>put +8 from ATM</t>
        </is>
      </c>
    </row>
    <row r="3">
      <c r="A3" s="2" t="inlineStr">
        <is>
          <t>Option expiry (approx)</t>
        </is>
      </c>
      <c r="B3" s="8">
        <f>WORKDAY(B2,-1)</f>
        <v/>
      </c>
      <c r="D3" s="9" t="inlineStr">
        <is>
          <t>Date</t>
        </is>
      </c>
      <c r="E3" s="9" t="inlineStr">
        <is>
          <t>PX_BID</t>
        </is>
      </c>
      <c r="F3" s="9" t="inlineStr">
        <is>
          <t>PX_ASK</t>
        </is>
      </c>
      <c r="G3" s="9" t="inlineStr">
        <is>
          <t>PX_MID</t>
        </is>
      </c>
      <c r="H3" s="9" t="inlineStr">
        <is>
          <t>PX_LAST</t>
        </is>
      </c>
      <c r="I3" s="9" t="inlineStr">
        <is>
          <t>PX_SETTLE</t>
        </is>
      </c>
      <c r="J3" s="9" t="inlineStr">
        <is>
          <t>PX_VOLUME</t>
        </is>
      </c>
      <c r="K3" s="9" t="inlineStr">
        <is>
          <t>OPEN_INT</t>
        </is>
      </c>
      <c r="L3" s="9" t="inlineStr">
        <is>
          <t>IVOL_MID</t>
        </is>
      </c>
      <c r="M3" s="9" t="inlineStr">
        <is>
          <t>IVOL_BID</t>
        </is>
      </c>
      <c r="N3" s="9" t="inlineStr">
        <is>
          <t>IVOL_ASK</t>
        </is>
      </c>
      <c r="O3" s="9" t="inlineStr">
        <is>
          <t>DELTA_MID</t>
        </is>
      </c>
      <c r="P3" s="9" t="inlineStr">
        <is>
          <t>GAMMA_MID</t>
        </is>
      </c>
      <c r="Q3" s="9" t="inlineStr">
        <is>
          <t>VEGA_MID</t>
        </is>
      </c>
      <c r="R3" s="9" t="inlineStr">
        <is>
          <t>THETA_MID</t>
        </is>
      </c>
      <c r="S3" s="9" t="inlineStr">
        <is>
          <t>OPT_UNDL_PX</t>
        </is>
      </c>
      <c r="U3" s="9" t="inlineStr">
        <is>
          <t>Date</t>
        </is>
      </c>
      <c r="V3" s="9" t="inlineStr">
        <is>
          <t>PX_BID</t>
        </is>
      </c>
      <c r="W3" s="9" t="inlineStr">
        <is>
          <t>PX_ASK</t>
        </is>
      </c>
      <c r="X3" s="9" t="inlineStr">
        <is>
          <t>PX_MID</t>
        </is>
      </c>
      <c r="Y3" s="9" t="inlineStr">
        <is>
          <t>PX_LAST</t>
        </is>
      </c>
      <c r="Z3" s="9" t="inlineStr">
        <is>
          <t>PX_SETTLE</t>
        </is>
      </c>
      <c r="AA3" s="9" t="inlineStr">
        <is>
          <t>PX_VOLUME</t>
        </is>
      </c>
      <c r="AB3" s="9" t="inlineStr">
        <is>
          <t>OPEN_INT</t>
        </is>
      </c>
      <c r="AC3" s="9" t="inlineStr">
        <is>
          <t>IVOL_MID</t>
        </is>
      </c>
      <c r="AD3" s="9" t="inlineStr">
        <is>
          <t>IVOL_BID</t>
        </is>
      </c>
      <c r="AE3" s="9" t="inlineStr">
        <is>
          <t>IVOL_ASK</t>
        </is>
      </c>
      <c r="AF3" s="9" t="inlineStr">
        <is>
          <t>DELTA_MID</t>
        </is>
      </c>
      <c r="AG3" s="9" t="inlineStr">
        <is>
          <t>GAMMA_MID</t>
        </is>
      </c>
      <c r="AH3" s="9" t="inlineStr">
        <is>
          <t>VEGA_MID</t>
        </is>
      </c>
      <c r="AI3" s="9" t="inlineStr">
        <is>
          <t>THETA_MID</t>
        </is>
      </c>
      <c r="AJ3" s="9" t="inlineStr">
        <is>
          <t>OPT_UNDL_PX</t>
        </is>
      </c>
      <c r="AL3" s="9" t="inlineStr">
        <is>
          <t>Date</t>
        </is>
      </c>
      <c r="AM3" s="9" t="inlineStr">
        <is>
          <t>PX_BID</t>
        </is>
      </c>
      <c r="AN3" s="9" t="inlineStr">
        <is>
          <t>PX_ASK</t>
        </is>
      </c>
      <c r="AO3" s="9" t="inlineStr">
        <is>
          <t>PX_MID</t>
        </is>
      </c>
      <c r="AP3" s="9" t="inlineStr">
        <is>
          <t>PX_LAST</t>
        </is>
      </c>
      <c r="AQ3" s="9" t="inlineStr">
        <is>
          <t>PX_SETTLE</t>
        </is>
      </c>
      <c r="AR3" s="9" t="inlineStr">
        <is>
          <t>PX_VOLUME</t>
        </is>
      </c>
      <c r="AS3" s="9" t="inlineStr">
        <is>
          <t>OPEN_INT</t>
        </is>
      </c>
      <c r="AT3" s="9" t="inlineStr">
        <is>
          <t>IVOL_MID</t>
        </is>
      </c>
      <c r="AU3" s="9" t="inlineStr">
        <is>
          <t>IVOL_BID</t>
        </is>
      </c>
      <c r="AV3" s="9" t="inlineStr">
        <is>
          <t>IVOL_ASK</t>
        </is>
      </c>
      <c r="AW3" s="9" t="inlineStr">
        <is>
          <t>DELTA_MID</t>
        </is>
      </c>
      <c r="AX3" s="9" t="inlineStr">
        <is>
          <t>GAMMA_MID</t>
        </is>
      </c>
      <c r="AY3" s="9" t="inlineStr">
        <is>
          <t>VEGA_MID</t>
        </is>
      </c>
      <c r="AZ3" s="9" t="inlineStr">
        <is>
          <t>THETA_MID</t>
        </is>
      </c>
      <c r="BA3" s="9" t="inlineStr">
        <is>
          <t>OPT_UNDL_PX</t>
        </is>
      </c>
      <c r="BC3" s="9" t="inlineStr">
        <is>
          <t>Date</t>
        </is>
      </c>
      <c r="BD3" s="9" t="inlineStr">
        <is>
          <t>PX_BID</t>
        </is>
      </c>
      <c r="BE3" s="9" t="inlineStr">
        <is>
          <t>PX_ASK</t>
        </is>
      </c>
      <c r="BF3" s="9" t="inlineStr">
        <is>
          <t>PX_MID</t>
        </is>
      </c>
      <c r="BG3" s="9" t="inlineStr">
        <is>
          <t>PX_LAST</t>
        </is>
      </c>
      <c r="BH3" s="9" t="inlineStr">
        <is>
          <t>PX_SETTLE</t>
        </is>
      </c>
      <c r="BI3" s="9" t="inlineStr">
        <is>
          <t>PX_VOLUME</t>
        </is>
      </c>
      <c r="BJ3" s="9" t="inlineStr">
        <is>
          <t>OPEN_INT</t>
        </is>
      </c>
      <c r="BK3" s="9" t="inlineStr">
        <is>
          <t>IVOL_MID</t>
        </is>
      </c>
      <c r="BL3" s="9" t="inlineStr">
        <is>
          <t>IVOL_BID</t>
        </is>
      </c>
      <c r="BM3" s="9" t="inlineStr">
        <is>
          <t>IVOL_ASK</t>
        </is>
      </c>
      <c r="BN3" s="9" t="inlineStr">
        <is>
          <t>DELTA_MID</t>
        </is>
      </c>
      <c r="BO3" s="9" t="inlineStr">
        <is>
          <t>GAMMA_MID</t>
        </is>
      </c>
      <c r="BP3" s="9" t="inlineStr">
        <is>
          <t>VEGA_MID</t>
        </is>
      </c>
      <c r="BQ3" s="9" t="inlineStr">
        <is>
          <t>THETA_MID</t>
        </is>
      </c>
      <c r="BR3" s="9" t="inlineStr">
        <is>
          <t>OPT_UNDL_PX</t>
        </is>
      </c>
      <c r="BT3" s="9" t="inlineStr">
        <is>
          <t>Date</t>
        </is>
      </c>
      <c r="BU3" s="9" t="inlineStr">
        <is>
          <t>PX_BID</t>
        </is>
      </c>
      <c r="BV3" s="9" t="inlineStr">
        <is>
          <t>PX_ASK</t>
        </is>
      </c>
      <c r="BW3" s="9" t="inlineStr">
        <is>
          <t>PX_MID</t>
        </is>
      </c>
      <c r="BX3" s="9" t="inlineStr">
        <is>
          <t>PX_LAST</t>
        </is>
      </c>
      <c r="BY3" s="9" t="inlineStr">
        <is>
          <t>PX_SETTLE</t>
        </is>
      </c>
      <c r="BZ3" s="9" t="inlineStr">
        <is>
          <t>PX_VOLUME</t>
        </is>
      </c>
      <c r="CA3" s="9" t="inlineStr">
        <is>
          <t>OPEN_INT</t>
        </is>
      </c>
      <c r="CB3" s="9" t="inlineStr">
        <is>
          <t>IVOL_MID</t>
        </is>
      </c>
      <c r="CC3" s="9" t="inlineStr">
        <is>
          <t>IVOL_BID</t>
        </is>
      </c>
      <c r="CD3" s="9" t="inlineStr">
        <is>
          <t>IVOL_ASK</t>
        </is>
      </c>
      <c r="CE3" s="9" t="inlineStr">
        <is>
          <t>DELTA_MID</t>
        </is>
      </c>
      <c r="CF3" s="9" t="inlineStr">
        <is>
          <t>GAMMA_MID</t>
        </is>
      </c>
      <c r="CG3" s="9" t="inlineStr">
        <is>
          <t>VEGA_MID</t>
        </is>
      </c>
      <c r="CH3" s="9" t="inlineStr">
        <is>
          <t>THETA_MID</t>
        </is>
      </c>
      <c r="CI3" s="9" t="inlineStr">
        <is>
          <t>OPT_UNDL_PX</t>
        </is>
      </c>
      <c r="CK3" s="9" t="inlineStr">
        <is>
          <t>Date</t>
        </is>
      </c>
      <c r="CL3" s="9" t="inlineStr">
        <is>
          <t>PX_BID</t>
        </is>
      </c>
      <c r="CM3" s="9" t="inlineStr">
        <is>
          <t>PX_ASK</t>
        </is>
      </c>
      <c r="CN3" s="9" t="inlineStr">
        <is>
          <t>PX_MID</t>
        </is>
      </c>
      <c r="CO3" s="9" t="inlineStr">
        <is>
          <t>PX_LAST</t>
        </is>
      </c>
      <c r="CP3" s="9" t="inlineStr">
        <is>
          <t>PX_SETTLE</t>
        </is>
      </c>
      <c r="CQ3" s="9" t="inlineStr">
        <is>
          <t>PX_VOLUME</t>
        </is>
      </c>
      <c r="CR3" s="9" t="inlineStr">
        <is>
          <t>OPEN_INT</t>
        </is>
      </c>
      <c r="CS3" s="9" t="inlineStr">
        <is>
          <t>IVOL_MID</t>
        </is>
      </c>
      <c r="CT3" s="9" t="inlineStr">
        <is>
          <t>IVOL_BID</t>
        </is>
      </c>
      <c r="CU3" s="9" t="inlineStr">
        <is>
          <t>IVOL_ASK</t>
        </is>
      </c>
      <c r="CV3" s="9" t="inlineStr">
        <is>
          <t>DELTA_MID</t>
        </is>
      </c>
      <c r="CW3" s="9" t="inlineStr">
        <is>
          <t>GAMMA_MID</t>
        </is>
      </c>
      <c r="CX3" s="9" t="inlineStr">
        <is>
          <t>VEGA_MID</t>
        </is>
      </c>
      <c r="CY3" s="9" t="inlineStr">
        <is>
          <t>THETA_MID</t>
        </is>
      </c>
      <c r="CZ3" s="9" t="inlineStr">
        <is>
          <t>OPT_UNDL_PX</t>
        </is>
      </c>
      <c r="DB3" s="9" t="inlineStr">
        <is>
          <t>Date</t>
        </is>
      </c>
      <c r="DC3" s="9" t="inlineStr">
        <is>
          <t>PX_BID</t>
        </is>
      </c>
      <c r="DD3" s="9" t="inlineStr">
        <is>
          <t>PX_ASK</t>
        </is>
      </c>
      <c r="DE3" s="9" t="inlineStr">
        <is>
          <t>PX_MID</t>
        </is>
      </c>
      <c r="DF3" s="9" t="inlineStr">
        <is>
          <t>PX_LAST</t>
        </is>
      </c>
      <c r="DG3" s="9" t="inlineStr">
        <is>
          <t>PX_SETTLE</t>
        </is>
      </c>
      <c r="DH3" s="9" t="inlineStr">
        <is>
          <t>PX_VOLUME</t>
        </is>
      </c>
      <c r="DI3" s="9" t="inlineStr">
        <is>
          <t>OPEN_INT</t>
        </is>
      </c>
      <c r="DJ3" s="9" t="inlineStr">
        <is>
          <t>IVOL_MID</t>
        </is>
      </c>
      <c r="DK3" s="9" t="inlineStr">
        <is>
          <t>IVOL_BID</t>
        </is>
      </c>
      <c r="DL3" s="9" t="inlineStr">
        <is>
          <t>IVOL_ASK</t>
        </is>
      </c>
      <c r="DM3" s="9" t="inlineStr">
        <is>
          <t>DELTA_MID</t>
        </is>
      </c>
      <c r="DN3" s="9" t="inlineStr">
        <is>
          <t>GAMMA_MID</t>
        </is>
      </c>
      <c r="DO3" s="9" t="inlineStr">
        <is>
          <t>VEGA_MID</t>
        </is>
      </c>
      <c r="DP3" s="9" t="inlineStr">
        <is>
          <t>THETA_MID</t>
        </is>
      </c>
      <c r="DQ3" s="9" t="inlineStr">
        <is>
          <t>OPT_UNDL_PX</t>
        </is>
      </c>
      <c r="DS3" s="9" t="inlineStr">
        <is>
          <t>Date</t>
        </is>
      </c>
      <c r="DT3" s="9" t="inlineStr">
        <is>
          <t>PX_BID</t>
        </is>
      </c>
      <c r="DU3" s="9" t="inlineStr">
        <is>
          <t>PX_ASK</t>
        </is>
      </c>
      <c r="DV3" s="9" t="inlineStr">
        <is>
          <t>PX_MID</t>
        </is>
      </c>
      <c r="DW3" s="9" t="inlineStr">
        <is>
          <t>PX_LAST</t>
        </is>
      </c>
      <c r="DX3" s="9" t="inlineStr">
        <is>
          <t>PX_SETTLE</t>
        </is>
      </c>
      <c r="DY3" s="9" t="inlineStr">
        <is>
          <t>PX_VOLUME</t>
        </is>
      </c>
      <c r="DZ3" s="9" t="inlineStr">
        <is>
          <t>OPEN_INT</t>
        </is>
      </c>
      <c r="EA3" s="9" t="inlineStr">
        <is>
          <t>IVOL_MID</t>
        </is>
      </c>
      <c r="EB3" s="9" t="inlineStr">
        <is>
          <t>IVOL_BID</t>
        </is>
      </c>
      <c r="EC3" s="9" t="inlineStr">
        <is>
          <t>IVOL_ASK</t>
        </is>
      </c>
      <c r="ED3" s="9" t="inlineStr">
        <is>
          <t>DELTA_MID</t>
        </is>
      </c>
      <c r="EE3" s="9" t="inlineStr">
        <is>
          <t>GAMMA_MID</t>
        </is>
      </c>
      <c r="EF3" s="9" t="inlineStr">
        <is>
          <t>VEGA_MID</t>
        </is>
      </c>
      <c r="EG3" s="9" t="inlineStr">
        <is>
          <t>THETA_MID</t>
        </is>
      </c>
      <c r="EH3" s="9" t="inlineStr">
        <is>
          <t>OPT_UNDL_PX</t>
        </is>
      </c>
      <c r="EJ3" s="9" t="inlineStr">
        <is>
          <t>Date</t>
        </is>
      </c>
      <c r="EK3" s="9" t="inlineStr">
        <is>
          <t>PX_BID</t>
        </is>
      </c>
      <c r="EL3" s="9" t="inlineStr">
        <is>
          <t>PX_ASK</t>
        </is>
      </c>
      <c r="EM3" s="9" t="inlineStr">
        <is>
          <t>PX_MID</t>
        </is>
      </c>
      <c r="EN3" s="9" t="inlineStr">
        <is>
          <t>PX_LAST</t>
        </is>
      </c>
      <c r="EO3" s="9" t="inlineStr">
        <is>
          <t>PX_SETTLE</t>
        </is>
      </c>
      <c r="EP3" s="9" t="inlineStr">
        <is>
          <t>PX_VOLUME</t>
        </is>
      </c>
      <c r="EQ3" s="9" t="inlineStr">
        <is>
          <t>OPEN_INT</t>
        </is>
      </c>
      <c r="ER3" s="9" t="inlineStr">
        <is>
          <t>IVOL_MID</t>
        </is>
      </c>
      <c r="ES3" s="9" t="inlineStr">
        <is>
          <t>IVOL_BID</t>
        </is>
      </c>
      <c r="ET3" s="9" t="inlineStr">
        <is>
          <t>IVOL_ASK</t>
        </is>
      </c>
      <c r="EU3" s="9" t="inlineStr">
        <is>
          <t>DELTA_MID</t>
        </is>
      </c>
      <c r="EV3" s="9" t="inlineStr">
        <is>
          <t>GAMMA_MID</t>
        </is>
      </c>
      <c r="EW3" s="9" t="inlineStr">
        <is>
          <t>VEGA_MID</t>
        </is>
      </c>
      <c r="EX3" s="9" t="inlineStr">
        <is>
          <t>THETA_MID</t>
        </is>
      </c>
      <c r="EY3" s="9" t="inlineStr">
        <is>
          <t>OPT_UNDL_PX</t>
        </is>
      </c>
      <c r="FA3" s="9" t="inlineStr">
        <is>
          <t>Date</t>
        </is>
      </c>
      <c r="FB3" s="9" t="inlineStr">
        <is>
          <t>PX_BID</t>
        </is>
      </c>
      <c r="FC3" s="9" t="inlineStr">
        <is>
          <t>PX_ASK</t>
        </is>
      </c>
      <c r="FD3" s="9" t="inlineStr">
        <is>
          <t>PX_MID</t>
        </is>
      </c>
      <c r="FE3" s="9" t="inlineStr">
        <is>
          <t>PX_LAST</t>
        </is>
      </c>
      <c r="FF3" s="9" t="inlineStr">
        <is>
          <t>PX_SETTLE</t>
        </is>
      </c>
      <c r="FG3" s="9" t="inlineStr">
        <is>
          <t>PX_VOLUME</t>
        </is>
      </c>
      <c r="FH3" s="9" t="inlineStr">
        <is>
          <t>OPEN_INT</t>
        </is>
      </c>
      <c r="FI3" s="9" t="inlineStr">
        <is>
          <t>IVOL_MID</t>
        </is>
      </c>
      <c r="FJ3" s="9" t="inlineStr">
        <is>
          <t>IVOL_BID</t>
        </is>
      </c>
      <c r="FK3" s="9" t="inlineStr">
        <is>
          <t>IVOL_ASK</t>
        </is>
      </c>
      <c r="FL3" s="9" t="inlineStr">
        <is>
          <t>DELTA_MID</t>
        </is>
      </c>
      <c r="FM3" s="9" t="inlineStr">
        <is>
          <t>GAMMA_MID</t>
        </is>
      </c>
      <c r="FN3" s="9" t="inlineStr">
        <is>
          <t>VEGA_MID</t>
        </is>
      </c>
      <c r="FO3" s="9" t="inlineStr">
        <is>
          <t>THETA_MID</t>
        </is>
      </c>
      <c r="FP3" s="9" t="inlineStr">
        <is>
          <t>OPT_UNDL_PX</t>
        </is>
      </c>
      <c r="FR3" s="9" t="inlineStr">
        <is>
          <t>Date</t>
        </is>
      </c>
      <c r="FS3" s="9" t="inlineStr">
        <is>
          <t>PX_BID</t>
        </is>
      </c>
      <c r="FT3" s="9" t="inlineStr">
        <is>
          <t>PX_ASK</t>
        </is>
      </c>
      <c r="FU3" s="9" t="inlineStr">
        <is>
          <t>PX_MID</t>
        </is>
      </c>
      <c r="FV3" s="9" t="inlineStr">
        <is>
          <t>PX_LAST</t>
        </is>
      </c>
      <c r="FW3" s="9" t="inlineStr">
        <is>
          <t>PX_SETTLE</t>
        </is>
      </c>
      <c r="FX3" s="9" t="inlineStr">
        <is>
          <t>PX_VOLUME</t>
        </is>
      </c>
      <c r="FY3" s="9" t="inlineStr">
        <is>
          <t>OPEN_INT</t>
        </is>
      </c>
      <c r="FZ3" s="9" t="inlineStr">
        <is>
          <t>IVOL_MID</t>
        </is>
      </c>
      <c r="GA3" s="9" t="inlineStr">
        <is>
          <t>IVOL_BID</t>
        </is>
      </c>
      <c r="GB3" s="9" t="inlineStr">
        <is>
          <t>IVOL_ASK</t>
        </is>
      </c>
      <c r="GC3" s="9" t="inlineStr">
        <is>
          <t>DELTA_MID</t>
        </is>
      </c>
      <c r="GD3" s="9" t="inlineStr">
        <is>
          <t>GAMMA_MID</t>
        </is>
      </c>
      <c r="GE3" s="9" t="inlineStr">
        <is>
          <t>VEGA_MID</t>
        </is>
      </c>
      <c r="GF3" s="9" t="inlineStr">
        <is>
          <t>THETA_MID</t>
        </is>
      </c>
      <c r="GG3" s="9" t="inlineStr">
        <is>
          <t>OPT_UNDL_PX</t>
        </is>
      </c>
      <c r="GI3" s="9" t="inlineStr">
        <is>
          <t>Date</t>
        </is>
      </c>
      <c r="GJ3" s="9" t="inlineStr">
        <is>
          <t>PX_BID</t>
        </is>
      </c>
      <c r="GK3" s="9" t="inlineStr">
        <is>
          <t>PX_ASK</t>
        </is>
      </c>
      <c r="GL3" s="9" t="inlineStr">
        <is>
          <t>PX_MID</t>
        </is>
      </c>
      <c r="GM3" s="9" t="inlineStr">
        <is>
          <t>PX_LAST</t>
        </is>
      </c>
      <c r="GN3" s="9" t="inlineStr">
        <is>
          <t>PX_SETTLE</t>
        </is>
      </c>
      <c r="GO3" s="9" t="inlineStr">
        <is>
          <t>PX_VOLUME</t>
        </is>
      </c>
      <c r="GP3" s="9" t="inlineStr">
        <is>
          <t>OPEN_INT</t>
        </is>
      </c>
      <c r="GQ3" s="9" t="inlineStr">
        <is>
          <t>IVOL_MID</t>
        </is>
      </c>
      <c r="GR3" s="9" t="inlineStr">
        <is>
          <t>IVOL_BID</t>
        </is>
      </c>
      <c r="GS3" s="9" t="inlineStr">
        <is>
          <t>IVOL_ASK</t>
        </is>
      </c>
      <c r="GT3" s="9" t="inlineStr">
        <is>
          <t>DELTA_MID</t>
        </is>
      </c>
      <c r="GU3" s="9" t="inlineStr">
        <is>
          <t>GAMMA_MID</t>
        </is>
      </c>
      <c r="GV3" s="9" t="inlineStr">
        <is>
          <t>VEGA_MID</t>
        </is>
      </c>
      <c r="GW3" s="9" t="inlineStr">
        <is>
          <t>THETA_MID</t>
        </is>
      </c>
      <c r="GX3" s="9" t="inlineStr">
        <is>
          <t>OPT_UNDL_PX</t>
        </is>
      </c>
      <c r="GZ3" s="9" t="inlineStr">
        <is>
          <t>Date</t>
        </is>
      </c>
      <c r="HA3" s="9" t="inlineStr">
        <is>
          <t>PX_BID</t>
        </is>
      </c>
      <c r="HB3" s="9" t="inlineStr">
        <is>
          <t>PX_ASK</t>
        </is>
      </c>
      <c r="HC3" s="9" t="inlineStr">
        <is>
          <t>PX_MID</t>
        </is>
      </c>
      <c r="HD3" s="9" t="inlineStr">
        <is>
          <t>PX_LAST</t>
        </is>
      </c>
      <c r="HE3" s="9" t="inlineStr">
        <is>
          <t>PX_SETTLE</t>
        </is>
      </c>
      <c r="HF3" s="9" t="inlineStr">
        <is>
          <t>PX_VOLUME</t>
        </is>
      </c>
      <c r="HG3" s="9" t="inlineStr">
        <is>
          <t>OPEN_INT</t>
        </is>
      </c>
      <c r="HH3" s="9" t="inlineStr">
        <is>
          <t>IVOL_MID</t>
        </is>
      </c>
      <c r="HI3" s="9" t="inlineStr">
        <is>
          <t>IVOL_BID</t>
        </is>
      </c>
      <c r="HJ3" s="9" t="inlineStr">
        <is>
          <t>IVOL_ASK</t>
        </is>
      </c>
      <c r="HK3" s="9" t="inlineStr">
        <is>
          <t>DELTA_MID</t>
        </is>
      </c>
      <c r="HL3" s="9" t="inlineStr">
        <is>
          <t>GAMMA_MID</t>
        </is>
      </c>
      <c r="HM3" s="9" t="inlineStr">
        <is>
          <t>VEGA_MID</t>
        </is>
      </c>
      <c r="HN3" s="9" t="inlineStr">
        <is>
          <t>THETA_MID</t>
        </is>
      </c>
      <c r="HO3" s="9" t="inlineStr">
        <is>
          <t>OPT_UNDL_PX</t>
        </is>
      </c>
      <c r="HQ3" s="9" t="inlineStr">
        <is>
          <t>Date</t>
        </is>
      </c>
      <c r="HR3" s="9" t="inlineStr">
        <is>
          <t>PX_BID</t>
        </is>
      </c>
      <c r="HS3" s="9" t="inlineStr">
        <is>
          <t>PX_ASK</t>
        </is>
      </c>
      <c r="HT3" s="9" t="inlineStr">
        <is>
          <t>PX_MID</t>
        </is>
      </c>
      <c r="HU3" s="9" t="inlineStr">
        <is>
          <t>PX_LAST</t>
        </is>
      </c>
      <c r="HV3" s="9" t="inlineStr">
        <is>
          <t>PX_SETTLE</t>
        </is>
      </c>
      <c r="HW3" s="9" t="inlineStr">
        <is>
          <t>PX_VOLUME</t>
        </is>
      </c>
      <c r="HX3" s="9" t="inlineStr">
        <is>
          <t>OPEN_INT</t>
        </is>
      </c>
      <c r="HY3" s="9" t="inlineStr">
        <is>
          <t>IVOL_MID</t>
        </is>
      </c>
      <c r="HZ3" s="9" t="inlineStr">
        <is>
          <t>IVOL_BID</t>
        </is>
      </c>
      <c r="IA3" s="9" t="inlineStr">
        <is>
          <t>IVOL_ASK</t>
        </is>
      </c>
      <c r="IB3" s="9" t="inlineStr">
        <is>
          <t>DELTA_MID</t>
        </is>
      </c>
      <c r="IC3" s="9" t="inlineStr">
        <is>
          <t>GAMMA_MID</t>
        </is>
      </c>
      <c r="ID3" s="9" t="inlineStr">
        <is>
          <t>VEGA_MID</t>
        </is>
      </c>
      <c r="IE3" s="9" t="inlineStr">
        <is>
          <t>THETA_MID</t>
        </is>
      </c>
      <c r="IF3" s="9" t="inlineStr">
        <is>
          <t>OPT_UNDL_PX</t>
        </is>
      </c>
      <c r="IH3" s="9" t="inlineStr">
        <is>
          <t>Date</t>
        </is>
      </c>
      <c r="II3" s="9" t="inlineStr">
        <is>
          <t>PX_BID</t>
        </is>
      </c>
      <c r="IJ3" s="9" t="inlineStr">
        <is>
          <t>PX_ASK</t>
        </is>
      </c>
      <c r="IK3" s="9" t="inlineStr">
        <is>
          <t>PX_MID</t>
        </is>
      </c>
      <c r="IL3" s="9" t="inlineStr">
        <is>
          <t>PX_LAST</t>
        </is>
      </c>
      <c r="IM3" s="9" t="inlineStr">
        <is>
          <t>PX_SETTLE</t>
        </is>
      </c>
      <c r="IN3" s="9" t="inlineStr">
        <is>
          <t>PX_VOLUME</t>
        </is>
      </c>
      <c r="IO3" s="9" t="inlineStr">
        <is>
          <t>OPEN_INT</t>
        </is>
      </c>
      <c r="IP3" s="9" t="inlineStr">
        <is>
          <t>IVOL_MID</t>
        </is>
      </c>
      <c r="IQ3" s="9" t="inlineStr">
        <is>
          <t>IVOL_BID</t>
        </is>
      </c>
      <c r="IR3" s="9" t="inlineStr">
        <is>
          <t>IVOL_ASK</t>
        </is>
      </c>
      <c r="IS3" s="9" t="inlineStr">
        <is>
          <t>DELTA_MID</t>
        </is>
      </c>
      <c r="IT3" s="9" t="inlineStr">
        <is>
          <t>GAMMA_MID</t>
        </is>
      </c>
      <c r="IU3" s="9" t="inlineStr">
        <is>
          <t>VEGA_MID</t>
        </is>
      </c>
      <c r="IV3" s="9" t="inlineStr">
        <is>
          <t>THETA_MID</t>
        </is>
      </c>
      <c r="IW3" s="9" t="inlineStr">
        <is>
          <t>OPT_UNDL_PX</t>
        </is>
      </c>
      <c r="IY3" s="9" t="inlineStr">
        <is>
          <t>Date</t>
        </is>
      </c>
      <c r="IZ3" s="9" t="inlineStr">
        <is>
          <t>PX_BID</t>
        </is>
      </c>
      <c r="JA3" s="9" t="inlineStr">
        <is>
          <t>PX_ASK</t>
        </is>
      </c>
      <c r="JB3" s="9" t="inlineStr">
        <is>
          <t>PX_MID</t>
        </is>
      </c>
      <c r="JC3" s="9" t="inlineStr">
        <is>
          <t>PX_LAST</t>
        </is>
      </c>
      <c r="JD3" s="9" t="inlineStr">
        <is>
          <t>PX_SETTLE</t>
        </is>
      </c>
      <c r="JE3" s="9" t="inlineStr">
        <is>
          <t>PX_VOLUME</t>
        </is>
      </c>
      <c r="JF3" s="9" t="inlineStr">
        <is>
          <t>OPEN_INT</t>
        </is>
      </c>
      <c r="JG3" s="9" t="inlineStr">
        <is>
          <t>IVOL_MID</t>
        </is>
      </c>
      <c r="JH3" s="9" t="inlineStr">
        <is>
          <t>IVOL_BID</t>
        </is>
      </c>
      <c r="JI3" s="9" t="inlineStr">
        <is>
          <t>IVOL_ASK</t>
        </is>
      </c>
      <c r="JJ3" s="9" t="inlineStr">
        <is>
          <t>DELTA_MID</t>
        </is>
      </c>
      <c r="JK3" s="9" t="inlineStr">
        <is>
          <t>GAMMA_MID</t>
        </is>
      </c>
      <c r="JL3" s="9" t="inlineStr">
        <is>
          <t>VEGA_MID</t>
        </is>
      </c>
      <c r="JM3" s="9" t="inlineStr">
        <is>
          <t>THETA_MID</t>
        </is>
      </c>
      <c r="JN3" s="9" t="inlineStr">
        <is>
          <t>OPT_UNDL_PX</t>
        </is>
      </c>
      <c r="JP3" s="9" t="inlineStr">
        <is>
          <t>Date</t>
        </is>
      </c>
      <c r="JQ3" s="9" t="inlineStr">
        <is>
          <t>PX_BID</t>
        </is>
      </c>
      <c r="JR3" s="9" t="inlineStr">
        <is>
          <t>PX_ASK</t>
        </is>
      </c>
      <c r="JS3" s="9" t="inlineStr">
        <is>
          <t>PX_MID</t>
        </is>
      </c>
      <c r="JT3" s="9" t="inlineStr">
        <is>
          <t>PX_LAST</t>
        </is>
      </c>
      <c r="JU3" s="9" t="inlineStr">
        <is>
          <t>PX_SETTLE</t>
        </is>
      </c>
      <c r="JV3" s="9" t="inlineStr">
        <is>
          <t>PX_VOLUME</t>
        </is>
      </c>
      <c r="JW3" s="9" t="inlineStr">
        <is>
          <t>OPEN_INT</t>
        </is>
      </c>
      <c r="JX3" s="9" t="inlineStr">
        <is>
          <t>IVOL_MID</t>
        </is>
      </c>
      <c r="JY3" s="9" t="inlineStr">
        <is>
          <t>IVOL_BID</t>
        </is>
      </c>
      <c r="JZ3" s="9" t="inlineStr">
        <is>
          <t>IVOL_ASK</t>
        </is>
      </c>
      <c r="KA3" s="9" t="inlineStr">
        <is>
          <t>DELTA_MID</t>
        </is>
      </c>
      <c r="KB3" s="9" t="inlineStr">
        <is>
          <t>GAMMA_MID</t>
        </is>
      </c>
      <c r="KC3" s="9" t="inlineStr">
        <is>
          <t>VEGA_MID</t>
        </is>
      </c>
      <c r="KD3" s="9" t="inlineStr">
        <is>
          <t>THETA_MID</t>
        </is>
      </c>
      <c r="KE3" s="9" t="inlineStr">
        <is>
          <t>OPT_UNDL_PX</t>
        </is>
      </c>
      <c r="KG3" s="9" t="inlineStr">
        <is>
          <t>Date</t>
        </is>
      </c>
      <c r="KH3" s="9" t="inlineStr">
        <is>
          <t>PX_BID</t>
        </is>
      </c>
      <c r="KI3" s="9" t="inlineStr">
        <is>
          <t>PX_ASK</t>
        </is>
      </c>
      <c r="KJ3" s="9" t="inlineStr">
        <is>
          <t>PX_MID</t>
        </is>
      </c>
      <c r="KK3" s="9" t="inlineStr">
        <is>
          <t>PX_LAST</t>
        </is>
      </c>
      <c r="KL3" s="9" t="inlineStr">
        <is>
          <t>PX_SETTLE</t>
        </is>
      </c>
      <c r="KM3" s="9" t="inlineStr">
        <is>
          <t>PX_VOLUME</t>
        </is>
      </c>
      <c r="KN3" s="9" t="inlineStr">
        <is>
          <t>OPEN_INT</t>
        </is>
      </c>
      <c r="KO3" s="9" t="inlineStr">
        <is>
          <t>IVOL_MID</t>
        </is>
      </c>
      <c r="KP3" s="9" t="inlineStr">
        <is>
          <t>IVOL_BID</t>
        </is>
      </c>
      <c r="KQ3" s="9" t="inlineStr">
        <is>
          <t>IVOL_ASK</t>
        </is>
      </c>
      <c r="KR3" s="9" t="inlineStr">
        <is>
          <t>DELTA_MID</t>
        </is>
      </c>
      <c r="KS3" s="9" t="inlineStr">
        <is>
          <t>GAMMA_MID</t>
        </is>
      </c>
      <c r="KT3" s="9" t="inlineStr">
        <is>
          <t>VEGA_MID</t>
        </is>
      </c>
      <c r="KU3" s="9" t="inlineStr">
        <is>
          <t>THETA_MID</t>
        </is>
      </c>
      <c r="KV3" s="9" t="inlineStr">
        <is>
          <t>OPT_UNDL_PX</t>
        </is>
      </c>
      <c r="KX3" s="9" t="inlineStr">
        <is>
          <t>Date</t>
        </is>
      </c>
      <c r="KY3" s="9" t="inlineStr">
        <is>
          <t>PX_BID</t>
        </is>
      </c>
      <c r="KZ3" s="9" t="inlineStr">
        <is>
          <t>PX_ASK</t>
        </is>
      </c>
      <c r="LA3" s="9" t="inlineStr">
        <is>
          <t>PX_MID</t>
        </is>
      </c>
      <c r="LB3" s="9" t="inlineStr">
        <is>
          <t>PX_LAST</t>
        </is>
      </c>
      <c r="LC3" s="9" t="inlineStr">
        <is>
          <t>PX_SETTLE</t>
        </is>
      </c>
      <c r="LD3" s="9" t="inlineStr">
        <is>
          <t>PX_VOLUME</t>
        </is>
      </c>
      <c r="LE3" s="9" t="inlineStr">
        <is>
          <t>OPEN_INT</t>
        </is>
      </c>
      <c r="LF3" s="9" t="inlineStr">
        <is>
          <t>IVOL_MID</t>
        </is>
      </c>
      <c r="LG3" s="9" t="inlineStr">
        <is>
          <t>IVOL_BID</t>
        </is>
      </c>
      <c r="LH3" s="9" t="inlineStr">
        <is>
          <t>IVOL_ASK</t>
        </is>
      </c>
      <c r="LI3" s="9" t="inlineStr">
        <is>
          <t>DELTA_MID</t>
        </is>
      </c>
      <c r="LJ3" s="9" t="inlineStr">
        <is>
          <t>GAMMA_MID</t>
        </is>
      </c>
      <c r="LK3" s="9" t="inlineStr">
        <is>
          <t>VEGA_MID</t>
        </is>
      </c>
      <c r="LL3" s="9" t="inlineStr">
        <is>
          <t>THETA_MID</t>
        </is>
      </c>
      <c r="LM3" s="9" t="inlineStr">
        <is>
          <t>OPT_UNDL_PX</t>
        </is>
      </c>
      <c r="LO3" s="9" t="inlineStr">
        <is>
          <t>Date</t>
        </is>
      </c>
      <c r="LP3" s="9" t="inlineStr">
        <is>
          <t>PX_BID</t>
        </is>
      </c>
      <c r="LQ3" s="9" t="inlineStr">
        <is>
          <t>PX_ASK</t>
        </is>
      </c>
      <c r="LR3" s="9" t="inlineStr">
        <is>
          <t>PX_MID</t>
        </is>
      </c>
      <c r="LS3" s="9" t="inlineStr">
        <is>
          <t>PX_LAST</t>
        </is>
      </c>
      <c r="LT3" s="9" t="inlineStr">
        <is>
          <t>PX_SETTLE</t>
        </is>
      </c>
      <c r="LU3" s="9" t="inlineStr">
        <is>
          <t>PX_VOLUME</t>
        </is>
      </c>
      <c r="LV3" s="9" t="inlineStr">
        <is>
          <t>OPEN_INT</t>
        </is>
      </c>
      <c r="LW3" s="9" t="inlineStr">
        <is>
          <t>IVOL_MID</t>
        </is>
      </c>
      <c r="LX3" s="9" t="inlineStr">
        <is>
          <t>IVOL_BID</t>
        </is>
      </c>
      <c r="LY3" s="9" t="inlineStr">
        <is>
          <t>IVOL_ASK</t>
        </is>
      </c>
      <c r="LZ3" s="9" t="inlineStr">
        <is>
          <t>DELTA_MID</t>
        </is>
      </c>
      <c r="MA3" s="9" t="inlineStr">
        <is>
          <t>GAMMA_MID</t>
        </is>
      </c>
      <c r="MB3" s="9" t="inlineStr">
        <is>
          <t>VEGA_MID</t>
        </is>
      </c>
      <c r="MC3" s="9" t="inlineStr">
        <is>
          <t>THETA_MID</t>
        </is>
      </c>
      <c r="MD3" s="9" t="inlineStr">
        <is>
          <t>OPT_UNDL_PX</t>
        </is>
      </c>
      <c r="MF3" s="9" t="inlineStr">
        <is>
          <t>Date</t>
        </is>
      </c>
      <c r="MG3" s="9" t="inlineStr">
        <is>
          <t>PX_BID</t>
        </is>
      </c>
      <c r="MH3" s="9" t="inlineStr">
        <is>
          <t>PX_ASK</t>
        </is>
      </c>
      <c r="MI3" s="9" t="inlineStr">
        <is>
          <t>PX_MID</t>
        </is>
      </c>
      <c r="MJ3" s="9" t="inlineStr">
        <is>
          <t>PX_LAST</t>
        </is>
      </c>
      <c r="MK3" s="9" t="inlineStr">
        <is>
          <t>PX_SETTLE</t>
        </is>
      </c>
      <c r="ML3" s="9" t="inlineStr">
        <is>
          <t>PX_VOLUME</t>
        </is>
      </c>
      <c r="MM3" s="9" t="inlineStr">
        <is>
          <t>OPEN_INT</t>
        </is>
      </c>
      <c r="MN3" s="9" t="inlineStr">
        <is>
          <t>IVOL_MID</t>
        </is>
      </c>
      <c r="MO3" s="9" t="inlineStr">
        <is>
          <t>IVOL_BID</t>
        </is>
      </c>
      <c r="MP3" s="9" t="inlineStr">
        <is>
          <t>IVOL_ASK</t>
        </is>
      </c>
      <c r="MQ3" s="9" t="inlineStr">
        <is>
          <t>DELTA_MID</t>
        </is>
      </c>
      <c r="MR3" s="9" t="inlineStr">
        <is>
          <t>GAMMA_MID</t>
        </is>
      </c>
      <c r="MS3" s="9" t="inlineStr">
        <is>
          <t>VEGA_MID</t>
        </is>
      </c>
      <c r="MT3" s="9" t="inlineStr">
        <is>
          <t>THETA_MID</t>
        </is>
      </c>
      <c r="MU3" s="9" t="inlineStr">
        <is>
          <t>OPT_UNDL_PX</t>
        </is>
      </c>
      <c r="MW3" s="9" t="inlineStr">
        <is>
          <t>Date</t>
        </is>
      </c>
      <c r="MX3" s="9" t="inlineStr">
        <is>
          <t>PX_BID</t>
        </is>
      </c>
      <c r="MY3" s="9" t="inlineStr">
        <is>
          <t>PX_ASK</t>
        </is>
      </c>
      <c r="MZ3" s="9" t="inlineStr">
        <is>
          <t>PX_MID</t>
        </is>
      </c>
      <c r="NA3" s="9" t="inlineStr">
        <is>
          <t>PX_LAST</t>
        </is>
      </c>
      <c r="NB3" s="9" t="inlineStr">
        <is>
          <t>PX_SETTLE</t>
        </is>
      </c>
      <c r="NC3" s="9" t="inlineStr">
        <is>
          <t>PX_VOLUME</t>
        </is>
      </c>
      <c r="ND3" s="9" t="inlineStr">
        <is>
          <t>OPEN_INT</t>
        </is>
      </c>
      <c r="NE3" s="9" t="inlineStr">
        <is>
          <t>IVOL_MID</t>
        </is>
      </c>
      <c r="NF3" s="9" t="inlineStr">
        <is>
          <t>IVOL_BID</t>
        </is>
      </c>
      <c r="NG3" s="9" t="inlineStr">
        <is>
          <t>IVOL_ASK</t>
        </is>
      </c>
      <c r="NH3" s="9" t="inlineStr">
        <is>
          <t>DELTA_MID</t>
        </is>
      </c>
      <c r="NI3" s="9" t="inlineStr">
        <is>
          <t>GAMMA_MID</t>
        </is>
      </c>
      <c r="NJ3" s="9" t="inlineStr">
        <is>
          <t>VEGA_MID</t>
        </is>
      </c>
      <c r="NK3" s="9" t="inlineStr">
        <is>
          <t>THETA_MID</t>
        </is>
      </c>
      <c r="NL3" s="9" t="inlineStr">
        <is>
          <t>OPT_UNDL_PX</t>
        </is>
      </c>
      <c r="NN3" s="9" t="inlineStr">
        <is>
          <t>Date</t>
        </is>
      </c>
      <c r="NO3" s="9" t="inlineStr">
        <is>
          <t>PX_BID</t>
        </is>
      </c>
      <c r="NP3" s="9" t="inlineStr">
        <is>
          <t>PX_ASK</t>
        </is>
      </c>
      <c r="NQ3" s="9" t="inlineStr">
        <is>
          <t>PX_MID</t>
        </is>
      </c>
      <c r="NR3" s="9" t="inlineStr">
        <is>
          <t>PX_LAST</t>
        </is>
      </c>
      <c r="NS3" s="9" t="inlineStr">
        <is>
          <t>PX_SETTLE</t>
        </is>
      </c>
      <c r="NT3" s="9" t="inlineStr">
        <is>
          <t>PX_VOLUME</t>
        </is>
      </c>
      <c r="NU3" s="9" t="inlineStr">
        <is>
          <t>OPEN_INT</t>
        </is>
      </c>
      <c r="NV3" s="9" t="inlineStr">
        <is>
          <t>IVOL_MID</t>
        </is>
      </c>
      <c r="NW3" s="9" t="inlineStr">
        <is>
          <t>IVOL_BID</t>
        </is>
      </c>
      <c r="NX3" s="9" t="inlineStr">
        <is>
          <t>IVOL_ASK</t>
        </is>
      </c>
      <c r="NY3" s="9" t="inlineStr">
        <is>
          <t>DELTA_MID</t>
        </is>
      </c>
      <c r="NZ3" s="9" t="inlineStr">
        <is>
          <t>GAMMA_MID</t>
        </is>
      </c>
      <c r="OA3" s="9" t="inlineStr">
        <is>
          <t>VEGA_MID</t>
        </is>
      </c>
      <c r="OB3" s="9" t="inlineStr">
        <is>
          <t>THETA_MID</t>
        </is>
      </c>
      <c r="OC3" s="9" t="inlineStr">
        <is>
          <t>OPT_UNDL_PX</t>
        </is>
      </c>
      <c r="OE3" s="9" t="inlineStr">
        <is>
          <t>Date</t>
        </is>
      </c>
      <c r="OF3" s="9" t="inlineStr">
        <is>
          <t>PX_BID</t>
        </is>
      </c>
      <c r="OG3" s="9" t="inlineStr">
        <is>
          <t>PX_ASK</t>
        </is>
      </c>
      <c r="OH3" s="9" t="inlineStr">
        <is>
          <t>PX_MID</t>
        </is>
      </c>
      <c r="OI3" s="9" t="inlineStr">
        <is>
          <t>PX_LAST</t>
        </is>
      </c>
      <c r="OJ3" s="9" t="inlineStr">
        <is>
          <t>PX_SETTLE</t>
        </is>
      </c>
      <c r="OK3" s="9" t="inlineStr">
        <is>
          <t>PX_VOLUME</t>
        </is>
      </c>
      <c r="OL3" s="9" t="inlineStr">
        <is>
          <t>OPEN_INT</t>
        </is>
      </c>
      <c r="OM3" s="9" t="inlineStr">
        <is>
          <t>IVOL_MID</t>
        </is>
      </c>
      <c r="ON3" s="9" t="inlineStr">
        <is>
          <t>IVOL_BID</t>
        </is>
      </c>
      <c r="OO3" s="9" t="inlineStr">
        <is>
          <t>IVOL_ASK</t>
        </is>
      </c>
      <c r="OP3" s="9" t="inlineStr">
        <is>
          <t>DELTA_MID</t>
        </is>
      </c>
      <c r="OQ3" s="9" t="inlineStr">
        <is>
          <t>GAMMA_MID</t>
        </is>
      </c>
      <c r="OR3" s="9" t="inlineStr">
        <is>
          <t>VEGA_MID</t>
        </is>
      </c>
      <c r="OS3" s="9" t="inlineStr">
        <is>
          <t>THETA_MID</t>
        </is>
      </c>
      <c r="OT3" s="9" t="inlineStr">
        <is>
          <t>OPT_UNDL_PX</t>
        </is>
      </c>
      <c r="OV3" s="9" t="inlineStr">
        <is>
          <t>Date</t>
        </is>
      </c>
      <c r="OW3" s="9" t="inlineStr">
        <is>
          <t>PX_BID</t>
        </is>
      </c>
      <c r="OX3" s="9" t="inlineStr">
        <is>
          <t>PX_ASK</t>
        </is>
      </c>
      <c r="OY3" s="9" t="inlineStr">
        <is>
          <t>PX_MID</t>
        </is>
      </c>
      <c r="OZ3" s="9" t="inlineStr">
        <is>
          <t>PX_LAST</t>
        </is>
      </c>
      <c r="PA3" s="9" t="inlineStr">
        <is>
          <t>PX_SETTLE</t>
        </is>
      </c>
      <c r="PB3" s="9" t="inlineStr">
        <is>
          <t>PX_VOLUME</t>
        </is>
      </c>
      <c r="PC3" s="9" t="inlineStr">
        <is>
          <t>OPEN_INT</t>
        </is>
      </c>
      <c r="PD3" s="9" t="inlineStr">
        <is>
          <t>IVOL_MID</t>
        </is>
      </c>
      <c r="PE3" s="9" t="inlineStr">
        <is>
          <t>IVOL_BID</t>
        </is>
      </c>
      <c r="PF3" s="9" t="inlineStr">
        <is>
          <t>IVOL_ASK</t>
        </is>
      </c>
      <c r="PG3" s="9" t="inlineStr">
        <is>
          <t>DELTA_MID</t>
        </is>
      </c>
      <c r="PH3" s="9" t="inlineStr">
        <is>
          <t>GAMMA_MID</t>
        </is>
      </c>
      <c r="PI3" s="9" t="inlineStr">
        <is>
          <t>VEGA_MID</t>
        </is>
      </c>
      <c r="PJ3" s="9" t="inlineStr">
        <is>
          <t>THETA_MID</t>
        </is>
      </c>
      <c r="PK3" s="9" t="inlineStr">
        <is>
          <t>OPT_UNDL_PX</t>
        </is>
      </c>
      <c r="PM3" s="9" t="inlineStr">
        <is>
          <t>Date</t>
        </is>
      </c>
      <c r="PN3" s="9" t="inlineStr">
        <is>
          <t>PX_BID</t>
        </is>
      </c>
      <c r="PO3" s="9" t="inlineStr">
        <is>
          <t>PX_ASK</t>
        </is>
      </c>
      <c r="PP3" s="9" t="inlineStr">
        <is>
          <t>PX_MID</t>
        </is>
      </c>
      <c r="PQ3" s="9" t="inlineStr">
        <is>
          <t>PX_LAST</t>
        </is>
      </c>
      <c r="PR3" s="9" t="inlineStr">
        <is>
          <t>PX_SETTLE</t>
        </is>
      </c>
      <c r="PS3" s="9" t="inlineStr">
        <is>
          <t>PX_VOLUME</t>
        </is>
      </c>
      <c r="PT3" s="9" t="inlineStr">
        <is>
          <t>OPEN_INT</t>
        </is>
      </c>
      <c r="PU3" s="9" t="inlineStr">
        <is>
          <t>IVOL_MID</t>
        </is>
      </c>
      <c r="PV3" s="9" t="inlineStr">
        <is>
          <t>IVOL_BID</t>
        </is>
      </c>
      <c r="PW3" s="9" t="inlineStr">
        <is>
          <t>IVOL_ASK</t>
        </is>
      </c>
      <c r="PX3" s="9" t="inlineStr">
        <is>
          <t>DELTA_MID</t>
        </is>
      </c>
      <c r="PY3" s="9" t="inlineStr">
        <is>
          <t>GAMMA_MID</t>
        </is>
      </c>
      <c r="PZ3" s="9" t="inlineStr">
        <is>
          <t>VEGA_MID</t>
        </is>
      </c>
      <c r="QA3" s="9" t="inlineStr">
        <is>
          <t>THETA_MID</t>
        </is>
      </c>
      <c r="QB3" s="9" t="inlineStr">
        <is>
          <t>OPT_UNDL_PX</t>
        </is>
      </c>
      <c r="QD3" s="9" t="inlineStr">
        <is>
          <t>Date</t>
        </is>
      </c>
      <c r="QE3" s="9" t="inlineStr">
        <is>
          <t>PX_BID</t>
        </is>
      </c>
      <c r="QF3" s="9" t="inlineStr">
        <is>
          <t>PX_ASK</t>
        </is>
      </c>
      <c r="QG3" s="9" t="inlineStr">
        <is>
          <t>PX_MID</t>
        </is>
      </c>
      <c r="QH3" s="9" t="inlineStr">
        <is>
          <t>PX_LAST</t>
        </is>
      </c>
      <c r="QI3" s="9" t="inlineStr">
        <is>
          <t>PX_SETTLE</t>
        </is>
      </c>
      <c r="QJ3" s="9" t="inlineStr">
        <is>
          <t>PX_VOLUME</t>
        </is>
      </c>
      <c r="QK3" s="9" t="inlineStr">
        <is>
          <t>OPEN_INT</t>
        </is>
      </c>
      <c r="QL3" s="9" t="inlineStr">
        <is>
          <t>IVOL_MID</t>
        </is>
      </c>
      <c r="QM3" s="9" t="inlineStr">
        <is>
          <t>IVOL_BID</t>
        </is>
      </c>
      <c r="QN3" s="9" t="inlineStr">
        <is>
          <t>IVOL_ASK</t>
        </is>
      </c>
      <c r="QO3" s="9" t="inlineStr">
        <is>
          <t>DELTA_MID</t>
        </is>
      </c>
      <c r="QP3" s="9" t="inlineStr">
        <is>
          <t>GAMMA_MID</t>
        </is>
      </c>
      <c r="QQ3" s="9" t="inlineStr">
        <is>
          <t>VEGA_MID</t>
        </is>
      </c>
      <c r="QR3" s="9" t="inlineStr">
        <is>
          <t>THETA_MID</t>
        </is>
      </c>
      <c r="QS3" s="9" t="inlineStr">
        <is>
          <t>OPT_UNDL_PX</t>
        </is>
      </c>
      <c r="QU3" s="9" t="inlineStr">
        <is>
          <t>Date</t>
        </is>
      </c>
      <c r="QV3" s="9" t="inlineStr">
        <is>
          <t>PX_BID</t>
        </is>
      </c>
      <c r="QW3" s="9" t="inlineStr">
        <is>
          <t>PX_ASK</t>
        </is>
      </c>
      <c r="QX3" s="9" t="inlineStr">
        <is>
          <t>PX_MID</t>
        </is>
      </c>
      <c r="QY3" s="9" t="inlineStr">
        <is>
          <t>PX_LAST</t>
        </is>
      </c>
      <c r="QZ3" s="9" t="inlineStr">
        <is>
          <t>PX_SETTLE</t>
        </is>
      </c>
      <c r="RA3" s="9" t="inlineStr">
        <is>
          <t>PX_VOLUME</t>
        </is>
      </c>
      <c r="RB3" s="9" t="inlineStr">
        <is>
          <t>OPEN_INT</t>
        </is>
      </c>
      <c r="RC3" s="9" t="inlineStr">
        <is>
          <t>IVOL_MID</t>
        </is>
      </c>
      <c r="RD3" s="9" t="inlineStr">
        <is>
          <t>IVOL_BID</t>
        </is>
      </c>
      <c r="RE3" s="9" t="inlineStr">
        <is>
          <t>IVOL_ASK</t>
        </is>
      </c>
      <c r="RF3" s="9" t="inlineStr">
        <is>
          <t>DELTA_MID</t>
        </is>
      </c>
      <c r="RG3" s="9" t="inlineStr">
        <is>
          <t>GAMMA_MID</t>
        </is>
      </c>
      <c r="RH3" s="9" t="inlineStr">
        <is>
          <t>VEGA_MID</t>
        </is>
      </c>
      <c r="RI3" s="9" t="inlineStr">
        <is>
          <t>THETA_MID</t>
        </is>
      </c>
      <c r="RJ3" s="9" t="inlineStr">
        <is>
          <t>OPT_UNDL_PX</t>
        </is>
      </c>
      <c r="RL3" s="9" t="inlineStr">
        <is>
          <t>Date</t>
        </is>
      </c>
      <c r="RM3" s="9" t="inlineStr">
        <is>
          <t>PX_BID</t>
        </is>
      </c>
      <c r="RN3" s="9" t="inlineStr">
        <is>
          <t>PX_ASK</t>
        </is>
      </c>
      <c r="RO3" s="9" t="inlineStr">
        <is>
          <t>PX_MID</t>
        </is>
      </c>
      <c r="RP3" s="9" t="inlineStr">
        <is>
          <t>PX_LAST</t>
        </is>
      </c>
      <c r="RQ3" s="9" t="inlineStr">
        <is>
          <t>PX_SETTLE</t>
        </is>
      </c>
      <c r="RR3" s="9" t="inlineStr">
        <is>
          <t>PX_VOLUME</t>
        </is>
      </c>
      <c r="RS3" s="9" t="inlineStr">
        <is>
          <t>OPEN_INT</t>
        </is>
      </c>
      <c r="RT3" s="9" t="inlineStr">
        <is>
          <t>IVOL_MID</t>
        </is>
      </c>
      <c r="RU3" s="9" t="inlineStr">
        <is>
          <t>IVOL_BID</t>
        </is>
      </c>
      <c r="RV3" s="9" t="inlineStr">
        <is>
          <t>IVOL_ASK</t>
        </is>
      </c>
      <c r="RW3" s="9" t="inlineStr">
        <is>
          <t>DELTA_MID</t>
        </is>
      </c>
      <c r="RX3" s="9" t="inlineStr">
        <is>
          <t>GAMMA_MID</t>
        </is>
      </c>
      <c r="RY3" s="9" t="inlineStr">
        <is>
          <t>VEGA_MID</t>
        </is>
      </c>
      <c r="RZ3" s="9" t="inlineStr">
        <is>
          <t>THETA_MID</t>
        </is>
      </c>
      <c r="SA3" s="9" t="inlineStr">
        <is>
          <t>OPT_UNDL_PX</t>
        </is>
      </c>
      <c r="SC3" s="9" t="inlineStr">
        <is>
          <t>Date</t>
        </is>
      </c>
      <c r="SD3" s="9" t="inlineStr">
        <is>
          <t>PX_BID</t>
        </is>
      </c>
      <c r="SE3" s="9" t="inlineStr">
        <is>
          <t>PX_ASK</t>
        </is>
      </c>
      <c r="SF3" s="9" t="inlineStr">
        <is>
          <t>PX_MID</t>
        </is>
      </c>
      <c r="SG3" s="9" t="inlineStr">
        <is>
          <t>PX_LAST</t>
        </is>
      </c>
      <c r="SH3" s="9" t="inlineStr">
        <is>
          <t>PX_SETTLE</t>
        </is>
      </c>
      <c r="SI3" s="9" t="inlineStr">
        <is>
          <t>PX_VOLUME</t>
        </is>
      </c>
      <c r="SJ3" s="9" t="inlineStr">
        <is>
          <t>OPEN_INT</t>
        </is>
      </c>
      <c r="SK3" s="9" t="inlineStr">
        <is>
          <t>IVOL_MID</t>
        </is>
      </c>
      <c r="SL3" s="9" t="inlineStr">
        <is>
          <t>IVOL_BID</t>
        </is>
      </c>
      <c r="SM3" s="9" t="inlineStr">
        <is>
          <t>IVOL_ASK</t>
        </is>
      </c>
      <c r="SN3" s="9" t="inlineStr">
        <is>
          <t>DELTA_MID</t>
        </is>
      </c>
      <c r="SO3" s="9" t="inlineStr">
        <is>
          <t>GAMMA_MID</t>
        </is>
      </c>
      <c r="SP3" s="9" t="inlineStr">
        <is>
          <t>VEGA_MID</t>
        </is>
      </c>
      <c r="SQ3" s="9" t="inlineStr">
        <is>
          <t>THETA_MID</t>
        </is>
      </c>
      <c r="SR3" s="9" t="inlineStr">
        <is>
          <t>OPT_UNDL_PX</t>
        </is>
      </c>
      <c r="ST3" s="9" t="inlineStr">
        <is>
          <t>Date</t>
        </is>
      </c>
      <c r="SU3" s="9" t="inlineStr">
        <is>
          <t>PX_BID</t>
        </is>
      </c>
      <c r="SV3" s="9" t="inlineStr">
        <is>
          <t>PX_ASK</t>
        </is>
      </c>
      <c r="SW3" s="9" t="inlineStr">
        <is>
          <t>PX_MID</t>
        </is>
      </c>
      <c r="SX3" s="9" t="inlineStr">
        <is>
          <t>PX_LAST</t>
        </is>
      </c>
      <c r="SY3" s="9" t="inlineStr">
        <is>
          <t>PX_SETTLE</t>
        </is>
      </c>
      <c r="SZ3" s="9" t="inlineStr">
        <is>
          <t>PX_VOLUME</t>
        </is>
      </c>
      <c r="TA3" s="9" t="inlineStr">
        <is>
          <t>OPEN_INT</t>
        </is>
      </c>
      <c r="TB3" s="9" t="inlineStr">
        <is>
          <t>IVOL_MID</t>
        </is>
      </c>
      <c r="TC3" s="9" t="inlineStr">
        <is>
          <t>IVOL_BID</t>
        </is>
      </c>
      <c r="TD3" s="9" t="inlineStr">
        <is>
          <t>IVOL_ASK</t>
        </is>
      </c>
      <c r="TE3" s="9" t="inlineStr">
        <is>
          <t>DELTA_MID</t>
        </is>
      </c>
      <c r="TF3" s="9" t="inlineStr">
        <is>
          <t>GAMMA_MID</t>
        </is>
      </c>
      <c r="TG3" s="9" t="inlineStr">
        <is>
          <t>VEGA_MID</t>
        </is>
      </c>
      <c r="TH3" s="9" t="inlineStr">
        <is>
          <t>THETA_MID</t>
        </is>
      </c>
      <c r="TI3" s="9" t="inlineStr">
        <is>
          <t>OPT_UNDL_PX</t>
        </is>
      </c>
      <c r="TK3" s="9" t="inlineStr">
        <is>
          <t>Date</t>
        </is>
      </c>
      <c r="TL3" s="9" t="inlineStr">
        <is>
          <t>PX_BID</t>
        </is>
      </c>
      <c r="TM3" s="9" t="inlineStr">
        <is>
          <t>PX_ASK</t>
        </is>
      </c>
      <c r="TN3" s="9" t="inlineStr">
        <is>
          <t>PX_MID</t>
        </is>
      </c>
      <c r="TO3" s="9" t="inlineStr">
        <is>
          <t>PX_LAST</t>
        </is>
      </c>
      <c r="TP3" s="9" t="inlineStr">
        <is>
          <t>PX_SETTLE</t>
        </is>
      </c>
      <c r="TQ3" s="9" t="inlineStr">
        <is>
          <t>PX_VOLUME</t>
        </is>
      </c>
      <c r="TR3" s="9" t="inlineStr">
        <is>
          <t>OPEN_INT</t>
        </is>
      </c>
      <c r="TS3" s="9" t="inlineStr">
        <is>
          <t>IVOL_MID</t>
        </is>
      </c>
      <c r="TT3" s="9" t="inlineStr">
        <is>
          <t>IVOL_BID</t>
        </is>
      </c>
      <c r="TU3" s="9" t="inlineStr">
        <is>
          <t>IVOL_ASK</t>
        </is>
      </c>
      <c r="TV3" s="9" t="inlineStr">
        <is>
          <t>DELTA_MID</t>
        </is>
      </c>
      <c r="TW3" s="9" t="inlineStr">
        <is>
          <t>GAMMA_MID</t>
        </is>
      </c>
      <c r="TX3" s="9" t="inlineStr">
        <is>
          <t>VEGA_MID</t>
        </is>
      </c>
      <c r="TY3" s="9" t="inlineStr">
        <is>
          <t>THETA_MID</t>
        </is>
      </c>
      <c r="TZ3" s="9" t="inlineStr">
        <is>
          <t>OPT_UNDL_PX</t>
        </is>
      </c>
      <c r="UB3" s="9" t="inlineStr">
        <is>
          <t>Date</t>
        </is>
      </c>
      <c r="UC3" s="9" t="inlineStr">
        <is>
          <t>PX_BID</t>
        </is>
      </c>
      <c r="UD3" s="9" t="inlineStr">
        <is>
          <t>PX_ASK</t>
        </is>
      </c>
      <c r="UE3" s="9" t="inlineStr">
        <is>
          <t>PX_MID</t>
        </is>
      </c>
      <c r="UF3" s="9" t="inlineStr">
        <is>
          <t>PX_LAST</t>
        </is>
      </c>
      <c r="UG3" s="9" t="inlineStr">
        <is>
          <t>PX_SETTLE</t>
        </is>
      </c>
      <c r="UH3" s="9" t="inlineStr">
        <is>
          <t>PX_VOLUME</t>
        </is>
      </c>
      <c r="UI3" s="9" t="inlineStr">
        <is>
          <t>OPEN_INT</t>
        </is>
      </c>
      <c r="UJ3" s="9" t="inlineStr">
        <is>
          <t>IVOL_MID</t>
        </is>
      </c>
      <c r="UK3" s="9" t="inlineStr">
        <is>
          <t>IVOL_BID</t>
        </is>
      </c>
      <c r="UL3" s="9" t="inlineStr">
        <is>
          <t>IVOL_ASK</t>
        </is>
      </c>
      <c r="UM3" s="9" t="inlineStr">
        <is>
          <t>DELTA_MID</t>
        </is>
      </c>
      <c r="UN3" s="9" t="inlineStr">
        <is>
          <t>GAMMA_MID</t>
        </is>
      </c>
      <c r="UO3" s="9" t="inlineStr">
        <is>
          <t>VEGA_MID</t>
        </is>
      </c>
      <c r="UP3" s="9" t="inlineStr">
        <is>
          <t>THETA_MID</t>
        </is>
      </c>
      <c r="UQ3" s="9" t="inlineStr">
        <is>
          <t>OPT_UNDL_PX</t>
        </is>
      </c>
      <c r="US3" s="9" t="inlineStr">
        <is>
          <t>Date</t>
        </is>
      </c>
      <c r="UT3" s="9" t="inlineStr">
        <is>
          <t>PX_BID</t>
        </is>
      </c>
      <c r="UU3" s="9" t="inlineStr">
        <is>
          <t>PX_ASK</t>
        </is>
      </c>
      <c r="UV3" s="9" t="inlineStr">
        <is>
          <t>PX_MID</t>
        </is>
      </c>
      <c r="UW3" s="9" t="inlineStr">
        <is>
          <t>PX_LAST</t>
        </is>
      </c>
      <c r="UX3" s="9" t="inlineStr">
        <is>
          <t>PX_SETTLE</t>
        </is>
      </c>
      <c r="UY3" s="9" t="inlineStr">
        <is>
          <t>PX_VOLUME</t>
        </is>
      </c>
      <c r="UZ3" s="9" t="inlineStr">
        <is>
          <t>OPEN_INT</t>
        </is>
      </c>
      <c r="VA3" s="9" t="inlineStr">
        <is>
          <t>IVOL_MID</t>
        </is>
      </c>
      <c r="VB3" s="9" t="inlineStr">
        <is>
          <t>IVOL_BID</t>
        </is>
      </c>
      <c r="VC3" s="9" t="inlineStr">
        <is>
          <t>IVOL_ASK</t>
        </is>
      </c>
      <c r="VD3" s="9" t="inlineStr">
        <is>
          <t>DELTA_MID</t>
        </is>
      </c>
      <c r="VE3" s="9" t="inlineStr">
        <is>
          <t>GAMMA_MID</t>
        </is>
      </c>
      <c r="VF3" s="9" t="inlineStr">
        <is>
          <t>VEGA_MID</t>
        </is>
      </c>
      <c r="VG3" s="9" t="inlineStr">
        <is>
          <t>THETA_MID</t>
        </is>
      </c>
      <c r="VH3" s="9" t="inlineStr">
        <is>
          <t>OPT_UNDL_PX</t>
        </is>
      </c>
    </row>
    <row r="4">
      <c r="A4" s="2" t="inlineStr">
        <is>
          <t>Year in ticker</t>
        </is>
      </c>
      <c r="B4" s="4">
        <f>IF(B2&lt;Settings!$B$5,TEXT(MOD(Settings!$B$3,100),"00"),TEXT(MOD(Settings!$B$3,10),"0"))</f>
        <v/>
      </c>
      <c r="D4" s="4">
        <f>BDH(D$1,E$3:S$3,$B$9,$B$10,"Dir=V","Dts=S","Sort=A","Days=T","Fill=B")</f>
        <v/>
      </c>
      <c r="U4" s="4">
        <f>BDH(U$1,V$3:AJ$3,$B$9,$B$10,"Dir=V","Dts=S","Sort=A","Days=T","Fill=B")</f>
        <v/>
      </c>
      <c r="AL4" s="4">
        <f>BDH(AL$1,AM$3:BA$3,$B$9,$B$10,"Dir=V","Dts=S","Sort=A","Days=T","Fill=B")</f>
        <v/>
      </c>
      <c r="BC4" s="4">
        <f>BDH(BC$1,BD$3:BR$3,$B$9,$B$10,"Dir=V","Dts=S","Sort=A","Days=T","Fill=B")</f>
        <v/>
      </c>
      <c r="BT4" s="4">
        <f>BDH(BT$1,BU$3:CI$3,$B$9,$B$10,"Dir=V","Dts=S","Sort=A","Days=T","Fill=B")</f>
        <v/>
      </c>
      <c r="CK4" s="4">
        <f>BDH(CK$1,CL$3:CZ$3,$B$9,$B$10,"Dir=V","Dts=S","Sort=A","Days=T","Fill=B")</f>
        <v/>
      </c>
      <c r="DB4" s="4">
        <f>BDH(DB$1,DC$3:DQ$3,$B$9,$B$10,"Dir=V","Dts=S","Sort=A","Days=T","Fill=B")</f>
        <v/>
      </c>
      <c r="DS4" s="4">
        <f>BDH(DS$1,DT$3:EH$3,$B$9,$B$10,"Dir=V","Dts=S","Sort=A","Days=T","Fill=B")</f>
        <v/>
      </c>
      <c r="EJ4" s="4">
        <f>BDH(EJ$1,EK$3:EY$3,$B$9,$B$10,"Dir=V","Dts=S","Sort=A","Days=T","Fill=B")</f>
        <v/>
      </c>
      <c r="FA4" s="4">
        <f>BDH(FA$1,FB$3:FP$3,$B$9,$B$10,"Dir=V","Dts=S","Sort=A","Days=T","Fill=B")</f>
        <v/>
      </c>
      <c r="FR4" s="4">
        <f>BDH(FR$1,FS$3:GG$3,$B$9,$B$10,"Dir=V","Dts=S","Sort=A","Days=T","Fill=B")</f>
        <v/>
      </c>
      <c r="GI4" s="4">
        <f>BDH(GI$1,GJ$3:GX$3,$B$9,$B$10,"Dir=V","Dts=S","Sort=A","Days=T","Fill=B")</f>
        <v/>
      </c>
      <c r="GZ4" s="4">
        <f>BDH(GZ$1,HA$3:HO$3,$B$9,$B$10,"Dir=V","Dts=S","Sort=A","Days=T","Fill=B")</f>
        <v/>
      </c>
      <c r="HQ4" s="4">
        <f>BDH(HQ$1,HR$3:IF$3,$B$9,$B$10,"Dir=V","Dts=S","Sort=A","Days=T","Fill=B")</f>
        <v/>
      </c>
      <c r="IH4" s="4">
        <f>BDH(IH$1,II$3:IW$3,$B$9,$B$10,"Dir=V","Dts=S","Sort=A","Days=T","Fill=B")</f>
        <v/>
      </c>
      <c r="IY4" s="4">
        <f>BDH(IY$1,IZ$3:JN$3,$B$9,$B$10,"Dir=V","Dts=S","Sort=A","Days=T","Fill=B")</f>
        <v/>
      </c>
      <c r="JP4" s="4">
        <f>BDH(JP$1,JQ$3:KE$3,$B$9,$B$10,"Dir=V","Dts=S","Sort=A","Days=T","Fill=B")</f>
        <v/>
      </c>
      <c r="KG4" s="4">
        <f>BDH(KG$1,KH$3:KV$3,$B$9,$B$10,"Dir=V","Dts=S","Sort=A","Days=T","Fill=B")</f>
        <v/>
      </c>
      <c r="KX4" s="4">
        <f>BDH(KX$1,KY$3:LM$3,$B$9,$B$10,"Dir=V","Dts=S","Sort=A","Days=T","Fill=B")</f>
        <v/>
      </c>
      <c r="LO4" s="4">
        <f>BDH(LO$1,LP$3:MD$3,$B$9,$B$10,"Dir=V","Dts=S","Sort=A","Days=T","Fill=B")</f>
        <v/>
      </c>
      <c r="MF4" s="4">
        <f>BDH(MF$1,MG$3:MU$3,$B$9,$B$10,"Dir=V","Dts=S","Sort=A","Days=T","Fill=B")</f>
        <v/>
      </c>
      <c r="MW4" s="4">
        <f>BDH(MW$1,MX$3:NL$3,$B$9,$B$10,"Dir=V","Dts=S","Sort=A","Days=T","Fill=B")</f>
        <v/>
      </c>
      <c r="NN4" s="4">
        <f>BDH(NN$1,NO$3:OC$3,$B$9,$B$10,"Dir=V","Dts=S","Sort=A","Days=T","Fill=B")</f>
        <v/>
      </c>
      <c r="OE4" s="4">
        <f>BDH(OE$1,OF$3:OT$3,$B$9,$B$10,"Dir=V","Dts=S","Sort=A","Days=T","Fill=B")</f>
        <v/>
      </c>
      <c r="OV4" s="4">
        <f>BDH(OV$1,OW$3:PK$3,$B$9,$B$10,"Dir=V","Dts=S","Sort=A","Days=T","Fill=B")</f>
        <v/>
      </c>
      <c r="PM4" s="4">
        <f>BDH(PM$1,PN$3:QB$3,$B$9,$B$10,"Dir=V","Dts=S","Sort=A","Days=T","Fill=B")</f>
        <v/>
      </c>
      <c r="QD4" s="4">
        <f>BDH(QD$1,QE$3:QS$3,$B$9,$B$10,"Dir=V","Dts=S","Sort=A","Days=T","Fill=B")</f>
        <v/>
      </c>
      <c r="QU4" s="4">
        <f>BDH(QU$1,QV$3:RJ$3,$B$9,$B$10,"Dir=V","Dts=S","Sort=A","Days=T","Fill=B")</f>
        <v/>
      </c>
      <c r="RL4" s="4">
        <f>BDH(RL$1,RM$3:SA$3,$B$9,$B$10,"Dir=V","Dts=S","Sort=A","Days=T","Fill=B")</f>
        <v/>
      </c>
      <c r="SC4" s="4">
        <f>BDH(SC$1,SD$3:SR$3,$B$9,$B$10,"Dir=V","Dts=S","Sort=A","Days=T","Fill=B")</f>
        <v/>
      </c>
      <c r="ST4" s="4">
        <f>BDH(ST$1,SU$3:TI$3,$B$9,$B$10,"Dir=V","Dts=S","Sort=A","Days=T","Fill=B")</f>
        <v/>
      </c>
      <c r="TK4" s="4">
        <f>BDH(TK$1,TL$3:TZ$3,$B$9,$B$10,"Dir=V","Dts=S","Sort=A","Days=T","Fill=B")</f>
        <v/>
      </c>
      <c r="UB4" s="4">
        <f>BDH(UB$1,UC$3:UQ$3,$B$9,$B$10,"Dir=V","Dts=S","Sort=A","Days=T","Fill=B")</f>
        <v/>
      </c>
      <c r="US4" s="4">
        <f>BDH(US$1,UT$3:VH$3,$B$9,$B$10,"Dir=V","Dts=S","Sort=A","Days=T","Fill=B")</f>
        <v/>
      </c>
    </row>
    <row r="5">
      <c r="A5" s="2" t="inlineStr">
        <is>
          <t>Futures ticker</t>
        </is>
      </c>
      <c r="B5" s="4">
        <f>"CL"&amp;MID("FGHJKMNQUVXZ",B1,1)&amp;B4&amp;" Comdty"</f>
        <v/>
      </c>
    </row>
    <row r="6">
      <c r="A6" s="2" t="inlineStr">
        <is>
          <t>Strike reference date</t>
        </is>
      </c>
      <c r="B6" s="8">
        <f>B3-45</f>
        <v/>
      </c>
    </row>
    <row r="7">
      <c r="A7" s="2" t="inlineStr">
        <is>
          <t>Futures price on that date</t>
        </is>
      </c>
      <c r="B7" s="10">
        <f>BDH(B5,"PX_LAST",B6,B6,"Days=A","Fill=P","Dts=H")</f>
        <v/>
      </c>
    </row>
    <row r="8">
      <c r="A8" s="2" t="inlineStr">
        <is>
          <t>ATM strike</t>
        </is>
      </c>
      <c r="B8" s="7">
        <f>ROUND(B7,0)</f>
        <v/>
      </c>
    </row>
    <row r="9">
      <c r="A9" s="2" t="inlineStr">
        <is>
          <t>History start</t>
        </is>
      </c>
      <c r="B9" s="8">
        <f>B3-100</f>
        <v/>
      </c>
    </row>
    <row r="10">
      <c r="A10" s="2" t="inlineStr">
        <is>
          <t>History end</t>
        </is>
      </c>
      <c r="B10" s="8">
        <f>B3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H1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  <col width="12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1" customWidth="1" min="383" max="383"/>
    <col width="11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1" customWidth="1" min="389" max="389"/>
    <col width="11" customWidth="1" min="390" max="390"/>
    <col width="10" customWidth="1" min="391" max="391"/>
    <col width="11" customWidth="1" min="392" max="392"/>
    <col width="13" customWidth="1" min="393" max="393"/>
    <col width="12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1" customWidth="1" min="400" max="400"/>
    <col width="11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1" customWidth="1" min="406" max="406"/>
    <col width="11" customWidth="1" min="407" max="407"/>
    <col width="10" customWidth="1" min="408" max="408"/>
    <col width="11" customWidth="1" min="409" max="409"/>
    <col width="13" customWidth="1" min="410" max="410"/>
    <col width="12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1" customWidth="1" min="417" max="417"/>
    <col width="11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1" customWidth="1" min="423" max="423"/>
    <col width="11" customWidth="1" min="424" max="424"/>
    <col width="10" customWidth="1" min="425" max="425"/>
    <col width="11" customWidth="1" min="426" max="426"/>
    <col width="13" customWidth="1" min="427" max="427"/>
    <col width="12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1" customWidth="1" min="434" max="434"/>
    <col width="11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1" customWidth="1" min="440" max="440"/>
    <col width="11" customWidth="1" min="441" max="441"/>
    <col width="10" customWidth="1" min="442" max="442"/>
    <col width="11" customWidth="1" min="443" max="443"/>
    <col width="13" customWidth="1" min="444" max="444"/>
    <col width="12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1" customWidth="1" min="451" max="451"/>
    <col width="11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1" customWidth="1" min="457" max="457"/>
    <col width="11" customWidth="1" min="458" max="458"/>
    <col width="10" customWidth="1" min="459" max="459"/>
    <col width="11" customWidth="1" min="460" max="460"/>
    <col width="13" customWidth="1" min="461" max="461"/>
    <col width="12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1" customWidth="1" min="468" max="468"/>
    <col width="11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1" customWidth="1" min="474" max="474"/>
    <col width="11" customWidth="1" min="475" max="475"/>
    <col width="10" customWidth="1" min="476" max="476"/>
    <col width="11" customWidth="1" min="477" max="477"/>
    <col width="13" customWidth="1" min="478" max="478"/>
    <col width="12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1" customWidth="1" min="485" max="485"/>
    <col width="11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1" customWidth="1" min="491" max="491"/>
    <col width="11" customWidth="1" min="492" max="492"/>
    <col width="10" customWidth="1" min="493" max="493"/>
    <col width="11" customWidth="1" min="494" max="494"/>
    <col width="13" customWidth="1" min="495" max="495"/>
    <col width="12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1" customWidth="1" min="502" max="502"/>
    <col width="11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1" customWidth="1" min="508" max="508"/>
    <col width="11" customWidth="1" min="509" max="509"/>
    <col width="10" customWidth="1" min="510" max="510"/>
    <col width="11" customWidth="1" min="511" max="511"/>
    <col width="13" customWidth="1" min="512" max="512"/>
    <col width="12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1" customWidth="1" min="519" max="519"/>
    <col width="11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1" customWidth="1" min="525" max="525"/>
    <col width="11" customWidth="1" min="526" max="526"/>
    <col width="10" customWidth="1" min="527" max="527"/>
    <col width="11" customWidth="1" min="528" max="528"/>
    <col width="13" customWidth="1" min="529" max="529"/>
    <col width="12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1" customWidth="1" min="536" max="536"/>
    <col width="11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1" customWidth="1" min="542" max="542"/>
    <col width="11" customWidth="1" min="543" max="543"/>
    <col width="10" customWidth="1" min="544" max="544"/>
    <col width="11" customWidth="1" min="545" max="545"/>
    <col width="13" customWidth="1" min="546" max="546"/>
    <col width="12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1" customWidth="1" min="553" max="553"/>
    <col width="11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1" customWidth="1" min="559" max="559"/>
    <col width="11" customWidth="1" min="560" max="560"/>
    <col width="10" customWidth="1" min="561" max="561"/>
    <col width="11" customWidth="1" min="562" max="562"/>
    <col width="13" customWidth="1" min="563" max="563"/>
    <col width="12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1" customWidth="1" min="570" max="570"/>
    <col width="11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1" customWidth="1" min="576" max="576"/>
    <col width="11" customWidth="1" min="577" max="577"/>
    <col width="10" customWidth="1" min="578" max="578"/>
    <col width="11" customWidth="1" min="579" max="579"/>
    <col width="13" customWidth="1" min="580" max="580"/>
  </cols>
  <sheetData>
    <row r="1">
      <c r="A1" s="2" t="inlineStr">
        <is>
          <t>Contract month</t>
        </is>
      </c>
      <c r="B1" s="7" t="n">
        <v>5</v>
      </c>
      <c r="D1" s="4">
        <f>"CL"&amp;MID("FGHJKMNQUVXZ",B$1,1)&amp;B$4&amp;"C "&amp;IF(Settings!$B$4=2,TEXT((B$8-8),"0.00"),(B$8-8))&amp;" Comdty"</f>
        <v/>
      </c>
      <c r="U1" s="4">
        <f>"CL"&amp;MID("FGHJKMNQUVXZ",B$1,1)&amp;B$4&amp;"P "&amp;IF(Settings!$B$4=2,TEXT((B$8-8),"0.00"),(B$8-8))&amp;" Comdty"</f>
        <v/>
      </c>
      <c r="AL1" s="4">
        <f>"CL"&amp;MID("FGHJKMNQUVXZ",B$1,1)&amp;B$4&amp;"C "&amp;IF(Settings!$B$4=2,TEXT((B$8-7),"0.00"),(B$8-7))&amp;" Comdty"</f>
        <v/>
      </c>
      <c r="BC1" s="4">
        <f>"CL"&amp;MID("FGHJKMNQUVXZ",B$1,1)&amp;B$4&amp;"P "&amp;IF(Settings!$B$4=2,TEXT((B$8-7),"0.00"),(B$8-7))&amp;" Comdty"</f>
        <v/>
      </c>
      <c r="BT1" s="4">
        <f>"CL"&amp;MID("FGHJKMNQUVXZ",B$1,1)&amp;B$4&amp;"C "&amp;IF(Settings!$B$4=2,TEXT((B$8-6),"0.00"),(B$8-6))&amp;" Comdty"</f>
        <v/>
      </c>
      <c r="CK1" s="4">
        <f>"CL"&amp;MID("FGHJKMNQUVXZ",B$1,1)&amp;B$4&amp;"P "&amp;IF(Settings!$B$4=2,TEXT((B$8-6),"0.00"),(B$8-6))&amp;" Comdty"</f>
        <v/>
      </c>
      <c r="DB1" s="4">
        <f>"CL"&amp;MID("FGHJKMNQUVXZ",B$1,1)&amp;B$4&amp;"C "&amp;IF(Settings!$B$4=2,TEXT((B$8-5),"0.00"),(B$8-5))&amp;" Comdty"</f>
        <v/>
      </c>
      <c r="DS1" s="4">
        <f>"CL"&amp;MID("FGHJKMNQUVXZ",B$1,1)&amp;B$4&amp;"P "&amp;IF(Settings!$B$4=2,TEXT((B$8-5),"0.00"),(B$8-5))&amp;" Comdty"</f>
        <v/>
      </c>
      <c r="EJ1" s="4">
        <f>"CL"&amp;MID("FGHJKMNQUVXZ",B$1,1)&amp;B$4&amp;"C "&amp;IF(Settings!$B$4=2,TEXT((B$8-4),"0.00"),(B$8-4))&amp;" Comdty"</f>
        <v/>
      </c>
      <c r="FA1" s="4">
        <f>"CL"&amp;MID("FGHJKMNQUVXZ",B$1,1)&amp;B$4&amp;"P "&amp;IF(Settings!$B$4=2,TEXT((B$8-4),"0.00"),(B$8-4))&amp;" Comdty"</f>
        <v/>
      </c>
      <c r="FR1" s="4">
        <f>"CL"&amp;MID("FGHJKMNQUVXZ",B$1,1)&amp;B$4&amp;"C "&amp;IF(Settings!$B$4=2,TEXT((B$8-3),"0.00"),(B$8-3))&amp;" Comdty"</f>
        <v/>
      </c>
      <c r="GI1" s="4">
        <f>"CL"&amp;MID("FGHJKMNQUVXZ",B$1,1)&amp;B$4&amp;"P "&amp;IF(Settings!$B$4=2,TEXT((B$8-3),"0.00"),(B$8-3))&amp;" Comdty"</f>
        <v/>
      </c>
      <c r="GZ1" s="4">
        <f>"CL"&amp;MID("FGHJKMNQUVXZ",B$1,1)&amp;B$4&amp;"C "&amp;IF(Settings!$B$4=2,TEXT((B$8-2),"0.00"),(B$8-2))&amp;" Comdty"</f>
        <v/>
      </c>
      <c r="HQ1" s="4">
        <f>"CL"&amp;MID("FGHJKMNQUVXZ",B$1,1)&amp;B$4&amp;"P "&amp;IF(Settings!$B$4=2,TEXT((B$8-2),"0.00"),(B$8-2))&amp;" Comdty"</f>
        <v/>
      </c>
      <c r="IH1" s="4">
        <f>"CL"&amp;MID("FGHJKMNQUVXZ",B$1,1)&amp;B$4&amp;"C "&amp;IF(Settings!$B$4=2,TEXT((B$8-1),"0.00"),(B$8-1))&amp;" Comdty"</f>
        <v/>
      </c>
      <c r="IY1" s="4">
        <f>"CL"&amp;MID("FGHJKMNQUVXZ",B$1,1)&amp;B$4&amp;"P "&amp;IF(Settings!$B$4=2,TEXT((B$8-1),"0.00"),(B$8-1))&amp;" Comdty"</f>
        <v/>
      </c>
      <c r="JP1" s="4">
        <f>"CL"&amp;MID("FGHJKMNQUVXZ",B$1,1)&amp;B$4&amp;"C "&amp;IF(Settings!$B$4=2,TEXT(B$8,"0.00"),B$8)&amp;" Comdty"</f>
        <v/>
      </c>
      <c r="KG1" s="4">
        <f>"CL"&amp;MID("FGHJKMNQUVXZ",B$1,1)&amp;B$4&amp;"P "&amp;IF(Settings!$B$4=2,TEXT(B$8,"0.00"),B$8)&amp;" Comdty"</f>
        <v/>
      </c>
      <c r="KX1" s="4">
        <f>"CL"&amp;MID("FGHJKMNQUVXZ",B$1,1)&amp;B$4&amp;"C "&amp;IF(Settings!$B$4=2,TEXT((B$8+1),"0.00"),(B$8+1))&amp;" Comdty"</f>
        <v/>
      </c>
      <c r="LO1" s="4">
        <f>"CL"&amp;MID("FGHJKMNQUVXZ",B$1,1)&amp;B$4&amp;"P "&amp;IF(Settings!$B$4=2,TEXT((B$8+1),"0.00"),(B$8+1))&amp;" Comdty"</f>
        <v/>
      </c>
      <c r="MF1" s="4">
        <f>"CL"&amp;MID("FGHJKMNQUVXZ",B$1,1)&amp;B$4&amp;"C "&amp;IF(Settings!$B$4=2,TEXT((B$8+2),"0.00"),(B$8+2))&amp;" Comdty"</f>
        <v/>
      </c>
      <c r="MW1" s="4">
        <f>"CL"&amp;MID("FGHJKMNQUVXZ",B$1,1)&amp;B$4&amp;"P "&amp;IF(Settings!$B$4=2,TEXT((B$8+2),"0.00"),(B$8+2))&amp;" Comdty"</f>
        <v/>
      </c>
      <c r="NN1" s="4">
        <f>"CL"&amp;MID("FGHJKMNQUVXZ",B$1,1)&amp;B$4&amp;"C "&amp;IF(Settings!$B$4=2,TEXT((B$8+3),"0.00"),(B$8+3))&amp;" Comdty"</f>
        <v/>
      </c>
      <c r="OE1" s="4">
        <f>"CL"&amp;MID("FGHJKMNQUVXZ",B$1,1)&amp;B$4&amp;"P "&amp;IF(Settings!$B$4=2,TEXT((B$8+3),"0.00"),(B$8+3))&amp;" Comdty"</f>
        <v/>
      </c>
      <c r="OV1" s="4">
        <f>"CL"&amp;MID("FGHJKMNQUVXZ",B$1,1)&amp;B$4&amp;"C "&amp;IF(Settings!$B$4=2,TEXT((B$8+4),"0.00"),(B$8+4))&amp;" Comdty"</f>
        <v/>
      </c>
      <c r="PM1" s="4">
        <f>"CL"&amp;MID("FGHJKMNQUVXZ",B$1,1)&amp;B$4&amp;"P "&amp;IF(Settings!$B$4=2,TEXT((B$8+4),"0.00"),(B$8+4))&amp;" Comdty"</f>
        <v/>
      </c>
      <c r="QD1" s="4">
        <f>"CL"&amp;MID("FGHJKMNQUVXZ",B$1,1)&amp;B$4&amp;"C "&amp;IF(Settings!$B$4=2,TEXT((B$8+5),"0.00"),(B$8+5))&amp;" Comdty"</f>
        <v/>
      </c>
      <c r="QU1" s="4">
        <f>"CL"&amp;MID("FGHJKMNQUVXZ",B$1,1)&amp;B$4&amp;"P "&amp;IF(Settings!$B$4=2,TEXT((B$8+5),"0.00"),(B$8+5))&amp;" Comdty"</f>
        <v/>
      </c>
      <c r="RL1" s="4">
        <f>"CL"&amp;MID("FGHJKMNQUVXZ",B$1,1)&amp;B$4&amp;"C "&amp;IF(Settings!$B$4=2,TEXT((B$8+6),"0.00"),(B$8+6))&amp;" Comdty"</f>
        <v/>
      </c>
      <c r="SC1" s="4">
        <f>"CL"&amp;MID("FGHJKMNQUVXZ",B$1,1)&amp;B$4&amp;"P "&amp;IF(Settings!$B$4=2,TEXT((B$8+6),"0.00"),(B$8+6))&amp;" Comdty"</f>
        <v/>
      </c>
      <c r="ST1" s="4">
        <f>"CL"&amp;MID("FGHJKMNQUVXZ",B$1,1)&amp;B$4&amp;"C "&amp;IF(Settings!$B$4=2,TEXT((B$8+7),"0.00"),(B$8+7))&amp;" Comdty"</f>
        <v/>
      </c>
      <c r="TK1" s="4">
        <f>"CL"&amp;MID("FGHJKMNQUVXZ",B$1,1)&amp;B$4&amp;"P "&amp;IF(Settings!$B$4=2,TEXT((B$8+7),"0.00"),(B$8+7))&amp;" Comdty"</f>
        <v/>
      </c>
      <c r="UB1" s="4">
        <f>"CL"&amp;MID("FGHJKMNQUVXZ",B$1,1)&amp;B$4&amp;"C "&amp;IF(Settings!$B$4=2,TEXT((B$8+8),"0.00"),(B$8+8))&amp;" Comdty"</f>
        <v/>
      </c>
      <c r="US1" s="4">
        <f>"CL"&amp;MID("FGHJKMNQUVXZ",B$1,1)&amp;B$4&amp;"P "&amp;IF(Settings!$B$4=2,TEXT((B$8+8),"0.00"),(B$8+8))&amp;" Comdty"</f>
        <v/>
      </c>
    </row>
    <row r="2">
      <c r="A2" s="2" t="inlineStr">
        <is>
          <t>Futures last trade</t>
        </is>
      </c>
      <c r="B2" s="8">
        <f>WORKDAY(DATE(Settings!$B$3,B1-1,25),-3)</f>
        <v/>
      </c>
      <c r="D2" s="4" t="inlineStr">
        <is>
          <t>call -8 from ATM</t>
        </is>
      </c>
      <c r="U2" s="4" t="inlineStr">
        <is>
          <t>put -8 from ATM</t>
        </is>
      </c>
      <c r="AL2" s="4" t="inlineStr">
        <is>
          <t>call -7 from ATM</t>
        </is>
      </c>
      <c r="BC2" s="4" t="inlineStr">
        <is>
          <t>put -7 from ATM</t>
        </is>
      </c>
      <c r="BT2" s="4" t="inlineStr">
        <is>
          <t>call -6 from ATM</t>
        </is>
      </c>
      <c r="CK2" s="4" t="inlineStr">
        <is>
          <t>put -6 from ATM</t>
        </is>
      </c>
      <c r="DB2" s="4" t="inlineStr">
        <is>
          <t>call -5 from ATM</t>
        </is>
      </c>
      <c r="DS2" s="4" t="inlineStr">
        <is>
          <t>put -5 from ATM</t>
        </is>
      </c>
      <c r="EJ2" s="4" t="inlineStr">
        <is>
          <t>call -4 from ATM</t>
        </is>
      </c>
      <c r="FA2" s="4" t="inlineStr">
        <is>
          <t>put -4 from ATM</t>
        </is>
      </c>
      <c r="FR2" s="4" t="inlineStr">
        <is>
          <t>call -3 from ATM</t>
        </is>
      </c>
      <c r="GI2" s="4" t="inlineStr">
        <is>
          <t>put -3 from ATM</t>
        </is>
      </c>
      <c r="GZ2" s="4" t="inlineStr">
        <is>
          <t>call -2 from ATM</t>
        </is>
      </c>
      <c r="HQ2" s="4" t="inlineStr">
        <is>
          <t>put -2 from ATM</t>
        </is>
      </c>
      <c r="IH2" s="4" t="inlineStr">
        <is>
          <t>call -1 from ATM</t>
        </is>
      </c>
      <c r="IY2" s="4" t="inlineStr">
        <is>
          <t>put -1 from ATM</t>
        </is>
      </c>
      <c r="JP2" s="4" t="inlineStr">
        <is>
          <t>call +0 from ATM</t>
        </is>
      </c>
      <c r="KG2" s="4" t="inlineStr">
        <is>
          <t>put +0 from ATM</t>
        </is>
      </c>
      <c r="KX2" s="4" t="inlineStr">
        <is>
          <t>call +1 from ATM</t>
        </is>
      </c>
      <c r="LO2" s="4" t="inlineStr">
        <is>
          <t>put +1 from ATM</t>
        </is>
      </c>
      <c r="MF2" s="4" t="inlineStr">
        <is>
          <t>call +2 from ATM</t>
        </is>
      </c>
      <c r="MW2" s="4" t="inlineStr">
        <is>
          <t>put +2 from ATM</t>
        </is>
      </c>
      <c r="NN2" s="4" t="inlineStr">
        <is>
          <t>call +3 from ATM</t>
        </is>
      </c>
      <c r="OE2" s="4" t="inlineStr">
        <is>
          <t>put +3 from ATM</t>
        </is>
      </c>
      <c r="OV2" s="4" t="inlineStr">
        <is>
          <t>call +4 from ATM</t>
        </is>
      </c>
      <c r="PM2" s="4" t="inlineStr">
        <is>
          <t>put +4 from ATM</t>
        </is>
      </c>
      <c r="QD2" s="4" t="inlineStr">
        <is>
          <t>call +5 from ATM</t>
        </is>
      </c>
      <c r="QU2" s="4" t="inlineStr">
        <is>
          <t>put +5 from ATM</t>
        </is>
      </c>
      <c r="RL2" s="4" t="inlineStr">
        <is>
          <t>call +6 from ATM</t>
        </is>
      </c>
      <c r="SC2" s="4" t="inlineStr">
        <is>
          <t>put +6 from ATM</t>
        </is>
      </c>
      <c r="ST2" s="4" t="inlineStr">
        <is>
          <t>call +7 from ATM</t>
        </is>
      </c>
      <c r="TK2" s="4" t="inlineStr">
        <is>
          <t>put +7 from ATM</t>
        </is>
      </c>
      <c r="UB2" s="4" t="inlineStr">
        <is>
          <t>call +8 from ATM</t>
        </is>
      </c>
      <c r="US2" s="4" t="inlineStr">
        <is>
          <t>put +8 from ATM</t>
        </is>
      </c>
    </row>
    <row r="3">
      <c r="A3" s="2" t="inlineStr">
        <is>
          <t>Option expiry (approx)</t>
        </is>
      </c>
      <c r="B3" s="8">
        <f>WORKDAY(B2,-1)</f>
        <v/>
      </c>
      <c r="D3" s="9" t="inlineStr">
        <is>
          <t>Date</t>
        </is>
      </c>
      <c r="E3" s="9" t="inlineStr">
        <is>
          <t>PX_BID</t>
        </is>
      </c>
      <c r="F3" s="9" t="inlineStr">
        <is>
          <t>PX_ASK</t>
        </is>
      </c>
      <c r="G3" s="9" t="inlineStr">
        <is>
          <t>PX_MID</t>
        </is>
      </c>
      <c r="H3" s="9" t="inlineStr">
        <is>
          <t>PX_LAST</t>
        </is>
      </c>
      <c r="I3" s="9" t="inlineStr">
        <is>
          <t>PX_SETTLE</t>
        </is>
      </c>
      <c r="J3" s="9" t="inlineStr">
        <is>
          <t>PX_VOLUME</t>
        </is>
      </c>
      <c r="K3" s="9" t="inlineStr">
        <is>
          <t>OPEN_INT</t>
        </is>
      </c>
      <c r="L3" s="9" t="inlineStr">
        <is>
          <t>IVOL_MID</t>
        </is>
      </c>
      <c r="M3" s="9" t="inlineStr">
        <is>
          <t>IVOL_BID</t>
        </is>
      </c>
      <c r="N3" s="9" t="inlineStr">
        <is>
          <t>IVOL_ASK</t>
        </is>
      </c>
      <c r="O3" s="9" t="inlineStr">
        <is>
          <t>DELTA_MID</t>
        </is>
      </c>
      <c r="P3" s="9" t="inlineStr">
        <is>
          <t>GAMMA_MID</t>
        </is>
      </c>
      <c r="Q3" s="9" t="inlineStr">
        <is>
          <t>VEGA_MID</t>
        </is>
      </c>
      <c r="R3" s="9" t="inlineStr">
        <is>
          <t>THETA_MID</t>
        </is>
      </c>
      <c r="S3" s="9" t="inlineStr">
        <is>
          <t>OPT_UNDL_PX</t>
        </is>
      </c>
      <c r="U3" s="9" t="inlineStr">
        <is>
          <t>Date</t>
        </is>
      </c>
      <c r="V3" s="9" t="inlineStr">
        <is>
          <t>PX_BID</t>
        </is>
      </c>
      <c r="W3" s="9" t="inlineStr">
        <is>
          <t>PX_ASK</t>
        </is>
      </c>
      <c r="X3" s="9" t="inlineStr">
        <is>
          <t>PX_MID</t>
        </is>
      </c>
      <c r="Y3" s="9" t="inlineStr">
        <is>
          <t>PX_LAST</t>
        </is>
      </c>
      <c r="Z3" s="9" t="inlineStr">
        <is>
          <t>PX_SETTLE</t>
        </is>
      </c>
      <c r="AA3" s="9" t="inlineStr">
        <is>
          <t>PX_VOLUME</t>
        </is>
      </c>
      <c r="AB3" s="9" t="inlineStr">
        <is>
          <t>OPEN_INT</t>
        </is>
      </c>
      <c r="AC3" s="9" t="inlineStr">
        <is>
          <t>IVOL_MID</t>
        </is>
      </c>
      <c r="AD3" s="9" t="inlineStr">
        <is>
          <t>IVOL_BID</t>
        </is>
      </c>
      <c r="AE3" s="9" t="inlineStr">
        <is>
          <t>IVOL_ASK</t>
        </is>
      </c>
      <c r="AF3" s="9" t="inlineStr">
        <is>
          <t>DELTA_MID</t>
        </is>
      </c>
      <c r="AG3" s="9" t="inlineStr">
        <is>
          <t>GAMMA_MID</t>
        </is>
      </c>
      <c r="AH3" s="9" t="inlineStr">
        <is>
          <t>VEGA_MID</t>
        </is>
      </c>
      <c r="AI3" s="9" t="inlineStr">
        <is>
          <t>THETA_MID</t>
        </is>
      </c>
      <c r="AJ3" s="9" t="inlineStr">
        <is>
          <t>OPT_UNDL_PX</t>
        </is>
      </c>
      <c r="AL3" s="9" t="inlineStr">
        <is>
          <t>Date</t>
        </is>
      </c>
      <c r="AM3" s="9" t="inlineStr">
        <is>
          <t>PX_BID</t>
        </is>
      </c>
      <c r="AN3" s="9" t="inlineStr">
        <is>
          <t>PX_ASK</t>
        </is>
      </c>
      <c r="AO3" s="9" t="inlineStr">
        <is>
          <t>PX_MID</t>
        </is>
      </c>
      <c r="AP3" s="9" t="inlineStr">
        <is>
          <t>PX_LAST</t>
        </is>
      </c>
      <c r="AQ3" s="9" t="inlineStr">
        <is>
          <t>PX_SETTLE</t>
        </is>
      </c>
      <c r="AR3" s="9" t="inlineStr">
        <is>
          <t>PX_VOLUME</t>
        </is>
      </c>
      <c r="AS3" s="9" t="inlineStr">
        <is>
          <t>OPEN_INT</t>
        </is>
      </c>
      <c r="AT3" s="9" t="inlineStr">
        <is>
          <t>IVOL_MID</t>
        </is>
      </c>
      <c r="AU3" s="9" t="inlineStr">
        <is>
          <t>IVOL_BID</t>
        </is>
      </c>
      <c r="AV3" s="9" t="inlineStr">
        <is>
          <t>IVOL_ASK</t>
        </is>
      </c>
      <c r="AW3" s="9" t="inlineStr">
        <is>
          <t>DELTA_MID</t>
        </is>
      </c>
      <c r="AX3" s="9" t="inlineStr">
        <is>
          <t>GAMMA_MID</t>
        </is>
      </c>
      <c r="AY3" s="9" t="inlineStr">
        <is>
          <t>VEGA_MID</t>
        </is>
      </c>
      <c r="AZ3" s="9" t="inlineStr">
        <is>
          <t>THETA_MID</t>
        </is>
      </c>
      <c r="BA3" s="9" t="inlineStr">
        <is>
          <t>OPT_UNDL_PX</t>
        </is>
      </c>
      <c r="BC3" s="9" t="inlineStr">
        <is>
          <t>Date</t>
        </is>
      </c>
      <c r="BD3" s="9" t="inlineStr">
        <is>
          <t>PX_BID</t>
        </is>
      </c>
      <c r="BE3" s="9" t="inlineStr">
        <is>
          <t>PX_ASK</t>
        </is>
      </c>
      <c r="BF3" s="9" t="inlineStr">
        <is>
          <t>PX_MID</t>
        </is>
      </c>
      <c r="BG3" s="9" t="inlineStr">
        <is>
          <t>PX_LAST</t>
        </is>
      </c>
      <c r="BH3" s="9" t="inlineStr">
        <is>
          <t>PX_SETTLE</t>
        </is>
      </c>
      <c r="BI3" s="9" t="inlineStr">
        <is>
          <t>PX_VOLUME</t>
        </is>
      </c>
      <c r="BJ3" s="9" t="inlineStr">
        <is>
          <t>OPEN_INT</t>
        </is>
      </c>
      <c r="BK3" s="9" t="inlineStr">
        <is>
          <t>IVOL_MID</t>
        </is>
      </c>
      <c r="BL3" s="9" t="inlineStr">
        <is>
          <t>IVOL_BID</t>
        </is>
      </c>
      <c r="BM3" s="9" t="inlineStr">
        <is>
          <t>IVOL_ASK</t>
        </is>
      </c>
      <c r="BN3" s="9" t="inlineStr">
        <is>
          <t>DELTA_MID</t>
        </is>
      </c>
      <c r="BO3" s="9" t="inlineStr">
        <is>
          <t>GAMMA_MID</t>
        </is>
      </c>
      <c r="BP3" s="9" t="inlineStr">
        <is>
          <t>VEGA_MID</t>
        </is>
      </c>
      <c r="BQ3" s="9" t="inlineStr">
        <is>
          <t>THETA_MID</t>
        </is>
      </c>
      <c r="BR3" s="9" t="inlineStr">
        <is>
          <t>OPT_UNDL_PX</t>
        </is>
      </c>
      <c r="BT3" s="9" t="inlineStr">
        <is>
          <t>Date</t>
        </is>
      </c>
      <c r="BU3" s="9" t="inlineStr">
        <is>
          <t>PX_BID</t>
        </is>
      </c>
      <c r="BV3" s="9" t="inlineStr">
        <is>
          <t>PX_ASK</t>
        </is>
      </c>
      <c r="BW3" s="9" t="inlineStr">
        <is>
          <t>PX_MID</t>
        </is>
      </c>
      <c r="BX3" s="9" t="inlineStr">
        <is>
          <t>PX_LAST</t>
        </is>
      </c>
      <c r="BY3" s="9" t="inlineStr">
        <is>
          <t>PX_SETTLE</t>
        </is>
      </c>
      <c r="BZ3" s="9" t="inlineStr">
        <is>
          <t>PX_VOLUME</t>
        </is>
      </c>
      <c r="CA3" s="9" t="inlineStr">
        <is>
          <t>OPEN_INT</t>
        </is>
      </c>
      <c r="CB3" s="9" t="inlineStr">
        <is>
          <t>IVOL_MID</t>
        </is>
      </c>
      <c r="CC3" s="9" t="inlineStr">
        <is>
          <t>IVOL_BID</t>
        </is>
      </c>
      <c r="CD3" s="9" t="inlineStr">
        <is>
          <t>IVOL_ASK</t>
        </is>
      </c>
      <c r="CE3" s="9" t="inlineStr">
        <is>
          <t>DELTA_MID</t>
        </is>
      </c>
      <c r="CF3" s="9" t="inlineStr">
        <is>
          <t>GAMMA_MID</t>
        </is>
      </c>
      <c r="CG3" s="9" t="inlineStr">
        <is>
          <t>VEGA_MID</t>
        </is>
      </c>
      <c r="CH3" s="9" t="inlineStr">
        <is>
          <t>THETA_MID</t>
        </is>
      </c>
      <c r="CI3" s="9" t="inlineStr">
        <is>
          <t>OPT_UNDL_PX</t>
        </is>
      </c>
      <c r="CK3" s="9" t="inlineStr">
        <is>
          <t>Date</t>
        </is>
      </c>
      <c r="CL3" s="9" t="inlineStr">
        <is>
          <t>PX_BID</t>
        </is>
      </c>
      <c r="CM3" s="9" t="inlineStr">
        <is>
          <t>PX_ASK</t>
        </is>
      </c>
      <c r="CN3" s="9" t="inlineStr">
        <is>
          <t>PX_MID</t>
        </is>
      </c>
      <c r="CO3" s="9" t="inlineStr">
        <is>
          <t>PX_LAST</t>
        </is>
      </c>
      <c r="CP3" s="9" t="inlineStr">
        <is>
          <t>PX_SETTLE</t>
        </is>
      </c>
      <c r="CQ3" s="9" t="inlineStr">
        <is>
          <t>PX_VOLUME</t>
        </is>
      </c>
      <c r="CR3" s="9" t="inlineStr">
        <is>
          <t>OPEN_INT</t>
        </is>
      </c>
      <c r="CS3" s="9" t="inlineStr">
        <is>
          <t>IVOL_MID</t>
        </is>
      </c>
      <c r="CT3" s="9" t="inlineStr">
        <is>
          <t>IVOL_BID</t>
        </is>
      </c>
      <c r="CU3" s="9" t="inlineStr">
        <is>
          <t>IVOL_ASK</t>
        </is>
      </c>
      <c r="CV3" s="9" t="inlineStr">
        <is>
          <t>DELTA_MID</t>
        </is>
      </c>
      <c r="CW3" s="9" t="inlineStr">
        <is>
          <t>GAMMA_MID</t>
        </is>
      </c>
      <c r="CX3" s="9" t="inlineStr">
        <is>
          <t>VEGA_MID</t>
        </is>
      </c>
      <c r="CY3" s="9" t="inlineStr">
        <is>
          <t>THETA_MID</t>
        </is>
      </c>
      <c r="CZ3" s="9" t="inlineStr">
        <is>
          <t>OPT_UNDL_PX</t>
        </is>
      </c>
      <c r="DB3" s="9" t="inlineStr">
        <is>
          <t>Date</t>
        </is>
      </c>
      <c r="DC3" s="9" t="inlineStr">
        <is>
          <t>PX_BID</t>
        </is>
      </c>
      <c r="DD3" s="9" t="inlineStr">
        <is>
          <t>PX_ASK</t>
        </is>
      </c>
      <c r="DE3" s="9" t="inlineStr">
        <is>
          <t>PX_MID</t>
        </is>
      </c>
      <c r="DF3" s="9" t="inlineStr">
        <is>
          <t>PX_LAST</t>
        </is>
      </c>
      <c r="DG3" s="9" t="inlineStr">
        <is>
          <t>PX_SETTLE</t>
        </is>
      </c>
      <c r="DH3" s="9" t="inlineStr">
        <is>
          <t>PX_VOLUME</t>
        </is>
      </c>
      <c r="DI3" s="9" t="inlineStr">
        <is>
          <t>OPEN_INT</t>
        </is>
      </c>
      <c r="DJ3" s="9" t="inlineStr">
        <is>
          <t>IVOL_MID</t>
        </is>
      </c>
      <c r="DK3" s="9" t="inlineStr">
        <is>
          <t>IVOL_BID</t>
        </is>
      </c>
      <c r="DL3" s="9" t="inlineStr">
        <is>
          <t>IVOL_ASK</t>
        </is>
      </c>
      <c r="DM3" s="9" t="inlineStr">
        <is>
          <t>DELTA_MID</t>
        </is>
      </c>
      <c r="DN3" s="9" t="inlineStr">
        <is>
          <t>GAMMA_MID</t>
        </is>
      </c>
      <c r="DO3" s="9" t="inlineStr">
        <is>
          <t>VEGA_MID</t>
        </is>
      </c>
      <c r="DP3" s="9" t="inlineStr">
        <is>
          <t>THETA_MID</t>
        </is>
      </c>
      <c r="DQ3" s="9" t="inlineStr">
        <is>
          <t>OPT_UNDL_PX</t>
        </is>
      </c>
      <c r="DS3" s="9" t="inlineStr">
        <is>
          <t>Date</t>
        </is>
      </c>
      <c r="DT3" s="9" t="inlineStr">
        <is>
          <t>PX_BID</t>
        </is>
      </c>
      <c r="DU3" s="9" t="inlineStr">
        <is>
          <t>PX_ASK</t>
        </is>
      </c>
      <c r="DV3" s="9" t="inlineStr">
        <is>
          <t>PX_MID</t>
        </is>
      </c>
      <c r="DW3" s="9" t="inlineStr">
        <is>
          <t>PX_LAST</t>
        </is>
      </c>
      <c r="DX3" s="9" t="inlineStr">
        <is>
          <t>PX_SETTLE</t>
        </is>
      </c>
      <c r="DY3" s="9" t="inlineStr">
        <is>
          <t>PX_VOLUME</t>
        </is>
      </c>
      <c r="DZ3" s="9" t="inlineStr">
        <is>
          <t>OPEN_INT</t>
        </is>
      </c>
      <c r="EA3" s="9" t="inlineStr">
        <is>
          <t>IVOL_MID</t>
        </is>
      </c>
      <c r="EB3" s="9" t="inlineStr">
        <is>
          <t>IVOL_BID</t>
        </is>
      </c>
      <c r="EC3" s="9" t="inlineStr">
        <is>
          <t>IVOL_ASK</t>
        </is>
      </c>
      <c r="ED3" s="9" t="inlineStr">
        <is>
          <t>DELTA_MID</t>
        </is>
      </c>
      <c r="EE3" s="9" t="inlineStr">
        <is>
          <t>GAMMA_MID</t>
        </is>
      </c>
      <c r="EF3" s="9" t="inlineStr">
        <is>
          <t>VEGA_MID</t>
        </is>
      </c>
      <c r="EG3" s="9" t="inlineStr">
        <is>
          <t>THETA_MID</t>
        </is>
      </c>
      <c r="EH3" s="9" t="inlineStr">
        <is>
          <t>OPT_UNDL_PX</t>
        </is>
      </c>
      <c r="EJ3" s="9" t="inlineStr">
        <is>
          <t>Date</t>
        </is>
      </c>
      <c r="EK3" s="9" t="inlineStr">
        <is>
          <t>PX_BID</t>
        </is>
      </c>
      <c r="EL3" s="9" t="inlineStr">
        <is>
          <t>PX_ASK</t>
        </is>
      </c>
      <c r="EM3" s="9" t="inlineStr">
        <is>
          <t>PX_MID</t>
        </is>
      </c>
      <c r="EN3" s="9" t="inlineStr">
        <is>
          <t>PX_LAST</t>
        </is>
      </c>
      <c r="EO3" s="9" t="inlineStr">
        <is>
          <t>PX_SETTLE</t>
        </is>
      </c>
      <c r="EP3" s="9" t="inlineStr">
        <is>
          <t>PX_VOLUME</t>
        </is>
      </c>
      <c r="EQ3" s="9" t="inlineStr">
        <is>
          <t>OPEN_INT</t>
        </is>
      </c>
      <c r="ER3" s="9" t="inlineStr">
        <is>
          <t>IVOL_MID</t>
        </is>
      </c>
      <c r="ES3" s="9" t="inlineStr">
        <is>
          <t>IVOL_BID</t>
        </is>
      </c>
      <c r="ET3" s="9" t="inlineStr">
        <is>
          <t>IVOL_ASK</t>
        </is>
      </c>
      <c r="EU3" s="9" t="inlineStr">
        <is>
          <t>DELTA_MID</t>
        </is>
      </c>
      <c r="EV3" s="9" t="inlineStr">
        <is>
          <t>GAMMA_MID</t>
        </is>
      </c>
      <c r="EW3" s="9" t="inlineStr">
        <is>
          <t>VEGA_MID</t>
        </is>
      </c>
      <c r="EX3" s="9" t="inlineStr">
        <is>
          <t>THETA_MID</t>
        </is>
      </c>
      <c r="EY3" s="9" t="inlineStr">
        <is>
          <t>OPT_UNDL_PX</t>
        </is>
      </c>
      <c r="FA3" s="9" t="inlineStr">
        <is>
          <t>Date</t>
        </is>
      </c>
      <c r="FB3" s="9" t="inlineStr">
        <is>
          <t>PX_BID</t>
        </is>
      </c>
      <c r="FC3" s="9" t="inlineStr">
        <is>
          <t>PX_ASK</t>
        </is>
      </c>
      <c r="FD3" s="9" t="inlineStr">
        <is>
          <t>PX_MID</t>
        </is>
      </c>
      <c r="FE3" s="9" t="inlineStr">
        <is>
          <t>PX_LAST</t>
        </is>
      </c>
      <c r="FF3" s="9" t="inlineStr">
        <is>
          <t>PX_SETTLE</t>
        </is>
      </c>
      <c r="FG3" s="9" t="inlineStr">
        <is>
          <t>PX_VOLUME</t>
        </is>
      </c>
      <c r="FH3" s="9" t="inlineStr">
        <is>
          <t>OPEN_INT</t>
        </is>
      </c>
      <c r="FI3" s="9" t="inlineStr">
        <is>
          <t>IVOL_MID</t>
        </is>
      </c>
      <c r="FJ3" s="9" t="inlineStr">
        <is>
          <t>IVOL_BID</t>
        </is>
      </c>
      <c r="FK3" s="9" t="inlineStr">
        <is>
          <t>IVOL_ASK</t>
        </is>
      </c>
      <c r="FL3" s="9" t="inlineStr">
        <is>
          <t>DELTA_MID</t>
        </is>
      </c>
      <c r="FM3" s="9" t="inlineStr">
        <is>
          <t>GAMMA_MID</t>
        </is>
      </c>
      <c r="FN3" s="9" t="inlineStr">
        <is>
          <t>VEGA_MID</t>
        </is>
      </c>
      <c r="FO3" s="9" t="inlineStr">
        <is>
          <t>THETA_MID</t>
        </is>
      </c>
      <c r="FP3" s="9" t="inlineStr">
        <is>
          <t>OPT_UNDL_PX</t>
        </is>
      </c>
      <c r="FR3" s="9" t="inlineStr">
        <is>
          <t>Date</t>
        </is>
      </c>
      <c r="FS3" s="9" t="inlineStr">
        <is>
          <t>PX_BID</t>
        </is>
      </c>
      <c r="FT3" s="9" t="inlineStr">
        <is>
          <t>PX_ASK</t>
        </is>
      </c>
      <c r="FU3" s="9" t="inlineStr">
        <is>
          <t>PX_MID</t>
        </is>
      </c>
      <c r="FV3" s="9" t="inlineStr">
        <is>
          <t>PX_LAST</t>
        </is>
      </c>
      <c r="FW3" s="9" t="inlineStr">
        <is>
          <t>PX_SETTLE</t>
        </is>
      </c>
      <c r="FX3" s="9" t="inlineStr">
        <is>
          <t>PX_VOLUME</t>
        </is>
      </c>
      <c r="FY3" s="9" t="inlineStr">
        <is>
          <t>OPEN_INT</t>
        </is>
      </c>
      <c r="FZ3" s="9" t="inlineStr">
        <is>
          <t>IVOL_MID</t>
        </is>
      </c>
      <c r="GA3" s="9" t="inlineStr">
        <is>
          <t>IVOL_BID</t>
        </is>
      </c>
      <c r="GB3" s="9" t="inlineStr">
        <is>
          <t>IVOL_ASK</t>
        </is>
      </c>
      <c r="GC3" s="9" t="inlineStr">
        <is>
          <t>DELTA_MID</t>
        </is>
      </c>
      <c r="GD3" s="9" t="inlineStr">
        <is>
          <t>GAMMA_MID</t>
        </is>
      </c>
      <c r="GE3" s="9" t="inlineStr">
        <is>
          <t>VEGA_MID</t>
        </is>
      </c>
      <c r="GF3" s="9" t="inlineStr">
        <is>
          <t>THETA_MID</t>
        </is>
      </c>
      <c r="GG3" s="9" t="inlineStr">
        <is>
          <t>OPT_UNDL_PX</t>
        </is>
      </c>
      <c r="GI3" s="9" t="inlineStr">
        <is>
          <t>Date</t>
        </is>
      </c>
      <c r="GJ3" s="9" t="inlineStr">
        <is>
          <t>PX_BID</t>
        </is>
      </c>
      <c r="GK3" s="9" t="inlineStr">
        <is>
          <t>PX_ASK</t>
        </is>
      </c>
      <c r="GL3" s="9" t="inlineStr">
        <is>
          <t>PX_MID</t>
        </is>
      </c>
      <c r="GM3" s="9" t="inlineStr">
        <is>
          <t>PX_LAST</t>
        </is>
      </c>
      <c r="GN3" s="9" t="inlineStr">
        <is>
          <t>PX_SETTLE</t>
        </is>
      </c>
      <c r="GO3" s="9" t="inlineStr">
        <is>
          <t>PX_VOLUME</t>
        </is>
      </c>
      <c r="GP3" s="9" t="inlineStr">
        <is>
          <t>OPEN_INT</t>
        </is>
      </c>
      <c r="GQ3" s="9" t="inlineStr">
        <is>
          <t>IVOL_MID</t>
        </is>
      </c>
      <c r="GR3" s="9" t="inlineStr">
        <is>
          <t>IVOL_BID</t>
        </is>
      </c>
      <c r="GS3" s="9" t="inlineStr">
        <is>
          <t>IVOL_ASK</t>
        </is>
      </c>
      <c r="GT3" s="9" t="inlineStr">
        <is>
          <t>DELTA_MID</t>
        </is>
      </c>
      <c r="GU3" s="9" t="inlineStr">
        <is>
          <t>GAMMA_MID</t>
        </is>
      </c>
      <c r="GV3" s="9" t="inlineStr">
        <is>
          <t>VEGA_MID</t>
        </is>
      </c>
      <c r="GW3" s="9" t="inlineStr">
        <is>
          <t>THETA_MID</t>
        </is>
      </c>
      <c r="GX3" s="9" t="inlineStr">
        <is>
          <t>OPT_UNDL_PX</t>
        </is>
      </c>
      <c r="GZ3" s="9" t="inlineStr">
        <is>
          <t>Date</t>
        </is>
      </c>
      <c r="HA3" s="9" t="inlineStr">
        <is>
          <t>PX_BID</t>
        </is>
      </c>
      <c r="HB3" s="9" t="inlineStr">
        <is>
          <t>PX_ASK</t>
        </is>
      </c>
      <c r="HC3" s="9" t="inlineStr">
        <is>
          <t>PX_MID</t>
        </is>
      </c>
      <c r="HD3" s="9" t="inlineStr">
        <is>
          <t>PX_LAST</t>
        </is>
      </c>
      <c r="HE3" s="9" t="inlineStr">
        <is>
          <t>PX_SETTLE</t>
        </is>
      </c>
      <c r="HF3" s="9" t="inlineStr">
        <is>
          <t>PX_VOLUME</t>
        </is>
      </c>
      <c r="HG3" s="9" t="inlineStr">
        <is>
          <t>OPEN_INT</t>
        </is>
      </c>
      <c r="HH3" s="9" t="inlineStr">
        <is>
          <t>IVOL_MID</t>
        </is>
      </c>
      <c r="HI3" s="9" t="inlineStr">
        <is>
          <t>IVOL_BID</t>
        </is>
      </c>
      <c r="HJ3" s="9" t="inlineStr">
        <is>
          <t>IVOL_ASK</t>
        </is>
      </c>
      <c r="HK3" s="9" t="inlineStr">
        <is>
          <t>DELTA_MID</t>
        </is>
      </c>
      <c r="HL3" s="9" t="inlineStr">
        <is>
          <t>GAMMA_MID</t>
        </is>
      </c>
      <c r="HM3" s="9" t="inlineStr">
        <is>
          <t>VEGA_MID</t>
        </is>
      </c>
      <c r="HN3" s="9" t="inlineStr">
        <is>
          <t>THETA_MID</t>
        </is>
      </c>
      <c r="HO3" s="9" t="inlineStr">
        <is>
          <t>OPT_UNDL_PX</t>
        </is>
      </c>
      <c r="HQ3" s="9" t="inlineStr">
        <is>
          <t>Date</t>
        </is>
      </c>
      <c r="HR3" s="9" t="inlineStr">
        <is>
          <t>PX_BID</t>
        </is>
      </c>
      <c r="HS3" s="9" t="inlineStr">
        <is>
          <t>PX_ASK</t>
        </is>
      </c>
      <c r="HT3" s="9" t="inlineStr">
        <is>
          <t>PX_MID</t>
        </is>
      </c>
      <c r="HU3" s="9" t="inlineStr">
        <is>
          <t>PX_LAST</t>
        </is>
      </c>
      <c r="HV3" s="9" t="inlineStr">
        <is>
          <t>PX_SETTLE</t>
        </is>
      </c>
      <c r="HW3" s="9" t="inlineStr">
        <is>
          <t>PX_VOLUME</t>
        </is>
      </c>
      <c r="HX3" s="9" t="inlineStr">
        <is>
          <t>OPEN_INT</t>
        </is>
      </c>
      <c r="HY3" s="9" t="inlineStr">
        <is>
          <t>IVOL_MID</t>
        </is>
      </c>
      <c r="HZ3" s="9" t="inlineStr">
        <is>
          <t>IVOL_BID</t>
        </is>
      </c>
      <c r="IA3" s="9" t="inlineStr">
        <is>
          <t>IVOL_ASK</t>
        </is>
      </c>
      <c r="IB3" s="9" t="inlineStr">
        <is>
          <t>DELTA_MID</t>
        </is>
      </c>
      <c r="IC3" s="9" t="inlineStr">
        <is>
          <t>GAMMA_MID</t>
        </is>
      </c>
      <c r="ID3" s="9" t="inlineStr">
        <is>
          <t>VEGA_MID</t>
        </is>
      </c>
      <c r="IE3" s="9" t="inlineStr">
        <is>
          <t>THETA_MID</t>
        </is>
      </c>
      <c r="IF3" s="9" t="inlineStr">
        <is>
          <t>OPT_UNDL_PX</t>
        </is>
      </c>
      <c r="IH3" s="9" t="inlineStr">
        <is>
          <t>Date</t>
        </is>
      </c>
      <c r="II3" s="9" t="inlineStr">
        <is>
          <t>PX_BID</t>
        </is>
      </c>
      <c r="IJ3" s="9" t="inlineStr">
        <is>
          <t>PX_ASK</t>
        </is>
      </c>
      <c r="IK3" s="9" t="inlineStr">
        <is>
          <t>PX_MID</t>
        </is>
      </c>
      <c r="IL3" s="9" t="inlineStr">
        <is>
          <t>PX_LAST</t>
        </is>
      </c>
      <c r="IM3" s="9" t="inlineStr">
        <is>
          <t>PX_SETTLE</t>
        </is>
      </c>
      <c r="IN3" s="9" t="inlineStr">
        <is>
          <t>PX_VOLUME</t>
        </is>
      </c>
      <c r="IO3" s="9" t="inlineStr">
        <is>
          <t>OPEN_INT</t>
        </is>
      </c>
      <c r="IP3" s="9" t="inlineStr">
        <is>
          <t>IVOL_MID</t>
        </is>
      </c>
      <c r="IQ3" s="9" t="inlineStr">
        <is>
          <t>IVOL_BID</t>
        </is>
      </c>
      <c r="IR3" s="9" t="inlineStr">
        <is>
          <t>IVOL_ASK</t>
        </is>
      </c>
      <c r="IS3" s="9" t="inlineStr">
        <is>
          <t>DELTA_MID</t>
        </is>
      </c>
      <c r="IT3" s="9" t="inlineStr">
        <is>
          <t>GAMMA_MID</t>
        </is>
      </c>
      <c r="IU3" s="9" t="inlineStr">
        <is>
          <t>VEGA_MID</t>
        </is>
      </c>
      <c r="IV3" s="9" t="inlineStr">
        <is>
          <t>THETA_MID</t>
        </is>
      </c>
      <c r="IW3" s="9" t="inlineStr">
        <is>
          <t>OPT_UNDL_PX</t>
        </is>
      </c>
      <c r="IY3" s="9" t="inlineStr">
        <is>
          <t>Date</t>
        </is>
      </c>
      <c r="IZ3" s="9" t="inlineStr">
        <is>
          <t>PX_BID</t>
        </is>
      </c>
      <c r="JA3" s="9" t="inlineStr">
        <is>
          <t>PX_ASK</t>
        </is>
      </c>
      <c r="JB3" s="9" t="inlineStr">
        <is>
          <t>PX_MID</t>
        </is>
      </c>
      <c r="JC3" s="9" t="inlineStr">
        <is>
          <t>PX_LAST</t>
        </is>
      </c>
      <c r="JD3" s="9" t="inlineStr">
        <is>
          <t>PX_SETTLE</t>
        </is>
      </c>
      <c r="JE3" s="9" t="inlineStr">
        <is>
          <t>PX_VOLUME</t>
        </is>
      </c>
      <c r="JF3" s="9" t="inlineStr">
        <is>
          <t>OPEN_INT</t>
        </is>
      </c>
      <c r="JG3" s="9" t="inlineStr">
        <is>
          <t>IVOL_MID</t>
        </is>
      </c>
      <c r="JH3" s="9" t="inlineStr">
        <is>
          <t>IVOL_BID</t>
        </is>
      </c>
      <c r="JI3" s="9" t="inlineStr">
        <is>
          <t>IVOL_ASK</t>
        </is>
      </c>
      <c r="JJ3" s="9" t="inlineStr">
        <is>
          <t>DELTA_MID</t>
        </is>
      </c>
      <c r="JK3" s="9" t="inlineStr">
        <is>
          <t>GAMMA_MID</t>
        </is>
      </c>
      <c r="JL3" s="9" t="inlineStr">
        <is>
          <t>VEGA_MID</t>
        </is>
      </c>
      <c r="JM3" s="9" t="inlineStr">
        <is>
          <t>THETA_MID</t>
        </is>
      </c>
      <c r="JN3" s="9" t="inlineStr">
        <is>
          <t>OPT_UNDL_PX</t>
        </is>
      </c>
      <c r="JP3" s="9" t="inlineStr">
        <is>
          <t>Date</t>
        </is>
      </c>
      <c r="JQ3" s="9" t="inlineStr">
        <is>
          <t>PX_BID</t>
        </is>
      </c>
      <c r="JR3" s="9" t="inlineStr">
        <is>
          <t>PX_ASK</t>
        </is>
      </c>
      <c r="JS3" s="9" t="inlineStr">
        <is>
          <t>PX_MID</t>
        </is>
      </c>
      <c r="JT3" s="9" t="inlineStr">
        <is>
          <t>PX_LAST</t>
        </is>
      </c>
      <c r="JU3" s="9" t="inlineStr">
        <is>
          <t>PX_SETTLE</t>
        </is>
      </c>
      <c r="JV3" s="9" t="inlineStr">
        <is>
          <t>PX_VOLUME</t>
        </is>
      </c>
      <c r="JW3" s="9" t="inlineStr">
        <is>
          <t>OPEN_INT</t>
        </is>
      </c>
      <c r="JX3" s="9" t="inlineStr">
        <is>
          <t>IVOL_MID</t>
        </is>
      </c>
      <c r="JY3" s="9" t="inlineStr">
        <is>
          <t>IVOL_BID</t>
        </is>
      </c>
      <c r="JZ3" s="9" t="inlineStr">
        <is>
          <t>IVOL_ASK</t>
        </is>
      </c>
      <c r="KA3" s="9" t="inlineStr">
        <is>
          <t>DELTA_MID</t>
        </is>
      </c>
      <c r="KB3" s="9" t="inlineStr">
        <is>
          <t>GAMMA_MID</t>
        </is>
      </c>
      <c r="KC3" s="9" t="inlineStr">
        <is>
          <t>VEGA_MID</t>
        </is>
      </c>
      <c r="KD3" s="9" t="inlineStr">
        <is>
          <t>THETA_MID</t>
        </is>
      </c>
      <c r="KE3" s="9" t="inlineStr">
        <is>
          <t>OPT_UNDL_PX</t>
        </is>
      </c>
      <c r="KG3" s="9" t="inlineStr">
        <is>
          <t>Date</t>
        </is>
      </c>
      <c r="KH3" s="9" t="inlineStr">
        <is>
          <t>PX_BID</t>
        </is>
      </c>
      <c r="KI3" s="9" t="inlineStr">
        <is>
          <t>PX_ASK</t>
        </is>
      </c>
      <c r="KJ3" s="9" t="inlineStr">
        <is>
          <t>PX_MID</t>
        </is>
      </c>
      <c r="KK3" s="9" t="inlineStr">
        <is>
          <t>PX_LAST</t>
        </is>
      </c>
      <c r="KL3" s="9" t="inlineStr">
        <is>
          <t>PX_SETTLE</t>
        </is>
      </c>
      <c r="KM3" s="9" t="inlineStr">
        <is>
          <t>PX_VOLUME</t>
        </is>
      </c>
      <c r="KN3" s="9" t="inlineStr">
        <is>
          <t>OPEN_INT</t>
        </is>
      </c>
      <c r="KO3" s="9" t="inlineStr">
        <is>
          <t>IVOL_MID</t>
        </is>
      </c>
      <c r="KP3" s="9" t="inlineStr">
        <is>
          <t>IVOL_BID</t>
        </is>
      </c>
      <c r="KQ3" s="9" t="inlineStr">
        <is>
          <t>IVOL_ASK</t>
        </is>
      </c>
      <c r="KR3" s="9" t="inlineStr">
        <is>
          <t>DELTA_MID</t>
        </is>
      </c>
      <c r="KS3" s="9" t="inlineStr">
        <is>
          <t>GAMMA_MID</t>
        </is>
      </c>
      <c r="KT3" s="9" t="inlineStr">
        <is>
          <t>VEGA_MID</t>
        </is>
      </c>
      <c r="KU3" s="9" t="inlineStr">
        <is>
          <t>THETA_MID</t>
        </is>
      </c>
      <c r="KV3" s="9" t="inlineStr">
        <is>
          <t>OPT_UNDL_PX</t>
        </is>
      </c>
      <c r="KX3" s="9" t="inlineStr">
        <is>
          <t>Date</t>
        </is>
      </c>
      <c r="KY3" s="9" t="inlineStr">
        <is>
          <t>PX_BID</t>
        </is>
      </c>
      <c r="KZ3" s="9" t="inlineStr">
        <is>
          <t>PX_ASK</t>
        </is>
      </c>
      <c r="LA3" s="9" t="inlineStr">
        <is>
          <t>PX_MID</t>
        </is>
      </c>
      <c r="LB3" s="9" t="inlineStr">
        <is>
          <t>PX_LAST</t>
        </is>
      </c>
      <c r="LC3" s="9" t="inlineStr">
        <is>
          <t>PX_SETTLE</t>
        </is>
      </c>
      <c r="LD3" s="9" t="inlineStr">
        <is>
          <t>PX_VOLUME</t>
        </is>
      </c>
      <c r="LE3" s="9" t="inlineStr">
        <is>
          <t>OPEN_INT</t>
        </is>
      </c>
      <c r="LF3" s="9" t="inlineStr">
        <is>
          <t>IVOL_MID</t>
        </is>
      </c>
      <c r="LG3" s="9" t="inlineStr">
        <is>
          <t>IVOL_BID</t>
        </is>
      </c>
      <c r="LH3" s="9" t="inlineStr">
        <is>
          <t>IVOL_ASK</t>
        </is>
      </c>
      <c r="LI3" s="9" t="inlineStr">
        <is>
          <t>DELTA_MID</t>
        </is>
      </c>
      <c r="LJ3" s="9" t="inlineStr">
        <is>
          <t>GAMMA_MID</t>
        </is>
      </c>
      <c r="LK3" s="9" t="inlineStr">
        <is>
          <t>VEGA_MID</t>
        </is>
      </c>
      <c r="LL3" s="9" t="inlineStr">
        <is>
          <t>THETA_MID</t>
        </is>
      </c>
      <c r="LM3" s="9" t="inlineStr">
        <is>
          <t>OPT_UNDL_PX</t>
        </is>
      </c>
      <c r="LO3" s="9" t="inlineStr">
        <is>
          <t>Date</t>
        </is>
      </c>
      <c r="LP3" s="9" t="inlineStr">
        <is>
          <t>PX_BID</t>
        </is>
      </c>
      <c r="LQ3" s="9" t="inlineStr">
        <is>
          <t>PX_ASK</t>
        </is>
      </c>
      <c r="LR3" s="9" t="inlineStr">
        <is>
          <t>PX_MID</t>
        </is>
      </c>
      <c r="LS3" s="9" t="inlineStr">
        <is>
          <t>PX_LAST</t>
        </is>
      </c>
      <c r="LT3" s="9" t="inlineStr">
        <is>
          <t>PX_SETTLE</t>
        </is>
      </c>
      <c r="LU3" s="9" t="inlineStr">
        <is>
          <t>PX_VOLUME</t>
        </is>
      </c>
      <c r="LV3" s="9" t="inlineStr">
        <is>
          <t>OPEN_INT</t>
        </is>
      </c>
      <c r="LW3" s="9" t="inlineStr">
        <is>
          <t>IVOL_MID</t>
        </is>
      </c>
      <c r="LX3" s="9" t="inlineStr">
        <is>
          <t>IVOL_BID</t>
        </is>
      </c>
      <c r="LY3" s="9" t="inlineStr">
        <is>
          <t>IVOL_ASK</t>
        </is>
      </c>
      <c r="LZ3" s="9" t="inlineStr">
        <is>
          <t>DELTA_MID</t>
        </is>
      </c>
      <c r="MA3" s="9" t="inlineStr">
        <is>
          <t>GAMMA_MID</t>
        </is>
      </c>
      <c r="MB3" s="9" t="inlineStr">
        <is>
          <t>VEGA_MID</t>
        </is>
      </c>
      <c r="MC3" s="9" t="inlineStr">
        <is>
          <t>THETA_MID</t>
        </is>
      </c>
      <c r="MD3" s="9" t="inlineStr">
        <is>
          <t>OPT_UNDL_PX</t>
        </is>
      </c>
      <c r="MF3" s="9" t="inlineStr">
        <is>
          <t>Date</t>
        </is>
      </c>
      <c r="MG3" s="9" t="inlineStr">
        <is>
          <t>PX_BID</t>
        </is>
      </c>
      <c r="MH3" s="9" t="inlineStr">
        <is>
          <t>PX_ASK</t>
        </is>
      </c>
      <c r="MI3" s="9" t="inlineStr">
        <is>
          <t>PX_MID</t>
        </is>
      </c>
      <c r="MJ3" s="9" t="inlineStr">
        <is>
          <t>PX_LAST</t>
        </is>
      </c>
      <c r="MK3" s="9" t="inlineStr">
        <is>
          <t>PX_SETTLE</t>
        </is>
      </c>
      <c r="ML3" s="9" t="inlineStr">
        <is>
          <t>PX_VOLUME</t>
        </is>
      </c>
      <c r="MM3" s="9" t="inlineStr">
        <is>
          <t>OPEN_INT</t>
        </is>
      </c>
      <c r="MN3" s="9" t="inlineStr">
        <is>
          <t>IVOL_MID</t>
        </is>
      </c>
      <c r="MO3" s="9" t="inlineStr">
        <is>
          <t>IVOL_BID</t>
        </is>
      </c>
      <c r="MP3" s="9" t="inlineStr">
        <is>
          <t>IVOL_ASK</t>
        </is>
      </c>
      <c r="MQ3" s="9" t="inlineStr">
        <is>
          <t>DELTA_MID</t>
        </is>
      </c>
      <c r="MR3" s="9" t="inlineStr">
        <is>
          <t>GAMMA_MID</t>
        </is>
      </c>
      <c r="MS3" s="9" t="inlineStr">
        <is>
          <t>VEGA_MID</t>
        </is>
      </c>
      <c r="MT3" s="9" t="inlineStr">
        <is>
          <t>THETA_MID</t>
        </is>
      </c>
      <c r="MU3" s="9" t="inlineStr">
        <is>
          <t>OPT_UNDL_PX</t>
        </is>
      </c>
      <c r="MW3" s="9" t="inlineStr">
        <is>
          <t>Date</t>
        </is>
      </c>
      <c r="MX3" s="9" t="inlineStr">
        <is>
          <t>PX_BID</t>
        </is>
      </c>
      <c r="MY3" s="9" t="inlineStr">
        <is>
          <t>PX_ASK</t>
        </is>
      </c>
      <c r="MZ3" s="9" t="inlineStr">
        <is>
          <t>PX_MID</t>
        </is>
      </c>
      <c r="NA3" s="9" t="inlineStr">
        <is>
          <t>PX_LAST</t>
        </is>
      </c>
      <c r="NB3" s="9" t="inlineStr">
        <is>
          <t>PX_SETTLE</t>
        </is>
      </c>
      <c r="NC3" s="9" t="inlineStr">
        <is>
          <t>PX_VOLUME</t>
        </is>
      </c>
      <c r="ND3" s="9" t="inlineStr">
        <is>
          <t>OPEN_INT</t>
        </is>
      </c>
      <c r="NE3" s="9" t="inlineStr">
        <is>
          <t>IVOL_MID</t>
        </is>
      </c>
      <c r="NF3" s="9" t="inlineStr">
        <is>
          <t>IVOL_BID</t>
        </is>
      </c>
      <c r="NG3" s="9" t="inlineStr">
        <is>
          <t>IVOL_ASK</t>
        </is>
      </c>
      <c r="NH3" s="9" t="inlineStr">
        <is>
          <t>DELTA_MID</t>
        </is>
      </c>
      <c r="NI3" s="9" t="inlineStr">
        <is>
          <t>GAMMA_MID</t>
        </is>
      </c>
      <c r="NJ3" s="9" t="inlineStr">
        <is>
          <t>VEGA_MID</t>
        </is>
      </c>
      <c r="NK3" s="9" t="inlineStr">
        <is>
          <t>THETA_MID</t>
        </is>
      </c>
      <c r="NL3" s="9" t="inlineStr">
        <is>
          <t>OPT_UNDL_PX</t>
        </is>
      </c>
      <c r="NN3" s="9" t="inlineStr">
        <is>
          <t>Date</t>
        </is>
      </c>
      <c r="NO3" s="9" t="inlineStr">
        <is>
          <t>PX_BID</t>
        </is>
      </c>
      <c r="NP3" s="9" t="inlineStr">
        <is>
          <t>PX_ASK</t>
        </is>
      </c>
      <c r="NQ3" s="9" t="inlineStr">
        <is>
          <t>PX_MID</t>
        </is>
      </c>
      <c r="NR3" s="9" t="inlineStr">
        <is>
          <t>PX_LAST</t>
        </is>
      </c>
      <c r="NS3" s="9" t="inlineStr">
        <is>
          <t>PX_SETTLE</t>
        </is>
      </c>
      <c r="NT3" s="9" t="inlineStr">
        <is>
          <t>PX_VOLUME</t>
        </is>
      </c>
      <c r="NU3" s="9" t="inlineStr">
        <is>
          <t>OPEN_INT</t>
        </is>
      </c>
      <c r="NV3" s="9" t="inlineStr">
        <is>
          <t>IVOL_MID</t>
        </is>
      </c>
      <c r="NW3" s="9" t="inlineStr">
        <is>
          <t>IVOL_BID</t>
        </is>
      </c>
      <c r="NX3" s="9" t="inlineStr">
        <is>
          <t>IVOL_ASK</t>
        </is>
      </c>
      <c r="NY3" s="9" t="inlineStr">
        <is>
          <t>DELTA_MID</t>
        </is>
      </c>
      <c r="NZ3" s="9" t="inlineStr">
        <is>
          <t>GAMMA_MID</t>
        </is>
      </c>
      <c r="OA3" s="9" t="inlineStr">
        <is>
          <t>VEGA_MID</t>
        </is>
      </c>
      <c r="OB3" s="9" t="inlineStr">
        <is>
          <t>THETA_MID</t>
        </is>
      </c>
      <c r="OC3" s="9" t="inlineStr">
        <is>
          <t>OPT_UNDL_PX</t>
        </is>
      </c>
      <c r="OE3" s="9" t="inlineStr">
        <is>
          <t>Date</t>
        </is>
      </c>
      <c r="OF3" s="9" t="inlineStr">
        <is>
          <t>PX_BID</t>
        </is>
      </c>
      <c r="OG3" s="9" t="inlineStr">
        <is>
          <t>PX_ASK</t>
        </is>
      </c>
      <c r="OH3" s="9" t="inlineStr">
        <is>
          <t>PX_MID</t>
        </is>
      </c>
      <c r="OI3" s="9" t="inlineStr">
        <is>
          <t>PX_LAST</t>
        </is>
      </c>
      <c r="OJ3" s="9" t="inlineStr">
        <is>
          <t>PX_SETTLE</t>
        </is>
      </c>
      <c r="OK3" s="9" t="inlineStr">
        <is>
          <t>PX_VOLUME</t>
        </is>
      </c>
      <c r="OL3" s="9" t="inlineStr">
        <is>
          <t>OPEN_INT</t>
        </is>
      </c>
      <c r="OM3" s="9" t="inlineStr">
        <is>
          <t>IVOL_MID</t>
        </is>
      </c>
      <c r="ON3" s="9" t="inlineStr">
        <is>
          <t>IVOL_BID</t>
        </is>
      </c>
      <c r="OO3" s="9" t="inlineStr">
        <is>
          <t>IVOL_ASK</t>
        </is>
      </c>
      <c r="OP3" s="9" t="inlineStr">
        <is>
          <t>DELTA_MID</t>
        </is>
      </c>
      <c r="OQ3" s="9" t="inlineStr">
        <is>
          <t>GAMMA_MID</t>
        </is>
      </c>
      <c r="OR3" s="9" t="inlineStr">
        <is>
          <t>VEGA_MID</t>
        </is>
      </c>
      <c r="OS3" s="9" t="inlineStr">
        <is>
          <t>THETA_MID</t>
        </is>
      </c>
      <c r="OT3" s="9" t="inlineStr">
        <is>
          <t>OPT_UNDL_PX</t>
        </is>
      </c>
      <c r="OV3" s="9" t="inlineStr">
        <is>
          <t>Date</t>
        </is>
      </c>
      <c r="OW3" s="9" t="inlineStr">
        <is>
          <t>PX_BID</t>
        </is>
      </c>
      <c r="OX3" s="9" t="inlineStr">
        <is>
          <t>PX_ASK</t>
        </is>
      </c>
      <c r="OY3" s="9" t="inlineStr">
        <is>
          <t>PX_MID</t>
        </is>
      </c>
      <c r="OZ3" s="9" t="inlineStr">
        <is>
          <t>PX_LAST</t>
        </is>
      </c>
      <c r="PA3" s="9" t="inlineStr">
        <is>
          <t>PX_SETTLE</t>
        </is>
      </c>
      <c r="PB3" s="9" t="inlineStr">
        <is>
          <t>PX_VOLUME</t>
        </is>
      </c>
      <c r="PC3" s="9" t="inlineStr">
        <is>
          <t>OPEN_INT</t>
        </is>
      </c>
      <c r="PD3" s="9" t="inlineStr">
        <is>
          <t>IVOL_MID</t>
        </is>
      </c>
      <c r="PE3" s="9" t="inlineStr">
        <is>
          <t>IVOL_BID</t>
        </is>
      </c>
      <c r="PF3" s="9" t="inlineStr">
        <is>
          <t>IVOL_ASK</t>
        </is>
      </c>
      <c r="PG3" s="9" t="inlineStr">
        <is>
          <t>DELTA_MID</t>
        </is>
      </c>
      <c r="PH3" s="9" t="inlineStr">
        <is>
          <t>GAMMA_MID</t>
        </is>
      </c>
      <c r="PI3" s="9" t="inlineStr">
        <is>
          <t>VEGA_MID</t>
        </is>
      </c>
      <c r="PJ3" s="9" t="inlineStr">
        <is>
          <t>THETA_MID</t>
        </is>
      </c>
      <c r="PK3" s="9" t="inlineStr">
        <is>
          <t>OPT_UNDL_PX</t>
        </is>
      </c>
      <c r="PM3" s="9" t="inlineStr">
        <is>
          <t>Date</t>
        </is>
      </c>
      <c r="PN3" s="9" t="inlineStr">
        <is>
          <t>PX_BID</t>
        </is>
      </c>
      <c r="PO3" s="9" t="inlineStr">
        <is>
          <t>PX_ASK</t>
        </is>
      </c>
      <c r="PP3" s="9" t="inlineStr">
        <is>
          <t>PX_MID</t>
        </is>
      </c>
      <c r="PQ3" s="9" t="inlineStr">
        <is>
          <t>PX_LAST</t>
        </is>
      </c>
      <c r="PR3" s="9" t="inlineStr">
        <is>
          <t>PX_SETTLE</t>
        </is>
      </c>
      <c r="PS3" s="9" t="inlineStr">
        <is>
          <t>PX_VOLUME</t>
        </is>
      </c>
      <c r="PT3" s="9" t="inlineStr">
        <is>
          <t>OPEN_INT</t>
        </is>
      </c>
      <c r="PU3" s="9" t="inlineStr">
        <is>
          <t>IVOL_MID</t>
        </is>
      </c>
      <c r="PV3" s="9" t="inlineStr">
        <is>
          <t>IVOL_BID</t>
        </is>
      </c>
      <c r="PW3" s="9" t="inlineStr">
        <is>
          <t>IVOL_ASK</t>
        </is>
      </c>
      <c r="PX3" s="9" t="inlineStr">
        <is>
          <t>DELTA_MID</t>
        </is>
      </c>
      <c r="PY3" s="9" t="inlineStr">
        <is>
          <t>GAMMA_MID</t>
        </is>
      </c>
      <c r="PZ3" s="9" t="inlineStr">
        <is>
          <t>VEGA_MID</t>
        </is>
      </c>
      <c r="QA3" s="9" t="inlineStr">
        <is>
          <t>THETA_MID</t>
        </is>
      </c>
      <c r="QB3" s="9" t="inlineStr">
        <is>
          <t>OPT_UNDL_PX</t>
        </is>
      </c>
      <c r="QD3" s="9" t="inlineStr">
        <is>
          <t>Date</t>
        </is>
      </c>
      <c r="QE3" s="9" t="inlineStr">
        <is>
          <t>PX_BID</t>
        </is>
      </c>
      <c r="QF3" s="9" t="inlineStr">
        <is>
          <t>PX_ASK</t>
        </is>
      </c>
      <c r="QG3" s="9" t="inlineStr">
        <is>
          <t>PX_MID</t>
        </is>
      </c>
      <c r="QH3" s="9" t="inlineStr">
        <is>
          <t>PX_LAST</t>
        </is>
      </c>
      <c r="QI3" s="9" t="inlineStr">
        <is>
          <t>PX_SETTLE</t>
        </is>
      </c>
      <c r="QJ3" s="9" t="inlineStr">
        <is>
          <t>PX_VOLUME</t>
        </is>
      </c>
      <c r="QK3" s="9" t="inlineStr">
        <is>
          <t>OPEN_INT</t>
        </is>
      </c>
      <c r="QL3" s="9" t="inlineStr">
        <is>
          <t>IVOL_MID</t>
        </is>
      </c>
      <c r="QM3" s="9" t="inlineStr">
        <is>
          <t>IVOL_BID</t>
        </is>
      </c>
      <c r="QN3" s="9" t="inlineStr">
        <is>
          <t>IVOL_ASK</t>
        </is>
      </c>
      <c r="QO3" s="9" t="inlineStr">
        <is>
          <t>DELTA_MID</t>
        </is>
      </c>
      <c r="QP3" s="9" t="inlineStr">
        <is>
          <t>GAMMA_MID</t>
        </is>
      </c>
      <c r="QQ3" s="9" t="inlineStr">
        <is>
          <t>VEGA_MID</t>
        </is>
      </c>
      <c r="QR3" s="9" t="inlineStr">
        <is>
          <t>THETA_MID</t>
        </is>
      </c>
      <c r="QS3" s="9" t="inlineStr">
        <is>
          <t>OPT_UNDL_PX</t>
        </is>
      </c>
      <c r="QU3" s="9" t="inlineStr">
        <is>
          <t>Date</t>
        </is>
      </c>
      <c r="QV3" s="9" t="inlineStr">
        <is>
          <t>PX_BID</t>
        </is>
      </c>
      <c r="QW3" s="9" t="inlineStr">
        <is>
          <t>PX_ASK</t>
        </is>
      </c>
      <c r="QX3" s="9" t="inlineStr">
        <is>
          <t>PX_MID</t>
        </is>
      </c>
      <c r="QY3" s="9" t="inlineStr">
        <is>
          <t>PX_LAST</t>
        </is>
      </c>
      <c r="QZ3" s="9" t="inlineStr">
        <is>
          <t>PX_SETTLE</t>
        </is>
      </c>
      <c r="RA3" s="9" t="inlineStr">
        <is>
          <t>PX_VOLUME</t>
        </is>
      </c>
      <c r="RB3" s="9" t="inlineStr">
        <is>
          <t>OPEN_INT</t>
        </is>
      </c>
      <c r="RC3" s="9" t="inlineStr">
        <is>
          <t>IVOL_MID</t>
        </is>
      </c>
      <c r="RD3" s="9" t="inlineStr">
        <is>
          <t>IVOL_BID</t>
        </is>
      </c>
      <c r="RE3" s="9" t="inlineStr">
        <is>
          <t>IVOL_ASK</t>
        </is>
      </c>
      <c r="RF3" s="9" t="inlineStr">
        <is>
          <t>DELTA_MID</t>
        </is>
      </c>
      <c r="RG3" s="9" t="inlineStr">
        <is>
          <t>GAMMA_MID</t>
        </is>
      </c>
      <c r="RH3" s="9" t="inlineStr">
        <is>
          <t>VEGA_MID</t>
        </is>
      </c>
      <c r="RI3" s="9" t="inlineStr">
        <is>
          <t>THETA_MID</t>
        </is>
      </c>
      <c r="RJ3" s="9" t="inlineStr">
        <is>
          <t>OPT_UNDL_PX</t>
        </is>
      </c>
      <c r="RL3" s="9" t="inlineStr">
        <is>
          <t>Date</t>
        </is>
      </c>
      <c r="RM3" s="9" t="inlineStr">
        <is>
          <t>PX_BID</t>
        </is>
      </c>
      <c r="RN3" s="9" t="inlineStr">
        <is>
          <t>PX_ASK</t>
        </is>
      </c>
      <c r="RO3" s="9" t="inlineStr">
        <is>
          <t>PX_MID</t>
        </is>
      </c>
      <c r="RP3" s="9" t="inlineStr">
        <is>
          <t>PX_LAST</t>
        </is>
      </c>
      <c r="RQ3" s="9" t="inlineStr">
        <is>
          <t>PX_SETTLE</t>
        </is>
      </c>
      <c r="RR3" s="9" t="inlineStr">
        <is>
          <t>PX_VOLUME</t>
        </is>
      </c>
      <c r="RS3" s="9" t="inlineStr">
        <is>
          <t>OPEN_INT</t>
        </is>
      </c>
      <c r="RT3" s="9" t="inlineStr">
        <is>
          <t>IVOL_MID</t>
        </is>
      </c>
      <c r="RU3" s="9" t="inlineStr">
        <is>
          <t>IVOL_BID</t>
        </is>
      </c>
      <c r="RV3" s="9" t="inlineStr">
        <is>
          <t>IVOL_ASK</t>
        </is>
      </c>
      <c r="RW3" s="9" t="inlineStr">
        <is>
          <t>DELTA_MID</t>
        </is>
      </c>
      <c r="RX3" s="9" t="inlineStr">
        <is>
          <t>GAMMA_MID</t>
        </is>
      </c>
      <c r="RY3" s="9" t="inlineStr">
        <is>
          <t>VEGA_MID</t>
        </is>
      </c>
      <c r="RZ3" s="9" t="inlineStr">
        <is>
          <t>THETA_MID</t>
        </is>
      </c>
      <c r="SA3" s="9" t="inlineStr">
        <is>
          <t>OPT_UNDL_PX</t>
        </is>
      </c>
      <c r="SC3" s="9" t="inlineStr">
        <is>
          <t>Date</t>
        </is>
      </c>
      <c r="SD3" s="9" t="inlineStr">
        <is>
          <t>PX_BID</t>
        </is>
      </c>
      <c r="SE3" s="9" t="inlineStr">
        <is>
          <t>PX_ASK</t>
        </is>
      </c>
      <c r="SF3" s="9" t="inlineStr">
        <is>
          <t>PX_MID</t>
        </is>
      </c>
      <c r="SG3" s="9" t="inlineStr">
        <is>
          <t>PX_LAST</t>
        </is>
      </c>
      <c r="SH3" s="9" t="inlineStr">
        <is>
          <t>PX_SETTLE</t>
        </is>
      </c>
      <c r="SI3" s="9" t="inlineStr">
        <is>
          <t>PX_VOLUME</t>
        </is>
      </c>
      <c r="SJ3" s="9" t="inlineStr">
        <is>
          <t>OPEN_INT</t>
        </is>
      </c>
      <c r="SK3" s="9" t="inlineStr">
        <is>
          <t>IVOL_MID</t>
        </is>
      </c>
      <c r="SL3" s="9" t="inlineStr">
        <is>
          <t>IVOL_BID</t>
        </is>
      </c>
      <c r="SM3" s="9" t="inlineStr">
        <is>
          <t>IVOL_ASK</t>
        </is>
      </c>
      <c r="SN3" s="9" t="inlineStr">
        <is>
          <t>DELTA_MID</t>
        </is>
      </c>
      <c r="SO3" s="9" t="inlineStr">
        <is>
          <t>GAMMA_MID</t>
        </is>
      </c>
      <c r="SP3" s="9" t="inlineStr">
        <is>
          <t>VEGA_MID</t>
        </is>
      </c>
      <c r="SQ3" s="9" t="inlineStr">
        <is>
          <t>THETA_MID</t>
        </is>
      </c>
      <c r="SR3" s="9" t="inlineStr">
        <is>
          <t>OPT_UNDL_PX</t>
        </is>
      </c>
      <c r="ST3" s="9" t="inlineStr">
        <is>
          <t>Date</t>
        </is>
      </c>
      <c r="SU3" s="9" t="inlineStr">
        <is>
          <t>PX_BID</t>
        </is>
      </c>
      <c r="SV3" s="9" t="inlineStr">
        <is>
          <t>PX_ASK</t>
        </is>
      </c>
      <c r="SW3" s="9" t="inlineStr">
        <is>
          <t>PX_MID</t>
        </is>
      </c>
      <c r="SX3" s="9" t="inlineStr">
        <is>
          <t>PX_LAST</t>
        </is>
      </c>
      <c r="SY3" s="9" t="inlineStr">
        <is>
          <t>PX_SETTLE</t>
        </is>
      </c>
      <c r="SZ3" s="9" t="inlineStr">
        <is>
          <t>PX_VOLUME</t>
        </is>
      </c>
      <c r="TA3" s="9" t="inlineStr">
        <is>
          <t>OPEN_INT</t>
        </is>
      </c>
      <c r="TB3" s="9" t="inlineStr">
        <is>
          <t>IVOL_MID</t>
        </is>
      </c>
      <c r="TC3" s="9" t="inlineStr">
        <is>
          <t>IVOL_BID</t>
        </is>
      </c>
      <c r="TD3" s="9" t="inlineStr">
        <is>
          <t>IVOL_ASK</t>
        </is>
      </c>
      <c r="TE3" s="9" t="inlineStr">
        <is>
          <t>DELTA_MID</t>
        </is>
      </c>
      <c r="TF3" s="9" t="inlineStr">
        <is>
          <t>GAMMA_MID</t>
        </is>
      </c>
      <c r="TG3" s="9" t="inlineStr">
        <is>
          <t>VEGA_MID</t>
        </is>
      </c>
      <c r="TH3" s="9" t="inlineStr">
        <is>
          <t>THETA_MID</t>
        </is>
      </c>
      <c r="TI3" s="9" t="inlineStr">
        <is>
          <t>OPT_UNDL_PX</t>
        </is>
      </c>
      <c r="TK3" s="9" t="inlineStr">
        <is>
          <t>Date</t>
        </is>
      </c>
      <c r="TL3" s="9" t="inlineStr">
        <is>
          <t>PX_BID</t>
        </is>
      </c>
      <c r="TM3" s="9" t="inlineStr">
        <is>
          <t>PX_ASK</t>
        </is>
      </c>
      <c r="TN3" s="9" t="inlineStr">
        <is>
          <t>PX_MID</t>
        </is>
      </c>
      <c r="TO3" s="9" t="inlineStr">
        <is>
          <t>PX_LAST</t>
        </is>
      </c>
      <c r="TP3" s="9" t="inlineStr">
        <is>
          <t>PX_SETTLE</t>
        </is>
      </c>
      <c r="TQ3" s="9" t="inlineStr">
        <is>
          <t>PX_VOLUME</t>
        </is>
      </c>
      <c r="TR3" s="9" t="inlineStr">
        <is>
          <t>OPEN_INT</t>
        </is>
      </c>
      <c r="TS3" s="9" t="inlineStr">
        <is>
          <t>IVOL_MID</t>
        </is>
      </c>
      <c r="TT3" s="9" t="inlineStr">
        <is>
          <t>IVOL_BID</t>
        </is>
      </c>
      <c r="TU3" s="9" t="inlineStr">
        <is>
          <t>IVOL_ASK</t>
        </is>
      </c>
      <c r="TV3" s="9" t="inlineStr">
        <is>
          <t>DELTA_MID</t>
        </is>
      </c>
      <c r="TW3" s="9" t="inlineStr">
        <is>
          <t>GAMMA_MID</t>
        </is>
      </c>
      <c r="TX3" s="9" t="inlineStr">
        <is>
          <t>VEGA_MID</t>
        </is>
      </c>
      <c r="TY3" s="9" t="inlineStr">
        <is>
          <t>THETA_MID</t>
        </is>
      </c>
      <c r="TZ3" s="9" t="inlineStr">
        <is>
          <t>OPT_UNDL_PX</t>
        </is>
      </c>
      <c r="UB3" s="9" t="inlineStr">
        <is>
          <t>Date</t>
        </is>
      </c>
      <c r="UC3" s="9" t="inlineStr">
        <is>
          <t>PX_BID</t>
        </is>
      </c>
      <c r="UD3" s="9" t="inlineStr">
        <is>
          <t>PX_ASK</t>
        </is>
      </c>
      <c r="UE3" s="9" t="inlineStr">
        <is>
          <t>PX_MID</t>
        </is>
      </c>
      <c r="UF3" s="9" t="inlineStr">
        <is>
          <t>PX_LAST</t>
        </is>
      </c>
      <c r="UG3" s="9" t="inlineStr">
        <is>
          <t>PX_SETTLE</t>
        </is>
      </c>
      <c r="UH3" s="9" t="inlineStr">
        <is>
          <t>PX_VOLUME</t>
        </is>
      </c>
      <c r="UI3" s="9" t="inlineStr">
        <is>
          <t>OPEN_INT</t>
        </is>
      </c>
      <c r="UJ3" s="9" t="inlineStr">
        <is>
          <t>IVOL_MID</t>
        </is>
      </c>
      <c r="UK3" s="9" t="inlineStr">
        <is>
          <t>IVOL_BID</t>
        </is>
      </c>
      <c r="UL3" s="9" t="inlineStr">
        <is>
          <t>IVOL_ASK</t>
        </is>
      </c>
      <c r="UM3" s="9" t="inlineStr">
        <is>
          <t>DELTA_MID</t>
        </is>
      </c>
      <c r="UN3" s="9" t="inlineStr">
        <is>
          <t>GAMMA_MID</t>
        </is>
      </c>
      <c r="UO3" s="9" t="inlineStr">
        <is>
          <t>VEGA_MID</t>
        </is>
      </c>
      <c r="UP3" s="9" t="inlineStr">
        <is>
          <t>THETA_MID</t>
        </is>
      </c>
      <c r="UQ3" s="9" t="inlineStr">
        <is>
          <t>OPT_UNDL_PX</t>
        </is>
      </c>
      <c r="US3" s="9" t="inlineStr">
        <is>
          <t>Date</t>
        </is>
      </c>
      <c r="UT3" s="9" t="inlineStr">
        <is>
          <t>PX_BID</t>
        </is>
      </c>
      <c r="UU3" s="9" t="inlineStr">
        <is>
          <t>PX_ASK</t>
        </is>
      </c>
      <c r="UV3" s="9" t="inlineStr">
        <is>
          <t>PX_MID</t>
        </is>
      </c>
      <c r="UW3" s="9" t="inlineStr">
        <is>
          <t>PX_LAST</t>
        </is>
      </c>
      <c r="UX3" s="9" t="inlineStr">
        <is>
          <t>PX_SETTLE</t>
        </is>
      </c>
      <c r="UY3" s="9" t="inlineStr">
        <is>
          <t>PX_VOLUME</t>
        </is>
      </c>
      <c r="UZ3" s="9" t="inlineStr">
        <is>
          <t>OPEN_INT</t>
        </is>
      </c>
      <c r="VA3" s="9" t="inlineStr">
        <is>
          <t>IVOL_MID</t>
        </is>
      </c>
      <c r="VB3" s="9" t="inlineStr">
        <is>
          <t>IVOL_BID</t>
        </is>
      </c>
      <c r="VC3" s="9" t="inlineStr">
        <is>
          <t>IVOL_ASK</t>
        </is>
      </c>
      <c r="VD3" s="9" t="inlineStr">
        <is>
          <t>DELTA_MID</t>
        </is>
      </c>
      <c r="VE3" s="9" t="inlineStr">
        <is>
          <t>GAMMA_MID</t>
        </is>
      </c>
      <c r="VF3" s="9" t="inlineStr">
        <is>
          <t>VEGA_MID</t>
        </is>
      </c>
      <c r="VG3" s="9" t="inlineStr">
        <is>
          <t>THETA_MID</t>
        </is>
      </c>
      <c r="VH3" s="9" t="inlineStr">
        <is>
          <t>OPT_UNDL_PX</t>
        </is>
      </c>
    </row>
    <row r="4">
      <c r="A4" s="2" t="inlineStr">
        <is>
          <t>Year in ticker</t>
        </is>
      </c>
      <c r="B4" s="4">
        <f>IF(B2&lt;Settings!$B$5,TEXT(MOD(Settings!$B$3,100),"00"),TEXT(MOD(Settings!$B$3,10),"0"))</f>
        <v/>
      </c>
      <c r="D4" s="4">
        <f>BDH(D$1,E$3:S$3,$B$9,$B$10,"Dir=V","Dts=S","Sort=A","Days=T","Fill=B")</f>
        <v/>
      </c>
      <c r="U4" s="4">
        <f>BDH(U$1,V$3:AJ$3,$B$9,$B$10,"Dir=V","Dts=S","Sort=A","Days=T","Fill=B")</f>
        <v/>
      </c>
      <c r="AL4" s="4">
        <f>BDH(AL$1,AM$3:BA$3,$B$9,$B$10,"Dir=V","Dts=S","Sort=A","Days=T","Fill=B")</f>
        <v/>
      </c>
      <c r="BC4" s="4">
        <f>BDH(BC$1,BD$3:BR$3,$B$9,$B$10,"Dir=V","Dts=S","Sort=A","Days=T","Fill=B")</f>
        <v/>
      </c>
      <c r="BT4" s="4">
        <f>BDH(BT$1,BU$3:CI$3,$B$9,$B$10,"Dir=V","Dts=S","Sort=A","Days=T","Fill=B")</f>
        <v/>
      </c>
      <c r="CK4" s="4">
        <f>BDH(CK$1,CL$3:CZ$3,$B$9,$B$10,"Dir=V","Dts=S","Sort=A","Days=T","Fill=B")</f>
        <v/>
      </c>
      <c r="DB4" s="4">
        <f>BDH(DB$1,DC$3:DQ$3,$B$9,$B$10,"Dir=V","Dts=S","Sort=A","Days=T","Fill=B")</f>
        <v/>
      </c>
      <c r="DS4" s="4">
        <f>BDH(DS$1,DT$3:EH$3,$B$9,$B$10,"Dir=V","Dts=S","Sort=A","Days=T","Fill=B")</f>
        <v/>
      </c>
      <c r="EJ4" s="4">
        <f>BDH(EJ$1,EK$3:EY$3,$B$9,$B$10,"Dir=V","Dts=S","Sort=A","Days=T","Fill=B")</f>
        <v/>
      </c>
      <c r="FA4" s="4">
        <f>BDH(FA$1,FB$3:FP$3,$B$9,$B$10,"Dir=V","Dts=S","Sort=A","Days=T","Fill=B")</f>
        <v/>
      </c>
      <c r="FR4" s="4">
        <f>BDH(FR$1,FS$3:GG$3,$B$9,$B$10,"Dir=V","Dts=S","Sort=A","Days=T","Fill=B")</f>
        <v/>
      </c>
      <c r="GI4" s="4">
        <f>BDH(GI$1,GJ$3:GX$3,$B$9,$B$10,"Dir=V","Dts=S","Sort=A","Days=T","Fill=B")</f>
        <v/>
      </c>
      <c r="GZ4" s="4">
        <f>BDH(GZ$1,HA$3:HO$3,$B$9,$B$10,"Dir=V","Dts=S","Sort=A","Days=T","Fill=B")</f>
        <v/>
      </c>
      <c r="HQ4" s="4">
        <f>BDH(HQ$1,HR$3:IF$3,$B$9,$B$10,"Dir=V","Dts=S","Sort=A","Days=T","Fill=B")</f>
        <v/>
      </c>
      <c r="IH4" s="4">
        <f>BDH(IH$1,II$3:IW$3,$B$9,$B$10,"Dir=V","Dts=S","Sort=A","Days=T","Fill=B")</f>
        <v/>
      </c>
      <c r="IY4" s="4">
        <f>BDH(IY$1,IZ$3:JN$3,$B$9,$B$10,"Dir=V","Dts=S","Sort=A","Days=T","Fill=B")</f>
        <v/>
      </c>
      <c r="JP4" s="4">
        <f>BDH(JP$1,JQ$3:KE$3,$B$9,$B$10,"Dir=V","Dts=S","Sort=A","Days=T","Fill=B")</f>
        <v/>
      </c>
      <c r="KG4" s="4">
        <f>BDH(KG$1,KH$3:KV$3,$B$9,$B$10,"Dir=V","Dts=S","Sort=A","Days=T","Fill=B")</f>
        <v/>
      </c>
      <c r="KX4" s="4">
        <f>BDH(KX$1,KY$3:LM$3,$B$9,$B$10,"Dir=V","Dts=S","Sort=A","Days=T","Fill=B")</f>
        <v/>
      </c>
      <c r="LO4" s="4">
        <f>BDH(LO$1,LP$3:MD$3,$B$9,$B$10,"Dir=V","Dts=S","Sort=A","Days=T","Fill=B")</f>
        <v/>
      </c>
      <c r="MF4" s="4">
        <f>BDH(MF$1,MG$3:MU$3,$B$9,$B$10,"Dir=V","Dts=S","Sort=A","Days=T","Fill=B")</f>
        <v/>
      </c>
      <c r="MW4" s="4">
        <f>BDH(MW$1,MX$3:NL$3,$B$9,$B$10,"Dir=V","Dts=S","Sort=A","Days=T","Fill=B")</f>
        <v/>
      </c>
      <c r="NN4" s="4">
        <f>BDH(NN$1,NO$3:OC$3,$B$9,$B$10,"Dir=V","Dts=S","Sort=A","Days=T","Fill=B")</f>
        <v/>
      </c>
      <c r="OE4" s="4">
        <f>BDH(OE$1,OF$3:OT$3,$B$9,$B$10,"Dir=V","Dts=S","Sort=A","Days=T","Fill=B")</f>
        <v/>
      </c>
      <c r="OV4" s="4">
        <f>BDH(OV$1,OW$3:PK$3,$B$9,$B$10,"Dir=V","Dts=S","Sort=A","Days=T","Fill=B")</f>
        <v/>
      </c>
      <c r="PM4" s="4">
        <f>BDH(PM$1,PN$3:QB$3,$B$9,$B$10,"Dir=V","Dts=S","Sort=A","Days=T","Fill=B")</f>
        <v/>
      </c>
      <c r="QD4" s="4">
        <f>BDH(QD$1,QE$3:QS$3,$B$9,$B$10,"Dir=V","Dts=S","Sort=A","Days=T","Fill=B")</f>
        <v/>
      </c>
      <c r="QU4" s="4">
        <f>BDH(QU$1,QV$3:RJ$3,$B$9,$B$10,"Dir=V","Dts=S","Sort=A","Days=T","Fill=B")</f>
        <v/>
      </c>
      <c r="RL4" s="4">
        <f>BDH(RL$1,RM$3:SA$3,$B$9,$B$10,"Dir=V","Dts=S","Sort=A","Days=T","Fill=B")</f>
        <v/>
      </c>
      <c r="SC4" s="4">
        <f>BDH(SC$1,SD$3:SR$3,$B$9,$B$10,"Dir=V","Dts=S","Sort=A","Days=T","Fill=B")</f>
        <v/>
      </c>
      <c r="ST4" s="4">
        <f>BDH(ST$1,SU$3:TI$3,$B$9,$B$10,"Dir=V","Dts=S","Sort=A","Days=T","Fill=B")</f>
        <v/>
      </c>
      <c r="TK4" s="4">
        <f>BDH(TK$1,TL$3:TZ$3,$B$9,$B$10,"Dir=V","Dts=S","Sort=A","Days=T","Fill=B")</f>
        <v/>
      </c>
      <c r="UB4" s="4">
        <f>BDH(UB$1,UC$3:UQ$3,$B$9,$B$10,"Dir=V","Dts=S","Sort=A","Days=T","Fill=B")</f>
        <v/>
      </c>
      <c r="US4" s="4">
        <f>BDH(US$1,UT$3:VH$3,$B$9,$B$10,"Dir=V","Dts=S","Sort=A","Days=T","Fill=B")</f>
        <v/>
      </c>
    </row>
    <row r="5">
      <c r="A5" s="2" t="inlineStr">
        <is>
          <t>Futures ticker</t>
        </is>
      </c>
      <c r="B5" s="4">
        <f>"CL"&amp;MID("FGHJKMNQUVXZ",B1,1)&amp;B4&amp;" Comdty"</f>
        <v/>
      </c>
    </row>
    <row r="6">
      <c r="A6" s="2" t="inlineStr">
        <is>
          <t>Strike reference date</t>
        </is>
      </c>
      <c r="B6" s="8">
        <f>B3-45</f>
        <v/>
      </c>
    </row>
    <row r="7">
      <c r="A7" s="2" t="inlineStr">
        <is>
          <t>Futures price on that date</t>
        </is>
      </c>
      <c r="B7" s="10">
        <f>BDH(B5,"PX_LAST",B6,B6,"Days=A","Fill=P","Dts=H")</f>
        <v/>
      </c>
    </row>
    <row r="8">
      <c r="A8" s="2" t="inlineStr">
        <is>
          <t>ATM strike</t>
        </is>
      </c>
      <c r="B8" s="7">
        <f>ROUND(B7,0)</f>
        <v/>
      </c>
    </row>
    <row r="9">
      <c r="A9" s="2" t="inlineStr">
        <is>
          <t>History start</t>
        </is>
      </c>
      <c r="B9" s="8">
        <f>B3-100</f>
        <v/>
      </c>
    </row>
    <row r="10">
      <c r="A10" s="2" t="inlineStr">
        <is>
          <t>History end</t>
        </is>
      </c>
      <c r="B10" s="8">
        <f>B3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H1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  <col width="12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1" customWidth="1" min="383" max="383"/>
    <col width="11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1" customWidth="1" min="389" max="389"/>
    <col width="11" customWidth="1" min="390" max="390"/>
    <col width="10" customWidth="1" min="391" max="391"/>
    <col width="11" customWidth="1" min="392" max="392"/>
    <col width="13" customWidth="1" min="393" max="393"/>
    <col width="12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1" customWidth="1" min="400" max="400"/>
    <col width="11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1" customWidth="1" min="406" max="406"/>
    <col width="11" customWidth="1" min="407" max="407"/>
    <col width="10" customWidth="1" min="408" max="408"/>
    <col width="11" customWidth="1" min="409" max="409"/>
    <col width="13" customWidth="1" min="410" max="410"/>
    <col width="12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1" customWidth="1" min="417" max="417"/>
    <col width="11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1" customWidth="1" min="423" max="423"/>
    <col width="11" customWidth="1" min="424" max="424"/>
    <col width="10" customWidth="1" min="425" max="425"/>
    <col width="11" customWidth="1" min="426" max="426"/>
    <col width="13" customWidth="1" min="427" max="427"/>
    <col width="12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1" customWidth="1" min="434" max="434"/>
    <col width="11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1" customWidth="1" min="440" max="440"/>
    <col width="11" customWidth="1" min="441" max="441"/>
    <col width="10" customWidth="1" min="442" max="442"/>
    <col width="11" customWidth="1" min="443" max="443"/>
    <col width="13" customWidth="1" min="444" max="444"/>
    <col width="12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1" customWidth="1" min="451" max="451"/>
    <col width="11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1" customWidth="1" min="457" max="457"/>
    <col width="11" customWidth="1" min="458" max="458"/>
    <col width="10" customWidth="1" min="459" max="459"/>
    <col width="11" customWidth="1" min="460" max="460"/>
    <col width="13" customWidth="1" min="461" max="461"/>
    <col width="12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1" customWidth="1" min="468" max="468"/>
    <col width="11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1" customWidth="1" min="474" max="474"/>
    <col width="11" customWidth="1" min="475" max="475"/>
    <col width="10" customWidth="1" min="476" max="476"/>
    <col width="11" customWidth="1" min="477" max="477"/>
    <col width="13" customWidth="1" min="478" max="478"/>
    <col width="12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1" customWidth="1" min="485" max="485"/>
    <col width="11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1" customWidth="1" min="491" max="491"/>
    <col width="11" customWidth="1" min="492" max="492"/>
    <col width="10" customWidth="1" min="493" max="493"/>
    <col width="11" customWidth="1" min="494" max="494"/>
    <col width="13" customWidth="1" min="495" max="495"/>
    <col width="12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1" customWidth="1" min="502" max="502"/>
    <col width="11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1" customWidth="1" min="508" max="508"/>
    <col width="11" customWidth="1" min="509" max="509"/>
    <col width="10" customWidth="1" min="510" max="510"/>
    <col width="11" customWidth="1" min="511" max="511"/>
    <col width="13" customWidth="1" min="512" max="512"/>
    <col width="12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1" customWidth="1" min="519" max="519"/>
    <col width="11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1" customWidth="1" min="525" max="525"/>
    <col width="11" customWidth="1" min="526" max="526"/>
    <col width="10" customWidth="1" min="527" max="527"/>
    <col width="11" customWidth="1" min="528" max="528"/>
    <col width="13" customWidth="1" min="529" max="529"/>
    <col width="12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1" customWidth="1" min="536" max="536"/>
    <col width="11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1" customWidth="1" min="542" max="542"/>
    <col width="11" customWidth="1" min="543" max="543"/>
    <col width="10" customWidth="1" min="544" max="544"/>
    <col width="11" customWidth="1" min="545" max="545"/>
    <col width="13" customWidth="1" min="546" max="546"/>
    <col width="12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1" customWidth="1" min="553" max="553"/>
    <col width="11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1" customWidth="1" min="559" max="559"/>
    <col width="11" customWidth="1" min="560" max="560"/>
    <col width="10" customWidth="1" min="561" max="561"/>
    <col width="11" customWidth="1" min="562" max="562"/>
    <col width="13" customWidth="1" min="563" max="563"/>
    <col width="12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1" customWidth="1" min="570" max="570"/>
    <col width="11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1" customWidth="1" min="576" max="576"/>
    <col width="11" customWidth="1" min="577" max="577"/>
    <col width="10" customWidth="1" min="578" max="578"/>
    <col width="11" customWidth="1" min="579" max="579"/>
    <col width="13" customWidth="1" min="580" max="580"/>
  </cols>
  <sheetData>
    <row r="1">
      <c r="A1" s="2" t="inlineStr">
        <is>
          <t>Contract month</t>
        </is>
      </c>
      <c r="B1" s="7" t="n">
        <v>6</v>
      </c>
      <c r="D1" s="4">
        <f>"CL"&amp;MID("FGHJKMNQUVXZ",B$1,1)&amp;B$4&amp;"C "&amp;IF(Settings!$B$4=2,TEXT((B$8-8),"0.00"),(B$8-8))&amp;" Comdty"</f>
        <v/>
      </c>
      <c r="U1" s="4">
        <f>"CL"&amp;MID("FGHJKMNQUVXZ",B$1,1)&amp;B$4&amp;"P "&amp;IF(Settings!$B$4=2,TEXT((B$8-8),"0.00"),(B$8-8))&amp;" Comdty"</f>
        <v/>
      </c>
      <c r="AL1" s="4">
        <f>"CL"&amp;MID("FGHJKMNQUVXZ",B$1,1)&amp;B$4&amp;"C "&amp;IF(Settings!$B$4=2,TEXT((B$8-7),"0.00"),(B$8-7))&amp;" Comdty"</f>
        <v/>
      </c>
      <c r="BC1" s="4">
        <f>"CL"&amp;MID("FGHJKMNQUVXZ",B$1,1)&amp;B$4&amp;"P "&amp;IF(Settings!$B$4=2,TEXT((B$8-7),"0.00"),(B$8-7))&amp;" Comdty"</f>
        <v/>
      </c>
      <c r="BT1" s="4">
        <f>"CL"&amp;MID("FGHJKMNQUVXZ",B$1,1)&amp;B$4&amp;"C "&amp;IF(Settings!$B$4=2,TEXT((B$8-6),"0.00"),(B$8-6))&amp;" Comdty"</f>
        <v/>
      </c>
      <c r="CK1" s="4">
        <f>"CL"&amp;MID("FGHJKMNQUVXZ",B$1,1)&amp;B$4&amp;"P "&amp;IF(Settings!$B$4=2,TEXT((B$8-6),"0.00"),(B$8-6))&amp;" Comdty"</f>
        <v/>
      </c>
      <c r="DB1" s="4">
        <f>"CL"&amp;MID("FGHJKMNQUVXZ",B$1,1)&amp;B$4&amp;"C "&amp;IF(Settings!$B$4=2,TEXT((B$8-5),"0.00"),(B$8-5))&amp;" Comdty"</f>
        <v/>
      </c>
      <c r="DS1" s="4">
        <f>"CL"&amp;MID("FGHJKMNQUVXZ",B$1,1)&amp;B$4&amp;"P "&amp;IF(Settings!$B$4=2,TEXT((B$8-5),"0.00"),(B$8-5))&amp;" Comdty"</f>
        <v/>
      </c>
      <c r="EJ1" s="4">
        <f>"CL"&amp;MID("FGHJKMNQUVXZ",B$1,1)&amp;B$4&amp;"C "&amp;IF(Settings!$B$4=2,TEXT((B$8-4),"0.00"),(B$8-4))&amp;" Comdty"</f>
        <v/>
      </c>
      <c r="FA1" s="4">
        <f>"CL"&amp;MID("FGHJKMNQUVXZ",B$1,1)&amp;B$4&amp;"P "&amp;IF(Settings!$B$4=2,TEXT((B$8-4),"0.00"),(B$8-4))&amp;" Comdty"</f>
        <v/>
      </c>
      <c r="FR1" s="4">
        <f>"CL"&amp;MID("FGHJKMNQUVXZ",B$1,1)&amp;B$4&amp;"C "&amp;IF(Settings!$B$4=2,TEXT((B$8-3),"0.00"),(B$8-3))&amp;" Comdty"</f>
        <v/>
      </c>
      <c r="GI1" s="4">
        <f>"CL"&amp;MID("FGHJKMNQUVXZ",B$1,1)&amp;B$4&amp;"P "&amp;IF(Settings!$B$4=2,TEXT((B$8-3),"0.00"),(B$8-3))&amp;" Comdty"</f>
        <v/>
      </c>
      <c r="GZ1" s="4">
        <f>"CL"&amp;MID("FGHJKMNQUVXZ",B$1,1)&amp;B$4&amp;"C "&amp;IF(Settings!$B$4=2,TEXT((B$8-2),"0.00"),(B$8-2))&amp;" Comdty"</f>
        <v/>
      </c>
      <c r="HQ1" s="4">
        <f>"CL"&amp;MID("FGHJKMNQUVXZ",B$1,1)&amp;B$4&amp;"P "&amp;IF(Settings!$B$4=2,TEXT((B$8-2),"0.00"),(B$8-2))&amp;" Comdty"</f>
        <v/>
      </c>
      <c r="IH1" s="4">
        <f>"CL"&amp;MID("FGHJKMNQUVXZ",B$1,1)&amp;B$4&amp;"C "&amp;IF(Settings!$B$4=2,TEXT((B$8-1),"0.00"),(B$8-1))&amp;" Comdty"</f>
        <v/>
      </c>
      <c r="IY1" s="4">
        <f>"CL"&amp;MID("FGHJKMNQUVXZ",B$1,1)&amp;B$4&amp;"P "&amp;IF(Settings!$B$4=2,TEXT((B$8-1),"0.00"),(B$8-1))&amp;" Comdty"</f>
        <v/>
      </c>
      <c r="JP1" s="4">
        <f>"CL"&amp;MID("FGHJKMNQUVXZ",B$1,1)&amp;B$4&amp;"C "&amp;IF(Settings!$B$4=2,TEXT(B$8,"0.00"),B$8)&amp;" Comdty"</f>
        <v/>
      </c>
      <c r="KG1" s="4">
        <f>"CL"&amp;MID("FGHJKMNQUVXZ",B$1,1)&amp;B$4&amp;"P "&amp;IF(Settings!$B$4=2,TEXT(B$8,"0.00"),B$8)&amp;" Comdty"</f>
        <v/>
      </c>
      <c r="KX1" s="4">
        <f>"CL"&amp;MID("FGHJKMNQUVXZ",B$1,1)&amp;B$4&amp;"C "&amp;IF(Settings!$B$4=2,TEXT((B$8+1),"0.00"),(B$8+1))&amp;" Comdty"</f>
        <v/>
      </c>
      <c r="LO1" s="4">
        <f>"CL"&amp;MID("FGHJKMNQUVXZ",B$1,1)&amp;B$4&amp;"P "&amp;IF(Settings!$B$4=2,TEXT((B$8+1),"0.00"),(B$8+1))&amp;" Comdty"</f>
        <v/>
      </c>
      <c r="MF1" s="4">
        <f>"CL"&amp;MID("FGHJKMNQUVXZ",B$1,1)&amp;B$4&amp;"C "&amp;IF(Settings!$B$4=2,TEXT((B$8+2),"0.00"),(B$8+2))&amp;" Comdty"</f>
        <v/>
      </c>
      <c r="MW1" s="4">
        <f>"CL"&amp;MID("FGHJKMNQUVXZ",B$1,1)&amp;B$4&amp;"P "&amp;IF(Settings!$B$4=2,TEXT((B$8+2),"0.00"),(B$8+2))&amp;" Comdty"</f>
        <v/>
      </c>
      <c r="NN1" s="4">
        <f>"CL"&amp;MID("FGHJKMNQUVXZ",B$1,1)&amp;B$4&amp;"C "&amp;IF(Settings!$B$4=2,TEXT((B$8+3),"0.00"),(B$8+3))&amp;" Comdty"</f>
        <v/>
      </c>
      <c r="OE1" s="4">
        <f>"CL"&amp;MID("FGHJKMNQUVXZ",B$1,1)&amp;B$4&amp;"P "&amp;IF(Settings!$B$4=2,TEXT((B$8+3),"0.00"),(B$8+3))&amp;" Comdty"</f>
        <v/>
      </c>
      <c r="OV1" s="4">
        <f>"CL"&amp;MID("FGHJKMNQUVXZ",B$1,1)&amp;B$4&amp;"C "&amp;IF(Settings!$B$4=2,TEXT((B$8+4),"0.00"),(B$8+4))&amp;" Comdty"</f>
        <v/>
      </c>
      <c r="PM1" s="4">
        <f>"CL"&amp;MID("FGHJKMNQUVXZ",B$1,1)&amp;B$4&amp;"P "&amp;IF(Settings!$B$4=2,TEXT((B$8+4),"0.00"),(B$8+4))&amp;" Comdty"</f>
        <v/>
      </c>
      <c r="QD1" s="4">
        <f>"CL"&amp;MID("FGHJKMNQUVXZ",B$1,1)&amp;B$4&amp;"C "&amp;IF(Settings!$B$4=2,TEXT((B$8+5),"0.00"),(B$8+5))&amp;" Comdty"</f>
        <v/>
      </c>
      <c r="QU1" s="4">
        <f>"CL"&amp;MID("FGHJKMNQUVXZ",B$1,1)&amp;B$4&amp;"P "&amp;IF(Settings!$B$4=2,TEXT((B$8+5),"0.00"),(B$8+5))&amp;" Comdty"</f>
        <v/>
      </c>
      <c r="RL1" s="4">
        <f>"CL"&amp;MID("FGHJKMNQUVXZ",B$1,1)&amp;B$4&amp;"C "&amp;IF(Settings!$B$4=2,TEXT((B$8+6),"0.00"),(B$8+6))&amp;" Comdty"</f>
        <v/>
      </c>
      <c r="SC1" s="4">
        <f>"CL"&amp;MID("FGHJKMNQUVXZ",B$1,1)&amp;B$4&amp;"P "&amp;IF(Settings!$B$4=2,TEXT((B$8+6),"0.00"),(B$8+6))&amp;" Comdty"</f>
        <v/>
      </c>
      <c r="ST1" s="4">
        <f>"CL"&amp;MID("FGHJKMNQUVXZ",B$1,1)&amp;B$4&amp;"C "&amp;IF(Settings!$B$4=2,TEXT((B$8+7),"0.00"),(B$8+7))&amp;" Comdty"</f>
        <v/>
      </c>
      <c r="TK1" s="4">
        <f>"CL"&amp;MID("FGHJKMNQUVXZ",B$1,1)&amp;B$4&amp;"P "&amp;IF(Settings!$B$4=2,TEXT((B$8+7),"0.00"),(B$8+7))&amp;" Comdty"</f>
        <v/>
      </c>
      <c r="UB1" s="4">
        <f>"CL"&amp;MID("FGHJKMNQUVXZ",B$1,1)&amp;B$4&amp;"C "&amp;IF(Settings!$B$4=2,TEXT((B$8+8),"0.00"),(B$8+8))&amp;" Comdty"</f>
        <v/>
      </c>
      <c r="US1" s="4">
        <f>"CL"&amp;MID("FGHJKMNQUVXZ",B$1,1)&amp;B$4&amp;"P "&amp;IF(Settings!$B$4=2,TEXT((B$8+8),"0.00"),(B$8+8))&amp;" Comdty"</f>
        <v/>
      </c>
    </row>
    <row r="2">
      <c r="A2" s="2" t="inlineStr">
        <is>
          <t>Futures last trade</t>
        </is>
      </c>
      <c r="B2" s="8">
        <f>WORKDAY(DATE(Settings!$B$3,B1-1,25),-3)</f>
        <v/>
      </c>
      <c r="D2" s="4" t="inlineStr">
        <is>
          <t>call -8 from ATM</t>
        </is>
      </c>
      <c r="U2" s="4" t="inlineStr">
        <is>
          <t>put -8 from ATM</t>
        </is>
      </c>
      <c r="AL2" s="4" t="inlineStr">
        <is>
          <t>call -7 from ATM</t>
        </is>
      </c>
      <c r="BC2" s="4" t="inlineStr">
        <is>
          <t>put -7 from ATM</t>
        </is>
      </c>
      <c r="BT2" s="4" t="inlineStr">
        <is>
          <t>call -6 from ATM</t>
        </is>
      </c>
      <c r="CK2" s="4" t="inlineStr">
        <is>
          <t>put -6 from ATM</t>
        </is>
      </c>
      <c r="DB2" s="4" t="inlineStr">
        <is>
          <t>call -5 from ATM</t>
        </is>
      </c>
      <c r="DS2" s="4" t="inlineStr">
        <is>
          <t>put -5 from ATM</t>
        </is>
      </c>
      <c r="EJ2" s="4" t="inlineStr">
        <is>
          <t>call -4 from ATM</t>
        </is>
      </c>
      <c r="FA2" s="4" t="inlineStr">
        <is>
          <t>put -4 from ATM</t>
        </is>
      </c>
      <c r="FR2" s="4" t="inlineStr">
        <is>
          <t>call -3 from ATM</t>
        </is>
      </c>
      <c r="GI2" s="4" t="inlineStr">
        <is>
          <t>put -3 from ATM</t>
        </is>
      </c>
      <c r="GZ2" s="4" t="inlineStr">
        <is>
          <t>call -2 from ATM</t>
        </is>
      </c>
      <c r="HQ2" s="4" t="inlineStr">
        <is>
          <t>put -2 from ATM</t>
        </is>
      </c>
      <c r="IH2" s="4" t="inlineStr">
        <is>
          <t>call -1 from ATM</t>
        </is>
      </c>
      <c r="IY2" s="4" t="inlineStr">
        <is>
          <t>put -1 from ATM</t>
        </is>
      </c>
      <c r="JP2" s="4" t="inlineStr">
        <is>
          <t>call +0 from ATM</t>
        </is>
      </c>
      <c r="KG2" s="4" t="inlineStr">
        <is>
          <t>put +0 from ATM</t>
        </is>
      </c>
      <c r="KX2" s="4" t="inlineStr">
        <is>
          <t>call +1 from ATM</t>
        </is>
      </c>
      <c r="LO2" s="4" t="inlineStr">
        <is>
          <t>put +1 from ATM</t>
        </is>
      </c>
      <c r="MF2" s="4" t="inlineStr">
        <is>
          <t>call +2 from ATM</t>
        </is>
      </c>
      <c r="MW2" s="4" t="inlineStr">
        <is>
          <t>put +2 from ATM</t>
        </is>
      </c>
      <c r="NN2" s="4" t="inlineStr">
        <is>
          <t>call +3 from ATM</t>
        </is>
      </c>
      <c r="OE2" s="4" t="inlineStr">
        <is>
          <t>put +3 from ATM</t>
        </is>
      </c>
      <c r="OV2" s="4" t="inlineStr">
        <is>
          <t>call +4 from ATM</t>
        </is>
      </c>
      <c r="PM2" s="4" t="inlineStr">
        <is>
          <t>put +4 from ATM</t>
        </is>
      </c>
      <c r="QD2" s="4" t="inlineStr">
        <is>
          <t>call +5 from ATM</t>
        </is>
      </c>
      <c r="QU2" s="4" t="inlineStr">
        <is>
          <t>put +5 from ATM</t>
        </is>
      </c>
      <c r="RL2" s="4" t="inlineStr">
        <is>
          <t>call +6 from ATM</t>
        </is>
      </c>
      <c r="SC2" s="4" t="inlineStr">
        <is>
          <t>put +6 from ATM</t>
        </is>
      </c>
      <c r="ST2" s="4" t="inlineStr">
        <is>
          <t>call +7 from ATM</t>
        </is>
      </c>
      <c r="TK2" s="4" t="inlineStr">
        <is>
          <t>put +7 from ATM</t>
        </is>
      </c>
      <c r="UB2" s="4" t="inlineStr">
        <is>
          <t>call +8 from ATM</t>
        </is>
      </c>
      <c r="US2" s="4" t="inlineStr">
        <is>
          <t>put +8 from ATM</t>
        </is>
      </c>
    </row>
    <row r="3">
      <c r="A3" s="2" t="inlineStr">
        <is>
          <t>Option expiry (approx)</t>
        </is>
      </c>
      <c r="B3" s="8">
        <f>WORKDAY(B2,-1)</f>
        <v/>
      </c>
      <c r="D3" s="9" t="inlineStr">
        <is>
          <t>Date</t>
        </is>
      </c>
      <c r="E3" s="9" t="inlineStr">
        <is>
          <t>PX_BID</t>
        </is>
      </c>
      <c r="F3" s="9" t="inlineStr">
        <is>
          <t>PX_ASK</t>
        </is>
      </c>
      <c r="G3" s="9" t="inlineStr">
        <is>
          <t>PX_MID</t>
        </is>
      </c>
      <c r="H3" s="9" t="inlineStr">
        <is>
          <t>PX_LAST</t>
        </is>
      </c>
      <c r="I3" s="9" t="inlineStr">
        <is>
          <t>PX_SETTLE</t>
        </is>
      </c>
      <c r="J3" s="9" t="inlineStr">
        <is>
          <t>PX_VOLUME</t>
        </is>
      </c>
      <c r="K3" s="9" t="inlineStr">
        <is>
          <t>OPEN_INT</t>
        </is>
      </c>
      <c r="L3" s="9" t="inlineStr">
        <is>
          <t>IVOL_MID</t>
        </is>
      </c>
      <c r="M3" s="9" t="inlineStr">
        <is>
          <t>IVOL_BID</t>
        </is>
      </c>
      <c r="N3" s="9" t="inlineStr">
        <is>
          <t>IVOL_ASK</t>
        </is>
      </c>
      <c r="O3" s="9" t="inlineStr">
        <is>
          <t>DELTA_MID</t>
        </is>
      </c>
      <c r="P3" s="9" t="inlineStr">
        <is>
          <t>GAMMA_MID</t>
        </is>
      </c>
      <c r="Q3" s="9" t="inlineStr">
        <is>
          <t>VEGA_MID</t>
        </is>
      </c>
      <c r="R3" s="9" t="inlineStr">
        <is>
          <t>THETA_MID</t>
        </is>
      </c>
      <c r="S3" s="9" t="inlineStr">
        <is>
          <t>OPT_UNDL_PX</t>
        </is>
      </c>
      <c r="U3" s="9" t="inlineStr">
        <is>
          <t>Date</t>
        </is>
      </c>
      <c r="V3" s="9" t="inlineStr">
        <is>
          <t>PX_BID</t>
        </is>
      </c>
      <c r="W3" s="9" t="inlineStr">
        <is>
          <t>PX_ASK</t>
        </is>
      </c>
      <c r="X3" s="9" t="inlineStr">
        <is>
          <t>PX_MID</t>
        </is>
      </c>
      <c r="Y3" s="9" t="inlineStr">
        <is>
          <t>PX_LAST</t>
        </is>
      </c>
      <c r="Z3" s="9" t="inlineStr">
        <is>
          <t>PX_SETTLE</t>
        </is>
      </c>
      <c r="AA3" s="9" t="inlineStr">
        <is>
          <t>PX_VOLUME</t>
        </is>
      </c>
      <c r="AB3" s="9" t="inlineStr">
        <is>
          <t>OPEN_INT</t>
        </is>
      </c>
      <c r="AC3" s="9" t="inlineStr">
        <is>
          <t>IVOL_MID</t>
        </is>
      </c>
      <c r="AD3" s="9" t="inlineStr">
        <is>
          <t>IVOL_BID</t>
        </is>
      </c>
      <c r="AE3" s="9" t="inlineStr">
        <is>
          <t>IVOL_ASK</t>
        </is>
      </c>
      <c r="AF3" s="9" t="inlineStr">
        <is>
          <t>DELTA_MID</t>
        </is>
      </c>
      <c r="AG3" s="9" t="inlineStr">
        <is>
          <t>GAMMA_MID</t>
        </is>
      </c>
      <c r="AH3" s="9" t="inlineStr">
        <is>
          <t>VEGA_MID</t>
        </is>
      </c>
      <c r="AI3" s="9" t="inlineStr">
        <is>
          <t>THETA_MID</t>
        </is>
      </c>
      <c r="AJ3" s="9" t="inlineStr">
        <is>
          <t>OPT_UNDL_PX</t>
        </is>
      </c>
      <c r="AL3" s="9" t="inlineStr">
        <is>
          <t>Date</t>
        </is>
      </c>
      <c r="AM3" s="9" t="inlineStr">
        <is>
          <t>PX_BID</t>
        </is>
      </c>
      <c r="AN3" s="9" t="inlineStr">
        <is>
          <t>PX_ASK</t>
        </is>
      </c>
      <c r="AO3" s="9" t="inlineStr">
        <is>
          <t>PX_MID</t>
        </is>
      </c>
      <c r="AP3" s="9" t="inlineStr">
        <is>
          <t>PX_LAST</t>
        </is>
      </c>
      <c r="AQ3" s="9" t="inlineStr">
        <is>
          <t>PX_SETTLE</t>
        </is>
      </c>
      <c r="AR3" s="9" t="inlineStr">
        <is>
          <t>PX_VOLUME</t>
        </is>
      </c>
      <c r="AS3" s="9" t="inlineStr">
        <is>
          <t>OPEN_INT</t>
        </is>
      </c>
      <c r="AT3" s="9" t="inlineStr">
        <is>
          <t>IVOL_MID</t>
        </is>
      </c>
      <c r="AU3" s="9" t="inlineStr">
        <is>
          <t>IVOL_BID</t>
        </is>
      </c>
      <c r="AV3" s="9" t="inlineStr">
        <is>
          <t>IVOL_ASK</t>
        </is>
      </c>
      <c r="AW3" s="9" t="inlineStr">
        <is>
          <t>DELTA_MID</t>
        </is>
      </c>
      <c r="AX3" s="9" t="inlineStr">
        <is>
          <t>GAMMA_MID</t>
        </is>
      </c>
      <c r="AY3" s="9" t="inlineStr">
        <is>
          <t>VEGA_MID</t>
        </is>
      </c>
      <c r="AZ3" s="9" t="inlineStr">
        <is>
          <t>THETA_MID</t>
        </is>
      </c>
      <c r="BA3" s="9" t="inlineStr">
        <is>
          <t>OPT_UNDL_PX</t>
        </is>
      </c>
      <c r="BC3" s="9" t="inlineStr">
        <is>
          <t>Date</t>
        </is>
      </c>
      <c r="BD3" s="9" t="inlineStr">
        <is>
          <t>PX_BID</t>
        </is>
      </c>
      <c r="BE3" s="9" t="inlineStr">
        <is>
          <t>PX_ASK</t>
        </is>
      </c>
      <c r="BF3" s="9" t="inlineStr">
        <is>
          <t>PX_MID</t>
        </is>
      </c>
      <c r="BG3" s="9" t="inlineStr">
        <is>
          <t>PX_LAST</t>
        </is>
      </c>
      <c r="BH3" s="9" t="inlineStr">
        <is>
          <t>PX_SETTLE</t>
        </is>
      </c>
      <c r="BI3" s="9" t="inlineStr">
        <is>
          <t>PX_VOLUME</t>
        </is>
      </c>
      <c r="BJ3" s="9" t="inlineStr">
        <is>
          <t>OPEN_INT</t>
        </is>
      </c>
      <c r="BK3" s="9" t="inlineStr">
        <is>
          <t>IVOL_MID</t>
        </is>
      </c>
      <c r="BL3" s="9" t="inlineStr">
        <is>
          <t>IVOL_BID</t>
        </is>
      </c>
      <c r="BM3" s="9" t="inlineStr">
        <is>
          <t>IVOL_ASK</t>
        </is>
      </c>
      <c r="BN3" s="9" t="inlineStr">
        <is>
          <t>DELTA_MID</t>
        </is>
      </c>
      <c r="BO3" s="9" t="inlineStr">
        <is>
          <t>GAMMA_MID</t>
        </is>
      </c>
      <c r="BP3" s="9" t="inlineStr">
        <is>
          <t>VEGA_MID</t>
        </is>
      </c>
      <c r="BQ3" s="9" t="inlineStr">
        <is>
          <t>THETA_MID</t>
        </is>
      </c>
      <c r="BR3" s="9" t="inlineStr">
        <is>
          <t>OPT_UNDL_PX</t>
        </is>
      </c>
      <c r="BT3" s="9" t="inlineStr">
        <is>
          <t>Date</t>
        </is>
      </c>
      <c r="BU3" s="9" t="inlineStr">
        <is>
          <t>PX_BID</t>
        </is>
      </c>
      <c r="BV3" s="9" t="inlineStr">
        <is>
          <t>PX_ASK</t>
        </is>
      </c>
      <c r="BW3" s="9" t="inlineStr">
        <is>
          <t>PX_MID</t>
        </is>
      </c>
      <c r="BX3" s="9" t="inlineStr">
        <is>
          <t>PX_LAST</t>
        </is>
      </c>
      <c r="BY3" s="9" t="inlineStr">
        <is>
          <t>PX_SETTLE</t>
        </is>
      </c>
      <c r="BZ3" s="9" t="inlineStr">
        <is>
          <t>PX_VOLUME</t>
        </is>
      </c>
      <c r="CA3" s="9" t="inlineStr">
        <is>
          <t>OPEN_INT</t>
        </is>
      </c>
      <c r="CB3" s="9" t="inlineStr">
        <is>
          <t>IVOL_MID</t>
        </is>
      </c>
      <c r="CC3" s="9" t="inlineStr">
        <is>
          <t>IVOL_BID</t>
        </is>
      </c>
      <c r="CD3" s="9" t="inlineStr">
        <is>
          <t>IVOL_ASK</t>
        </is>
      </c>
      <c r="CE3" s="9" t="inlineStr">
        <is>
          <t>DELTA_MID</t>
        </is>
      </c>
      <c r="CF3" s="9" t="inlineStr">
        <is>
          <t>GAMMA_MID</t>
        </is>
      </c>
      <c r="CG3" s="9" t="inlineStr">
        <is>
          <t>VEGA_MID</t>
        </is>
      </c>
      <c r="CH3" s="9" t="inlineStr">
        <is>
          <t>THETA_MID</t>
        </is>
      </c>
      <c r="CI3" s="9" t="inlineStr">
        <is>
          <t>OPT_UNDL_PX</t>
        </is>
      </c>
      <c r="CK3" s="9" t="inlineStr">
        <is>
          <t>Date</t>
        </is>
      </c>
      <c r="CL3" s="9" t="inlineStr">
        <is>
          <t>PX_BID</t>
        </is>
      </c>
      <c r="CM3" s="9" t="inlineStr">
        <is>
          <t>PX_ASK</t>
        </is>
      </c>
      <c r="CN3" s="9" t="inlineStr">
        <is>
          <t>PX_MID</t>
        </is>
      </c>
      <c r="CO3" s="9" t="inlineStr">
        <is>
          <t>PX_LAST</t>
        </is>
      </c>
      <c r="CP3" s="9" t="inlineStr">
        <is>
          <t>PX_SETTLE</t>
        </is>
      </c>
      <c r="CQ3" s="9" t="inlineStr">
        <is>
          <t>PX_VOLUME</t>
        </is>
      </c>
      <c r="CR3" s="9" t="inlineStr">
        <is>
          <t>OPEN_INT</t>
        </is>
      </c>
      <c r="CS3" s="9" t="inlineStr">
        <is>
          <t>IVOL_MID</t>
        </is>
      </c>
      <c r="CT3" s="9" t="inlineStr">
        <is>
          <t>IVOL_BID</t>
        </is>
      </c>
      <c r="CU3" s="9" t="inlineStr">
        <is>
          <t>IVOL_ASK</t>
        </is>
      </c>
      <c r="CV3" s="9" t="inlineStr">
        <is>
          <t>DELTA_MID</t>
        </is>
      </c>
      <c r="CW3" s="9" t="inlineStr">
        <is>
          <t>GAMMA_MID</t>
        </is>
      </c>
      <c r="CX3" s="9" t="inlineStr">
        <is>
          <t>VEGA_MID</t>
        </is>
      </c>
      <c r="CY3" s="9" t="inlineStr">
        <is>
          <t>THETA_MID</t>
        </is>
      </c>
      <c r="CZ3" s="9" t="inlineStr">
        <is>
          <t>OPT_UNDL_PX</t>
        </is>
      </c>
      <c r="DB3" s="9" t="inlineStr">
        <is>
          <t>Date</t>
        </is>
      </c>
      <c r="DC3" s="9" t="inlineStr">
        <is>
          <t>PX_BID</t>
        </is>
      </c>
      <c r="DD3" s="9" t="inlineStr">
        <is>
          <t>PX_ASK</t>
        </is>
      </c>
      <c r="DE3" s="9" t="inlineStr">
        <is>
          <t>PX_MID</t>
        </is>
      </c>
      <c r="DF3" s="9" t="inlineStr">
        <is>
          <t>PX_LAST</t>
        </is>
      </c>
      <c r="DG3" s="9" t="inlineStr">
        <is>
          <t>PX_SETTLE</t>
        </is>
      </c>
      <c r="DH3" s="9" t="inlineStr">
        <is>
          <t>PX_VOLUME</t>
        </is>
      </c>
      <c r="DI3" s="9" t="inlineStr">
        <is>
          <t>OPEN_INT</t>
        </is>
      </c>
      <c r="DJ3" s="9" t="inlineStr">
        <is>
          <t>IVOL_MID</t>
        </is>
      </c>
      <c r="DK3" s="9" t="inlineStr">
        <is>
          <t>IVOL_BID</t>
        </is>
      </c>
      <c r="DL3" s="9" t="inlineStr">
        <is>
          <t>IVOL_ASK</t>
        </is>
      </c>
      <c r="DM3" s="9" t="inlineStr">
        <is>
          <t>DELTA_MID</t>
        </is>
      </c>
      <c r="DN3" s="9" t="inlineStr">
        <is>
          <t>GAMMA_MID</t>
        </is>
      </c>
      <c r="DO3" s="9" t="inlineStr">
        <is>
          <t>VEGA_MID</t>
        </is>
      </c>
      <c r="DP3" s="9" t="inlineStr">
        <is>
          <t>THETA_MID</t>
        </is>
      </c>
      <c r="DQ3" s="9" t="inlineStr">
        <is>
          <t>OPT_UNDL_PX</t>
        </is>
      </c>
      <c r="DS3" s="9" t="inlineStr">
        <is>
          <t>Date</t>
        </is>
      </c>
      <c r="DT3" s="9" t="inlineStr">
        <is>
          <t>PX_BID</t>
        </is>
      </c>
      <c r="DU3" s="9" t="inlineStr">
        <is>
          <t>PX_ASK</t>
        </is>
      </c>
      <c r="DV3" s="9" t="inlineStr">
        <is>
          <t>PX_MID</t>
        </is>
      </c>
      <c r="DW3" s="9" t="inlineStr">
        <is>
          <t>PX_LAST</t>
        </is>
      </c>
      <c r="DX3" s="9" t="inlineStr">
        <is>
          <t>PX_SETTLE</t>
        </is>
      </c>
      <c r="DY3" s="9" t="inlineStr">
        <is>
          <t>PX_VOLUME</t>
        </is>
      </c>
      <c r="DZ3" s="9" t="inlineStr">
        <is>
          <t>OPEN_INT</t>
        </is>
      </c>
      <c r="EA3" s="9" t="inlineStr">
        <is>
          <t>IVOL_MID</t>
        </is>
      </c>
      <c r="EB3" s="9" t="inlineStr">
        <is>
          <t>IVOL_BID</t>
        </is>
      </c>
      <c r="EC3" s="9" t="inlineStr">
        <is>
          <t>IVOL_ASK</t>
        </is>
      </c>
      <c r="ED3" s="9" t="inlineStr">
        <is>
          <t>DELTA_MID</t>
        </is>
      </c>
      <c r="EE3" s="9" t="inlineStr">
        <is>
          <t>GAMMA_MID</t>
        </is>
      </c>
      <c r="EF3" s="9" t="inlineStr">
        <is>
          <t>VEGA_MID</t>
        </is>
      </c>
      <c r="EG3" s="9" t="inlineStr">
        <is>
          <t>THETA_MID</t>
        </is>
      </c>
      <c r="EH3" s="9" t="inlineStr">
        <is>
          <t>OPT_UNDL_PX</t>
        </is>
      </c>
      <c r="EJ3" s="9" t="inlineStr">
        <is>
          <t>Date</t>
        </is>
      </c>
      <c r="EK3" s="9" t="inlineStr">
        <is>
          <t>PX_BID</t>
        </is>
      </c>
      <c r="EL3" s="9" t="inlineStr">
        <is>
          <t>PX_ASK</t>
        </is>
      </c>
      <c r="EM3" s="9" t="inlineStr">
        <is>
          <t>PX_MID</t>
        </is>
      </c>
      <c r="EN3" s="9" t="inlineStr">
        <is>
          <t>PX_LAST</t>
        </is>
      </c>
      <c r="EO3" s="9" t="inlineStr">
        <is>
          <t>PX_SETTLE</t>
        </is>
      </c>
      <c r="EP3" s="9" t="inlineStr">
        <is>
          <t>PX_VOLUME</t>
        </is>
      </c>
      <c r="EQ3" s="9" t="inlineStr">
        <is>
          <t>OPEN_INT</t>
        </is>
      </c>
      <c r="ER3" s="9" t="inlineStr">
        <is>
          <t>IVOL_MID</t>
        </is>
      </c>
      <c r="ES3" s="9" t="inlineStr">
        <is>
          <t>IVOL_BID</t>
        </is>
      </c>
      <c r="ET3" s="9" t="inlineStr">
        <is>
          <t>IVOL_ASK</t>
        </is>
      </c>
      <c r="EU3" s="9" t="inlineStr">
        <is>
          <t>DELTA_MID</t>
        </is>
      </c>
      <c r="EV3" s="9" t="inlineStr">
        <is>
          <t>GAMMA_MID</t>
        </is>
      </c>
      <c r="EW3" s="9" t="inlineStr">
        <is>
          <t>VEGA_MID</t>
        </is>
      </c>
      <c r="EX3" s="9" t="inlineStr">
        <is>
          <t>THETA_MID</t>
        </is>
      </c>
      <c r="EY3" s="9" t="inlineStr">
        <is>
          <t>OPT_UNDL_PX</t>
        </is>
      </c>
      <c r="FA3" s="9" t="inlineStr">
        <is>
          <t>Date</t>
        </is>
      </c>
      <c r="FB3" s="9" t="inlineStr">
        <is>
          <t>PX_BID</t>
        </is>
      </c>
      <c r="FC3" s="9" t="inlineStr">
        <is>
          <t>PX_ASK</t>
        </is>
      </c>
      <c r="FD3" s="9" t="inlineStr">
        <is>
          <t>PX_MID</t>
        </is>
      </c>
      <c r="FE3" s="9" t="inlineStr">
        <is>
          <t>PX_LAST</t>
        </is>
      </c>
      <c r="FF3" s="9" t="inlineStr">
        <is>
          <t>PX_SETTLE</t>
        </is>
      </c>
      <c r="FG3" s="9" t="inlineStr">
        <is>
          <t>PX_VOLUME</t>
        </is>
      </c>
      <c r="FH3" s="9" t="inlineStr">
        <is>
          <t>OPEN_INT</t>
        </is>
      </c>
      <c r="FI3" s="9" t="inlineStr">
        <is>
          <t>IVOL_MID</t>
        </is>
      </c>
      <c r="FJ3" s="9" t="inlineStr">
        <is>
          <t>IVOL_BID</t>
        </is>
      </c>
      <c r="FK3" s="9" t="inlineStr">
        <is>
          <t>IVOL_ASK</t>
        </is>
      </c>
      <c r="FL3" s="9" t="inlineStr">
        <is>
          <t>DELTA_MID</t>
        </is>
      </c>
      <c r="FM3" s="9" t="inlineStr">
        <is>
          <t>GAMMA_MID</t>
        </is>
      </c>
      <c r="FN3" s="9" t="inlineStr">
        <is>
          <t>VEGA_MID</t>
        </is>
      </c>
      <c r="FO3" s="9" t="inlineStr">
        <is>
          <t>THETA_MID</t>
        </is>
      </c>
      <c r="FP3" s="9" t="inlineStr">
        <is>
          <t>OPT_UNDL_PX</t>
        </is>
      </c>
      <c r="FR3" s="9" t="inlineStr">
        <is>
          <t>Date</t>
        </is>
      </c>
      <c r="FS3" s="9" t="inlineStr">
        <is>
          <t>PX_BID</t>
        </is>
      </c>
      <c r="FT3" s="9" t="inlineStr">
        <is>
          <t>PX_ASK</t>
        </is>
      </c>
      <c r="FU3" s="9" t="inlineStr">
        <is>
          <t>PX_MID</t>
        </is>
      </c>
      <c r="FV3" s="9" t="inlineStr">
        <is>
          <t>PX_LAST</t>
        </is>
      </c>
      <c r="FW3" s="9" t="inlineStr">
        <is>
          <t>PX_SETTLE</t>
        </is>
      </c>
      <c r="FX3" s="9" t="inlineStr">
        <is>
          <t>PX_VOLUME</t>
        </is>
      </c>
      <c r="FY3" s="9" t="inlineStr">
        <is>
          <t>OPEN_INT</t>
        </is>
      </c>
      <c r="FZ3" s="9" t="inlineStr">
        <is>
          <t>IVOL_MID</t>
        </is>
      </c>
      <c r="GA3" s="9" t="inlineStr">
        <is>
          <t>IVOL_BID</t>
        </is>
      </c>
      <c r="GB3" s="9" t="inlineStr">
        <is>
          <t>IVOL_ASK</t>
        </is>
      </c>
      <c r="GC3" s="9" t="inlineStr">
        <is>
          <t>DELTA_MID</t>
        </is>
      </c>
      <c r="GD3" s="9" t="inlineStr">
        <is>
          <t>GAMMA_MID</t>
        </is>
      </c>
      <c r="GE3" s="9" t="inlineStr">
        <is>
          <t>VEGA_MID</t>
        </is>
      </c>
      <c r="GF3" s="9" t="inlineStr">
        <is>
          <t>THETA_MID</t>
        </is>
      </c>
      <c r="GG3" s="9" t="inlineStr">
        <is>
          <t>OPT_UNDL_PX</t>
        </is>
      </c>
      <c r="GI3" s="9" t="inlineStr">
        <is>
          <t>Date</t>
        </is>
      </c>
      <c r="GJ3" s="9" t="inlineStr">
        <is>
          <t>PX_BID</t>
        </is>
      </c>
      <c r="GK3" s="9" t="inlineStr">
        <is>
          <t>PX_ASK</t>
        </is>
      </c>
      <c r="GL3" s="9" t="inlineStr">
        <is>
          <t>PX_MID</t>
        </is>
      </c>
      <c r="GM3" s="9" t="inlineStr">
        <is>
          <t>PX_LAST</t>
        </is>
      </c>
      <c r="GN3" s="9" t="inlineStr">
        <is>
          <t>PX_SETTLE</t>
        </is>
      </c>
      <c r="GO3" s="9" t="inlineStr">
        <is>
          <t>PX_VOLUME</t>
        </is>
      </c>
      <c r="GP3" s="9" t="inlineStr">
        <is>
          <t>OPEN_INT</t>
        </is>
      </c>
      <c r="GQ3" s="9" t="inlineStr">
        <is>
          <t>IVOL_MID</t>
        </is>
      </c>
      <c r="GR3" s="9" t="inlineStr">
        <is>
          <t>IVOL_BID</t>
        </is>
      </c>
      <c r="GS3" s="9" t="inlineStr">
        <is>
          <t>IVOL_ASK</t>
        </is>
      </c>
      <c r="GT3" s="9" t="inlineStr">
        <is>
          <t>DELTA_MID</t>
        </is>
      </c>
      <c r="GU3" s="9" t="inlineStr">
        <is>
          <t>GAMMA_MID</t>
        </is>
      </c>
      <c r="GV3" s="9" t="inlineStr">
        <is>
          <t>VEGA_MID</t>
        </is>
      </c>
      <c r="GW3" s="9" t="inlineStr">
        <is>
          <t>THETA_MID</t>
        </is>
      </c>
      <c r="GX3" s="9" t="inlineStr">
        <is>
          <t>OPT_UNDL_PX</t>
        </is>
      </c>
      <c r="GZ3" s="9" t="inlineStr">
        <is>
          <t>Date</t>
        </is>
      </c>
      <c r="HA3" s="9" t="inlineStr">
        <is>
          <t>PX_BID</t>
        </is>
      </c>
      <c r="HB3" s="9" t="inlineStr">
        <is>
          <t>PX_ASK</t>
        </is>
      </c>
      <c r="HC3" s="9" t="inlineStr">
        <is>
          <t>PX_MID</t>
        </is>
      </c>
      <c r="HD3" s="9" t="inlineStr">
        <is>
          <t>PX_LAST</t>
        </is>
      </c>
      <c r="HE3" s="9" t="inlineStr">
        <is>
          <t>PX_SETTLE</t>
        </is>
      </c>
      <c r="HF3" s="9" t="inlineStr">
        <is>
          <t>PX_VOLUME</t>
        </is>
      </c>
      <c r="HG3" s="9" t="inlineStr">
        <is>
          <t>OPEN_INT</t>
        </is>
      </c>
      <c r="HH3" s="9" t="inlineStr">
        <is>
          <t>IVOL_MID</t>
        </is>
      </c>
      <c r="HI3" s="9" t="inlineStr">
        <is>
          <t>IVOL_BID</t>
        </is>
      </c>
      <c r="HJ3" s="9" t="inlineStr">
        <is>
          <t>IVOL_ASK</t>
        </is>
      </c>
      <c r="HK3" s="9" t="inlineStr">
        <is>
          <t>DELTA_MID</t>
        </is>
      </c>
      <c r="HL3" s="9" t="inlineStr">
        <is>
          <t>GAMMA_MID</t>
        </is>
      </c>
      <c r="HM3" s="9" t="inlineStr">
        <is>
          <t>VEGA_MID</t>
        </is>
      </c>
      <c r="HN3" s="9" t="inlineStr">
        <is>
          <t>THETA_MID</t>
        </is>
      </c>
      <c r="HO3" s="9" t="inlineStr">
        <is>
          <t>OPT_UNDL_PX</t>
        </is>
      </c>
      <c r="HQ3" s="9" t="inlineStr">
        <is>
          <t>Date</t>
        </is>
      </c>
      <c r="HR3" s="9" t="inlineStr">
        <is>
          <t>PX_BID</t>
        </is>
      </c>
      <c r="HS3" s="9" t="inlineStr">
        <is>
          <t>PX_ASK</t>
        </is>
      </c>
      <c r="HT3" s="9" t="inlineStr">
        <is>
          <t>PX_MID</t>
        </is>
      </c>
      <c r="HU3" s="9" t="inlineStr">
        <is>
          <t>PX_LAST</t>
        </is>
      </c>
      <c r="HV3" s="9" t="inlineStr">
        <is>
          <t>PX_SETTLE</t>
        </is>
      </c>
      <c r="HW3" s="9" t="inlineStr">
        <is>
          <t>PX_VOLUME</t>
        </is>
      </c>
      <c r="HX3" s="9" t="inlineStr">
        <is>
          <t>OPEN_INT</t>
        </is>
      </c>
      <c r="HY3" s="9" t="inlineStr">
        <is>
          <t>IVOL_MID</t>
        </is>
      </c>
      <c r="HZ3" s="9" t="inlineStr">
        <is>
          <t>IVOL_BID</t>
        </is>
      </c>
      <c r="IA3" s="9" t="inlineStr">
        <is>
          <t>IVOL_ASK</t>
        </is>
      </c>
      <c r="IB3" s="9" t="inlineStr">
        <is>
          <t>DELTA_MID</t>
        </is>
      </c>
      <c r="IC3" s="9" t="inlineStr">
        <is>
          <t>GAMMA_MID</t>
        </is>
      </c>
      <c r="ID3" s="9" t="inlineStr">
        <is>
          <t>VEGA_MID</t>
        </is>
      </c>
      <c r="IE3" s="9" t="inlineStr">
        <is>
          <t>THETA_MID</t>
        </is>
      </c>
      <c r="IF3" s="9" t="inlineStr">
        <is>
          <t>OPT_UNDL_PX</t>
        </is>
      </c>
      <c r="IH3" s="9" t="inlineStr">
        <is>
          <t>Date</t>
        </is>
      </c>
      <c r="II3" s="9" t="inlineStr">
        <is>
          <t>PX_BID</t>
        </is>
      </c>
      <c r="IJ3" s="9" t="inlineStr">
        <is>
          <t>PX_ASK</t>
        </is>
      </c>
      <c r="IK3" s="9" t="inlineStr">
        <is>
          <t>PX_MID</t>
        </is>
      </c>
      <c r="IL3" s="9" t="inlineStr">
        <is>
          <t>PX_LAST</t>
        </is>
      </c>
      <c r="IM3" s="9" t="inlineStr">
        <is>
          <t>PX_SETTLE</t>
        </is>
      </c>
      <c r="IN3" s="9" t="inlineStr">
        <is>
          <t>PX_VOLUME</t>
        </is>
      </c>
      <c r="IO3" s="9" t="inlineStr">
        <is>
          <t>OPEN_INT</t>
        </is>
      </c>
      <c r="IP3" s="9" t="inlineStr">
        <is>
          <t>IVOL_MID</t>
        </is>
      </c>
      <c r="IQ3" s="9" t="inlineStr">
        <is>
          <t>IVOL_BID</t>
        </is>
      </c>
      <c r="IR3" s="9" t="inlineStr">
        <is>
          <t>IVOL_ASK</t>
        </is>
      </c>
      <c r="IS3" s="9" t="inlineStr">
        <is>
          <t>DELTA_MID</t>
        </is>
      </c>
      <c r="IT3" s="9" t="inlineStr">
        <is>
          <t>GAMMA_MID</t>
        </is>
      </c>
      <c r="IU3" s="9" t="inlineStr">
        <is>
          <t>VEGA_MID</t>
        </is>
      </c>
      <c r="IV3" s="9" t="inlineStr">
        <is>
          <t>THETA_MID</t>
        </is>
      </c>
      <c r="IW3" s="9" t="inlineStr">
        <is>
          <t>OPT_UNDL_PX</t>
        </is>
      </c>
      <c r="IY3" s="9" t="inlineStr">
        <is>
          <t>Date</t>
        </is>
      </c>
      <c r="IZ3" s="9" t="inlineStr">
        <is>
          <t>PX_BID</t>
        </is>
      </c>
      <c r="JA3" s="9" t="inlineStr">
        <is>
          <t>PX_ASK</t>
        </is>
      </c>
      <c r="JB3" s="9" t="inlineStr">
        <is>
          <t>PX_MID</t>
        </is>
      </c>
      <c r="JC3" s="9" t="inlineStr">
        <is>
          <t>PX_LAST</t>
        </is>
      </c>
      <c r="JD3" s="9" t="inlineStr">
        <is>
          <t>PX_SETTLE</t>
        </is>
      </c>
      <c r="JE3" s="9" t="inlineStr">
        <is>
          <t>PX_VOLUME</t>
        </is>
      </c>
      <c r="JF3" s="9" t="inlineStr">
        <is>
          <t>OPEN_INT</t>
        </is>
      </c>
      <c r="JG3" s="9" t="inlineStr">
        <is>
          <t>IVOL_MID</t>
        </is>
      </c>
      <c r="JH3" s="9" t="inlineStr">
        <is>
          <t>IVOL_BID</t>
        </is>
      </c>
      <c r="JI3" s="9" t="inlineStr">
        <is>
          <t>IVOL_ASK</t>
        </is>
      </c>
      <c r="JJ3" s="9" t="inlineStr">
        <is>
          <t>DELTA_MID</t>
        </is>
      </c>
      <c r="JK3" s="9" t="inlineStr">
        <is>
          <t>GAMMA_MID</t>
        </is>
      </c>
      <c r="JL3" s="9" t="inlineStr">
        <is>
          <t>VEGA_MID</t>
        </is>
      </c>
      <c r="JM3" s="9" t="inlineStr">
        <is>
          <t>THETA_MID</t>
        </is>
      </c>
      <c r="JN3" s="9" t="inlineStr">
        <is>
          <t>OPT_UNDL_PX</t>
        </is>
      </c>
      <c r="JP3" s="9" t="inlineStr">
        <is>
          <t>Date</t>
        </is>
      </c>
      <c r="JQ3" s="9" t="inlineStr">
        <is>
          <t>PX_BID</t>
        </is>
      </c>
      <c r="JR3" s="9" t="inlineStr">
        <is>
          <t>PX_ASK</t>
        </is>
      </c>
      <c r="JS3" s="9" t="inlineStr">
        <is>
          <t>PX_MID</t>
        </is>
      </c>
      <c r="JT3" s="9" t="inlineStr">
        <is>
          <t>PX_LAST</t>
        </is>
      </c>
      <c r="JU3" s="9" t="inlineStr">
        <is>
          <t>PX_SETTLE</t>
        </is>
      </c>
      <c r="JV3" s="9" t="inlineStr">
        <is>
          <t>PX_VOLUME</t>
        </is>
      </c>
      <c r="JW3" s="9" t="inlineStr">
        <is>
          <t>OPEN_INT</t>
        </is>
      </c>
      <c r="JX3" s="9" t="inlineStr">
        <is>
          <t>IVOL_MID</t>
        </is>
      </c>
      <c r="JY3" s="9" t="inlineStr">
        <is>
          <t>IVOL_BID</t>
        </is>
      </c>
      <c r="JZ3" s="9" t="inlineStr">
        <is>
          <t>IVOL_ASK</t>
        </is>
      </c>
      <c r="KA3" s="9" t="inlineStr">
        <is>
          <t>DELTA_MID</t>
        </is>
      </c>
      <c r="KB3" s="9" t="inlineStr">
        <is>
          <t>GAMMA_MID</t>
        </is>
      </c>
      <c r="KC3" s="9" t="inlineStr">
        <is>
          <t>VEGA_MID</t>
        </is>
      </c>
      <c r="KD3" s="9" t="inlineStr">
        <is>
          <t>THETA_MID</t>
        </is>
      </c>
      <c r="KE3" s="9" t="inlineStr">
        <is>
          <t>OPT_UNDL_PX</t>
        </is>
      </c>
      <c r="KG3" s="9" t="inlineStr">
        <is>
          <t>Date</t>
        </is>
      </c>
      <c r="KH3" s="9" t="inlineStr">
        <is>
          <t>PX_BID</t>
        </is>
      </c>
      <c r="KI3" s="9" t="inlineStr">
        <is>
          <t>PX_ASK</t>
        </is>
      </c>
      <c r="KJ3" s="9" t="inlineStr">
        <is>
          <t>PX_MID</t>
        </is>
      </c>
      <c r="KK3" s="9" t="inlineStr">
        <is>
          <t>PX_LAST</t>
        </is>
      </c>
      <c r="KL3" s="9" t="inlineStr">
        <is>
          <t>PX_SETTLE</t>
        </is>
      </c>
      <c r="KM3" s="9" t="inlineStr">
        <is>
          <t>PX_VOLUME</t>
        </is>
      </c>
      <c r="KN3" s="9" t="inlineStr">
        <is>
          <t>OPEN_INT</t>
        </is>
      </c>
      <c r="KO3" s="9" t="inlineStr">
        <is>
          <t>IVOL_MID</t>
        </is>
      </c>
      <c r="KP3" s="9" t="inlineStr">
        <is>
          <t>IVOL_BID</t>
        </is>
      </c>
      <c r="KQ3" s="9" t="inlineStr">
        <is>
          <t>IVOL_ASK</t>
        </is>
      </c>
      <c r="KR3" s="9" t="inlineStr">
        <is>
          <t>DELTA_MID</t>
        </is>
      </c>
      <c r="KS3" s="9" t="inlineStr">
        <is>
          <t>GAMMA_MID</t>
        </is>
      </c>
      <c r="KT3" s="9" t="inlineStr">
        <is>
          <t>VEGA_MID</t>
        </is>
      </c>
      <c r="KU3" s="9" t="inlineStr">
        <is>
          <t>THETA_MID</t>
        </is>
      </c>
      <c r="KV3" s="9" t="inlineStr">
        <is>
          <t>OPT_UNDL_PX</t>
        </is>
      </c>
      <c r="KX3" s="9" t="inlineStr">
        <is>
          <t>Date</t>
        </is>
      </c>
      <c r="KY3" s="9" t="inlineStr">
        <is>
          <t>PX_BID</t>
        </is>
      </c>
      <c r="KZ3" s="9" t="inlineStr">
        <is>
          <t>PX_ASK</t>
        </is>
      </c>
      <c r="LA3" s="9" t="inlineStr">
        <is>
          <t>PX_MID</t>
        </is>
      </c>
      <c r="LB3" s="9" t="inlineStr">
        <is>
          <t>PX_LAST</t>
        </is>
      </c>
      <c r="LC3" s="9" t="inlineStr">
        <is>
          <t>PX_SETTLE</t>
        </is>
      </c>
      <c r="LD3" s="9" t="inlineStr">
        <is>
          <t>PX_VOLUME</t>
        </is>
      </c>
      <c r="LE3" s="9" t="inlineStr">
        <is>
          <t>OPEN_INT</t>
        </is>
      </c>
      <c r="LF3" s="9" t="inlineStr">
        <is>
          <t>IVOL_MID</t>
        </is>
      </c>
      <c r="LG3" s="9" t="inlineStr">
        <is>
          <t>IVOL_BID</t>
        </is>
      </c>
      <c r="LH3" s="9" t="inlineStr">
        <is>
          <t>IVOL_ASK</t>
        </is>
      </c>
      <c r="LI3" s="9" t="inlineStr">
        <is>
          <t>DELTA_MID</t>
        </is>
      </c>
      <c r="LJ3" s="9" t="inlineStr">
        <is>
          <t>GAMMA_MID</t>
        </is>
      </c>
      <c r="LK3" s="9" t="inlineStr">
        <is>
          <t>VEGA_MID</t>
        </is>
      </c>
      <c r="LL3" s="9" t="inlineStr">
        <is>
          <t>THETA_MID</t>
        </is>
      </c>
      <c r="LM3" s="9" t="inlineStr">
        <is>
          <t>OPT_UNDL_PX</t>
        </is>
      </c>
      <c r="LO3" s="9" t="inlineStr">
        <is>
          <t>Date</t>
        </is>
      </c>
      <c r="LP3" s="9" t="inlineStr">
        <is>
          <t>PX_BID</t>
        </is>
      </c>
      <c r="LQ3" s="9" t="inlineStr">
        <is>
          <t>PX_ASK</t>
        </is>
      </c>
      <c r="LR3" s="9" t="inlineStr">
        <is>
          <t>PX_MID</t>
        </is>
      </c>
      <c r="LS3" s="9" t="inlineStr">
        <is>
          <t>PX_LAST</t>
        </is>
      </c>
      <c r="LT3" s="9" t="inlineStr">
        <is>
          <t>PX_SETTLE</t>
        </is>
      </c>
      <c r="LU3" s="9" t="inlineStr">
        <is>
          <t>PX_VOLUME</t>
        </is>
      </c>
      <c r="LV3" s="9" t="inlineStr">
        <is>
          <t>OPEN_INT</t>
        </is>
      </c>
      <c r="LW3" s="9" t="inlineStr">
        <is>
          <t>IVOL_MID</t>
        </is>
      </c>
      <c r="LX3" s="9" t="inlineStr">
        <is>
          <t>IVOL_BID</t>
        </is>
      </c>
      <c r="LY3" s="9" t="inlineStr">
        <is>
          <t>IVOL_ASK</t>
        </is>
      </c>
      <c r="LZ3" s="9" t="inlineStr">
        <is>
          <t>DELTA_MID</t>
        </is>
      </c>
      <c r="MA3" s="9" t="inlineStr">
        <is>
          <t>GAMMA_MID</t>
        </is>
      </c>
      <c r="MB3" s="9" t="inlineStr">
        <is>
          <t>VEGA_MID</t>
        </is>
      </c>
      <c r="MC3" s="9" t="inlineStr">
        <is>
          <t>THETA_MID</t>
        </is>
      </c>
      <c r="MD3" s="9" t="inlineStr">
        <is>
          <t>OPT_UNDL_PX</t>
        </is>
      </c>
      <c r="MF3" s="9" t="inlineStr">
        <is>
          <t>Date</t>
        </is>
      </c>
      <c r="MG3" s="9" t="inlineStr">
        <is>
          <t>PX_BID</t>
        </is>
      </c>
      <c r="MH3" s="9" t="inlineStr">
        <is>
          <t>PX_ASK</t>
        </is>
      </c>
      <c r="MI3" s="9" t="inlineStr">
        <is>
          <t>PX_MID</t>
        </is>
      </c>
      <c r="MJ3" s="9" t="inlineStr">
        <is>
          <t>PX_LAST</t>
        </is>
      </c>
      <c r="MK3" s="9" t="inlineStr">
        <is>
          <t>PX_SETTLE</t>
        </is>
      </c>
      <c r="ML3" s="9" t="inlineStr">
        <is>
          <t>PX_VOLUME</t>
        </is>
      </c>
      <c r="MM3" s="9" t="inlineStr">
        <is>
          <t>OPEN_INT</t>
        </is>
      </c>
      <c r="MN3" s="9" t="inlineStr">
        <is>
          <t>IVOL_MID</t>
        </is>
      </c>
      <c r="MO3" s="9" t="inlineStr">
        <is>
          <t>IVOL_BID</t>
        </is>
      </c>
      <c r="MP3" s="9" t="inlineStr">
        <is>
          <t>IVOL_ASK</t>
        </is>
      </c>
      <c r="MQ3" s="9" t="inlineStr">
        <is>
          <t>DELTA_MID</t>
        </is>
      </c>
      <c r="MR3" s="9" t="inlineStr">
        <is>
          <t>GAMMA_MID</t>
        </is>
      </c>
      <c r="MS3" s="9" t="inlineStr">
        <is>
          <t>VEGA_MID</t>
        </is>
      </c>
      <c r="MT3" s="9" t="inlineStr">
        <is>
          <t>THETA_MID</t>
        </is>
      </c>
      <c r="MU3" s="9" t="inlineStr">
        <is>
          <t>OPT_UNDL_PX</t>
        </is>
      </c>
      <c r="MW3" s="9" t="inlineStr">
        <is>
          <t>Date</t>
        </is>
      </c>
      <c r="MX3" s="9" t="inlineStr">
        <is>
          <t>PX_BID</t>
        </is>
      </c>
      <c r="MY3" s="9" t="inlineStr">
        <is>
          <t>PX_ASK</t>
        </is>
      </c>
      <c r="MZ3" s="9" t="inlineStr">
        <is>
          <t>PX_MID</t>
        </is>
      </c>
      <c r="NA3" s="9" t="inlineStr">
        <is>
          <t>PX_LAST</t>
        </is>
      </c>
      <c r="NB3" s="9" t="inlineStr">
        <is>
          <t>PX_SETTLE</t>
        </is>
      </c>
      <c r="NC3" s="9" t="inlineStr">
        <is>
          <t>PX_VOLUME</t>
        </is>
      </c>
      <c r="ND3" s="9" t="inlineStr">
        <is>
          <t>OPEN_INT</t>
        </is>
      </c>
      <c r="NE3" s="9" t="inlineStr">
        <is>
          <t>IVOL_MID</t>
        </is>
      </c>
      <c r="NF3" s="9" t="inlineStr">
        <is>
          <t>IVOL_BID</t>
        </is>
      </c>
      <c r="NG3" s="9" t="inlineStr">
        <is>
          <t>IVOL_ASK</t>
        </is>
      </c>
      <c r="NH3" s="9" t="inlineStr">
        <is>
          <t>DELTA_MID</t>
        </is>
      </c>
      <c r="NI3" s="9" t="inlineStr">
        <is>
          <t>GAMMA_MID</t>
        </is>
      </c>
      <c r="NJ3" s="9" t="inlineStr">
        <is>
          <t>VEGA_MID</t>
        </is>
      </c>
      <c r="NK3" s="9" t="inlineStr">
        <is>
          <t>THETA_MID</t>
        </is>
      </c>
      <c r="NL3" s="9" t="inlineStr">
        <is>
          <t>OPT_UNDL_PX</t>
        </is>
      </c>
      <c r="NN3" s="9" t="inlineStr">
        <is>
          <t>Date</t>
        </is>
      </c>
      <c r="NO3" s="9" t="inlineStr">
        <is>
          <t>PX_BID</t>
        </is>
      </c>
      <c r="NP3" s="9" t="inlineStr">
        <is>
          <t>PX_ASK</t>
        </is>
      </c>
      <c r="NQ3" s="9" t="inlineStr">
        <is>
          <t>PX_MID</t>
        </is>
      </c>
      <c r="NR3" s="9" t="inlineStr">
        <is>
          <t>PX_LAST</t>
        </is>
      </c>
      <c r="NS3" s="9" t="inlineStr">
        <is>
          <t>PX_SETTLE</t>
        </is>
      </c>
      <c r="NT3" s="9" t="inlineStr">
        <is>
          <t>PX_VOLUME</t>
        </is>
      </c>
      <c r="NU3" s="9" t="inlineStr">
        <is>
          <t>OPEN_INT</t>
        </is>
      </c>
      <c r="NV3" s="9" t="inlineStr">
        <is>
          <t>IVOL_MID</t>
        </is>
      </c>
      <c r="NW3" s="9" t="inlineStr">
        <is>
          <t>IVOL_BID</t>
        </is>
      </c>
      <c r="NX3" s="9" t="inlineStr">
        <is>
          <t>IVOL_ASK</t>
        </is>
      </c>
      <c r="NY3" s="9" t="inlineStr">
        <is>
          <t>DELTA_MID</t>
        </is>
      </c>
      <c r="NZ3" s="9" t="inlineStr">
        <is>
          <t>GAMMA_MID</t>
        </is>
      </c>
      <c r="OA3" s="9" t="inlineStr">
        <is>
          <t>VEGA_MID</t>
        </is>
      </c>
      <c r="OB3" s="9" t="inlineStr">
        <is>
          <t>THETA_MID</t>
        </is>
      </c>
      <c r="OC3" s="9" t="inlineStr">
        <is>
          <t>OPT_UNDL_PX</t>
        </is>
      </c>
      <c r="OE3" s="9" t="inlineStr">
        <is>
          <t>Date</t>
        </is>
      </c>
      <c r="OF3" s="9" t="inlineStr">
        <is>
          <t>PX_BID</t>
        </is>
      </c>
      <c r="OG3" s="9" t="inlineStr">
        <is>
          <t>PX_ASK</t>
        </is>
      </c>
      <c r="OH3" s="9" t="inlineStr">
        <is>
          <t>PX_MID</t>
        </is>
      </c>
      <c r="OI3" s="9" t="inlineStr">
        <is>
          <t>PX_LAST</t>
        </is>
      </c>
      <c r="OJ3" s="9" t="inlineStr">
        <is>
          <t>PX_SETTLE</t>
        </is>
      </c>
      <c r="OK3" s="9" t="inlineStr">
        <is>
          <t>PX_VOLUME</t>
        </is>
      </c>
      <c r="OL3" s="9" t="inlineStr">
        <is>
          <t>OPEN_INT</t>
        </is>
      </c>
      <c r="OM3" s="9" t="inlineStr">
        <is>
          <t>IVOL_MID</t>
        </is>
      </c>
      <c r="ON3" s="9" t="inlineStr">
        <is>
          <t>IVOL_BID</t>
        </is>
      </c>
      <c r="OO3" s="9" t="inlineStr">
        <is>
          <t>IVOL_ASK</t>
        </is>
      </c>
      <c r="OP3" s="9" t="inlineStr">
        <is>
          <t>DELTA_MID</t>
        </is>
      </c>
      <c r="OQ3" s="9" t="inlineStr">
        <is>
          <t>GAMMA_MID</t>
        </is>
      </c>
      <c r="OR3" s="9" t="inlineStr">
        <is>
          <t>VEGA_MID</t>
        </is>
      </c>
      <c r="OS3" s="9" t="inlineStr">
        <is>
          <t>THETA_MID</t>
        </is>
      </c>
      <c r="OT3" s="9" t="inlineStr">
        <is>
          <t>OPT_UNDL_PX</t>
        </is>
      </c>
      <c r="OV3" s="9" t="inlineStr">
        <is>
          <t>Date</t>
        </is>
      </c>
      <c r="OW3" s="9" t="inlineStr">
        <is>
          <t>PX_BID</t>
        </is>
      </c>
      <c r="OX3" s="9" t="inlineStr">
        <is>
          <t>PX_ASK</t>
        </is>
      </c>
      <c r="OY3" s="9" t="inlineStr">
        <is>
          <t>PX_MID</t>
        </is>
      </c>
      <c r="OZ3" s="9" t="inlineStr">
        <is>
          <t>PX_LAST</t>
        </is>
      </c>
      <c r="PA3" s="9" t="inlineStr">
        <is>
          <t>PX_SETTLE</t>
        </is>
      </c>
      <c r="PB3" s="9" t="inlineStr">
        <is>
          <t>PX_VOLUME</t>
        </is>
      </c>
      <c r="PC3" s="9" t="inlineStr">
        <is>
          <t>OPEN_INT</t>
        </is>
      </c>
      <c r="PD3" s="9" t="inlineStr">
        <is>
          <t>IVOL_MID</t>
        </is>
      </c>
      <c r="PE3" s="9" t="inlineStr">
        <is>
          <t>IVOL_BID</t>
        </is>
      </c>
      <c r="PF3" s="9" t="inlineStr">
        <is>
          <t>IVOL_ASK</t>
        </is>
      </c>
      <c r="PG3" s="9" t="inlineStr">
        <is>
          <t>DELTA_MID</t>
        </is>
      </c>
      <c r="PH3" s="9" t="inlineStr">
        <is>
          <t>GAMMA_MID</t>
        </is>
      </c>
      <c r="PI3" s="9" t="inlineStr">
        <is>
          <t>VEGA_MID</t>
        </is>
      </c>
      <c r="PJ3" s="9" t="inlineStr">
        <is>
          <t>THETA_MID</t>
        </is>
      </c>
      <c r="PK3" s="9" t="inlineStr">
        <is>
          <t>OPT_UNDL_PX</t>
        </is>
      </c>
      <c r="PM3" s="9" t="inlineStr">
        <is>
          <t>Date</t>
        </is>
      </c>
      <c r="PN3" s="9" t="inlineStr">
        <is>
          <t>PX_BID</t>
        </is>
      </c>
      <c r="PO3" s="9" t="inlineStr">
        <is>
          <t>PX_ASK</t>
        </is>
      </c>
      <c r="PP3" s="9" t="inlineStr">
        <is>
          <t>PX_MID</t>
        </is>
      </c>
      <c r="PQ3" s="9" t="inlineStr">
        <is>
          <t>PX_LAST</t>
        </is>
      </c>
      <c r="PR3" s="9" t="inlineStr">
        <is>
          <t>PX_SETTLE</t>
        </is>
      </c>
      <c r="PS3" s="9" t="inlineStr">
        <is>
          <t>PX_VOLUME</t>
        </is>
      </c>
      <c r="PT3" s="9" t="inlineStr">
        <is>
          <t>OPEN_INT</t>
        </is>
      </c>
      <c r="PU3" s="9" t="inlineStr">
        <is>
          <t>IVOL_MID</t>
        </is>
      </c>
      <c r="PV3" s="9" t="inlineStr">
        <is>
          <t>IVOL_BID</t>
        </is>
      </c>
      <c r="PW3" s="9" t="inlineStr">
        <is>
          <t>IVOL_ASK</t>
        </is>
      </c>
      <c r="PX3" s="9" t="inlineStr">
        <is>
          <t>DELTA_MID</t>
        </is>
      </c>
      <c r="PY3" s="9" t="inlineStr">
        <is>
          <t>GAMMA_MID</t>
        </is>
      </c>
      <c r="PZ3" s="9" t="inlineStr">
        <is>
          <t>VEGA_MID</t>
        </is>
      </c>
      <c r="QA3" s="9" t="inlineStr">
        <is>
          <t>THETA_MID</t>
        </is>
      </c>
      <c r="QB3" s="9" t="inlineStr">
        <is>
          <t>OPT_UNDL_PX</t>
        </is>
      </c>
      <c r="QD3" s="9" t="inlineStr">
        <is>
          <t>Date</t>
        </is>
      </c>
      <c r="QE3" s="9" t="inlineStr">
        <is>
          <t>PX_BID</t>
        </is>
      </c>
      <c r="QF3" s="9" t="inlineStr">
        <is>
          <t>PX_ASK</t>
        </is>
      </c>
      <c r="QG3" s="9" t="inlineStr">
        <is>
          <t>PX_MID</t>
        </is>
      </c>
      <c r="QH3" s="9" t="inlineStr">
        <is>
          <t>PX_LAST</t>
        </is>
      </c>
      <c r="QI3" s="9" t="inlineStr">
        <is>
          <t>PX_SETTLE</t>
        </is>
      </c>
      <c r="QJ3" s="9" t="inlineStr">
        <is>
          <t>PX_VOLUME</t>
        </is>
      </c>
      <c r="QK3" s="9" t="inlineStr">
        <is>
          <t>OPEN_INT</t>
        </is>
      </c>
      <c r="QL3" s="9" t="inlineStr">
        <is>
          <t>IVOL_MID</t>
        </is>
      </c>
      <c r="QM3" s="9" t="inlineStr">
        <is>
          <t>IVOL_BID</t>
        </is>
      </c>
      <c r="QN3" s="9" t="inlineStr">
        <is>
          <t>IVOL_ASK</t>
        </is>
      </c>
      <c r="QO3" s="9" t="inlineStr">
        <is>
          <t>DELTA_MID</t>
        </is>
      </c>
      <c r="QP3" s="9" t="inlineStr">
        <is>
          <t>GAMMA_MID</t>
        </is>
      </c>
      <c r="QQ3" s="9" t="inlineStr">
        <is>
          <t>VEGA_MID</t>
        </is>
      </c>
      <c r="QR3" s="9" t="inlineStr">
        <is>
          <t>THETA_MID</t>
        </is>
      </c>
      <c r="QS3" s="9" t="inlineStr">
        <is>
          <t>OPT_UNDL_PX</t>
        </is>
      </c>
      <c r="QU3" s="9" t="inlineStr">
        <is>
          <t>Date</t>
        </is>
      </c>
      <c r="QV3" s="9" t="inlineStr">
        <is>
          <t>PX_BID</t>
        </is>
      </c>
      <c r="QW3" s="9" t="inlineStr">
        <is>
          <t>PX_ASK</t>
        </is>
      </c>
      <c r="QX3" s="9" t="inlineStr">
        <is>
          <t>PX_MID</t>
        </is>
      </c>
      <c r="QY3" s="9" t="inlineStr">
        <is>
          <t>PX_LAST</t>
        </is>
      </c>
      <c r="QZ3" s="9" t="inlineStr">
        <is>
          <t>PX_SETTLE</t>
        </is>
      </c>
      <c r="RA3" s="9" t="inlineStr">
        <is>
          <t>PX_VOLUME</t>
        </is>
      </c>
      <c r="RB3" s="9" t="inlineStr">
        <is>
          <t>OPEN_INT</t>
        </is>
      </c>
      <c r="RC3" s="9" t="inlineStr">
        <is>
          <t>IVOL_MID</t>
        </is>
      </c>
      <c r="RD3" s="9" t="inlineStr">
        <is>
          <t>IVOL_BID</t>
        </is>
      </c>
      <c r="RE3" s="9" t="inlineStr">
        <is>
          <t>IVOL_ASK</t>
        </is>
      </c>
      <c r="RF3" s="9" t="inlineStr">
        <is>
          <t>DELTA_MID</t>
        </is>
      </c>
      <c r="RG3" s="9" t="inlineStr">
        <is>
          <t>GAMMA_MID</t>
        </is>
      </c>
      <c r="RH3" s="9" t="inlineStr">
        <is>
          <t>VEGA_MID</t>
        </is>
      </c>
      <c r="RI3" s="9" t="inlineStr">
        <is>
          <t>THETA_MID</t>
        </is>
      </c>
      <c r="RJ3" s="9" t="inlineStr">
        <is>
          <t>OPT_UNDL_PX</t>
        </is>
      </c>
      <c r="RL3" s="9" t="inlineStr">
        <is>
          <t>Date</t>
        </is>
      </c>
      <c r="RM3" s="9" t="inlineStr">
        <is>
          <t>PX_BID</t>
        </is>
      </c>
      <c r="RN3" s="9" t="inlineStr">
        <is>
          <t>PX_ASK</t>
        </is>
      </c>
      <c r="RO3" s="9" t="inlineStr">
        <is>
          <t>PX_MID</t>
        </is>
      </c>
      <c r="RP3" s="9" t="inlineStr">
        <is>
          <t>PX_LAST</t>
        </is>
      </c>
      <c r="RQ3" s="9" t="inlineStr">
        <is>
          <t>PX_SETTLE</t>
        </is>
      </c>
      <c r="RR3" s="9" t="inlineStr">
        <is>
          <t>PX_VOLUME</t>
        </is>
      </c>
      <c r="RS3" s="9" t="inlineStr">
        <is>
          <t>OPEN_INT</t>
        </is>
      </c>
      <c r="RT3" s="9" t="inlineStr">
        <is>
          <t>IVOL_MID</t>
        </is>
      </c>
      <c r="RU3" s="9" t="inlineStr">
        <is>
          <t>IVOL_BID</t>
        </is>
      </c>
      <c r="RV3" s="9" t="inlineStr">
        <is>
          <t>IVOL_ASK</t>
        </is>
      </c>
      <c r="RW3" s="9" t="inlineStr">
        <is>
          <t>DELTA_MID</t>
        </is>
      </c>
      <c r="RX3" s="9" t="inlineStr">
        <is>
          <t>GAMMA_MID</t>
        </is>
      </c>
      <c r="RY3" s="9" t="inlineStr">
        <is>
          <t>VEGA_MID</t>
        </is>
      </c>
      <c r="RZ3" s="9" t="inlineStr">
        <is>
          <t>THETA_MID</t>
        </is>
      </c>
      <c r="SA3" s="9" t="inlineStr">
        <is>
          <t>OPT_UNDL_PX</t>
        </is>
      </c>
      <c r="SC3" s="9" t="inlineStr">
        <is>
          <t>Date</t>
        </is>
      </c>
      <c r="SD3" s="9" t="inlineStr">
        <is>
          <t>PX_BID</t>
        </is>
      </c>
      <c r="SE3" s="9" t="inlineStr">
        <is>
          <t>PX_ASK</t>
        </is>
      </c>
      <c r="SF3" s="9" t="inlineStr">
        <is>
          <t>PX_MID</t>
        </is>
      </c>
      <c r="SG3" s="9" t="inlineStr">
        <is>
          <t>PX_LAST</t>
        </is>
      </c>
      <c r="SH3" s="9" t="inlineStr">
        <is>
          <t>PX_SETTLE</t>
        </is>
      </c>
      <c r="SI3" s="9" t="inlineStr">
        <is>
          <t>PX_VOLUME</t>
        </is>
      </c>
      <c r="SJ3" s="9" t="inlineStr">
        <is>
          <t>OPEN_INT</t>
        </is>
      </c>
      <c r="SK3" s="9" t="inlineStr">
        <is>
          <t>IVOL_MID</t>
        </is>
      </c>
      <c r="SL3" s="9" t="inlineStr">
        <is>
          <t>IVOL_BID</t>
        </is>
      </c>
      <c r="SM3" s="9" t="inlineStr">
        <is>
          <t>IVOL_ASK</t>
        </is>
      </c>
      <c r="SN3" s="9" t="inlineStr">
        <is>
          <t>DELTA_MID</t>
        </is>
      </c>
      <c r="SO3" s="9" t="inlineStr">
        <is>
          <t>GAMMA_MID</t>
        </is>
      </c>
      <c r="SP3" s="9" t="inlineStr">
        <is>
          <t>VEGA_MID</t>
        </is>
      </c>
      <c r="SQ3" s="9" t="inlineStr">
        <is>
          <t>THETA_MID</t>
        </is>
      </c>
      <c r="SR3" s="9" t="inlineStr">
        <is>
          <t>OPT_UNDL_PX</t>
        </is>
      </c>
      <c r="ST3" s="9" t="inlineStr">
        <is>
          <t>Date</t>
        </is>
      </c>
      <c r="SU3" s="9" t="inlineStr">
        <is>
          <t>PX_BID</t>
        </is>
      </c>
      <c r="SV3" s="9" t="inlineStr">
        <is>
          <t>PX_ASK</t>
        </is>
      </c>
      <c r="SW3" s="9" t="inlineStr">
        <is>
          <t>PX_MID</t>
        </is>
      </c>
      <c r="SX3" s="9" t="inlineStr">
        <is>
          <t>PX_LAST</t>
        </is>
      </c>
      <c r="SY3" s="9" t="inlineStr">
        <is>
          <t>PX_SETTLE</t>
        </is>
      </c>
      <c r="SZ3" s="9" t="inlineStr">
        <is>
          <t>PX_VOLUME</t>
        </is>
      </c>
      <c r="TA3" s="9" t="inlineStr">
        <is>
          <t>OPEN_INT</t>
        </is>
      </c>
      <c r="TB3" s="9" t="inlineStr">
        <is>
          <t>IVOL_MID</t>
        </is>
      </c>
      <c r="TC3" s="9" t="inlineStr">
        <is>
          <t>IVOL_BID</t>
        </is>
      </c>
      <c r="TD3" s="9" t="inlineStr">
        <is>
          <t>IVOL_ASK</t>
        </is>
      </c>
      <c r="TE3" s="9" t="inlineStr">
        <is>
          <t>DELTA_MID</t>
        </is>
      </c>
      <c r="TF3" s="9" t="inlineStr">
        <is>
          <t>GAMMA_MID</t>
        </is>
      </c>
      <c r="TG3" s="9" t="inlineStr">
        <is>
          <t>VEGA_MID</t>
        </is>
      </c>
      <c r="TH3" s="9" t="inlineStr">
        <is>
          <t>THETA_MID</t>
        </is>
      </c>
      <c r="TI3" s="9" t="inlineStr">
        <is>
          <t>OPT_UNDL_PX</t>
        </is>
      </c>
      <c r="TK3" s="9" t="inlineStr">
        <is>
          <t>Date</t>
        </is>
      </c>
      <c r="TL3" s="9" t="inlineStr">
        <is>
          <t>PX_BID</t>
        </is>
      </c>
      <c r="TM3" s="9" t="inlineStr">
        <is>
          <t>PX_ASK</t>
        </is>
      </c>
      <c r="TN3" s="9" t="inlineStr">
        <is>
          <t>PX_MID</t>
        </is>
      </c>
      <c r="TO3" s="9" t="inlineStr">
        <is>
          <t>PX_LAST</t>
        </is>
      </c>
      <c r="TP3" s="9" t="inlineStr">
        <is>
          <t>PX_SETTLE</t>
        </is>
      </c>
      <c r="TQ3" s="9" t="inlineStr">
        <is>
          <t>PX_VOLUME</t>
        </is>
      </c>
      <c r="TR3" s="9" t="inlineStr">
        <is>
          <t>OPEN_INT</t>
        </is>
      </c>
      <c r="TS3" s="9" t="inlineStr">
        <is>
          <t>IVOL_MID</t>
        </is>
      </c>
      <c r="TT3" s="9" t="inlineStr">
        <is>
          <t>IVOL_BID</t>
        </is>
      </c>
      <c r="TU3" s="9" t="inlineStr">
        <is>
          <t>IVOL_ASK</t>
        </is>
      </c>
      <c r="TV3" s="9" t="inlineStr">
        <is>
          <t>DELTA_MID</t>
        </is>
      </c>
      <c r="TW3" s="9" t="inlineStr">
        <is>
          <t>GAMMA_MID</t>
        </is>
      </c>
      <c r="TX3" s="9" t="inlineStr">
        <is>
          <t>VEGA_MID</t>
        </is>
      </c>
      <c r="TY3" s="9" t="inlineStr">
        <is>
          <t>THETA_MID</t>
        </is>
      </c>
      <c r="TZ3" s="9" t="inlineStr">
        <is>
          <t>OPT_UNDL_PX</t>
        </is>
      </c>
      <c r="UB3" s="9" t="inlineStr">
        <is>
          <t>Date</t>
        </is>
      </c>
      <c r="UC3" s="9" t="inlineStr">
        <is>
          <t>PX_BID</t>
        </is>
      </c>
      <c r="UD3" s="9" t="inlineStr">
        <is>
          <t>PX_ASK</t>
        </is>
      </c>
      <c r="UE3" s="9" t="inlineStr">
        <is>
          <t>PX_MID</t>
        </is>
      </c>
      <c r="UF3" s="9" t="inlineStr">
        <is>
          <t>PX_LAST</t>
        </is>
      </c>
      <c r="UG3" s="9" t="inlineStr">
        <is>
          <t>PX_SETTLE</t>
        </is>
      </c>
      <c r="UH3" s="9" t="inlineStr">
        <is>
          <t>PX_VOLUME</t>
        </is>
      </c>
      <c r="UI3" s="9" t="inlineStr">
        <is>
          <t>OPEN_INT</t>
        </is>
      </c>
      <c r="UJ3" s="9" t="inlineStr">
        <is>
          <t>IVOL_MID</t>
        </is>
      </c>
      <c r="UK3" s="9" t="inlineStr">
        <is>
          <t>IVOL_BID</t>
        </is>
      </c>
      <c r="UL3" s="9" t="inlineStr">
        <is>
          <t>IVOL_ASK</t>
        </is>
      </c>
      <c r="UM3" s="9" t="inlineStr">
        <is>
          <t>DELTA_MID</t>
        </is>
      </c>
      <c r="UN3" s="9" t="inlineStr">
        <is>
          <t>GAMMA_MID</t>
        </is>
      </c>
      <c r="UO3" s="9" t="inlineStr">
        <is>
          <t>VEGA_MID</t>
        </is>
      </c>
      <c r="UP3" s="9" t="inlineStr">
        <is>
          <t>THETA_MID</t>
        </is>
      </c>
      <c r="UQ3" s="9" t="inlineStr">
        <is>
          <t>OPT_UNDL_PX</t>
        </is>
      </c>
      <c r="US3" s="9" t="inlineStr">
        <is>
          <t>Date</t>
        </is>
      </c>
      <c r="UT3" s="9" t="inlineStr">
        <is>
          <t>PX_BID</t>
        </is>
      </c>
      <c r="UU3" s="9" t="inlineStr">
        <is>
          <t>PX_ASK</t>
        </is>
      </c>
      <c r="UV3" s="9" t="inlineStr">
        <is>
          <t>PX_MID</t>
        </is>
      </c>
      <c r="UW3" s="9" t="inlineStr">
        <is>
          <t>PX_LAST</t>
        </is>
      </c>
      <c r="UX3" s="9" t="inlineStr">
        <is>
          <t>PX_SETTLE</t>
        </is>
      </c>
      <c r="UY3" s="9" t="inlineStr">
        <is>
          <t>PX_VOLUME</t>
        </is>
      </c>
      <c r="UZ3" s="9" t="inlineStr">
        <is>
          <t>OPEN_INT</t>
        </is>
      </c>
      <c r="VA3" s="9" t="inlineStr">
        <is>
          <t>IVOL_MID</t>
        </is>
      </c>
      <c r="VB3" s="9" t="inlineStr">
        <is>
          <t>IVOL_BID</t>
        </is>
      </c>
      <c r="VC3" s="9" t="inlineStr">
        <is>
          <t>IVOL_ASK</t>
        </is>
      </c>
      <c r="VD3" s="9" t="inlineStr">
        <is>
          <t>DELTA_MID</t>
        </is>
      </c>
      <c r="VE3" s="9" t="inlineStr">
        <is>
          <t>GAMMA_MID</t>
        </is>
      </c>
      <c r="VF3" s="9" t="inlineStr">
        <is>
          <t>VEGA_MID</t>
        </is>
      </c>
      <c r="VG3" s="9" t="inlineStr">
        <is>
          <t>THETA_MID</t>
        </is>
      </c>
      <c r="VH3" s="9" t="inlineStr">
        <is>
          <t>OPT_UNDL_PX</t>
        </is>
      </c>
    </row>
    <row r="4">
      <c r="A4" s="2" t="inlineStr">
        <is>
          <t>Year in ticker</t>
        </is>
      </c>
      <c r="B4" s="4">
        <f>IF(B2&lt;Settings!$B$5,TEXT(MOD(Settings!$B$3,100),"00"),TEXT(MOD(Settings!$B$3,10),"0"))</f>
        <v/>
      </c>
      <c r="D4" s="4">
        <f>BDH(D$1,E$3:S$3,$B$9,$B$10,"Dir=V","Dts=S","Sort=A","Days=T","Fill=B")</f>
        <v/>
      </c>
      <c r="U4" s="4">
        <f>BDH(U$1,V$3:AJ$3,$B$9,$B$10,"Dir=V","Dts=S","Sort=A","Days=T","Fill=B")</f>
        <v/>
      </c>
      <c r="AL4" s="4">
        <f>BDH(AL$1,AM$3:BA$3,$B$9,$B$10,"Dir=V","Dts=S","Sort=A","Days=T","Fill=B")</f>
        <v/>
      </c>
      <c r="BC4" s="4">
        <f>BDH(BC$1,BD$3:BR$3,$B$9,$B$10,"Dir=V","Dts=S","Sort=A","Days=T","Fill=B")</f>
        <v/>
      </c>
      <c r="BT4" s="4">
        <f>BDH(BT$1,BU$3:CI$3,$B$9,$B$10,"Dir=V","Dts=S","Sort=A","Days=T","Fill=B")</f>
        <v/>
      </c>
      <c r="CK4" s="4">
        <f>BDH(CK$1,CL$3:CZ$3,$B$9,$B$10,"Dir=V","Dts=S","Sort=A","Days=T","Fill=B")</f>
        <v/>
      </c>
      <c r="DB4" s="4">
        <f>BDH(DB$1,DC$3:DQ$3,$B$9,$B$10,"Dir=V","Dts=S","Sort=A","Days=T","Fill=B")</f>
        <v/>
      </c>
      <c r="DS4" s="4">
        <f>BDH(DS$1,DT$3:EH$3,$B$9,$B$10,"Dir=V","Dts=S","Sort=A","Days=T","Fill=B")</f>
        <v/>
      </c>
      <c r="EJ4" s="4">
        <f>BDH(EJ$1,EK$3:EY$3,$B$9,$B$10,"Dir=V","Dts=S","Sort=A","Days=T","Fill=B")</f>
        <v/>
      </c>
      <c r="FA4" s="4">
        <f>BDH(FA$1,FB$3:FP$3,$B$9,$B$10,"Dir=V","Dts=S","Sort=A","Days=T","Fill=B")</f>
        <v/>
      </c>
      <c r="FR4" s="4">
        <f>BDH(FR$1,FS$3:GG$3,$B$9,$B$10,"Dir=V","Dts=S","Sort=A","Days=T","Fill=B")</f>
        <v/>
      </c>
      <c r="GI4" s="4">
        <f>BDH(GI$1,GJ$3:GX$3,$B$9,$B$10,"Dir=V","Dts=S","Sort=A","Days=T","Fill=B")</f>
        <v/>
      </c>
      <c r="GZ4" s="4">
        <f>BDH(GZ$1,HA$3:HO$3,$B$9,$B$10,"Dir=V","Dts=S","Sort=A","Days=T","Fill=B")</f>
        <v/>
      </c>
      <c r="HQ4" s="4">
        <f>BDH(HQ$1,HR$3:IF$3,$B$9,$B$10,"Dir=V","Dts=S","Sort=A","Days=T","Fill=B")</f>
        <v/>
      </c>
      <c r="IH4" s="4">
        <f>BDH(IH$1,II$3:IW$3,$B$9,$B$10,"Dir=V","Dts=S","Sort=A","Days=T","Fill=B")</f>
        <v/>
      </c>
      <c r="IY4" s="4">
        <f>BDH(IY$1,IZ$3:JN$3,$B$9,$B$10,"Dir=V","Dts=S","Sort=A","Days=T","Fill=B")</f>
        <v/>
      </c>
      <c r="JP4" s="4">
        <f>BDH(JP$1,JQ$3:KE$3,$B$9,$B$10,"Dir=V","Dts=S","Sort=A","Days=T","Fill=B")</f>
        <v/>
      </c>
      <c r="KG4" s="4">
        <f>BDH(KG$1,KH$3:KV$3,$B$9,$B$10,"Dir=V","Dts=S","Sort=A","Days=T","Fill=B")</f>
        <v/>
      </c>
      <c r="KX4" s="4">
        <f>BDH(KX$1,KY$3:LM$3,$B$9,$B$10,"Dir=V","Dts=S","Sort=A","Days=T","Fill=B")</f>
        <v/>
      </c>
      <c r="LO4" s="4">
        <f>BDH(LO$1,LP$3:MD$3,$B$9,$B$10,"Dir=V","Dts=S","Sort=A","Days=T","Fill=B")</f>
        <v/>
      </c>
      <c r="MF4" s="4">
        <f>BDH(MF$1,MG$3:MU$3,$B$9,$B$10,"Dir=V","Dts=S","Sort=A","Days=T","Fill=B")</f>
        <v/>
      </c>
      <c r="MW4" s="4">
        <f>BDH(MW$1,MX$3:NL$3,$B$9,$B$10,"Dir=V","Dts=S","Sort=A","Days=T","Fill=B")</f>
        <v/>
      </c>
      <c r="NN4" s="4">
        <f>BDH(NN$1,NO$3:OC$3,$B$9,$B$10,"Dir=V","Dts=S","Sort=A","Days=T","Fill=B")</f>
        <v/>
      </c>
      <c r="OE4" s="4">
        <f>BDH(OE$1,OF$3:OT$3,$B$9,$B$10,"Dir=V","Dts=S","Sort=A","Days=T","Fill=B")</f>
        <v/>
      </c>
      <c r="OV4" s="4">
        <f>BDH(OV$1,OW$3:PK$3,$B$9,$B$10,"Dir=V","Dts=S","Sort=A","Days=T","Fill=B")</f>
        <v/>
      </c>
      <c r="PM4" s="4">
        <f>BDH(PM$1,PN$3:QB$3,$B$9,$B$10,"Dir=V","Dts=S","Sort=A","Days=T","Fill=B")</f>
        <v/>
      </c>
      <c r="QD4" s="4">
        <f>BDH(QD$1,QE$3:QS$3,$B$9,$B$10,"Dir=V","Dts=S","Sort=A","Days=T","Fill=B")</f>
        <v/>
      </c>
      <c r="QU4" s="4">
        <f>BDH(QU$1,QV$3:RJ$3,$B$9,$B$10,"Dir=V","Dts=S","Sort=A","Days=T","Fill=B")</f>
        <v/>
      </c>
      <c r="RL4" s="4">
        <f>BDH(RL$1,RM$3:SA$3,$B$9,$B$10,"Dir=V","Dts=S","Sort=A","Days=T","Fill=B")</f>
        <v/>
      </c>
      <c r="SC4" s="4">
        <f>BDH(SC$1,SD$3:SR$3,$B$9,$B$10,"Dir=V","Dts=S","Sort=A","Days=T","Fill=B")</f>
        <v/>
      </c>
      <c r="ST4" s="4">
        <f>BDH(ST$1,SU$3:TI$3,$B$9,$B$10,"Dir=V","Dts=S","Sort=A","Days=T","Fill=B")</f>
        <v/>
      </c>
      <c r="TK4" s="4">
        <f>BDH(TK$1,TL$3:TZ$3,$B$9,$B$10,"Dir=V","Dts=S","Sort=A","Days=T","Fill=B")</f>
        <v/>
      </c>
      <c r="UB4" s="4">
        <f>BDH(UB$1,UC$3:UQ$3,$B$9,$B$10,"Dir=V","Dts=S","Sort=A","Days=T","Fill=B")</f>
        <v/>
      </c>
      <c r="US4" s="4">
        <f>BDH(US$1,UT$3:VH$3,$B$9,$B$10,"Dir=V","Dts=S","Sort=A","Days=T","Fill=B")</f>
        <v/>
      </c>
    </row>
    <row r="5">
      <c r="A5" s="2" t="inlineStr">
        <is>
          <t>Futures ticker</t>
        </is>
      </c>
      <c r="B5" s="4">
        <f>"CL"&amp;MID("FGHJKMNQUVXZ",B1,1)&amp;B4&amp;" Comdty"</f>
        <v/>
      </c>
    </row>
    <row r="6">
      <c r="A6" s="2" t="inlineStr">
        <is>
          <t>Strike reference date</t>
        </is>
      </c>
      <c r="B6" s="8">
        <f>B3-45</f>
        <v/>
      </c>
    </row>
    <row r="7">
      <c r="A7" s="2" t="inlineStr">
        <is>
          <t>Futures price on that date</t>
        </is>
      </c>
      <c r="B7" s="10">
        <f>BDH(B5,"PX_LAST",B6,B6,"Days=A","Fill=P","Dts=H")</f>
        <v/>
      </c>
    </row>
    <row r="8">
      <c r="A8" s="2" t="inlineStr">
        <is>
          <t>ATM strike</t>
        </is>
      </c>
      <c r="B8" s="7">
        <f>ROUND(B7,0)</f>
        <v/>
      </c>
    </row>
    <row r="9">
      <c r="A9" s="2" t="inlineStr">
        <is>
          <t>History start</t>
        </is>
      </c>
      <c r="B9" s="8">
        <f>B3-100</f>
        <v/>
      </c>
    </row>
    <row r="10">
      <c r="A10" s="2" t="inlineStr">
        <is>
          <t>History end</t>
        </is>
      </c>
      <c r="B10" s="8">
        <f>B3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H1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  <col width="12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1" customWidth="1" min="383" max="383"/>
    <col width="11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1" customWidth="1" min="389" max="389"/>
    <col width="11" customWidth="1" min="390" max="390"/>
    <col width="10" customWidth="1" min="391" max="391"/>
    <col width="11" customWidth="1" min="392" max="392"/>
    <col width="13" customWidth="1" min="393" max="393"/>
    <col width="12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1" customWidth="1" min="400" max="400"/>
    <col width="11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1" customWidth="1" min="406" max="406"/>
    <col width="11" customWidth="1" min="407" max="407"/>
    <col width="10" customWidth="1" min="408" max="408"/>
    <col width="11" customWidth="1" min="409" max="409"/>
    <col width="13" customWidth="1" min="410" max="410"/>
    <col width="12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1" customWidth="1" min="417" max="417"/>
    <col width="11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1" customWidth="1" min="423" max="423"/>
    <col width="11" customWidth="1" min="424" max="424"/>
    <col width="10" customWidth="1" min="425" max="425"/>
    <col width="11" customWidth="1" min="426" max="426"/>
    <col width="13" customWidth="1" min="427" max="427"/>
    <col width="12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1" customWidth="1" min="434" max="434"/>
    <col width="11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1" customWidth="1" min="440" max="440"/>
    <col width="11" customWidth="1" min="441" max="441"/>
    <col width="10" customWidth="1" min="442" max="442"/>
    <col width="11" customWidth="1" min="443" max="443"/>
    <col width="13" customWidth="1" min="444" max="444"/>
    <col width="12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1" customWidth="1" min="451" max="451"/>
    <col width="11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1" customWidth="1" min="457" max="457"/>
    <col width="11" customWidth="1" min="458" max="458"/>
    <col width="10" customWidth="1" min="459" max="459"/>
    <col width="11" customWidth="1" min="460" max="460"/>
    <col width="13" customWidth="1" min="461" max="461"/>
    <col width="12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1" customWidth="1" min="468" max="468"/>
    <col width="11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1" customWidth="1" min="474" max="474"/>
    <col width="11" customWidth="1" min="475" max="475"/>
    <col width="10" customWidth="1" min="476" max="476"/>
    <col width="11" customWidth="1" min="477" max="477"/>
    <col width="13" customWidth="1" min="478" max="478"/>
    <col width="12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1" customWidth="1" min="485" max="485"/>
    <col width="11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1" customWidth="1" min="491" max="491"/>
    <col width="11" customWidth="1" min="492" max="492"/>
    <col width="10" customWidth="1" min="493" max="493"/>
    <col width="11" customWidth="1" min="494" max="494"/>
    <col width="13" customWidth="1" min="495" max="495"/>
    <col width="12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1" customWidth="1" min="502" max="502"/>
    <col width="11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1" customWidth="1" min="508" max="508"/>
    <col width="11" customWidth="1" min="509" max="509"/>
    <col width="10" customWidth="1" min="510" max="510"/>
    <col width="11" customWidth="1" min="511" max="511"/>
    <col width="13" customWidth="1" min="512" max="512"/>
    <col width="12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1" customWidth="1" min="519" max="519"/>
    <col width="11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1" customWidth="1" min="525" max="525"/>
    <col width="11" customWidth="1" min="526" max="526"/>
    <col width="10" customWidth="1" min="527" max="527"/>
    <col width="11" customWidth="1" min="528" max="528"/>
    <col width="13" customWidth="1" min="529" max="529"/>
    <col width="12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1" customWidth="1" min="536" max="536"/>
    <col width="11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1" customWidth="1" min="542" max="542"/>
    <col width="11" customWidth="1" min="543" max="543"/>
    <col width="10" customWidth="1" min="544" max="544"/>
    <col width="11" customWidth="1" min="545" max="545"/>
    <col width="13" customWidth="1" min="546" max="546"/>
    <col width="12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1" customWidth="1" min="553" max="553"/>
    <col width="11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1" customWidth="1" min="559" max="559"/>
    <col width="11" customWidth="1" min="560" max="560"/>
    <col width="10" customWidth="1" min="561" max="561"/>
    <col width="11" customWidth="1" min="562" max="562"/>
    <col width="13" customWidth="1" min="563" max="563"/>
    <col width="12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1" customWidth="1" min="570" max="570"/>
    <col width="11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1" customWidth="1" min="576" max="576"/>
    <col width="11" customWidth="1" min="577" max="577"/>
    <col width="10" customWidth="1" min="578" max="578"/>
    <col width="11" customWidth="1" min="579" max="579"/>
    <col width="13" customWidth="1" min="580" max="580"/>
  </cols>
  <sheetData>
    <row r="1">
      <c r="A1" s="2" t="inlineStr">
        <is>
          <t>Contract month</t>
        </is>
      </c>
      <c r="B1" s="7" t="n">
        <v>7</v>
      </c>
      <c r="D1" s="4">
        <f>"CL"&amp;MID("FGHJKMNQUVXZ",B$1,1)&amp;B$4&amp;"C "&amp;IF(Settings!$B$4=2,TEXT((B$8-8),"0.00"),(B$8-8))&amp;" Comdty"</f>
        <v/>
      </c>
      <c r="U1" s="4">
        <f>"CL"&amp;MID("FGHJKMNQUVXZ",B$1,1)&amp;B$4&amp;"P "&amp;IF(Settings!$B$4=2,TEXT((B$8-8),"0.00"),(B$8-8))&amp;" Comdty"</f>
        <v/>
      </c>
      <c r="AL1" s="4">
        <f>"CL"&amp;MID("FGHJKMNQUVXZ",B$1,1)&amp;B$4&amp;"C "&amp;IF(Settings!$B$4=2,TEXT((B$8-7),"0.00"),(B$8-7))&amp;" Comdty"</f>
        <v/>
      </c>
      <c r="BC1" s="4">
        <f>"CL"&amp;MID("FGHJKMNQUVXZ",B$1,1)&amp;B$4&amp;"P "&amp;IF(Settings!$B$4=2,TEXT((B$8-7),"0.00"),(B$8-7))&amp;" Comdty"</f>
        <v/>
      </c>
      <c r="BT1" s="4">
        <f>"CL"&amp;MID("FGHJKMNQUVXZ",B$1,1)&amp;B$4&amp;"C "&amp;IF(Settings!$B$4=2,TEXT((B$8-6),"0.00"),(B$8-6))&amp;" Comdty"</f>
        <v/>
      </c>
      <c r="CK1" s="4">
        <f>"CL"&amp;MID("FGHJKMNQUVXZ",B$1,1)&amp;B$4&amp;"P "&amp;IF(Settings!$B$4=2,TEXT((B$8-6),"0.00"),(B$8-6))&amp;" Comdty"</f>
        <v/>
      </c>
      <c r="DB1" s="4">
        <f>"CL"&amp;MID("FGHJKMNQUVXZ",B$1,1)&amp;B$4&amp;"C "&amp;IF(Settings!$B$4=2,TEXT((B$8-5),"0.00"),(B$8-5))&amp;" Comdty"</f>
        <v/>
      </c>
      <c r="DS1" s="4">
        <f>"CL"&amp;MID("FGHJKMNQUVXZ",B$1,1)&amp;B$4&amp;"P "&amp;IF(Settings!$B$4=2,TEXT((B$8-5),"0.00"),(B$8-5))&amp;" Comdty"</f>
        <v/>
      </c>
      <c r="EJ1" s="4">
        <f>"CL"&amp;MID("FGHJKMNQUVXZ",B$1,1)&amp;B$4&amp;"C "&amp;IF(Settings!$B$4=2,TEXT((B$8-4),"0.00"),(B$8-4))&amp;" Comdty"</f>
        <v/>
      </c>
      <c r="FA1" s="4">
        <f>"CL"&amp;MID("FGHJKMNQUVXZ",B$1,1)&amp;B$4&amp;"P "&amp;IF(Settings!$B$4=2,TEXT((B$8-4),"0.00"),(B$8-4))&amp;" Comdty"</f>
        <v/>
      </c>
      <c r="FR1" s="4">
        <f>"CL"&amp;MID("FGHJKMNQUVXZ",B$1,1)&amp;B$4&amp;"C "&amp;IF(Settings!$B$4=2,TEXT((B$8-3),"0.00"),(B$8-3))&amp;" Comdty"</f>
        <v/>
      </c>
      <c r="GI1" s="4">
        <f>"CL"&amp;MID("FGHJKMNQUVXZ",B$1,1)&amp;B$4&amp;"P "&amp;IF(Settings!$B$4=2,TEXT((B$8-3),"0.00"),(B$8-3))&amp;" Comdty"</f>
        <v/>
      </c>
      <c r="GZ1" s="4">
        <f>"CL"&amp;MID("FGHJKMNQUVXZ",B$1,1)&amp;B$4&amp;"C "&amp;IF(Settings!$B$4=2,TEXT((B$8-2),"0.00"),(B$8-2))&amp;" Comdty"</f>
        <v/>
      </c>
      <c r="HQ1" s="4">
        <f>"CL"&amp;MID("FGHJKMNQUVXZ",B$1,1)&amp;B$4&amp;"P "&amp;IF(Settings!$B$4=2,TEXT((B$8-2),"0.00"),(B$8-2))&amp;" Comdty"</f>
        <v/>
      </c>
      <c r="IH1" s="4">
        <f>"CL"&amp;MID("FGHJKMNQUVXZ",B$1,1)&amp;B$4&amp;"C "&amp;IF(Settings!$B$4=2,TEXT((B$8-1),"0.00"),(B$8-1))&amp;" Comdty"</f>
        <v/>
      </c>
      <c r="IY1" s="4">
        <f>"CL"&amp;MID("FGHJKMNQUVXZ",B$1,1)&amp;B$4&amp;"P "&amp;IF(Settings!$B$4=2,TEXT((B$8-1),"0.00"),(B$8-1))&amp;" Comdty"</f>
        <v/>
      </c>
      <c r="JP1" s="4">
        <f>"CL"&amp;MID("FGHJKMNQUVXZ",B$1,1)&amp;B$4&amp;"C "&amp;IF(Settings!$B$4=2,TEXT(B$8,"0.00"),B$8)&amp;" Comdty"</f>
        <v/>
      </c>
      <c r="KG1" s="4">
        <f>"CL"&amp;MID("FGHJKMNQUVXZ",B$1,1)&amp;B$4&amp;"P "&amp;IF(Settings!$B$4=2,TEXT(B$8,"0.00"),B$8)&amp;" Comdty"</f>
        <v/>
      </c>
      <c r="KX1" s="4">
        <f>"CL"&amp;MID("FGHJKMNQUVXZ",B$1,1)&amp;B$4&amp;"C "&amp;IF(Settings!$B$4=2,TEXT((B$8+1),"0.00"),(B$8+1))&amp;" Comdty"</f>
        <v/>
      </c>
      <c r="LO1" s="4">
        <f>"CL"&amp;MID("FGHJKMNQUVXZ",B$1,1)&amp;B$4&amp;"P "&amp;IF(Settings!$B$4=2,TEXT((B$8+1),"0.00"),(B$8+1))&amp;" Comdty"</f>
        <v/>
      </c>
      <c r="MF1" s="4">
        <f>"CL"&amp;MID("FGHJKMNQUVXZ",B$1,1)&amp;B$4&amp;"C "&amp;IF(Settings!$B$4=2,TEXT((B$8+2),"0.00"),(B$8+2))&amp;" Comdty"</f>
        <v/>
      </c>
      <c r="MW1" s="4">
        <f>"CL"&amp;MID("FGHJKMNQUVXZ",B$1,1)&amp;B$4&amp;"P "&amp;IF(Settings!$B$4=2,TEXT((B$8+2),"0.00"),(B$8+2))&amp;" Comdty"</f>
        <v/>
      </c>
      <c r="NN1" s="4">
        <f>"CL"&amp;MID("FGHJKMNQUVXZ",B$1,1)&amp;B$4&amp;"C "&amp;IF(Settings!$B$4=2,TEXT((B$8+3),"0.00"),(B$8+3))&amp;" Comdty"</f>
        <v/>
      </c>
      <c r="OE1" s="4">
        <f>"CL"&amp;MID("FGHJKMNQUVXZ",B$1,1)&amp;B$4&amp;"P "&amp;IF(Settings!$B$4=2,TEXT((B$8+3),"0.00"),(B$8+3))&amp;" Comdty"</f>
        <v/>
      </c>
      <c r="OV1" s="4">
        <f>"CL"&amp;MID("FGHJKMNQUVXZ",B$1,1)&amp;B$4&amp;"C "&amp;IF(Settings!$B$4=2,TEXT((B$8+4),"0.00"),(B$8+4))&amp;" Comdty"</f>
        <v/>
      </c>
      <c r="PM1" s="4">
        <f>"CL"&amp;MID("FGHJKMNQUVXZ",B$1,1)&amp;B$4&amp;"P "&amp;IF(Settings!$B$4=2,TEXT((B$8+4),"0.00"),(B$8+4))&amp;" Comdty"</f>
        <v/>
      </c>
      <c r="QD1" s="4">
        <f>"CL"&amp;MID("FGHJKMNQUVXZ",B$1,1)&amp;B$4&amp;"C "&amp;IF(Settings!$B$4=2,TEXT((B$8+5),"0.00"),(B$8+5))&amp;" Comdty"</f>
        <v/>
      </c>
      <c r="QU1" s="4">
        <f>"CL"&amp;MID("FGHJKMNQUVXZ",B$1,1)&amp;B$4&amp;"P "&amp;IF(Settings!$B$4=2,TEXT((B$8+5),"0.00"),(B$8+5))&amp;" Comdty"</f>
        <v/>
      </c>
      <c r="RL1" s="4">
        <f>"CL"&amp;MID("FGHJKMNQUVXZ",B$1,1)&amp;B$4&amp;"C "&amp;IF(Settings!$B$4=2,TEXT((B$8+6),"0.00"),(B$8+6))&amp;" Comdty"</f>
        <v/>
      </c>
      <c r="SC1" s="4">
        <f>"CL"&amp;MID("FGHJKMNQUVXZ",B$1,1)&amp;B$4&amp;"P "&amp;IF(Settings!$B$4=2,TEXT((B$8+6),"0.00"),(B$8+6))&amp;" Comdty"</f>
        <v/>
      </c>
      <c r="ST1" s="4">
        <f>"CL"&amp;MID("FGHJKMNQUVXZ",B$1,1)&amp;B$4&amp;"C "&amp;IF(Settings!$B$4=2,TEXT((B$8+7),"0.00"),(B$8+7))&amp;" Comdty"</f>
        <v/>
      </c>
      <c r="TK1" s="4">
        <f>"CL"&amp;MID("FGHJKMNQUVXZ",B$1,1)&amp;B$4&amp;"P "&amp;IF(Settings!$B$4=2,TEXT((B$8+7),"0.00"),(B$8+7))&amp;" Comdty"</f>
        <v/>
      </c>
      <c r="UB1" s="4">
        <f>"CL"&amp;MID("FGHJKMNQUVXZ",B$1,1)&amp;B$4&amp;"C "&amp;IF(Settings!$B$4=2,TEXT((B$8+8),"0.00"),(B$8+8))&amp;" Comdty"</f>
        <v/>
      </c>
      <c r="US1" s="4">
        <f>"CL"&amp;MID("FGHJKMNQUVXZ",B$1,1)&amp;B$4&amp;"P "&amp;IF(Settings!$B$4=2,TEXT((B$8+8),"0.00"),(B$8+8))&amp;" Comdty"</f>
        <v/>
      </c>
    </row>
    <row r="2">
      <c r="A2" s="2" t="inlineStr">
        <is>
          <t>Futures last trade</t>
        </is>
      </c>
      <c r="B2" s="8">
        <f>WORKDAY(DATE(Settings!$B$3,B1-1,25),-3)</f>
        <v/>
      </c>
      <c r="D2" s="4" t="inlineStr">
        <is>
          <t>call -8 from ATM</t>
        </is>
      </c>
      <c r="U2" s="4" t="inlineStr">
        <is>
          <t>put -8 from ATM</t>
        </is>
      </c>
      <c r="AL2" s="4" t="inlineStr">
        <is>
          <t>call -7 from ATM</t>
        </is>
      </c>
      <c r="BC2" s="4" t="inlineStr">
        <is>
          <t>put -7 from ATM</t>
        </is>
      </c>
      <c r="BT2" s="4" t="inlineStr">
        <is>
          <t>call -6 from ATM</t>
        </is>
      </c>
      <c r="CK2" s="4" t="inlineStr">
        <is>
          <t>put -6 from ATM</t>
        </is>
      </c>
      <c r="DB2" s="4" t="inlineStr">
        <is>
          <t>call -5 from ATM</t>
        </is>
      </c>
      <c r="DS2" s="4" t="inlineStr">
        <is>
          <t>put -5 from ATM</t>
        </is>
      </c>
      <c r="EJ2" s="4" t="inlineStr">
        <is>
          <t>call -4 from ATM</t>
        </is>
      </c>
      <c r="FA2" s="4" t="inlineStr">
        <is>
          <t>put -4 from ATM</t>
        </is>
      </c>
      <c r="FR2" s="4" t="inlineStr">
        <is>
          <t>call -3 from ATM</t>
        </is>
      </c>
      <c r="GI2" s="4" t="inlineStr">
        <is>
          <t>put -3 from ATM</t>
        </is>
      </c>
      <c r="GZ2" s="4" t="inlineStr">
        <is>
          <t>call -2 from ATM</t>
        </is>
      </c>
      <c r="HQ2" s="4" t="inlineStr">
        <is>
          <t>put -2 from ATM</t>
        </is>
      </c>
      <c r="IH2" s="4" t="inlineStr">
        <is>
          <t>call -1 from ATM</t>
        </is>
      </c>
      <c r="IY2" s="4" t="inlineStr">
        <is>
          <t>put -1 from ATM</t>
        </is>
      </c>
      <c r="JP2" s="4" t="inlineStr">
        <is>
          <t>call +0 from ATM</t>
        </is>
      </c>
      <c r="KG2" s="4" t="inlineStr">
        <is>
          <t>put +0 from ATM</t>
        </is>
      </c>
      <c r="KX2" s="4" t="inlineStr">
        <is>
          <t>call +1 from ATM</t>
        </is>
      </c>
      <c r="LO2" s="4" t="inlineStr">
        <is>
          <t>put +1 from ATM</t>
        </is>
      </c>
      <c r="MF2" s="4" t="inlineStr">
        <is>
          <t>call +2 from ATM</t>
        </is>
      </c>
      <c r="MW2" s="4" t="inlineStr">
        <is>
          <t>put +2 from ATM</t>
        </is>
      </c>
      <c r="NN2" s="4" t="inlineStr">
        <is>
          <t>call +3 from ATM</t>
        </is>
      </c>
      <c r="OE2" s="4" t="inlineStr">
        <is>
          <t>put +3 from ATM</t>
        </is>
      </c>
      <c r="OV2" s="4" t="inlineStr">
        <is>
          <t>call +4 from ATM</t>
        </is>
      </c>
      <c r="PM2" s="4" t="inlineStr">
        <is>
          <t>put +4 from ATM</t>
        </is>
      </c>
      <c r="QD2" s="4" t="inlineStr">
        <is>
          <t>call +5 from ATM</t>
        </is>
      </c>
      <c r="QU2" s="4" t="inlineStr">
        <is>
          <t>put +5 from ATM</t>
        </is>
      </c>
      <c r="RL2" s="4" t="inlineStr">
        <is>
          <t>call +6 from ATM</t>
        </is>
      </c>
      <c r="SC2" s="4" t="inlineStr">
        <is>
          <t>put +6 from ATM</t>
        </is>
      </c>
      <c r="ST2" s="4" t="inlineStr">
        <is>
          <t>call +7 from ATM</t>
        </is>
      </c>
      <c r="TK2" s="4" t="inlineStr">
        <is>
          <t>put +7 from ATM</t>
        </is>
      </c>
      <c r="UB2" s="4" t="inlineStr">
        <is>
          <t>call +8 from ATM</t>
        </is>
      </c>
      <c r="US2" s="4" t="inlineStr">
        <is>
          <t>put +8 from ATM</t>
        </is>
      </c>
    </row>
    <row r="3">
      <c r="A3" s="2" t="inlineStr">
        <is>
          <t>Option expiry (approx)</t>
        </is>
      </c>
      <c r="B3" s="8">
        <f>WORKDAY(B2,-1)</f>
        <v/>
      </c>
      <c r="D3" s="9" t="inlineStr">
        <is>
          <t>Date</t>
        </is>
      </c>
      <c r="E3" s="9" t="inlineStr">
        <is>
          <t>PX_BID</t>
        </is>
      </c>
      <c r="F3" s="9" t="inlineStr">
        <is>
          <t>PX_ASK</t>
        </is>
      </c>
      <c r="G3" s="9" t="inlineStr">
        <is>
          <t>PX_MID</t>
        </is>
      </c>
      <c r="H3" s="9" t="inlineStr">
        <is>
          <t>PX_LAST</t>
        </is>
      </c>
      <c r="I3" s="9" t="inlineStr">
        <is>
          <t>PX_SETTLE</t>
        </is>
      </c>
      <c r="J3" s="9" t="inlineStr">
        <is>
          <t>PX_VOLUME</t>
        </is>
      </c>
      <c r="K3" s="9" t="inlineStr">
        <is>
          <t>OPEN_INT</t>
        </is>
      </c>
      <c r="L3" s="9" t="inlineStr">
        <is>
          <t>IVOL_MID</t>
        </is>
      </c>
      <c r="M3" s="9" t="inlineStr">
        <is>
          <t>IVOL_BID</t>
        </is>
      </c>
      <c r="N3" s="9" t="inlineStr">
        <is>
          <t>IVOL_ASK</t>
        </is>
      </c>
      <c r="O3" s="9" t="inlineStr">
        <is>
          <t>DELTA_MID</t>
        </is>
      </c>
      <c r="P3" s="9" t="inlineStr">
        <is>
          <t>GAMMA_MID</t>
        </is>
      </c>
      <c r="Q3" s="9" t="inlineStr">
        <is>
          <t>VEGA_MID</t>
        </is>
      </c>
      <c r="R3" s="9" t="inlineStr">
        <is>
          <t>THETA_MID</t>
        </is>
      </c>
      <c r="S3" s="9" t="inlineStr">
        <is>
          <t>OPT_UNDL_PX</t>
        </is>
      </c>
      <c r="U3" s="9" t="inlineStr">
        <is>
          <t>Date</t>
        </is>
      </c>
      <c r="V3" s="9" t="inlineStr">
        <is>
          <t>PX_BID</t>
        </is>
      </c>
      <c r="W3" s="9" t="inlineStr">
        <is>
          <t>PX_ASK</t>
        </is>
      </c>
      <c r="X3" s="9" t="inlineStr">
        <is>
          <t>PX_MID</t>
        </is>
      </c>
      <c r="Y3" s="9" t="inlineStr">
        <is>
          <t>PX_LAST</t>
        </is>
      </c>
      <c r="Z3" s="9" t="inlineStr">
        <is>
          <t>PX_SETTLE</t>
        </is>
      </c>
      <c r="AA3" s="9" t="inlineStr">
        <is>
          <t>PX_VOLUME</t>
        </is>
      </c>
      <c r="AB3" s="9" t="inlineStr">
        <is>
          <t>OPEN_INT</t>
        </is>
      </c>
      <c r="AC3" s="9" t="inlineStr">
        <is>
          <t>IVOL_MID</t>
        </is>
      </c>
      <c r="AD3" s="9" t="inlineStr">
        <is>
          <t>IVOL_BID</t>
        </is>
      </c>
      <c r="AE3" s="9" t="inlineStr">
        <is>
          <t>IVOL_ASK</t>
        </is>
      </c>
      <c r="AF3" s="9" t="inlineStr">
        <is>
          <t>DELTA_MID</t>
        </is>
      </c>
      <c r="AG3" s="9" t="inlineStr">
        <is>
          <t>GAMMA_MID</t>
        </is>
      </c>
      <c r="AH3" s="9" t="inlineStr">
        <is>
          <t>VEGA_MID</t>
        </is>
      </c>
      <c r="AI3" s="9" t="inlineStr">
        <is>
          <t>THETA_MID</t>
        </is>
      </c>
      <c r="AJ3" s="9" t="inlineStr">
        <is>
          <t>OPT_UNDL_PX</t>
        </is>
      </c>
      <c r="AL3" s="9" t="inlineStr">
        <is>
          <t>Date</t>
        </is>
      </c>
      <c r="AM3" s="9" t="inlineStr">
        <is>
          <t>PX_BID</t>
        </is>
      </c>
      <c r="AN3" s="9" t="inlineStr">
        <is>
          <t>PX_ASK</t>
        </is>
      </c>
      <c r="AO3" s="9" t="inlineStr">
        <is>
          <t>PX_MID</t>
        </is>
      </c>
      <c r="AP3" s="9" t="inlineStr">
        <is>
          <t>PX_LAST</t>
        </is>
      </c>
      <c r="AQ3" s="9" t="inlineStr">
        <is>
          <t>PX_SETTLE</t>
        </is>
      </c>
      <c r="AR3" s="9" t="inlineStr">
        <is>
          <t>PX_VOLUME</t>
        </is>
      </c>
      <c r="AS3" s="9" t="inlineStr">
        <is>
          <t>OPEN_INT</t>
        </is>
      </c>
      <c r="AT3" s="9" t="inlineStr">
        <is>
          <t>IVOL_MID</t>
        </is>
      </c>
      <c r="AU3" s="9" t="inlineStr">
        <is>
          <t>IVOL_BID</t>
        </is>
      </c>
      <c r="AV3" s="9" t="inlineStr">
        <is>
          <t>IVOL_ASK</t>
        </is>
      </c>
      <c r="AW3" s="9" t="inlineStr">
        <is>
          <t>DELTA_MID</t>
        </is>
      </c>
      <c r="AX3" s="9" t="inlineStr">
        <is>
          <t>GAMMA_MID</t>
        </is>
      </c>
      <c r="AY3" s="9" t="inlineStr">
        <is>
          <t>VEGA_MID</t>
        </is>
      </c>
      <c r="AZ3" s="9" t="inlineStr">
        <is>
          <t>THETA_MID</t>
        </is>
      </c>
      <c r="BA3" s="9" t="inlineStr">
        <is>
          <t>OPT_UNDL_PX</t>
        </is>
      </c>
      <c r="BC3" s="9" t="inlineStr">
        <is>
          <t>Date</t>
        </is>
      </c>
      <c r="BD3" s="9" t="inlineStr">
        <is>
          <t>PX_BID</t>
        </is>
      </c>
      <c r="BE3" s="9" t="inlineStr">
        <is>
          <t>PX_ASK</t>
        </is>
      </c>
      <c r="BF3" s="9" t="inlineStr">
        <is>
          <t>PX_MID</t>
        </is>
      </c>
      <c r="BG3" s="9" t="inlineStr">
        <is>
          <t>PX_LAST</t>
        </is>
      </c>
      <c r="BH3" s="9" t="inlineStr">
        <is>
          <t>PX_SETTLE</t>
        </is>
      </c>
      <c r="BI3" s="9" t="inlineStr">
        <is>
          <t>PX_VOLUME</t>
        </is>
      </c>
      <c r="BJ3" s="9" t="inlineStr">
        <is>
          <t>OPEN_INT</t>
        </is>
      </c>
      <c r="BK3" s="9" t="inlineStr">
        <is>
          <t>IVOL_MID</t>
        </is>
      </c>
      <c r="BL3" s="9" t="inlineStr">
        <is>
          <t>IVOL_BID</t>
        </is>
      </c>
      <c r="BM3" s="9" t="inlineStr">
        <is>
          <t>IVOL_ASK</t>
        </is>
      </c>
      <c r="BN3" s="9" t="inlineStr">
        <is>
          <t>DELTA_MID</t>
        </is>
      </c>
      <c r="BO3" s="9" t="inlineStr">
        <is>
          <t>GAMMA_MID</t>
        </is>
      </c>
      <c r="BP3" s="9" t="inlineStr">
        <is>
          <t>VEGA_MID</t>
        </is>
      </c>
      <c r="BQ3" s="9" t="inlineStr">
        <is>
          <t>THETA_MID</t>
        </is>
      </c>
      <c r="BR3" s="9" t="inlineStr">
        <is>
          <t>OPT_UNDL_PX</t>
        </is>
      </c>
      <c r="BT3" s="9" t="inlineStr">
        <is>
          <t>Date</t>
        </is>
      </c>
      <c r="BU3" s="9" t="inlineStr">
        <is>
          <t>PX_BID</t>
        </is>
      </c>
      <c r="BV3" s="9" t="inlineStr">
        <is>
          <t>PX_ASK</t>
        </is>
      </c>
      <c r="BW3" s="9" t="inlineStr">
        <is>
          <t>PX_MID</t>
        </is>
      </c>
      <c r="BX3" s="9" t="inlineStr">
        <is>
          <t>PX_LAST</t>
        </is>
      </c>
      <c r="BY3" s="9" t="inlineStr">
        <is>
          <t>PX_SETTLE</t>
        </is>
      </c>
      <c r="BZ3" s="9" t="inlineStr">
        <is>
          <t>PX_VOLUME</t>
        </is>
      </c>
      <c r="CA3" s="9" t="inlineStr">
        <is>
          <t>OPEN_INT</t>
        </is>
      </c>
      <c r="CB3" s="9" t="inlineStr">
        <is>
          <t>IVOL_MID</t>
        </is>
      </c>
      <c r="CC3" s="9" t="inlineStr">
        <is>
          <t>IVOL_BID</t>
        </is>
      </c>
      <c r="CD3" s="9" t="inlineStr">
        <is>
          <t>IVOL_ASK</t>
        </is>
      </c>
      <c r="CE3" s="9" t="inlineStr">
        <is>
          <t>DELTA_MID</t>
        </is>
      </c>
      <c r="CF3" s="9" t="inlineStr">
        <is>
          <t>GAMMA_MID</t>
        </is>
      </c>
      <c r="CG3" s="9" t="inlineStr">
        <is>
          <t>VEGA_MID</t>
        </is>
      </c>
      <c r="CH3" s="9" t="inlineStr">
        <is>
          <t>THETA_MID</t>
        </is>
      </c>
      <c r="CI3" s="9" t="inlineStr">
        <is>
          <t>OPT_UNDL_PX</t>
        </is>
      </c>
      <c r="CK3" s="9" t="inlineStr">
        <is>
          <t>Date</t>
        </is>
      </c>
      <c r="CL3" s="9" t="inlineStr">
        <is>
          <t>PX_BID</t>
        </is>
      </c>
      <c r="CM3" s="9" t="inlineStr">
        <is>
          <t>PX_ASK</t>
        </is>
      </c>
      <c r="CN3" s="9" t="inlineStr">
        <is>
          <t>PX_MID</t>
        </is>
      </c>
      <c r="CO3" s="9" t="inlineStr">
        <is>
          <t>PX_LAST</t>
        </is>
      </c>
      <c r="CP3" s="9" t="inlineStr">
        <is>
          <t>PX_SETTLE</t>
        </is>
      </c>
      <c r="CQ3" s="9" t="inlineStr">
        <is>
          <t>PX_VOLUME</t>
        </is>
      </c>
      <c r="CR3" s="9" t="inlineStr">
        <is>
          <t>OPEN_INT</t>
        </is>
      </c>
      <c r="CS3" s="9" t="inlineStr">
        <is>
          <t>IVOL_MID</t>
        </is>
      </c>
      <c r="CT3" s="9" t="inlineStr">
        <is>
          <t>IVOL_BID</t>
        </is>
      </c>
      <c r="CU3" s="9" t="inlineStr">
        <is>
          <t>IVOL_ASK</t>
        </is>
      </c>
      <c r="CV3" s="9" t="inlineStr">
        <is>
          <t>DELTA_MID</t>
        </is>
      </c>
      <c r="CW3" s="9" t="inlineStr">
        <is>
          <t>GAMMA_MID</t>
        </is>
      </c>
      <c r="CX3" s="9" t="inlineStr">
        <is>
          <t>VEGA_MID</t>
        </is>
      </c>
      <c r="CY3" s="9" t="inlineStr">
        <is>
          <t>THETA_MID</t>
        </is>
      </c>
      <c r="CZ3" s="9" t="inlineStr">
        <is>
          <t>OPT_UNDL_PX</t>
        </is>
      </c>
      <c r="DB3" s="9" t="inlineStr">
        <is>
          <t>Date</t>
        </is>
      </c>
      <c r="DC3" s="9" t="inlineStr">
        <is>
          <t>PX_BID</t>
        </is>
      </c>
      <c r="DD3" s="9" t="inlineStr">
        <is>
          <t>PX_ASK</t>
        </is>
      </c>
      <c r="DE3" s="9" t="inlineStr">
        <is>
          <t>PX_MID</t>
        </is>
      </c>
      <c r="DF3" s="9" t="inlineStr">
        <is>
          <t>PX_LAST</t>
        </is>
      </c>
      <c r="DG3" s="9" t="inlineStr">
        <is>
          <t>PX_SETTLE</t>
        </is>
      </c>
      <c r="DH3" s="9" t="inlineStr">
        <is>
          <t>PX_VOLUME</t>
        </is>
      </c>
      <c r="DI3" s="9" t="inlineStr">
        <is>
          <t>OPEN_INT</t>
        </is>
      </c>
      <c r="DJ3" s="9" t="inlineStr">
        <is>
          <t>IVOL_MID</t>
        </is>
      </c>
      <c r="DK3" s="9" t="inlineStr">
        <is>
          <t>IVOL_BID</t>
        </is>
      </c>
      <c r="DL3" s="9" t="inlineStr">
        <is>
          <t>IVOL_ASK</t>
        </is>
      </c>
      <c r="DM3" s="9" t="inlineStr">
        <is>
          <t>DELTA_MID</t>
        </is>
      </c>
      <c r="DN3" s="9" t="inlineStr">
        <is>
          <t>GAMMA_MID</t>
        </is>
      </c>
      <c r="DO3" s="9" t="inlineStr">
        <is>
          <t>VEGA_MID</t>
        </is>
      </c>
      <c r="DP3" s="9" t="inlineStr">
        <is>
          <t>THETA_MID</t>
        </is>
      </c>
      <c r="DQ3" s="9" t="inlineStr">
        <is>
          <t>OPT_UNDL_PX</t>
        </is>
      </c>
      <c r="DS3" s="9" t="inlineStr">
        <is>
          <t>Date</t>
        </is>
      </c>
      <c r="DT3" s="9" t="inlineStr">
        <is>
          <t>PX_BID</t>
        </is>
      </c>
      <c r="DU3" s="9" t="inlineStr">
        <is>
          <t>PX_ASK</t>
        </is>
      </c>
      <c r="DV3" s="9" t="inlineStr">
        <is>
          <t>PX_MID</t>
        </is>
      </c>
      <c r="DW3" s="9" t="inlineStr">
        <is>
          <t>PX_LAST</t>
        </is>
      </c>
      <c r="DX3" s="9" t="inlineStr">
        <is>
          <t>PX_SETTLE</t>
        </is>
      </c>
      <c r="DY3" s="9" t="inlineStr">
        <is>
          <t>PX_VOLUME</t>
        </is>
      </c>
      <c r="DZ3" s="9" t="inlineStr">
        <is>
          <t>OPEN_INT</t>
        </is>
      </c>
      <c r="EA3" s="9" t="inlineStr">
        <is>
          <t>IVOL_MID</t>
        </is>
      </c>
      <c r="EB3" s="9" t="inlineStr">
        <is>
          <t>IVOL_BID</t>
        </is>
      </c>
      <c r="EC3" s="9" t="inlineStr">
        <is>
          <t>IVOL_ASK</t>
        </is>
      </c>
      <c r="ED3" s="9" t="inlineStr">
        <is>
          <t>DELTA_MID</t>
        </is>
      </c>
      <c r="EE3" s="9" t="inlineStr">
        <is>
          <t>GAMMA_MID</t>
        </is>
      </c>
      <c r="EF3" s="9" t="inlineStr">
        <is>
          <t>VEGA_MID</t>
        </is>
      </c>
      <c r="EG3" s="9" t="inlineStr">
        <is>
          <t>THETA_MID</t>
        </is>
      </c>
      <c r="EH3" s="9" t="inlineStr">
        <is>
          <t>OPT_UNDL_PX</t>
        </is>
      </c>
      <c r="EJ3" s="9" t="inlineStr">
        <is>
          <t>Date</t>
        </is>
      </c>
      <c r="EK3" s="9" t="inlineStr">
        <is>
          <t>PX_BID</t>
        </is>
      </c>
      <c r="EL3" s="9" t="inlineStr">
        <is>
          <t>PX_ASK</t>
        </is>
      </c>
      <c r="EM3" s="9" t="inlineStr">
        <is>
          <t>PX_MID</t>
        </is>
      </c>
      <c r="EN3" s="9" t="inlineStr">
        <is>
          <t>PX_LAST</t>
        </is>
      </c>
      <c r="EO3" s="9" t="inlineStr">
        <is>
          <t>PX_SETTLE</t>
        </is>
      </c>
      <c r="EP3" s="9" t="inlineStr">
        <is>
          <t>PX_VOLUME</t>
        </is>
      </c>
      <c r="EQ3" s="9" t="inlineStr">
        <is>
          <t>OPEN_INT</t>
        </is>
      </c>
      <c r="ER3" s="9" t="inlineStr">
        <is>
          <t>IVOL_MID</t>
        </is>
      </c>
      <c r="ES3" s="9" t="inlineStr">
        <is>
          <t>IVOL_BID</t>
        </is>
      </c>
      <c r="ET3" s="9" t="inlineStr">
        <is>
          <t>IVOL_ASK</t>
        </is>
      </c>
      <c r="EU3" s="9" t="inlineStr">
        <is>
          <t>DELTA_MID</t>
        </is>
      </c>
      <c r="EV3" s="9" t="inlineStr">
        <is>
          <t>GAMMA_MID</t>
        </is>
      </c>
      <c r="EW3" s="9" t="inlineStr">
        <is>
          <t>VEGA_MID</t>
        </is>
      </c>
      <c r="EX3" s="9" t="inlineStr">
        <is>
          <t>THETA_MID</t>
        </is>
      </c>
      <c r="EY3" s="9" t="inlineStr">
        <is>
          <t>OPT_UNDL_PX</t>
        </is>
      </c>
      <c r="FA3" s="9" t="inlineStr">
        <is>
          <t>Date</t>
        </is>
      </c>
      <c r="FB3" s="9" t="inlineStr">
        <is>
          <t>PX_BID</t>
        </is>
      </c>
      <c r="FC3" s="9" t="inlineStr">
        <is>
          <t>PX_ASK</t>
        </is>
      </c>
      <c r="FD3" s="9" t="inlineStr">
        <is>
          <t>PX_MID</t>
        </is>
      </c>
      <c r="FE3" s="9" t="inlineStr">
        <is>
          <t>PX_LAST</t>
        </is>
      </c>
      <c r="FF3" s="9" t="inlineStr">
        <is>
          <t>PX_SETTLE</t>
        </is>
      </c>
      <c r="FG3" s="9" t="inlineStr">
        <is>
          <t>PX_VOLUME</t>
        </is>
      </c>
      <c r="FH3" s="9" t="inlineStr">
        <is>
          <t>OPEN_INT</t>
        </is>
      </c>
      <c r="FI3" s="9" t="inlineStr">
        <is>
          <t>IVOL_MID</t>
        </is>
      </c>
      <c r="FJ3" s="9" t="inlineStr">
        <is>
          <t>IVOL_BID</t>
        </is>
      </c>
      <c r="FK3" s="9" t="inlineStr">
        <is>
          <t>IVOL_ASK</t>
        </is>
      </c>
      <c r="FL3" s="9" t="inlineStr">
        <is>
          <t>DELTA_MID</t>
        </is>
      </c>
      <c r="FM3" s="9" t="inlineStr">
        <is>
          <t>GAMMA_MID</t>
        </is>
      </c>
      <c r="FN3" s="9" t="inlineStr">
        <is>
          <t>VEGA_MID</t>
        </is>
      </c>
      <c r="FO3" s="9" t="inlineStr">
        <is>
          <t>THETA_MID</t>
        </is>
      </c>
      <c r="FP3" s="9" t="inlineStr">
        <is>
          <t>OPT_UNDL_PX</t>
        </is>
      </c>
      <c r="FR3" s="9" t="inlineStr">
        <is>
          <t>Date</t>
        </is>
      </c>
      <c r="FS3" s="9" t="inlineStr">
        <is>
          <t>PX_BID</t>
        </is>
      </c>
      <c r="FT3" s="9" t="inlineStr">
        <is>
          <t>PX_ASK</t>
        </is>
      </c>
      <c r="FU3" s="9" t="inlineStr">
        <is>
          <t>PX_MID</t>
        </is>
      </c>
      <c r="FV3" s="9" t="inlineStr">
        <is>
          <t>PX_LAST</t>
        </is>
      </c>
      <c r="FW3" s="9" t="inlineStr">
        <is>
          <t>PX_SETTLE</t>
        </is>
      </c>
      <c r="FX3" s="9" t="inlineStr">
        <is>
          <t>PX_VOLUME</t>
        </is>
      </c>
      <c r="FY3" s="9" t="inlineStr">
        <is>
          <t>OPEN_INT</t>
        </is>
      </c>
      <c r="FZ3" s="9" t="inlineStr">
        <is>
          <t>IVOL_MID</t>
        </is>
      </c>
      <c r="GA3" s="9" t="inlineStr">
        <is>
          <t>IVOL_BID</t>
        </is>
      </c>
      <c r="GB3" s="9" t="inlineStr">
        <is>
          <t>IVOL_ASK</t>
        </is>
      </c>
      <c r="GC3" s="9" t="inlineStr">
        <is>
          <t>DELTA_MID</t>
        </is>
      </c>
      <c r="GD3" s="9" t="inlineStr">
        <is>
          <t>GAMMA_MID</t>
        </is>
      </c>
      <c r="GE3" s="9" t="inlineStr">
        <is>
          <t>VEGA_MID</t>
        </is>
      </c>
      <c r="GF3" s="9" t="inlineStr">
        <is>
          <t>THETA_MID</t>
        </is>
      </c>
      <c r="GG3" s="9" t="inlineStr">
        <is>
          <t>OPT_UNDL_PX</t>
        </is>
      </c>
      <c r="GI3" s="9" t="inlineStr">
        <is>
          <t>Date</t>
        </is>
      </c>
      <c r="GJ3" s="9" t="inlineStr">
        <is>
          <t>PX_BID</t>
        </is>
      </c>
      <c r="GK3" s="9" t="inlineStr">
        <is>
          <t>PX_ASK</t>
        </is>
      </c>
      <c r="GL3" s="9" t="inlineStr">
        <is>
          <t>PX_MID</t>
        </is>
      </c>
      <c r="GM3" s="9" t="inlineStr">
        <is>
          <t>PX_LAST</t>
        </is>
      </c>
      <c r="GN3" s="9" t="inlineStr">
        <is>
          <t>PX_SETTLE</t>
        </is>
      </c>
      <c r="GO3" s="9" t="inlineStr">
        <is>
          <t>PX_VOLUME</t>
        </is>
      </c>
      <c r="GP3" s="9" t="inlineStr">
        <is>
          <t>OPEN_INT</t>
        </is>
      </c>
      <c r="GQ3" s="9" t="inlineStr">
        <is>
          <t>IVOL_MID</t>
        </is>
      </c>
      <c r="GR3" s="9" t="inlineStr">
        <is>
          <t>IVOL_BID</t>
        </is>
      </c>
      <c r="GS3" s="9" t="inlineStr">
        <is>
          <t>IVOL_ASK</t>
        </is>
      </c>
      <c r="GT3" s="9" t="inlineStr">
        <is>
          <t>DELTA_MID</t>
        </is>
      </c>
      <c r="GU3" s="9" t="inlineStr">
        <is>
          <t>GAMMA_MID</t>
        </is>
      </c>
      <c r="GV3" s="9" t="inlineStr">
        <is>
          <t>VEGA_MID</t>
        </is>
      </c>
      <c r="GW3" s="9" t="inlineStr">
        <is>
          <t>THETA_MID</t>
        </is>
      </c>
      <c r="GX3" s="9" t="inlineStr">
        <is>
          <t>OPT_UNDL_PX</t>
        </is>
      </c>
      <c r="GZ3" s="9" t="inlineStr">
        <is>
          <t>Date</t>
        </is>
      </c>
      <c r="HA3" s="9" t="inlineStr">
        <is>
          <t>PX_BID</t>
        </is>
      </c>
      <c r="HB3" s="9" t="inlineStr">
        <is>
          <t>PX_ASK</t>
        </is>
      </c>
      <c r="HC3" s="9" t="inlineStr">
        <is>
          <t>PX_MID</t>
        </is>
      </c>
      <c r="HD3" s="9" t="inlineStr">
        <is>
          <t>PX_LAST</t>
        </is>
      </c>
      <c r="HE3" s="9" t="inlineStr">
        <is>
          <t>PX_SETTLE</t>
        </is>
      </c>
      <c r="HF3" s="9" t="inlineStr">
        <is>
          <t>PX_VOLUME</t>
        </is>
      </c>
      <c r="HG3" s="9" t="inlineStr">
        <is>
          <t>OPEN_INT</t>
        </is>
      </c>
      <c r="HH3" s="9" t="inlineStr">
        <is>
          <t>IVOL_MID</t>
        </is>
      </c>
      <c r="HI3" s="9" t="inlineStr">
        <is>
          <t>IVOL_BID</t>
        </is>
      </c>
      <c r="HJ3" s="9" t="inlineStr">
        <is>
          <t>IVOL_ASK</t>
        </is>
      </c>
      <c r="HK3" s="9" t="inlineStr">
        <is>
          <t>DELTA_MID</t>
        </is>
      </c>
      <c r="HL3" s="9" t="inlineStr">
        <is>
          <t>GAMMA_MID</t>
        </is>
      </c>
      <c r="HM3" s="9" t="inlineStr">
        <is>
          <t>VEGA_MID</t>
        </is>
      </c>
      <c r="HN3" s="9" t="inlineStr">
        <is>
          <t>THETA_MID</t>
        </is>
      </c>
      <c r="HO3" s="9" t="inlineStr">
        <is>
          <t>OPT_UNDL_PX</t>
        </is>
      </c>
      <c r="HQ3" s="9" t="inlineStr">
        <is>
          <t>Date</t>
        </is>
      </c>
      <c r="HR3" s="9" t="inlineStr">
        <is>
          <t>PX_BID</t>
        </is>
      </c>
      <c r="HS3" s="9" t="inlineStr">
        <is>
          <t>PX_ASK</t>
        </is>
      </c>
      <c r="HT3" s="9" t="inlineStr">
        <is>
          <t>PX_MID</t>
        </is>
      </c>
      <c r="HU3" s="9" t="inlineStr">
        <is>
          <t>PX_LAST</t>
        </is>
      </c>
      <c r="HV3" s="9" t="inlineStr">
        <is>
          <t>PX_SETTLE</t>
        </is>
      </c>
      <c r="HW3" s="9" t="inlineStr">
        <is>
          <t>PX_VOLUME</t>
        </is>
      </c>
      <c r="HX3" s="9" t="inlineStr">
        <is>
          <t>OPEN_INT</t>
        </is>
      </c>
      <c r="HY3" s="9" t="inlineStr">
        <is>
          <t>IVOL_MID</t>
        </is>
      </c>
      <c r="HZ3" s="9" t="inlineStr">
        <is>
          <t>IVOL_BID</t>
        </is>
      </c>
      <c r="IA3" s="9" t="inlineStr">
        <is>
          <t>IVOL_ASK</t>
        </is>
      </c>
      <c r="IB3" s="9" t="inlineStr">
        <is>
          <t>DELTA_MID</t>
        </is>
      </c>
      <c r="IC3" s="9" t="inlineStr">
        <is>
          <t>GAMMA_MID</t>
        </is>
      </c>
      <c r="ID3" s="9" t="inlineStr">
        <is>
          <t>VEGA_MID</t>
        </is>
      </c>
      <c r="IE3" s="9" t="inlineStr">
        <is>
          <t>THETA_MID</t>
        </is>
      </c>
      <c r="IF3" s="9" t="inlineStr">
        <is>
          <t>OPT_UNDL_PX</t>
        </is>
      </c>
      <c r="IH3" s="9" t="inlineStr">
        <is>
          <t>Date</t>
        </is>
      </c>
      <c r="II3" s="9" t="inlineStr">
        <is>
          <t>PX_BID</t>
        </is>
      </c>
      <c r="IJ3" s="9" t="inlineStr">
        <is>
          <t>PX_ASK</t>
        </is>
      </c>
      <c r="IK3" s="9" t="inlineStr">
        <is>
          <t>PX_MID</t>
        </is>
      </c>
      <c r="IL3" s="9" t="inlineStr">
        <is>
          <t>PX_LAST</t>
        </is>
      </c>
      <c r="IM3" s="9" t="inlineStr">
        <is>
          <t>PX_SETTLE</t>
        </is>
      </c>
      <c r="IN3" s="9" t="inlineStr">
        <is>
          <t>PX_VOLUME</t>
        </is>
      </c>
      <c r="IO3" s="9" t="inlineStr">
        <is>
          <t>OPEN_INT</t>
        </is>
      </c>
      <c r="IP3" s="9" t="inlineStr">
        <is>
          <t>IVOL_MID</t>
        </is>
      </c>
      <c r="IQ3" s="9" t="inlineStr">
        <is>
          <t>IVOL_BID</t>
        </is>
      </c>
      <c r="IR3" s="9" t="inlineStr">
        <is>
          <t>IVOL_ASK</t>
        </is>
      </c>
      <c r="IS3" s="9" t="inlineStr">
        <is>
          <t>DELTA_MID</t>
        </is>
      </c>
      <c r="IT3" s="9" t="inlineStr">
        <is>
          <t>GAMMA_MID</t>
        </is>
      </c>
      <c r="IU3" s="9" t="inlineStr">
        <is>
          <t>VEGA_MID</t>
        </is>
      </c>
      <c r="IV3" s="9" t="inlineStr">
        <is>
          <t>THETA_MID</t>
        </is>
      </c>
      <c r="IW3" s="9" t="inlineStr">
        <is>
          <t>OPT_UNDL_PX</t>
        </is>
      </c>
      <c r="IY3" s="9" t="inlineStr">
        <is>
          <t>Date</t>
        </is>
      </c>
      <c r="IZ3" s="9" t="inlineStr">
        <is>
          <t>PX_BID</t>
        </is>
      </c>
      <c r="JA3" s="9" t="inlineStr">
        <is>
          <t>PX_ASK</t>
        </is>
      </c>
      <c r="JB3" s="9" t="inlineStr">
        <is>
          <t>PX_MID</t>
        </is>
      </c>
      <c r="JC3" s="9" t="inlineStr">
        <is>
          <t>PX_LAST</t>
        </is>
      </c>
      <c r="JD3" s="9" t="inlineStr">
        <is>
          <t>PX_SETTLE</t>
        </is>
      </c>
      <c r="JE3" s="9" t="inlineStr">
        <is>
          <t>PX_VOLUME</t>
        </is>
      </c>
      <c r="JF3" s="9" t="inlineStr">
        <is>
          <t>OPEN_INT</t>
        </is>
      </c>
      <c r="JG3" s="9" t="inlineStr">
        <is>
          <t>IVOL_MID</t>
        </is>
      </c>
      <c r="JH3" s="9" t="inlineStr">
        <is>
          <t>IVOL_BID</t>
        </is>
      </c>
      <c r="JI3" s="9" t="inlineStr">
        <is>
          <t>IVOL_ASK</t>
        </is>
      </c>
      <c r="JJ3" s="9" t="inlineStr">
        <is>
          <t>DELTA_MID</t>
        </is>
      </c>
      <c r="JK3" s="9" t="inlineStr">
        <is>
          <t>GAMMA_MID</t>
        </is>
      </c>
      <c r="JL3" s="9" t="inlineStr">
        <is>
          <t>VEGA_MID</t>
        </is>
      </c>
      <c r="JM3" s="9" t="inlineStr">
        <is>
          <t>THETA_MID</t>
        </is>
      </c>
      <c r="JN3" s="9" t="inlineStr">
        <is>
          <t>OPT_UNDL_PX</t>
        </is>
      </c>
      <c r="JP3" s="9" t="inlineStr">
        <is>
          <t>Date</t>
        </is>
      </c>
      <c r="JQ3" s="9" t="inlineStr">
        <is>
          <t>PX_BID</t>
        </is>
      </c>
      <c r="JR3" s="9" t="inlineStr">
        <is>
          <t>PX_ASK</t>
        </is>
      </c>
      <c r="JS3" s="9" t="inlineStr">
        <is>
          <t>PX_MID</t>
        </is>
      </c>
      <c r="JT3" s="9" t="inlineStr">
        <is>
          <t>PX_LAST</t>
        </is>
      </c>
      <c r="JU3" s="9" t="inlineStr">
        <is>
          <t>PX_SETTLE</t>
        </is>
      </c>
      <c r="JV3" s="9" t="inlineStr">
        <is>
          <t>PX_VOLUME</t>
        </is>
      </c>
      <c r="JW3" s="9" t="inlineStr">
        <is>
          <t>OPEN_INT</t>
        </is>
      </c>
      <c r="JX3" s="9" t="inlineStr">
        <is>
          <t>IVOL_MID</t>
        </is>
      </c>
      <c r="JY3" s="9" t="inlineStr">
        <is>
          <t>IVOL_BID</t>
        </is>
      </c>
      <c r="JZ3" s="9" t="inlineStr">
        <is>
          <t>IVOL_ASK</t>
        </is>
      </c>
      <c r="KA3" s="9" t="inlineStr">
        <is>
          <t>DELTA_MID</t>
        </is>
      </c>
      <c r="KB3" s="9" t="inlineStr">
        <is>
          <t>GAMMA_MID</t>
        </is>
      </c>
      <c r="KC3" s="9" t="inlineStr">
        <is>
          <t>VEGA_MID</t>
        </is>
      </c>
      <c r="KD3" s="9" t="inlineStr">
        <is>
          <t>THETA_MID</t>
        </is>
      </c>
      <c r="KE3" s="9" t="inlineStr">
        <is>
          <t>OPT_UNDL_PX</t>
        </is>
      </c>
      <c r="KG3" s="9" t="inlineStr">
        <is>
          <t>Date</t>
        </is>
      </c>
      <c r="KH3" s="9" t="inlineStr">
        <is>
          <t>PX_BID</t>
        </is>
      </c>
      <c r="KI3" s="9" t="inlineStr">
        <is>
          <t>PX_ASK</t>
        </is>
      </c>
      <c r="KJ3" s="9" t="inlineStr">
        <is>
          <t>PX_MID</t>
        </is>
      </c>
      <c r="KK3" s="9" t="inlineStr">
        <is>
          <t>PX_LAST</t>
        </is>
      </c>
      <c r="KL3" s="9" t="inlineStr">
        <is>
          <t>PX_SETTLE</t>
        </is>
      </c>
      <c r="KM3" s="9" t="inlineStr">
        <is>
          <t>PX_VOLUME</t>
        </is>
      </c>
      <c r="KN3" s="9" t="inlineStr">
        <is>
          <t>OPEN_INT</t>
        </is>
      </c>
      <c r="KO3" s="9" t="inlineStr">
        <is>
          <t>IVOL_MID</t>
        </is>
      </c>
      <c r="KP3" s="9" t="inlineStr">
        <is>
          <t>IVOL_BID</t>
        </is>
      </c>
      <c r="KQ3" s="9" t="inlineStr">
        <is>
          <t>IVOL_ASK</t>
        </is>
      </c>
      <c r="KR3" s="9" t="inlineStr">
        <is>
          <t>DELTA_MID</t>
        </is>
      </c>
      <c r="KS3" s="9" t="inlineStr">
        <is>
          <t>GAMMA_MID</t>
        </is>
      </c>
      <c r="KT3" s="9" t="inlineStr">
        <is>
          <t>VEGA_MID</t>
        </is>
      </c>
      <c r="KU3" s="9" t="inlineStr">
        <is>
          <t>THETA_MID</t>
        </is>
      </c>
      <c r="KV3" s="9" t="inlineStr">
        <is>
          <t>OPT_UNDL_PX</t>
        </is>
      </c>
      <c r="KX3" s="9" t="inlineStr">
        <is>
          <t>Date</t>
        </is>
      </c>
      <c r="KY3" s="9" t="inlineStr">
        <is>
          <t>PX_BID</t>
        </is>
      </c>
      <c r="KZ3" s="9" t="inlineStr">
        <is>
          <t>PX_ASK</t>
        </is>
      </c>
      <c r="LA3" s="9" t="inlineStr">
        <is>
          <t>PX_MID</t>
        </is>
      </c>
      <c r="LB3" s="9" t="inlineStr">
        <is>
          <t>PX_LAST</t>
        </is>
      </c>
      <c r="LC3" s="9" t="inlineStr">
        <is>
          <t>PX_SETTLE</t>
        </is>
      </c>
      <c r="LD3" s="9" t="inlineStr">
        <is>
          <t>PX_VOLUME</t>
        </is>
      </c>
      <c r="LE3" s="9" t="inlineStr">
        <is>
          <t>OPEN_INT</t>
        </is>
      </c>
      <c r="LF3" s="9" t="inlineStr">
        <is>
          <t>IVOL_MID</t>
        </is>
      </c>
      <c r="LG3" s="9" t="inlineStr">
        <is>
          <t>IVOL_BID</t>
        </is>
      </c>
      <c r="LH3" s="9" t="inlineStr">
        <is>
          <t>IVOL_ASK</t>
        </is>
      </c>
      <c r="LI3" s="9" t="inlineStr">
        <is>
          <t>DELTA_MID</t>
        </is>
      </c>
      <c r="LJ3" s="9" t="inlineStr">
        <is>
          <t>GAMMA_MID</t>
        </is>
      </c>
      <c r="LK3" s="9" t="inlineStr">
        <is>
          <t>VEGA_MID</t>
        </is>
      </c>
      <c r="LL3" s="9" t="inlineStr">
        <is>
          <t>THETA_MID</t>
        </is>
      </c>
      <c r="LM3" s="9" t="inlineStr">
        <is>
          <t>OPT_UNDL_PX</t>
        </is>
      </c>
      <c r="LO3" s="9" t="inlineStr">
        <is>
          <t>Date</t>
        </is>
      </c>
      <c r="LP3" s="9" t="inlineStr">
        <is>
          <t>PX_BID</t>
        </is>
      </c>
      <c r="LQ3" s="9" t="inlineStr">
        <is>
          <t>PX_ASK</t>
        </is>
      </c>
      <c r="LR3" s="9" t="inlineStr">
        <is>
          <t>PX_MID</t>
        </is>
      </c>
      <c r="LS3" s="9" t="inlineStr">
        <is>
          <t>PX_LAST</t>
        </is>
      </c>
      <c r="LT3" s="9" t="inlineStr">
        <is>
          <t>PX_SETTLE</t>
        </is>
      </c>
      <c r="LU3" s="9" t="inlineStr">
        <is>
          <t>PX_VOLUME</t>
        </is>
      </c>
      <c r="LV3" s="9" t="inlineStr">
        <is>
          <t>OPEN_INT</t>
        </is>
      </c>
      <c r="LW3" s="9" t="inlineStr">
        <is>
          <t>IVOL_MID</t>
        </is>
      </c>
      <c r="LX3" s="9" t="inlineStr">
        <is>
          <t>IVOL_BID</t>
        </is>
      </c>
      <c r="LY3" s="9" t="inlineStr">
        <is>
          <t>IVOL_ASK</t>
        </is>
      </c>
      <c r="LZ3" s="9" t="inlineStr">
        <is>
          <t>DELTA_MID</t>
        </is>
      </c>
      <c r="MA3" s="9" t="inlineStr">
        <is>
          <t>GAMMA_MID</t>
        </is>
      </c>
      <c r="MB3" s="9" t="inlineStr">
        <is>
          <t>VEGA_MID</t>
        </is>
      </c>
      <c r="MC3" s="9" t="inlineStr">
        <is>
          <t>THETA_MID</t>
        </is>
      </c>
      <c r="MD3" s="9" t="inlineStr">
        <is>
          <t>OPT_UNDL_PX</t>
        </is>
      </c>
      <c r="MF3" s="9" t="inlineStr">
        <is>
          <t>Date</t>
        </is>
      </c>
      <c r="MG3" s="9" t="inlineStr">
        <is>
          <t>PX_BID</t>
        </is>
      </c>
      <c r="MH3" s="9" t="inlineStr">
        <is>
          <t>PX_ASK</t>
        </is>
      </c>
      <c r="MI3" s="9" t="inlineStr">
        <is>
          <t>PX_MID</t>
        </is>
      </c>
      <c r="MJ3" s="9" t="inlineStr">
        <is>
          <t>PX_LAST</t>
        </is>
      </c>
      <c r="MK3" s="9" t="inlineStr">
        <is>
          <t>PX_SETTLE</t>
        </is>
      </c>
      <c r="ML3" s="9" t="inlineStr">
        <is>
          <t>PX_VOLUME</t>
        </is>
      </c>
      <c r="MM3" s="9" t="inlineStr">
        <is>
          <t>OPEN_INT</t>
        </is>
      </c>
      <c r="MN3" s="9" t="inlineStr">
        <is>
          <t>IVOL_MID</t>
        </is>
      </c>
      <c r="MO3" s="9" t="inlineStr">
        <is>
          <t>IVOL_BID</t>
        </is>
      </c>
      <c r="MP3" s="9" t="inlineStr">
        <is>
          <t>IVOL_ASK</t>
        </is>
      </c>
      <c r="MQ3" s="9" t="inlineStr">
        <is>
          <t>DELTA_MID</t>
        </is>
      </c>
      <c r="MR3" s="9" t="inlineStr">
        <is>
          <t>GAMMA_MID</t>
        </is>
      </c>
      <c r="MS3" s="9" t="inlineStr">
        <is>
          <t>VEGA_MID</t>
        </is>
      </c>
      <c r="MT3" s="9" t="inlineStr">
        <is>
          <t>THETA_MID</t>
        </is>
      </c>
      <c r="MU3" s="9" t="inlineStr">
        <is>
          <t>OPT_UNDL_PX</t>
        </is>
      </c>
      <c r="MW3" s="9" t="inlineStr">
        <is>
          <t>Date</t>
        </is>
      </c>
      <c r="MX3" s="9" t="inlineStr">
        <is>
          <t>PX_BID</t>
        </is>
      </c>
      <c r="MY3" s="9" t="inlineStr">
        <is>
          <t>PX_ASK</t>
        </is>
      </c>
      <c r="MZ3" s="9" t="inlineStr">
        <is>
          <t>PX_MID</t>
        </is>
      </c>
      <c r="NA3" s="9" t="inlineStr">
        <is>
          <t>PX_LAST</t>
        </is>
      </c>
      <c r="NB3" s="9" t="inlineStr">
        <is>
          <t>PX_SETTLE</t>
        </is>
      </c>
      <c r="NC3" s="9" t="inlineStr">
        <is>
          <t>PX_VOLUME</t>
        </is>
      </c>
      <c r="ND3" s="9" t="inlineStr">
        <is>
          <t>OPEN_INT</t>
        </is>
      </c>
      <c r="NE3" s="9" t="inlineStr">
        <is>
          <t>IVOL_MID</t>
        </is>
      </c>
      <c r="NF3" s="9" t="inlineStr">
        <is>
          <t>IVOL_BID</t>
        </is>
      </c>
      <c r="NG3" s="9" t="inlineStr">
        <is>
          <t>IVOL_ASK</t>
        </is>
      </c>
      <c r="NH3" s="9" t="inlineStr">
        <is>
          <t>DELTA_MID</t>
        </is>
      </c>
      <c r="NI3" s="9" t="inlineStr">
        <is>
          <t>GAMMA_MID</t>
        </is>
      </c>
      <c r="NJ3" s="9" t="inlineStr">
        <is>
          <t>VEGA_MID</t>
        </is>
      </c>
      <c r="NK3" s="9" t="inlineStr">
        <is>
          <t>THETA_MID</t>
        </is>
      </c>
      <c r="NL3" s="9" t="inlineStr">
        <is>
          <t>OPT_UNDL_PX</t>
        </is>
      </c>
      <c r="NN3" s="9" t="inlineStr">
        <is>
          <t>Date</t>
        </is>
      </c>
      <c r="NO3" s="9" t="inlineStr">
        <is>
          <t>PX_BID</t>
        </is>
      </c>
      <c r="NP3" s="9" t="inlineStr">
        <is>
          <t>PX_ASK</t>
        </is>
      </c>
      <c r="NQ3" s="9" t="inlineStr">
        <is>
          <t>PX_MID</t>
        </is>
      </c>
      <c r="NR3" s="9" t="inlineStr">
        <is>
          <t>PX_LAST</t>
        </is>
      </c>
      <c r="NS3" s="9" t="inlineStr">
        <is>
          <t>PX_SETTLE</t>
        </is>
      </c>
      <c r="NT3" s="9" t="inlineStr">
        <is>
          <t>PX_VOLUME</t>
        </is>
      </c>
      <c r="NU3" s="9" t="inlineStr">
        <is>
          <t>OPEN_INT</t>
        </is>
      </c>
      <c r="NV3" s="9" t="inlineStr">
        <is>
          <t>IVOL_MID</t>
        </is>
      </c>
      <c r="NW3" s="9" t="inlineStr">
        <is>
          <t>IVOL_BID</t>
        </is>
      </c>
      <c r="NX3" s="9" t="inlineStr">
        <is>
          <t>IVOL_ASK</t>
        </is>
      </c>
      <c r="NY3" s="9" t="inlineStr">
        <is>
          <t>DELTA_MID</t>
        </is>
      </c>
      <c r="NZ3" s="9" t="inlineStr">
        <is>
          <t>GAMMA_MID</t>
        </is>
      </c>
      <c r="OA3" s="9" t="inlineStr">
        <is>
          <t>VEGA_MID</t>
        </is>
      </c>
      <c r="OB3" s="9" t="inlineStr">
        <is>
          <t>THETA_MID</t>
        </is>
      </c>
      <c r="OC3" s="9" t="inlineStr">
        <is>
          <t>OPT_UNDL_PX</t>
        </is>
      </c>
      <c r="OE3" s="9" t="inlineStr">
        <is>
          <t>Date</t>
        </is>
      </c>
      <c r="OF3" s="9" t="inlineStr">
        <is>
          <t>PX_BID</t>
        </is>
      </c>
      <c r="OG3" s="9" t="inlineStr">
        <is>
          <t>PX_ASK</t>
        </is>
      </c>
      <c r="OH3" s="9" t="inlineStr">
        <is>
          <t>PX_MID</t>
        </is>
      </c>
      <c r="OI3" s="9" t="inlineStr">
        <is>
          <t>PX_LAST</t>
        </is>
      </c>
      <c r="OJ3" s="9" t="inlineStr">
        <is>
          <t>PX_SETTLE</t>
        </is>
      </c>
      <c r="OK3" s="9" t="inlineStr">
        <is>
          <t>PX_VOLUME</t>
        </is>
      </c>
      <c r="OL3" s="9" t="inlineStr">
        <is>
          <t>OPEN_INT</t>
        </is>
      </c>
      <c r="OM3" s="9" t="inlineStr">
        <is>
          <t>IVOL_MID</t>
        </is>
      </c>
      <c r="ON3" s="9" t="inlineStr">
        <is>
          <t>IVOL_BID</t>
        </is>
      </c>
      <c r="OO3" s="9" t="inlineStr">
        <is>
          <t>IVOL_ASK</t>
        </is>
      </c>
      <c r="OP3" s="9" t="inlineStr">
        <is>
          <t>DELTA_MID</t>
        </is>
      </c>
      <c r="OQ3" s="9" t="inlineStr">
        <is>
          <t>GAMMA_MID</t>
        </is>
      </c>
      <c r="OR3" s="9" t="inlineStr">
        <is>
          <t>VEGA_MID</t>
        </is>
      </c>
      <c r="OS3" s="9" t="inlineStr">
        <is>
          <t>THETA_MID</t>
        </is>
      </c>
      <c r="OT3" s="9" t="inlineStr">
        <is>
          <t>OPT_UNDL_PX</t>
        </is>
      </c>
      <c r="OV3" s="9" t="inlineStr">
        <is>
          <t>Date</t>
        </is>
      </c>
      <c r="OW3" s="9" t="inlineStr">
        <is>
          <t>PX_BID</t>
        </is>
      </c>
      <c r="OX3" s="9" t="inlineStr">
        <is>
          <t>PX_ASK</t>
        </is>
      </c>
      <c r="OY3" s="9" t="inlineStr">
        <is>
          <t>PX_MID</t>
        </is>
      </c>
      <c r="OZ3" s="9" t="inlineStr">
        <is>
          <t>PX_LAST</t>
        </is>
      </c>
      <c r="PA3" s="9" t="inlineStr">
        <is>
          <t>PX_SETTLE</t>
        </is>
      </c>
      <c r="PB3" s="9" t="inlineStr">
        <is>
          <t>PX_VOLUME</t>
        </is>
      </c>
      <c r="PC3" s="9" t="inlineStr">
        <is>
          <t>OPEN_INT</t>
        </is>
      </c>
      <c r="PD3" s="9" t="inlineStr">
        <is>
          <t>IVOL_MID</t>
        </is>
      </c>
      <c r="PE3" s="9" t="inlineStr">
        <is>
          <t>IVOL_BID</t>
        </is>
      </c>
      <c r="PF3" s="9" t="inlineStr">
        <is>
          <t>IVOL_ASK</t>
        </is>
      </c>
      <c r="PG3" s="9" t="inlineStr">
        <is>
          <t>DELTA_MID</t>
        </is>
      </c>
      <c r="PH3" s="9" t="inlineStr">
        <is>
          <t>GAMMA_MID</t>
        </is>
      </c>
      <c r="PI3" s="9" t="inlineStr">
        <is>
          <t>VEGA_MID</t>
        </is>
      </c>
      <c r="PJ3" s="9" t="inlineStr">
        <is>
          <t>THETA_MID</t>
        </is>
      </c>
      <c r="PK3" s="9" t="inlineStr">
        <is>
          <t>OPT_UNDL_PX</t>
        </is>
      </c>
      <c r="PM3" s="9" t="inlineStr">
        <is>
          <t>Date</t>
        </is>
      </c>
      <c r="PN3" s="9" t="inlineStr">
        <is>
          <t>PX_BID</t>
        </is>
      </c>
      <c r="PO3" s="9" t="inlineStr">
        <is>
          <t>PX_ASK</t>
        </is>
      </c>
      <c r="PP3" s="9" t="inlineStr">
        <is>
          <t>PX_MID</t>
        </is>
      </c>
      <c r="PQ3" s="9" t="inlineStr">
        <is>
          <t>PX_LAST</t>
        </is>
      </c>
      <c r="PR3" s="9" t="inlineStr">
        <is>
          <t>PX_SETTLE</t>
        </is>
      </c>
      <c r="PS3" s="9" t="inlineStr">
        <is>
          <t>PX_VOLUME</t>
        </is>
      </c>
      <c r="PT3" s="9" t="inlineStr">
        <is>
          <t>OPEN_INT</t>
        </is>
      </c>
      <c r="PU3" s="9" t="inlineStr">
        <is>
          <t>IVOL_MID</t>
        </is>
      </c>
      <c r="PV3" s="9" t="inlineStr">
        <is>
          <t>IVOL_BID</t>
        </is>
      </c>
      <c r="PW3" s="9" t="inlineStr">
        <is>
          <t>IVOL_ASK</t>
        </is>
      </c>
      <c r="PX3" s="9" t="inlineStr">
        <is>
          <t>DELTA_MID</t>
        </is>
      </c>
      <c r="PY3" s="9" t="inlineStr">
        <is>
          <t>GAMMA_MID</t>
        </is>
      </c>
      <c r="PZ3" s="9" t="inlineStr">
        <is>
          <t>VEGA_MID</t>
        </is>
      </c>
      <c r="QA3" s="9" t="inlineStr">
        <is>
          <t>THETA_MID</t>
        </is>
      </c>
      <c r="QB3" s="9" t="inlineStr">
        <is>
          <t>OPT_UNDL_PX</t>
        </is>
      </c>
      <c r="QD3" s="9" t="inlineStr">
        <is>
          <t>Date</t>
        </is>
      </c>
      <c r="QE3" s="9" t="inlineStr">
        <is>
          <t>PX_BID</t>
        </is>
      </c>
      <c r="QF3" s="9" t="inlineStr">
        <is>
          <t>PX_ASK</t>
        </is>
      </c>
      <c r="QG3" s="9" t="inlineStr">
        <is>
          <t>PX_MID</t>
        </is>
      </c>
      <c r="QH3" s="9" t="inlineStr">
        <is>
          <t>PX_LAST</t>
        </is>
      </c>
      <c r="QI3" s="9" t="inlineStr">
        <is>
          <t>PX_SETTLE</t>
        </is>
      </c>
      <c r="QJ3" s="9" t="inlineStr">
        <is>
          <t>PX_VOLUME</t>
        </is>
      </c>
      <c r="QK3" s="9" t="inlineStr">
        <is>
          <t>OPEN_INT</t>
        </is>
      </c>
      <c r="QL3" s="9" t="inlineStr">
        <is>
          <t>IVOL_MID</t>
        </is>
      </c>
      <c r="QM3" s="9" t="inlineStr">
        <is>
          <t>IVOL_BID</t>
        </is>
      </c>
      <c r="QN3" s="9" t="inlineStr">
        <is>
          <t>IVOL_ASK</t>
        </is>
      </c>
      <c r="QO3" s="9" t="inlineStr">
        <is>
          <t>DELTA_MID</t>
        </is>
      </c>
      <c r="QP3" s="9" t="inlineStr">
        <is>
          <t>GAMMA_MID</t>
        </is>
      </c>
      <c r="QQ3" s="9" t="inlineStr">
        <is>
          <t>VEGA_MID</t>
        </is>
      </c>
      <c r="QR3" s="9" t="inlineStr">
        <is>
          <t>THETA_MID</t>
        </is>
      </c>
      <c r="QS3" s="9" t="inlineStr">
        <is>
          <t>OPT_UNDL_PX</t>
        </is>
      </c>
      <c r="QU3" s="9" t="inlineStr">
        <is>
          <t>Date</t>
        </is>
      </c>
      <c r="QV3" s="9" t="inlineStr">
        <is>
          <t>PX_BID</t>
        </is>
      </c>
      <c r="QW3" s="9" t="inlineStr">
        <is>
          <t>PX_ASK</t>
        </is>
      </c>
      <c r="QX3" s="9" t="inlineStr">
        <is>
          <t>PX_MID</t>
        </is>
      </c>
      <c r="QY3" s="9" t="inlineStr">
        <is>
          <t>PX_LAST</t>
        </is>
      </c>
      <c r="QZ3" s="9" t="inlineStr">
        <is>
          <t>PX_SETTLE</t>
        </is>
      </c>
      <c r="RA3" s="9" t="inlineStr">
        <is>
          <t>PX_VOLUME</t>
        </is>
      </c>
      <c r="RB3" s="9" t="inlineStr">
        <is>
          <t>OPEN_INT</t>
        </is>
      </c>
      <c r="RC3" s="9" t="inlineStr">
        <is>
          <t>IVOL_MID</t>
        </is>
      </c>
      <c r="RD3" s="9" t="inlineStr">
        <is>
          <t>IVOL_BID</t>
        </is>
      </c>
      <c r="RE3" s="9" t="inlineStr">
        <is>
          <t>IVOL_ASK</t>
        </is>
      </c>
      <c r="RF3" s="9" t="inlineStr">
        <is>
          <t>DELTA_MID</t>
        </is>
      </c>
      <c r="RG3" s="9" t="inlineStr">
        <is>
          <t>GAMMA_MID</t>
        </is>
      </c>
      <c r="RH3" s="9" t="inlineStr">
        <is>
          <t>VEGA_MID</t>
        </is>
      </c>
      <c r="RI3" s="9" t="inlineStr">
        <is>
          <t>THETA_MID</t>
        </is>
      </c>
      <c r="RJ3" s="9" t="inlineStr">
        <is>
          <t>OPT_UNDL_PX</t>
        </is>
      </c>
      <c r="RL3" s="9" t="inlineStr">
        <is>
          <t>Date</t>
        </is>
      </c>
      <c r="RM3" s="9" t="inlineStr">
        <is>
          <t>PX_BID</t>
        </is>
      </c>
      <c r="RN3" s="9" t="inlineStr">
        <is>
          <t>PX_ASK</t>
        </is>
      </c>
      <c r="RO3" s="9" t="inlineStr">
        <is>
          <t>PX_MID</t>
        </is>
      </c>
      <c r="RP3" s="9" t="inlineStr">
        <is>
          <t>PX_LAST</t>
        </is>
      </c>
      <c r="RQ3" s="9" t="inlineStr">
        <is>
          <t>PX_SETTLE</t>
        </is>
      </c>
      <c r="RR3" s="9" t="inlineStr">
        <is>
          <t>PX_VOLUME</t>
        </is>
      </c>
      <c r="RS3" s="9" t="inlineStr">
        <is>
          <t>OPEN_INT</t>
        </is>
      </c>
      <c r="RT3" s="9" t="inlineStr">
        <is>
          <t>IVOL_MID</t>
        </is>
      </c>
      <c r="RU3" s="9" t="inlineStr">
        <is>
          <t>IVOL_BID</t>
        </is>
      </c>
      <c r="RV3" s="9" t="inlineStr">
        <is>
          <t>IVOL_ASK</t>
        </is>
      </c>
      <c r="RW3" s="9" t="inlineStr">
        <is>
          <t>DELTA_MID</t>
        </is>
      </c>
      <c r="RX3" s="9" t="inlineStr">
        <is>
          <t>GAMMA_MID</t>
        </is>
      </c>
      <c r="RY3" s="9" t="inlineStr">
        <is>
          <t>VEGA_MID</t>
        </is>
      </c>
      <c r="RZ3" s="9" t="inlineStr">
        <is>
          <t>THETA_MID</t>
        </is>
      </c>
      <c r="SA3" s="9" t="inlineStr">
        <is>
          <t>OPT_UNDL_PX</t>
        </is>
      </c>
      <c r="SC3" s="9" t="inlineStr">
        <is>
          <t>Date</t>
        </is>
      </c>
      <c r="SD3" s="9" t="inlineStr">
        <is>
          <t>PX_BID</t>
        </is>
      </c>
      <c r="SE3" s="9" t="inlineStr">
        <is>
          <t>PX_ASK</t>
        </is>
      </c>
      <c r="SF3" s="9" t="inlineStr">
        <is>
          <t>PX_MID</t>
        </is>
      </c>
      <c r="SG3" s="9" t="inlineStr">
        <is>
          <t>PX_LAST</t>
        </is>
      </c>
      <c r="SH3" s="9" t="inlineStr">
        <is>
          <t>PX_SETTLE</t>
        </is>
      </c>
      <c r="SI3" s="9" t="inlineStr">
        <is>
          <t>PX_VOLUME</t>
        </is>
      </c>
      <c r="SJ3" s="9" t="inlineStr">
        <is>
          <t>OPEN_INT</t>
        </is>
      </c>
      <c r="SK3" s="9" t="inlineStr">
        <is>
          <t>IVOL_MID</t>
        </is>
      </c>
      <c r="SL3" s="9" t="inlineStr">
        <is>
          <t>IVOL_BID</t>
        </is>
      </c>
      <c r="SM3" s="9" t="inlineStr">
        <is>
          <t>IVOL_ASK</t>
        </is>
      </c>
      <c r="SN3" s="9" t="inlineStr">
        <is>
          <t>DELTA_MID</t>
        </is>
      </c>
      <c r="SO3" s="9" t="inlineStr">
        <is>
          <t>GAMMA_MID</t>
        </is>
      </c>
      <c r="SP3" s="9" t="inlineStr">
        <is>
          <t>VEGA_MID</t>
        </is>
      </c>
      <c r="SQ3" s="9" t="inlineStr">
        <is>
          <t>THETA_MID</t>
        </is>
      </c>
      <c r="SR3" s="9" t="inlineStr">
        <is>
          <t>OPT_UNDL_PX</t>
        </is>
      </c>
      <c r="ST3" s="9" t="inlineStr">
        <is>
          <t>Date</t>
        </is>
      </c>
      <c r="SU3" s="9" t="inlineStr">
        <is>
          <t>PX_BID</t>
        </is>
      </c>
      <c r="SV3" s="9" t="inlineStr">
        <is>
          <t>PX_ASK</t>
        </is>
      </c>
      <c r="SW3" s="9" t="inlineStr">
        <is>
          <t>PX_MID</t>
        </is>
      </c>
      <c r="SX3" s="9" t="inlineStr">
        <is>
          <t>PX_LAST</t>
        </is>
      </c>
      <c r="SY3" s="9" t="inlineStr">
        <is>
          <t>PX_SETTLE</t>
        </is>
      </c>
      <c r="SZ3" s="9" t="inlineStr">
        <is>
          <t>PX_VOLUME</t>
        </is>
      </c>
      <c r="TA3" s="9" t="inlineStr">
        <is>
          <t>OPEN_INT</t>
        </is>
      </c>
      <c r="TB3" s="9" t="inlineStr">
        <is>
          <t>IVOL_MID</t>
        </is>
      </c>
      <c r="TC3" s="9" t="inlineStr">
        <is>
          <t>IVOL_BID</t>
        </is>
      </c>
      <c r="TD3" s="9" t="inlineStr">
        <is>
          <t>IVOL_ASK</t>
        </is>
      </c>
      <c r="TE3" s="9" t="inlineStr">
        <is>
          <t>DELTA_MID</t>
        </is>
      </c>
      <c r="TF3" s="9" t="inlineStr">
        <is>
          <t>GAMMA_MID</t>
        </is>
      </c>
      <c r="TG3" s="9" t="inlineStr">
        <is>
          <t>VEGA_MID</t>
        </is>
      </c>
      <c r="TH3" s="9" t="inlineStr">
        <is>
          <t>THETA_MID</t>
        </is>
      </c>
      <c r="TI3" s="9" t="inlineStr">
        <is>
          <t>OPT_UNDL_PX</t>
        </is>
      </c>
      <c r="TK3" s="9" t="inlineStr">
        <is>
          <t>Date</t>
        </is>
      </c>
      <c r="TL3" s="9" t="inlineStr">
        <is>
          <t>PX_BID</t>
        </is>
      </c>
      <c r="TM3" s="9" t="inlineStr">
        <is>
          <t>PX_ASK</t>
        </is>
      </c>
      <c r="TN3" s="9" t="inlineStr">
        <is>
          <t>PX_MID</t>
        </is>
      </c>
      <c r="TO3" s="9" t="inlineStr">
        <is>
          <t>PX_LAST</t>
        </is>
      </c>
      <c r="TP3" s="9" t="inlineStr">
        <is>
          <t>PX_SETTLE</t>
        </is>
      </c>
      <c r="TQ3" s="9" t="inlineStr">
        <is>
          <t>PX_VOLUME</t>
        </is>
      </c>
      <c r="TR3" s="9" t="inlineStr">
        <is>
          <t>OPEN_INT</t>
        </is>
      </c>
      <c r="TS3" s="9" t="inlineStr">
        <is>
          <t>IVOL_MID</t>
        </is>
      </c>
      <c r="TT3" s="9" t="inlineStr">
        <is>
          <t>IVOL_BID</t>
        </is>
      </c>
      <c r="TU3" s="9" t="inlineStr">
        <is>
          <t>IVOL_ASK</t>
        </is>
      </c>
      <c r="TV3" s="9" t="inlineStr">
        <is>
          <t>DELTA_MID</t>
        </is>
      </c>
      <c r="TW3" s="9" t="inlineStr">
        <is>
          <t>GAMMA_MID</t>
        </is>
      </c>
      <c r="TX3" s="9" t="inlineStr">
        <is>
          <t>VEGA_MID</t>
        </is>
      </c>
      <c r="TY3" s="9" t="inlineStr">
        <is>
          <t>THETA_MID</t>
        </is>
      </c>
      <c r="TZ3" s="9" t="inlineStr">
        <is>
          <t>OPT_UNDL_PX</t>
        </is>
      </c>
      <c r="UB3" s="9" t="inlineStr">
        <is>
          <t>Date</t>
        </is>
      </c>
      <c r="UC3" s="9" t="inlineStr">
        <is>
          <t>PX_BID</t>
        </is>
      </c>
      <c r="UD3" s="9" t="inlineStr">
        <is>
          <t>PX_ASK</t>
        </is>
      </c>
      <c r="UE3" s="9" t="inlineStr">
        <is>
          <t>PX_MID</t>
        </is>
      </c>
      <c r="UF3" s="9" t="inlineStr">
        <is>
          <t>PX_LAST</t>
        </is>
      </c>
      <c r="UG3" s="9" t="inlineStr">
        <is>
          <t>PX_SETTLE</t>
        </is>
      </c>
      <c r="UH3" s="9" t="inlineStr">
        <is>
          <t>PX_VOLUME</t>
        </is>
      </c>
      <c r="UI3" s="9" t="inlineStr">
        <is>
          <t>OPEN_INT</t>
        </is>
      </c>
      <c r="UJ3" s="9" t="inlineStr">
        <is>
          <t>IVOL_MID</t>
        </is>
      </c>
      <c r="UK3" s="9" t="inlineStr">
        <is>
          <t>IVOL_BID</t>
        </is>
      </c>
      <c r="UL3" s="9" t="inlineStr">
        <is>
          <t>IVOL_ASK</t>
        </is>
      </c>
      <c r="UM3" s="9" t="inlineStr">
        <is>
          <t>DELTA_MID</t>
        </is>
      </c>
      <c r="UN3" s="9" t="inlineStr">
        <is>
          <t>GAMMA_MID</t>
        </is>
      </c>
      <c r="UO3" s="9" t="inlineStr">
        <is>
          <t>VEGA_MID</t>
        </is>
      </c>
      <c r="UP3" s="9" t="inlineStr">
        <is>
          <t>THETA_MID</t>
        </is>
      </c>
      <c r="UQ3" s="9" t="inlineStr">
        <is>
          <t>OPT_UNDL_PX</t>
        </is>
      </c>
      <c r="US3" s="9" t="inlineStr">
        <is>
          <t>Date</t>
        </is>
      </c>
      <c r="UT3" s="9" t="inlineStr">
        <is>
          <t>PX_BID</t>
        </is>
      </c>
      <c r="UU3" s="9" t="inlineStr">
        <is>
          <t>PX_ASK</t>
        </is>
      </c>
      <c r="UV3" s="9" t="inlineStr">
        <is>
          <t>PX_MID</t>
        </is>
      </c>
      <c r="UW3" s="9" t="inlineStr">
        <is>
          <t>PX_LAST</t>
        </is>
      </c>
      <c r="UX3" s="9" t="inlineStr">
        <is>
          <t>PX_SETTLE</t>
        </is>
      </c>
      <c r="UY3" s="9" t="inlineStr">
        <is>
          <t>PX_VOLUME</t>
        </is>
      </c>
      <c r="UZ3" s="9" t="inlineStr">
        <is>
          <t>OPEN_INT</t>
        </is>
      </c>
      <c r="VA3" s="9" t="inlineStr">
        <is>
          <t>IVOL_MID</t>
        </is>
      </c>
      <c r="VB3" s="9" t="inlineStr">
        <is>
          <t>IVOL_BID</t>
        </is>
      </c>
      <c r="VC3" s="9" t="inlineStr">
        <is>
          <t>IVOL_ASK</t>
        </is>
      </c>
      <c r="VD3" s="9" t="inlineStr">
        <is>
          <t>DELTA_MID</t>
        </is>
      </c>
      <c r="VE3" s="9" t="inlineStr">
        <is>
          <t>GAMMA_MID</t>
        </is>
      </c>
      <c r="VF3" s="9" t="inlineStr">
        <is>
          <t>VEGA_MID</t>
        </is>
      </c>
      <c r="VG3" s="9" t="inlineStr">
        <is>
          <t>THETA_MID</t>
        </is>
      </c>
      <c r="VH3" s="9" t="inlineStr">
        <is>
          <t>OPT_UNDL_PX</t>
        </is>
      </c>
    </row>
    <row r="4">
      <c r="A4" s="2" t="inlineStr">
        <is>
          <t>Year in ticker</t>
        </is>
      </c>
      <c r="B4" s="4">
        <f>IF(B2&lt;Settings!$B$5,TEXT(MOD(Settings!$B$3,100),"00"),TEXT(MOD(Settings!$B$3,10),"0"))</f>
        <v/>
      </c>
      <c r="D4" s="4">
        <f>BDH(D$1,E$3:S$3,$B$9,$B$10,"Dir=V","Dts=S","Sort=A","Days=T","Fill=B")</f>
        <v/>
      </c>
      <c r="U4" s="4">
        <f>BDH(U$1,V$3:AJ$3,$B$9,$B$10,"Dir=V","Dts=S","Sort=A","Days=T","Fill=B")</f>
        <v/>
      </c>
      <c r="AL4" s="4">
        <f>BDH(AL$1,AM$3:BA$3,$B$9,$B$10,"Dir=V","Dts=S","Sort=A","Days=T","Fill=B")</f>
        <v/>
      </c>
      <c r="BC4" s="4">
        <f>BDH(BC$1,BD$3:BR$3,$B$9,$B$10,"Dir=V","Dts=S","Sort=A","Days=T","Fill=B")</f>
        <v/>
      </c>
      <c r="BT4" s="4">
        <f>BDH(BT$1,BU$3:CI$3,$B$9,$B$10,"Dir=V","Dts=S","Sort=A","Days=T","Fill=B")</f>
        <v/>
      </c>
      <c r="CK4" s="4">
        <f>BDH(CK$1,CL$3:CZ$3,$B$9,$B$10,"Dir=V","Dts=S","Sort=A","Days=T","Fill=B")</f>
        <v/>
      </c>
      <c r="DB4" s="4">
        <f>BDH(DB$1,DC$3:DQ$3,$B$9,$B$10,"Dir=V","Dts=S","Sort=A","Days=T","Fill=B")</f>
        <v/>
      </c>
      <c r="DS4" s="4">
        <f>BDH(DS$1,DT$3:EH$3,$B$9,$B$10,"Dir=V","Dts=S","Sort=A","Days=T","Fill=B")</f>
        <v/>
      </c>
      <c r="EJ4" s="4">
        <f>BDH(EJ$1,EK$3:EY$3,$B$9,$B$10,"Dir=V","Dts=S","Sort=A","Days=T","Fill=B")</f>
        <v/>
      </c>
      <c r="FA4" s="4">
        <f>BDH(FA$1,FB$3:FP$3,$B$9,$B$10,"Dir=V","Dts=S","Sort=A","Days=T","Fill=B")</f>
        <v/>
      </c>
      <c r="FR4" s="4">
        <f>BDH(FR$1,FS$3:GG$3,$B$9,$B$10,"Dir=V","Dts=S","Sort=A","Days=T","Fill=B")</f>
        <v/>
      </c>
      <c r="GI4" s="4">
        <f>BDH(GI$1,GJ$3:GX$3,$B$9,$B$10,"Dir=V","Dts=S","Sort=A","Days=T","Fill=B")</f>
        <v/>
      </c>
      <c r="GZ4" s="4">
        <f>BDH(GZ$1,HA$3:HO$3,$B$9,$B$10,"Dir=V","Dts=S","Sort=A","Days=T","Fill=B")</f>
        <v/>
      </c>
      <c r="HQ4" s="4">
        <f>BDH(HQ$1,HR$3:IF$3,$B$9,$B$10,"Dir=V","Dts=S","Sort=A","Days=T","Fill=B")</f>
        <v/>
      </c>
      <c r="IH4" s="4">
        <f>BDH(IH$1,II$3:IW$3,$B$9,$B$10,"Dir=V","Dts=S","Sort=A","Days=T","Fill=B")</f>
        <v/>
      </c>
      <c r="IY4" s="4">
        <f>BDH(IY$1,IZ$3:JN$3,$B$9,$B$10,"Dir=V","Dts=S","Sort=A","Days=T","Fill=B")</f>
        <v/>
      </c>
      <c r="JP4" s="4">
        <f>BDH(JP$1,JQ$3:KE$3,$B$9,$B$10,"Dir=V","Dts=S","Sort=A","Days=T","Fill=B")</f>
        <v/>
      </c>
      <c r="KG4" s="4">
        <f>BDH(KG$1,KH$3:KV$3,$B$9,$B$10,"Dir=V","Dts=S","Sort=A","Days=T","Fill=B")</f>
        <v/>
      </c>
      <c r="KX4" s="4">
        <f>BDH(KX$1,KY$3:LM$3,$B$9,$B$10,"Dir=V","Dts=S","Sort=A","Days=T","Fill=B")</f>
        <v/>
      </c>
      <c r="LO4" s="4">
        <f>BDH(LO$1,LP$3:MD$3,$B$9,$B$10,"Dir=V","Dts=S","Sort=A","Days=T","Fill=B")</f>
        <v/>
      </c>
      <c r="MF4" s="4">
        <f>BDH(MF$1,MG$3:MU$3,$B$9,$B$10,"Dir=V","Dts=S","Sort=A","Days=T","Fill=B")</f>
        <v/>
      </c>
      <c r="MW4" s="4">
        <f>BDH(MW$1,MX$3:NL$3,$B$9,$B$10,"Dir=V","Dts=S","Sort=A","Days=T","Fill=B")</f>
        <v/>
      </c>
      <c r="NN4" s="4">
        <f>BDH(NN$1,NO$3:OC$3,$B$9,$B$10,"Dir=V","Dts=S","Sort=A","Days=T","Fill=B")</f>
        <v/>
      </c>
      <c r="OE4" s="4">
        <f>BDH(OE$1,OF$3:OT$3,$B$9,$B$10,"Dir=V","Dts=S","Sort=A","Days=T","Fill=B")</f>
        <v/>
      </c>
      <c r="OV4" s="4">
        <f>BDH(OV$1,OW$3:PK$3,$B$9,$B$10,"Dir=V","Dts=S","Sort=A","Days=T","Fill=B")</f>
        <v/>
      </c>
      <c r="PM4" s="4">
        <f>BDH(PM$1,PN$3:QB$3,$B$9,$B$10,"Dir=V","Dts=S","Sort=A","Days=T","Fill=B")</f>
        <v/>
      </c>
      <c r="QD4" s="4">
        <f>BDH(QD$1,QE$3:QS$3,$B$9,$B$10,"Dir=V","Dts=S","Sort=A","Days=T","Fill=B")</f>
        <v/>
      </c>
      <c r="QU4" s="4">
        <f>BDH(QU$1,QV$3:RJ$3,$B$9,$B$10,"Dir=V","Dts=S","Sort=A","Days=T","Fill=B")</f>
        <v/>
      </c>
      <c r="RL4" s="4">
        <f>BDH(RL$1,RM$3:SA$3,$B$9,$B$10,"Dir=V","Dts=S","Sort=A","Days=T","Fill=B")</f>
        <v/>
      </c>
      <c r="SC4" s="4">
        <f>BDH(SC$1,SD$3:SR$3,$B$9,$B$10,"Dir=V","Dts=S","Sort=A","Days=T","Fill=B")</f>
        <v/>
      </c>
      <c r="ST4" s="4">
        <f>BDH(ST$1,SU$3:TI$3,$B$9,$B$10,"Dir=V","Dts=S","Sort=A","Days=T","Fill=B")</f>
        <v/>
      </c>
      <c r="TK4" s="4">
        <f>BDH(TK$1,TL$3:TZ$3,$B$9,$B$10,"Dir=V","Dts=S","Sort=A","Days=T","Fill=B")</f>
        <v/>
      </c>
      <c r="UB4" s="4">
        <f>BDH(UB$1,UC$3:UQ$3,$B$9,$B$10,"Dir=V","Dts=S","Sort=A","Days=T","Fill=B")</f>
        <v/>
      </c>
      <c r="US4" s="4">
        <f>BDH(US$1,UT$3:VH$3,$B$9,$B$10,"Dir=V","Dts=S","Sort=A","Days=T","Fill=B")</f>
        <v/>
      </c>
    </row>
    <row r="5">
      <c r="A5" s="2" t="inlineStr">
        <is>
          <t>Futures ticker</t>
        </is>
      </c>
      <c r="B5" s="4">
        <f>"CL"&amp;MID("FGHJKMNQUVXZ",B1,1)&amp;B4&amp;" Comdty"</f>
        <v/>
      </c>
    </row>
    <row r="6">
      <c r="A6" s="2" t="inlineStr">
        <is>
          <t>Strike reference date</t>
        </is>
      </c>
      <c r="B6" s="8">
        <f>B3-45</f>
        <v/>
      </c>
    </row>
    <row r="7">
      <c r="A7" s="2" t="inlineStr">
        <is>
          <t>Futures price on that date</t>
        </is>
      </c>
      <c r="B7" s="10">
        <f>BDH(B5,"PX_LAST",B6,B6,"Days=A","Fill=P","Dts=H")</f>
        <v/>
      </c>
    </row>
    <row r="8">
      <c r="A8" s="2" t="inlineStr">
        <is>
          <t>ATM strike</t>
        </is>
      </c>
      <c r="B8" s="7">
        <f>ROUND(B7,0)</f>
        <v/>
      </c>
    </row>
    <row r="9">
      <c r="A9" s="2" t="inlineStr">
        <is>
          <t>History start</t>
        </is>
      </c>
      <c r="B9" s="8">
        <f>B3-100</f>
        <v/>
      </c>
    </row>
    <row r="10">
      <c r="A10" s="2" t="inlineStr">
        <is>
          <t>History end</t>
        </is>
      </c>
      <c r="B10" s="8">
        <f>B3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H1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  <col width="12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1" customWidth="1" min="383" max="383"/>
    <col width="11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1" customWidth="1" min="389" max="389"/>
    <col width="11" customWidth="1" min="390" max="390"/>
    <col width="10" customWidth="1" min="391" max="391"/>
    <col width="11" customWidth="1" min="392" max="392"/>
    <col width="13" customWidth="1" min="393" max="393"/>
    <col width="12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1" customWidth="1" min="400" max="400"/>
    <col width="11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1" customWidth="1" min="406" max="406"/>
    <col width="11" customWidth="1" min="407" max="407"/>
    <col width="10" customWidth="1" min="408" max="408"/>
    <col width="11" customWidth="1" min="409" max="409"/>
    <col width="13" customWidth="1" min="410" max="410"/>
    <col width="12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1" customWidth="1" min="417" max="417"/>
    <col width="11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1" customWidth="1" min="423" max="423"/>
    <col width="11" customWidth="1" min="424" max="424"/>
    <col width="10" customWidth="1" min="425" max="425"/>
    <col width="11" customWidth="1" min="426" max="426"/>
    <col width="13" customWidth="1" min="427" max="427"/>
    <col width="12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1" customWidth="1" min="434" max="434"/>
    <col width="11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1" customWidth="1" min="440" max="440"/>
    <col width="11" customWidth="1" min="441" max="441"/>
    <col width="10" customWidth="1" min="442" max="442"/>
    <col width="11" customWidth="1" min="443" max="443"/>
    <col width="13" customWidth="1" min="444" max="444"/>
    <col width="12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1" customWidth="1" min="451" max="451"/>
    <col width="11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1" customWidth="1" min="457" max="457"/>
    <col width="11" customWidth="1" min="458" max="458"/>
    <col width="10" customWidth="1" min="459" max="459"/>
    <col width="11" customWidth="1" min="460" max="460"/>
    <col width="13" customWidth="1" min="461" max="461"/>
    <col width="12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1" customWidth="1" min="468" max="468"/>
    <col width="11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1" customWidth="1" min="474" max="474"/>
    <col width="11" customWidth="1" min="475" max="475"/>
    <col width="10" customWidth="1" min="476" max="476"/>
    <col width="11" customWidth="1" min="477" max="477"/>
    <col width="13" customWidth="1" min="478" max="478"/>
    <col width="12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1" customWidth="1" min="485" max="485"/>
    <col width="11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1" customWidth="1" min="491" max="491"/>
    <col width="11" customWidth="1" min="492" max="492"/>
    <col width="10" customWidth="1" min="493" max="493"/>
    <col width="11" customWidth="1" min="494" max="494"/>
    <col width="13" customWidth="1" min="495" max="495"/>
    <col width="12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1" customWidth="1" min="502" max="502"/>
    <col width="11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1" customWidth="1" min="508" max="508"/>
    <col width="11" customWidth="1" min="509" max="509"/>
    <col width="10" customWidth="1" min="510" max="510"/>
    <col width="11" customWidth="1" min="511" max="511"/>
    <col width="13" customWidth="1" min="512" max="512"/>
    <col width="12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1" customWidth="1" min="519" max="519"/>
    <col width="11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1" customWidth="1" min="525" max="525"/>
    <col width="11" customWidth="1" min="526" max="526"/>
    <col width="10" customWidth="1" min="527" max="527"/>
    <col width="11" customWidth="1" min="528" max="528"/>
    <col width="13" customWidth="1" min="529" max="529"/>
    <col width="12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1" customWidth="1" min="536" max="536"/>
    <col width="11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1" customWidth="1" min="542" max="542"/>
    <col width="11" customWidth="1" min="543" max="543"/>
    <col width="10" customWidth="1" min="544" max="544"/>
    <col width="11" customWidth="1" min="545" max="545"/>
    <col width="13" customWidth="1" min="546" max="546"/>
    <col width="12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1" customWidth="1" min="553" max="553"/>
    <col width="11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1" customWidth="1" min="559" max="559"/>
    <col width="11" customWidth="1" min="560" max="560"/>
    <col width="10" customWidth="1" min="561" max="561"/>
    <col width="11" customWidth="1" min="562" max="562"/>
    <col width="13" customWidth="1" min="563" max="563"/>
    <col width="12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1" customWidth="1" min="570" max="570"/>
    <col width="11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1" customWidth="1" min="576" max="576"/>
    <col width="11" customWidth="1" min="577" max="577"/>
    <col width="10" customWidth="1" min="578" max="578"/>
    <col width="11" customWidth="1" min="579" max="579"/>
    <col width="13" customWidth="1" min="580" max="580"/>
  </cols>
  <sheetData>
    <row r="1">
      <c r="A1" s="2" t="inlineStr">
        <is>
          <t>Contract month</t>
        </is>
      </c>
      <c r="B1" s="7" t="n">
        <v>8</v>
      </c>
      <c r="D1" s="4">
        <f>"CL"&amp;MID("FGHJKMNQUVXZ",B$1,1)&amp;B$4&amp;"C "&amp;IF(Settings!$B$4=2,TEXT((B$8-8),"0.00"),(B$8-8))&amp;" Comdty"</f>
        <v/>
      </c>
      <c r="U1" s="4">
        <f>"CL"&amp;MID("FGHJKMNQUVXZ",B$1,1)&amp;B$4&amp;"P "&amp;IF(Settings!$B$4=2,TEXT((B$8-8),"0.00"),(B$8-8))&amp;" Comdty"</f>
        <v/>
      </c>
      <c r="AL1" s="4">
        <f>"CL"&amp;MID("FGHJKMNQUVXZ",B$1,1)&amp;B$4&amp;"C "&amp;IF(Settings!$B$4=2,TEXT((B$8-7),"0.00"),(B$8-7))&amp;" Comdty"</f>
        <v/>
      </c>
      <c r="BC1" s="4">
        <f>"CL"&amp;MID("FGHJKMNQUVXZ",B$1,1)&amp;B$4&amp;"P "&amp;IF(Settings!$B$4=2,TEXT((B$8-7),"0.00"),(B$8-7))&amp;" Comdty"</f>
        <v/>
      </c>
      <c r="BT1" s="4">
        <f>"CL"&amp;MID("FGHJKMNQUVXZ",B$1,1)&amp;B$4&amp;"C "&amp;IF(Settings!$B$4=2,TEXT((B$8-6),"0.00"),(B$8-6))&amp;" Comdty"</f>
        <v/>
      </c>
      <c r="CK1" s="4">
        <f>"CL"&amp;MID("FGHJKMNQUVXZ",B$1,1)&amp;B$4&amp;"P "&amp;IF(Settings!$B$4=2,TEXT((B$8-6),"0.00"),(B$8-6))&amp;" Comdty"</f>
        <v/>
      </c>
      <c r="DB1" s="4">
        <f>"CL"&amp;MID("FGHJKMNQUVXZ",B$1,1)&amp;B$4&amp;"C "&amp;IF(Settings!$B$4=2,TEXT((B$8-5),"0.00"),(B$8-5))&amp;" Comdty"</f>
        <v/>
      </c>
      <c r="DS1" s="4">
        <f>"CL"&amp;MID("FGHJKMNQUVXZ",B$1,1)&amp;B$4&amp;"P "&amp;IF(Settings!$B$4=2,TEXT((B$8-5),"0.00"),(B$8-5))&amp;" Comdty"</f>
        <v/>
      </c>
      <c r="EJ1" s="4">
        <f>"CL"&amp;MID("FGHJKMNQUVXZ",B$1,1)&amp;B$4&amp;"C "&amp;IF(Settings!$B$4=2,TEXT((B$8-4),"0.00"),(B$8-4))&amp;" Comdty"</f>
        <v/>
      </c>
      <c r="FA1" s="4">
        <f>"CL"&amp;MID("FGHJKMNQUVXZ",B$1,1)&amp;B$4&amp;"P "&amp;IF(Settings!$B$4=2,TEXT((B$8-4),"0.00"),(B$8-4))&amp;" Comdty"</f>
        <v/>
      </c>
      <c r="FR1" s="4">
        <f>"CL"&amp;MID("FGHJKMNQUVXZ",B$1,1)&amp;B$4&amp;"C "&amp;IF(Settings!$B$4=2,TEXT((B$8-3),"0.00"),(B$8-3))&amp;" Comdty"</f>
        <v/>
      </c>
      <c r="GI1" s="4">
        <f>"CL"&amp;MID("FGHJKMNQUVXZ",B$1,1)&amp;B$4&amp;"P "&amp;IF(Settings!$B$4=2,TEXT((B$8-3),"0.00"),(B$8-3))&amp;" Comdty"</f>
        <v/>
      </c>
      <c r="GZ1" s="4">
        <f>"CL"&amp;MID("FGHJKMNQUVXZ",B$1,1)&amp;B$4&amp;"C "&amp;IF(Settings!$B$4=2,TEXT((B$8-2),"0.00"),(B$8-2))&amp;" Comdty"</f>
        <v/>
      </c>
      <c r="HQ1" s="4">
        <f>"CL"&amp;MID("FGHJKMNQUVXZ",B$1,1)&amp;B$4&amp;"P "&amp;IF(Settings!$B$4=2,TEXT((B$8-2),"0.00"),(B$8-2))&amp;" Comdty"</f>
        <v/>
      </c>
      <c r="IH1" s="4">
        <f>"CL"&amp;MID("FGHJKMNQUVXZ",B$1,1)&amp;B$4&amp;"C "&amp;IF(Settings!$B$4=2,TEXT((B$8-1),"0.00"),(B$8-1))&amp;" Comdty"</f>
        <v/>
      </c>
      <c r="IY1" s="4">
        <f>"CL"&amp;MID("FGHJKMNQUVXZ",B$1,1)&amp;B$4&amp;"P "&amp;IF(Settings!$B$4=2,TEXT((B$8-1),"0.00"),(B$8-1))&amp;" Comdty"</f>
        <v/>
      </c>
      <c r="JP1" s="4">
        <f>"CL"&amp;MID("FGHJKMNQUVXZ",B$1,1)&amp;B$4&amp;"C "&amp;IF(Settings!$B$4=2,TEXT(B$8,"0.00"),B$8)&amp;" Comdty"</f>
        <v/>
      </c>
      <c r="KG1" s="4">
        <f>"CL"&amp;MID("FGHJKMNQUVXZ",B$1,1)&amp;B$4&amp;"P "&amp;IF(Settings!$B$4=2,TEXT(B$8,"0.00"),B$8)&amp;" Comdty"</f>
        <v/>
      </c>
      <c r="KX1" s="4">
        <f>"CL"&amp;MID("FGHJKMNQUVXZ",B$1,1)&amp;B$4&amp;"C "&amp;IF(Settings!$B$4=2,TEXT((B$8+1),"0.00"),(B$8+1))&amp;" Comdty"</f>
        <v/>
      </c>
      <c r="LO1" s="4">
        <f>"CL"&amp;MID("FGHJKMNQUVXZ",B$1,1)&amp;B$4&amp;"P "&amp;IF(Settings!$B$4=2,TEXT((B$8+1),"0.00"),(B$8+1))&amp;" Comdty"</f>
        <v/>
      </c>
      <c r="MF1" s="4">
        <f>"CL"&amp;MID("FGHJKMNQUVXZ",B$1,1)&amp;B$4&amp;"C "&amp;IF(Settings!$B$4=2,TEXT((B$8+2),"0.00"),(B$8+2))&amp;" Comdty"</f>
        <v/>
      </c>
      <c r="MW1" s="4">
        <f>"CL"&amp;MID("FGHJKMNQUVXZ",B$1,1)&amp;B$4&amp;"P "&amp;IF(Settings!$B$4=2,TEXT((B$8+2),"0.00"),(B$8+2))&amp;" Comdty"</f>
        <v/>
      </c>
      <c r="NN1" s="4">
        <f>"CL"&amp;MID("FGHJKMNQUVXZ",B$1,1)&amp;B$4&amp;"C "&amp;IF(Settings!$B$4=2,TEXT((B$8+3),"0.00"),(B$8+3))&amp;" Comdty"</f>
        <v/>
      </c>
      <c r="OE1" s="4">
        <f>"CL"&amp;MID("FGHJKMNQUVXZ",B$1,1)&amp;B$4&amp;"P "&amp;IF(Settings!$B$4=2,TEXT((B$8+3),"0.00"),(B$8+3))&amp;" Comdty"</f>
        <v/>
      </c>
      <c r="OV1" s="4">
        <f>"CL"&amp;MID("FGHJKMNQUVXZ",B$1,1)&amp;B$4&amp;"C "&amp;IF(Settings!$B$4=2,TEXT((B$8+4),"0.00"),(B$8+4))&amp;" Comdty"</f>
        <v/>
      </c>
      <c r="PM1" s="4">
        <f>"CL"&amp;MID("FGHJKMNQUVXZ",B$1,1)&amp;B$4&amp;"P "&amp;IF(Settings!$B$4=2,TEXT((B$8+4),"0.00"),(B$8+4))&amp;" Comdty"</f>
        <v/>
      </c>
      <c r="QD1" s="4">
        <f>"CL"&amp;MID("FGHJKMNQUVXZ",B$1,1)&amp;B$4&amp;"C "&amp;IF(Settings!$B$4=2,TEXT((B$8+5),"0.00"),(B$8+5))&amp;" Comdty"</f>
        <v/>
      </c>
      <c r="QU1" s="4">
        <f>"CL"&amp;MID("FGHJKMNQUVXZ",B$1,1)&amp;B$4&amp;"P "&amp;IF(Settings!$B$4=2,TEXT((B$8+5),"0.00"),(B$8+5))&amp;" Comdty"</f>
        <v/>
      </c>
      <c r="RL1" s="4">
        <f>"CL"&amp;MID("FGHJKMNQUVXZ",B$1,1)&amp;B$4&amp;"C "&amp;IF(Settings!$B$4=2,TEXT((B$8+6),"0.00"),(B$8+6))&amp;" Comdty"</f>
        <v/>
      </c>
      <c r="SC1" s="4">
        <f>"CL"&amp;MID("FGHJKMNQUVXZ",B$1,1)&amp;B$4&amp;"P "&amp;IF(Settings!$B$4=2,TEXT((B$8+6),"0.00"),(B$8+6))&amp;" Comdty"</f>
        <v/>
      </c>
      <c r="ST1" s="4">
        <f>"CL"&amp;MID("FGHJKMNQUVXZ",B$1,1)&amp;B$4&amp;"C "&amp;IF(Settings!$B$4=2,TEXT((B$8+7),"0.00"),(B$8+7))&amp;" Comdty"</f>
        <v/>
      </c>
      <c r="TK1" s="4">
        <f>"CL"&amp;MID("FGHJKMNQUVXZ",B$1,1)&amp;B$4&amp;"P "&amp;IF(Settings!$B$4=2,TEXT((B$8+7),"0.00"),(B$8+7))&amp;" Comdty"</f>
        <v/>
      </c>
      <c r="UB1" s="4">
        <f>"CL"&amp;MID("FGHJKMNQUVXZ",B$1,1)&amp;B$4&amp;"C "&amp;IF(Settings!$B$4=2,TEXT((B$8+8),"0.00"),(B$8+8))&amp;" Comdty"</f>
        <v/>
      </c>
      <c r="US1" s="4">
        <f>"CL"&amp;MID("FGHJKMNQUVXZ",B$1,1)&amp;B$4&amp;"P "&amp;IF(Settings!$B$4=2,TEXT((B$8+8),"0.00"),(B$8+8))&amp;" Comdty"</f>
        <v/>
      </c>
    </row>
    <row r="2">
      <c r="A2" s="2" t="inlineStr">
        <is>
          <t>Futures last trade</t>
        </is>
      </c>
      <c r="B2" s="8">
        <f>WORKDAY(DATE(Settings!$B$3,B1-1,25),-3)</f>
        <v/>
      </c>
      <c r="D2" s="4" t="inlineStr">
        <is>
          <t>call -8 from ATM</t>
        </is>
      </c>
      <c r="U2" s="4" t="inlineStr">
        <is>
          <t>put -8 from ATM</t>
        </is>
      </c>
      <c r="AL2" s="4" t="inlineStr">
        <is>
          <t>call -7 from ATM</t>
        </is>
      </c>
      <c r="BC2" s="4" t="inlineStr">
        <is>
          <t>put -7 from ATM</t>
        </is>
      </c>
      <c r="BT2" s="4" t="inlineStr">
        <is>
          <t>call -6 from ATM</t>
        </is>
      </c>
      <c r="CK2" s="4" t="inlineStr">
        <is>
          <t>put -6 from ATM</t>
        </is>
      </c>
      <c r="DB2" s="4" t="inlineStr">
        <is>
          <t>call -5 from ATM</t>
        </is>
      </c>
      <c r="DS2" s="4" t="inlineStr">
        <is>
          <t>put -5 from ATM</t>
        </is>
      </c>
      <c r="EJ2" s="4" t="inlineStr">
        <is>
          <t>call -4 from ATM</t>
        </is>
      </c>
      <c r="FA2" s="4" t="inlineStr">
        <is>
          <t>put -4 from ATM</t>
        </is>
      </c>
      <c r="FR2" s="4" t="inlineStr">
        <is>
          <t>call -3 from ATM</t>
        </is>
      </c>
      <c r="GI2" s="4" t="inlineStr">
        <is>
          <t>put -3 from ATM</t>
        </is>
      </c>
      <c r="GZ2" s="4" t="inlineStr">
        <is>
          <t>call -2 from ATM</t>
        </is>
      </c>
      <c r="HQ2" s="4" t="inlineStr">
        <is>
          <t>put -2 from ATM</t>
        </is>
      </c>
      <c r="IH2" s="4" t="inlineStr">
        <is>
          <t>call -1 from ATM</t>
        </is>
      </c>
      <c r="IY2" s="4" t="inlineStr">
        <is>
          <t>put -1 from ATM</t>
        </is>
      </c>
      <c r="JP2" s="4" t="inlineStr">
        <is>
          <t>call +0 from ATM</t>
        </is>
      </c>
      <c r="KG2" s="4" t="inlineStr">
        <is>
          <t>put +0 from ATM</t>
        </is>
      </c>
      <c r="KX2" s="4" t="inlineStr">
        <is>
          <t>call +1 from ATM</t>
        </is>
      </c>
      <c r="LO2" s="4" t="inlineStr">
        <is>
          <t>put +1 from ATM</t>
        </is>
      </c>
      <c r="MF2" s="4" t="inlineStr">
        <is>
          <t>call +2 from ATM</t>
        </is>
      </c>
      <c r="MW2" s="4" t="inlineStr">
        <is>
          <t>put +2 from ATM</t>
        </is>
      </c>
      <c r="NN2" s="4" t="inlineStr">
        <is>
          <t>call +3 from ATM</t>
        </is>
      </c>
      <c r="OE2" s="4" t="inlineStr">
        <is>
          <t>put +3 from ATM</t>
        </is>
      </c>
      <c r="OV2" s="4" t="inlineStr">
        <is>
          <t>call +4 from ATM</t>
        </is>
      </c>
      <c r="PM2" s="4" t="inlineStr">
        <is>
          <t>put +4 from ATM</t>
        </is>
      </c>
      <c r="QD2" s="4" t="inlineStr">
        <is>
          <t>call +5 from ATM</t>
        </is>
      </c>
      <c r="QU2" s="4" t="inlineStr">
        <is>
          <t>put +5 from ATM</t>
        </is>
      </c>
      <c r="RL2" s="4" t="inlineStr">
        <is>
          <t>call +6 from ATM</t>
        </is>
      </c>
      <c r="SC2" s="4" t="inlineStr">
        <is>
          <t>put +6 from ATM</t>
        </is>
      </c>
      <c r="ST2" s="4" t="inlineStr">
        <is>
          <t>call +7 from ATM</t>
        </is>
      </c>
      <c r="TK2" s="4" t="inlineStr">
        <is>
          <t>put +7 from ATM</t>
        </is>
      </c>
      <c r="UB2" s="4" t="inlineStr">
        <is>
          <t>call +8 from ATM</t>
        </is>
      </c>
      <c r="US2" s="4" t="inlineStr">
        <is>
          <t>put +8 from ATM</t>
        </is>
      </c>
    </row>
    <row r="3">
      <c r="A3" s="2" t="inlineStr">
        <is>
          <t>Option expiry (approx)</t>
        </is>
      </c>
      <c r="B3" s="8">
        <f>WORKDAY(B2,-1)</f>
        <v/>
      </c>
      <c r="D3" s="9" t="inlineStr">
        <is>
          <t>Date</t>
        </is>
      </c>
      <c r="E3" s="9" t="inlineStr">
        <is>
          <t>PX_BID</t>
        </is>
      </c>
      <c r="F3" s="9" t="inlineStr">
        <is>
          <t>PX_ASK</t>
        </is>
      </c>
      <c r="G3" s="9" t="inlineStr">
        <is>
          <t>PX_MID</t>
        </is>
      </c>
      <c r="H3" s="9" t="inlineStr">
        <is>
          <t>PX_LAST</t>
        </is>
      </c>
      <c r="I3" s="9" t="inlineStr">
        <is>
          <t>PX_SETTLE</t>
        </is>
      </c>
      <c r="J3" s="9" t="inlineStr">
        <is>
          <t>PX_VOLUME</t>
        </is>
      </c>
      <c r="K3" s="9" t="inlineStr">
        <is>
          <t>OPEN_INT</t>
        </is>
      </c>
      <c r="L3" s="9" t="inlineStr">
        <is>
          <t>IVOL_MID</t>
        </is>
      </c>
      <c r="M3" s="9" t="inlineStr">
        <is>
          <t>IVOL_BID</t>
        </is>
      </c>
      <c r="N3" s="9" t="inlineStr">
        <is>
          <t>IVOL_ASK</t>
        </is>
      </c>
      <c r="O3" s="9" t="inlineStr">
        <is>
          <t>DELTA_MID</t>
        </is>
      </c>
      <c r="P3" s="9" t="inlineStr">
        <is>
          <t>GAMMA_MID</t>
        </is>
      </c>
      <c r="Q3" s="9" t="inlineStr">
        <is>
          <t>VEGA_MID</t>
        </is>
      </c>
      <c r="R3" s="9" t="inlineStr">
        <is>
          <t>THETA_MID</t>
        </is>
      </c>
      <c r="S3" s="9" t="inlineStr">
        <is>
          <t>OPT_UNDL_PX</t>
        </is>
      </c>
      <c r="U3" s="9" t="inlineStr">
        <is>
          <t>Date</t>
        </is>
      </c>
      <c r="V3" s="9" t="inlineStr">
        <is>
          <t>PX_BID</t>
        </is>
      </c>
      <c r="W3" s="9" t="inlineStr">
        <is>
          <t>PX_ASK</t>
        </is>
      </c>
      <c r="X3" s="9" t="inlineStr">
        <is>
          <t>PX_MID</t>
        </is>
      </c>
      <c r="Y3" s="9" t="inlineStr">
        <is>
          <t>PX_LAST</t>
        </is>
      </c>
      <c r="Z3" s="9" t="inlineStr">
        <is>
          <t>PX_SETTLE</t>
        </is>
      </c>
      <c r="AA3" s="9" t="inlineStr">
        <is>
          <t>PX_VOLUME</t>
        </is>
      </c>
      <c r="AB3" s="9" t="inlineStr">
        <is>
          <t>OPEN_INT</t>
        </is>
      </c>
      <c r="AC3" s="9" t="inlineStr">
        <is>
          <t>IVOL_MID</t>
        </is>
      </c>
      <c r="AD3" s="9" t="inlineStr">
        <is>
          <t>IVOL_BID</t>
        </is>
      </c>
      <c r="AE3" s="9" t="inlineStr">
        <is>
          <t>IVOL_ASK</t>
        </is>
      </c>
      <c r="AF3" s="9" t="inlineStr">
        <is>
          <t>DELTA_MID</t>
        </is>
      </c>
      <c r="AG3" s="9" t="inlineStr">
        <is>
          <t>GAMMA_MID</t>
        </is>
      </c>
      <c r="AH3" s="9" t="inlineStr">
        <is>
          <t>VEGA_MID</t>
        </is>
      </c>
      <c r="AI3" s="9" t="inlineStr">
        <is>
          <t>THETA_MID</t>
        </is>
      </c>
      <c r="AJ3" s="9" t="inlineStr">
        <is>
          <t>OPT_UNDL_PX</t>
        </is>
      </c>
      <c r="AL3" s="9" t="inlineStr">
        <is>
          <t>Date</t>
        </is>
      </c>
      <c r="AM3" s="9" t="inlineStr">
        <is>
          <t>PX_BID</t>
        </is>
      </c>
      <c r="AN3" s="9" t="inlineStr">
        <is>
          <t>PX_ASK</t>
        </is>
      </c>
      <c r="AO3" s="9" t="inlineStr">
        <is>
          <t>PX_MID</t>
        </is>
      </c>
      <c r="AP3" s="9" t="inlineStr">
        <is>
          <t>PX_LAST</t>
        </is>
      </c>
      <c r="AQ3" s="9" t="inlineStr">
        <is>
          <t>PX_SETTLE</t>
        </is>
      </c>
      <c r="AR3" s="9" t="inlineStr">
        <is>
          <t>PX_VOLUME</t>
        </is>
      </c>
      <c r="AS3" s="9" t="inlineStr">
        <is>
          <t>OPEN_INT</t>
        </is>
      </c>
      <c r="AT3" s="9" t="inlineStr">
        <is>
          <t>IVOL_MID</t>
        </is>
      </c>
      <c r="AU3" s="9" t="inlineStr">
        <is>
          <t>IVOL_BID</t>
        </is>
      </c>
      <c r="AV3" s="9" t="inlineStr">
        <is>
          <t>IVOL_ASK</t>
        </is>
      </c>
      <c r="AW3" s="9" t="inlineStr">
        <is>
          <t>DELTA_MID</t>
        </is>
      </c>
      <c r="AX3" s="9" t="inlineStr">
        <is>
          <t>GAMMA_MID</t>
        </is>
      </c>
      <c r="AY3" s="9" t="inlineStr">
        <is>
          <t>VEGA_MID</t>
        </is>
      </c>
      <c r="AZ3" s="9" t="inlineStr">
        <is>
          <t>THETA_MID</t>
        </is>
      </c>
      <c r="BA3" s="9" t="inlineStr">
        <is>
          <t>OPT_UNDL_PX</t>
        </is>
      </c>
      <c r="BC3" s="9" t="inlineStr">
        <is>
          <t>Date</t>
        </is>
      </c>
      <c r="BD3" s="9" t="inlineStr">
        <is>
          <t>PX_BID</t>
        </is>
      </c>
      <c r="BE3" s="9" t="inlineStr">
        <is>
          <t>PX_ASK</t>
        </is>
      </c>
      <c r="BF3" s="9" t="inlineStr">
        <is>
          <t>PX_MID</t>
        </is>
      </c>
      <c r="BG3" s="9" t="inlineStr">
        <is>
          <t>PX_LAST</t>
        </is>
      </c>
      <c r="BH3" s="9" t="inlineStr">
        <is>
          <t>PX_SETTLE</t>
        </is>
      </c>
      <c r="BI3" s="9" t="inlineStr">
        <is>
          <t>PX_VOLUME</t>
        </is>
      </c>
      <c r="BJ3" s="9" t="inlineStr">
        <is>
          <t>OPEN_INT</t>
        </is>
      </c>
      <c r="BK3" s="9" t="inlineStr">
        <is>
          <t>IVOL_MID</t>
        </is>
      </c>
      <c r="BL3" s="9" t="inlineStr">
        <is>
          <t>IVOL_BID</t>
        </is>
      </c>
      <c r="BM3" s="9" t="inlineStr">
        <is>
          <t>IVOL_ASK</t>
        </is>
      </c>
      <c r="BN3" s="9" t="inlineStr">
        <is>
          <t>DELTA_MID</t>
        </is>
      </c>
      <c r="BO3" s="9" t="inlineStr">
        <is>
          <t>GAMMA_MID</t>
        </is>
      </c>
      <c r="BP3" s="9" t="inlineStr">
        <is>
          <t>VEGA_MID</t>
        </is>
      </c>
      <c r="BQ3" s="9" t="inlineStr">
        <is>
          <t>THETA_MID</t>
        </is>
      </c>
      <c r="BR3" s="9" t="inlineStr">
        <is>
          <t>OPT_UNDL_PX</t>
        </is>
      </c>
      <c r="BT3" s="9" t="inlineStr">
        <is>
          <t>Date</t>
        </is>
      </c>
      <c r="BU3" s="9" t="inlineStr">
        <is>
          <t>PX_BID</t>
        </is>
      </c>
      <c r="BV3" s="9" t="inlineStr">
        <is>
          <t>PX_ASK</t>
        </is>
      </c>
      <c r="BW3" s="9" t="inlineStr">
        <is>
          <t>PX_MID</t>
        </is>
      </c>
      <c r="BX3" s="9" t="inlineStr">
        <is>
          <t>PX_LAST</t>
        </is>
      </c>
      <c r="BY3" s="9" t="inlineStr">
        <is>
          <t>PX_SETTLE</t>
        </is>
      </c>
      <c r="BZ3" s="9" t="inlineStr">
        <is>
          <t>PX_VOLUME</t>
        </is>
      </c>
      <c r="CA3" s="9" t="inlineStr">
        <is>
          <t>OPEN_INT</t>
        </is>
      </c>
      <c r="CB3" s="9" t="inlineStr">
        <is>
          <t>IVOL_MID</t>
        </is>
      </c>
      <c r="CC3" s="9" t="inlineStr">
        <is>
          <t>IVOL_BID</t>
        </is>
      </c>
      <c r="CD3" s="9" t="inlineStr">
        <is>
          <t>IVOL_ASK</t>
        </is>
      </c>
      <c r="CE3" s="9" t="inlineStr">
        <is>
          <t>DELTA_MID</t>
        </is>
      </c>
      <c r="CF3" s="9" t="inlineStr">
        <is>
          <t>GAMMA_MID</t>
        </is>
      </c>
      <c r="CG3" s="9" t="inlineStr">
        <is>
          <t>VEGA_MID</t>
        </is>
      </c>
      <c r="CH3" s="9" t="inlineStr">
        <is>
          <t>THETA_MID</t>
        </is>
      </c>
      <c r="CI3" s="9" t="inlineStr">
        <is>
          <t>OPT_UNDL_PX</t>
        </is>
      </c>
      <c r="CK3" s="9" t="inlineStr">
        <is>
          <t>Date</t>
        </is>
      </c>
      <c r="CL3" s="9" t="inlineStr">
        <is>
          <t>PX_BID</t>
        </is>
      </c>
      <c r="CM3" s="9" t="inlineStr">
        <is>
          <t>PX_ASK</t>
        </is>
      </c>
      <c r="CN3" s="9" t="inlineStr">
        <is>
          <t>PX_MID</t>
        </is>
      </c>
      <c r="CO3" s="9" t="inlineStr">
        <is>
          <t>PX_LAST</t>
        </is>
      </c>
      <c r="CP3" s="9" t="inlineStr">
        <is>
          <t>PX_SETTLE</t>
        </is>
      </c>
      <c r="CQ3" s="9" t="inlineStr">
        <is>
          <t>PX_VOLUME</t>
        </is>
      </c>
      <c r="CR3" s="9" t="inlineStr">
        <is>
          <t>OPEN_INT</t>
        </is>
      </c>
      <c r="CS3" s="9" t="inlineStr">
        <is>
          <t>IVOL_MID</t>
        </is>
      </c>
      <c r="CT3" s="9" t="inlineStr">
        <is>
          <t>IVOL_BID</t>
        </is>
      </c>
      <c r="CU3" s="9" t="inlineStr">
        <is>
          <t>IVOL_ASK</t>
        </is>
      </c>
      <c r="CV3" s="9" t="inlineStr">
        <is>
          <t>DELTA_MID</t>
        </is>
      </c>
      <c r="CW3" s="9" t="inlineStr">
        <is>
          <t>GAMMA_MID</t>
        </is>
      </c>
      <c r="CX3" s="9" t="inlineStr">
        <is>
          <t>VEGA_MID</t>
        </is>
      </c>
      <c r="CY3" s="9" t="inlineStr">
        <is>
          <t>THETA_MID</t>
        </is>
      </c>
      <c r="CZ3" s="9" t="inlineStr">
        <is>
          <t>OPT_UNDL_PX</t>
        </is>
      </c>
      <c r="DB3" s="9" t="inlineStr">
        <is>
          <t>Date</t>
        </is>
      </c>
      <c r="DC3" s="9" t="inlineStr">
        <is>
          <t>PX_BID</t>
        </is>
      </c>
      <c r="DD3" s="9" t="inlineStr">
        <is>
          <t>PX_ASK</t>
        </is>
      </c>
      <c r="DE3" s="9" t="inlineStr">
        <is>
          <t>PX_MID</t>
        </is>
      </c>
      <c r="DF3" s="9" t="inlineStr">
        <is>
          <t>PX_LAST</t>
        </is>
      </c>
      <c r="DG3" s="9" t="inlineStr">
        <is>
          <t>PX_SETTLE</t>
        </is>
      </c>
      <c r="DH3" s="9" t="inlineStr">
        <is>
          <t>PX_VOLUME</t>
        </is>
      </c>
      <c r="DI3" s="9" t="inlineStr">
        <is>
          <t>OPEN_INT</t>
        </is>
      </c>
      <c r="DJ3" s="9" t="inlineStr">
        <is>
          <t>IVOL_MID</t>
        </is>
      </c>
      <c r="DK3" s="9" t="inlineStr">
        <is>
          <t>IVOL_BID</t>
        </is>
      </c>
      <c r="DL3" s="9" t="inlineStr">
        <is>
          <t>IVOL_ASK</t>
        </is>
      </c>
      <c r="DM3" s="9" t="inlineStr">
        <is>
          <t>DELTA_MID</t>
        </is>
      </c>
      <c r="DN3" s="9" t="inlineStr">
        <is>
          <t>GAMMA_MID</t>
        </is>
      </c>
      <c r="DO3" s="9" t="inlineStr">
        <is>
          <t>VEGA_MID</t>
        </is>
      </c>
      <c r="DP3" s="9" t="inlineStr">
        <is>
          <t>THETA_MID</t>
        </is>
      </c>
      <c r="DQ3" s="9" t="inlineStr">
        <is>
          <t>OPT_UNDL_PX</t>
        </is>
      </c>
      <c r="DS3" s="9" t="inlineStr">
        <is>
          <t>Date</t>
        </is>
      </c>
      <c r="DT3" s="9" t="inlineStr">
        <is>
          <t>PX_BID</t>
        </is>
      </c>
      <c r="DU3" s="9" t="inlineStr">
        <is>
          <t>PX_ASK</t>
        </is>
      </c>
      <c r="DV3" s="9" t="inlineStr">
        <is>
          <t>PX_MID</t>
        </is>
      </c>
      <c r="DW3" s="9" t="inlineStr">
        <is>
          <t>PX_LAST</t>
        </is>
      </c>
      <c r="DX3" s="9" t="inlineStr">
        <is>
          <t>PX_SETTLE</t>
        </is>
      </c>
      <c r="DY3" s="9" t="inlineStr">
        <is>
          <t>PX_VOLUME</t>
        </is>
      </c>
      <c r="DZ3" s="9" t="inlineStr">
        <is>
          <t>OPEN_INT</t>
        </is>
      </c>
      <c r="EA3" s="9" t="inlineStr">
        <is>
          <t>IVOL_MID</t>
        </is>
      </c>
      <c r="EB3" s="9" t="inlineStr">
        <is>
          <t>IVOL_BID</t>
        </is>
      </c>
      <c r="EC3" s="9" t="inlineStr">
        <is>
          <t>IVOL_ASK</t>
        </is>
      </c>
      <c r="ED3" s="9" t="inlineStr">
        <is>
          <t>DELTA_MID</t>
        </is>
      </c>
      <c r="EE3" s="9" t="inlineStr">
        <is>
          <t>GAMMA_MID</t>
        </is>
      </c>
      <c r="EF3" s="9" t="inlineStr">
        <is>
          <t>VEGA_MID</t>
        </is>
      </c>
      <c r="EG3" s="9" t="inlineStr">
        <is>
          <t>THETA_MID</t>
        </is>
      </c>
      <c r="EH3" s="9" t="inlineStr">
        <is>
          <t>OPT_UNDL_PX</t>
        </is>
      </c>
      <c r="EJ3" s="9" t="inlineStr">
        <is>
          <t>Date</t>
        </is>
      </c>
      <c r="EK3" s="9" t="inlineStr">
        <is>
          <t>PX_BID</t>
        </is>
      </c>
      <c r="EL3" s="9" t="inlineStr">
        <is>
          <t>PX_ASK</t>
        </is>
      </c>
      <c r="EM3" s="9" t="inlineStr">
        <is>
          <t>PX_MID</t>
        </is>
      </c>
      <c r="EN3" s="9" t="inlineStr">
        <is>
          <t>PX_LAST</t>
        </is>
      </c>
      <c r="EO3" s="9" t="inlineStr">
        <is>
          <t>PX_SETTLE</t>
        </is>
      </c>
      <c r="EP3" s="9" t="inlineStr">
        <is>
          <t>PX_VOLUME</t>
        </is>
      </c>
      <c r="EQ3" s="9" t="inlineStr">
        <is>
          <t>OPEN_INT</t>
        </is>
      </c>
      <c r="ER3" s="9" t="inlineStr">
        <is>
          <t>IVOL_MID</t>
        </is>
      </c>
      <c r="ES3" s="9" t="inlineStr">
        <is>
          <t>IVOL_BID</t>
        </is>
      </c>
      <c r="ET3" s="9" t="inlineStr">
        <is>
          <t>IVOL_ASK</t>
        </is>
      </c>
      <c r="EU3" s="9" t="inlineStr">
        <is>
          <t>DELTA_MID</t>
        </is>
      </c>
      <c r="EV3" s="9" t="inlineStr">
        <is>
          <t>GAMMA_MID</t>
        </is>
      </c>
      <c r="EW3" s="9" t="inlineStr">
        <is>
          <t>VEGA_MID</t>
        </is>
      </c>
      <c r="EX3" s="9" t="inlineStr">
        <is>
          <t>THETA_MID</t>
        </is>
      </c>
      <c r="EY3" s="9" t="inlineStr">
        <is>
          <t>OPT_UNDL_PX</t>
        </is>
      </c>
      <c r="FA3" s="9" t="inlineStr">
        <is>
          <t>Date</t>
        </is>
      </c>
      <c r="FB3" s="9" t="inlineStr">
        <is>
          <t>PX_BID</t>
        </is>
      </c>
      <c r="FC3" s="9" t="inlineStr">
        <is>
          <t>PX_ASK</t>
        </is>
      </c>
      <c r="FD3" s="9" t="inlineStr">
        <is>
          <t>PX_MID</t>
        </is>
      </c>
      <c r="FE3" s="9" t="inlineStr">
        <is>
          <t>PX_LAST</t>
        </is>
      </c>
      <c r="FF3" s="9" t="inlineStr">
        <is>
          <t>PX_SETTLE</t>
        </is>
      </c>
      <c r="FG3" s="9" t="inlineStr">
        <is>
          <t>PX_VOLUME</t>
        </is>
      </c>
      <c r="FH3" s="9" t="inlineStr">
        <is>
          <t>OPEN_INT</t>
        </is>
      </c>
      <c r="FI3" s="9" t="inlineStr">
        <is>
          <t>IVOL_MID</t>
        </is>
      </c>
      <c r="FJ3" s="9" t="inlineStr">
        <is>
          <t>IVOL_BID</t>
        </is>
      </c>
      <c r="FK3" s="9" t="inlineStr">
        <is>
          <t>IVOL_ASK</t>
        </is>
      </c>
      <c r="FL3" s="9" t="inlineStr">
        <is>
          <t>DELTA_MID</t>
        </is>
      </c>
      <c r="FM3" s="9" t="inlineStr">
        <is>
          <t>GAMMA_MID</t>
        </is>
      </c>
      <c r="FN3" s="9" t="inlineStr">
        <is>
          <t>VEGA_MID</t>
        </is>
      </c>
      <c r="FO3" s="9" t="inlineStr">
        <is>
          <t>THETA_MID</t>
        </is>
      </c>
      <c r="FP3" s="9" t="inlineStr">
        <is>
          <t>OPT_UNDL_PX</t>
        </is>
      </c>
      <c r="FR3" s="9" t="inlineStr">
        <is>
          <t>Date</t>
        </is>
      </c>
      <c r="FS3" s="9" t="inlineStr">
        <is>
          <t>PX_BID</t>
        </is>
      </c>
      <c r="FT3" s="9" t="inlineStr">
        <is>
          <t>PX_ASK</t>
        </is>
      </c>
      <c r="FU3" s="9" t="inlineStr">
        <is>
          <t>PX_MID</t>
        </is>
      </c>
      <c r="FV3" s="9" t="inlineStr">
        <is>
          <t>PX_LAST</t>
        </is>
      </c>
      <c r="FW3" s="9" t="inlineStr">
        <is>
          <t>PX_SETTLE</t>
        </is>
      </c>
      <c r="FX3" s="9" t="inlineStr">
        <is>
          <t>PX_VOLUME</t>
        </is>
      </c>
      <c r="FY3" s="9" t="inlineStr">
        <is>
          <t>OPEN_INT</t>
        </is>
      </c>
      <c r="FZ3" s="9" t="inlineStr">
        <is>
          <t>IVOL_MID</t>
        </is>
      </c>
      <c r="GA3" s="9" t="inlineStr">
        <is>
          <t>IVOL_BID</t>
        </is>
      </c>
      <c r="GB3" s="9" t="inlineStr">
        <is>
          <t>IVOL_ASK</t>
        </is>
      </c>
      <c r="GC3" s="9" t="inlineStr">
        <is>
          <t>DELTA_MID</t>
        </is>
      </c>
      <c r="GD3" s="9" t="inlineStr">
        <is>
          <t>GAMMA_MID</t>
        </is>
      </c>
      <c r="GE3" s="9" t="inlineStr">
        <is>
          <t>VEGA_MID</t>
        </is>
      </c>
      <c r="GF3" s="9" t="inlineStr">
        <is>
          <t>THETA_MID</t>
        </is>
      </c>
      <c r="GG3" s="9" t="inlineStr">
        <is>
          <t>OPT_UNDL_PX</t>
        </is>
      </c>
      <c r="GI3" s="9" t="inlineStr">
        <is>
          <t>Date</t>
        </is>
      </c>
      <c r="GJ3" s="9" t="inlineStr">
        <is>
          <t>PX_BID</t>
        </is>
      </c>
      <c r="GK3" s="9" t="inlineStr">
        <is>
          <t>PX_ASK</t>
        </is>
      </c>
      <c r="GL3" s="9" t="inlineStr">
        <is>
          <t>PX_MID</t>
        </is>
      </c>
      <c r="GM3" s="9" t="inlineStr">
        <is>
          <t>PX_LAST</t>
        </is>
      </c>
      <c r="GN3" s="9" t="inlineStr">
        <is>
          <t>PX_SETTLE</t>
        </is>
      </c>
      <c r="GO3" s="9" t="inlineStr">
        <is>
          <t>PX_VOLUME</t>
        </is>
      </c>
      <c r="GP3" s="9" t="inlineStr">
        <is>
          <t>OPEN_INT</t>
        </is>
      </c>
      <c r="GQ3" s="9" t="inlineStr">
        <is>
          <t>IVOL_MID</t>
        </is>
      </c>
      <c r="GR3" s="9" t="inlineStr">
        <is>
          <t>IVOL_BID</t>
        </is>
      </c>
      <c r="GS3" s="9" t="inlineStr">
        <is>
          <t>IVOL_ASK</t>
        </is>
      </c>
      <c r="GT3" s="9" t="inlineStr">
        <is>
          <t>DELTA_MID</t>
        </is>
      </c>
      <c r="GU3" s="9" t="inlineStr">
        <is>
          <t>GAMMA_MID</t>
        </is>
      </c>
      <c r="GV3" s="9" t="inlineStr">
        <is>
          <t>VEGA_MID</t>
        </is>
      </c>
      <c r="GW3" s="9" t="inlineStr">
        <is>
          <t>THETA_MID</t>
        </is>
      </c>
      <c r="GX3" s="9" t="inlineStr">
        <is>
          <t>OPT_UNDL_PX</t>
        </is>
      </c>
      <c r="GZ3" s="9" t="inlineStr">
        <is>
          <t>Date</t>
        </is>
      </c>
      <c r="HA3" s="9" t="inlineStr">
        <is>
          <t>PX_BID</t>
        </is>
      </c>
      <c r="HB3" s="9" t="inlineStr">
        <is>
          <t>PX_ASK</t>
        </is>
      </c>
      <c r="HC3" s="9" t="inlineStr">
        <is>
          <t>PX_MID</t>
        </is>
      </c>
      <c r="HD3" s="9" t="inlineStr">
        <is>
          <t>PX_LAST</t>
        </is>
      </c>
      <c r="HE3" s="9" t="inlineStr">
        <is>
          <t>PX_SETTLE</t>
        </is>
      </c>
      <c r="HF3" s="9" t="inlineStr">
        <is>
          <t>PX_VOLUME</t>
        </is>
      </c>
      <c r="HG3" s="9" t="inlineStr">
        <is>
          <t>OPEN_INT</t>
        </is>
      </c>
      <c r="HH3" s="9" t="inlineStr">
        <is>
          <t>IVOL_MID</t>
        </is>
      </c>
      <c r="HI3" s="9" t="inlineStr">
        <is>
          <t>IVOL_BID</t>
        </is>
      </c>
      <c r="HJ3" s="9" t="inlineStr">
        <is>
          <t>IVOL_ASK</t>
        </is>
      </c>
      <c r="HK3" s="9" t="inlineStr">
        <is>
          <t>DELTA_MID</t>
        </is>
      </c>
      <c r="HL3" s="9" t="inlineStr">
        <is>
          <t>GAMMA_MID</t>
        </is>
      </c>
      <c r="HM3" s="9" t="inlineStr">
        <is>
          <t>VEGA_MID</t>
        </is>
      </c>
      <c r="HN3" s="9" t="inlineStr">
        <is>
          <t>THETA_MID</t>
        </is>
      </c>
      <c r="HO3" s="9" t="inlineStr">
        <is>
          <t>OPT_UNDL_PX</t>
        </is>
      </c>
      <c r="HQ3" s="9" t="inlineStr">
        <is>
          <t>Date</t>
        </is>
      </c>
      <c r="HR3" s="9" t="inlineStr">
        <is>
          <t>PX_BID</t>
        </is>
      </c>
      <c r="HS3" s="9" t="inlineStr">
        <is>
          <t>PX_ASK</t>
        </is>
      </c>
      <c r="HT3" s="9" t="inlineStr">
        <is>
          <t>PX_MID</t>
        </is>
      </c>
      <c r="HU3" s="9" t="inlineStr">
        <is>
          <t>PX_LAST</t>
        </is>
      </c>
      <c r="HV3" s="9" t="inlineStr">
        <is>
          <t>PX_SETTLE</t>
        </is>
      </c>
      <c r="HW3" s="9" t="inlineStr">
        <is>
          <t>PX_VOLUME</t>
        </is>
      </c>
      <c r="HX3" s="9" t="inlineStr">
        <is>
          <t>OPEN_INT</t>
        </is>
      </c>
      <c r="HY3" s="9" t="inlineStr">
        <is>
          <t>IVOL_MID</t>
        </is>
      </c>
      <c r="HZ3" s="9" t="inlineStr">
        <is>
          <t>IVOL_BID</t>
        </is>
      </c>
      <c r="IA3" s="9" t="inlineStr">
        <is>
          <t>IVOL_ASK</t>
        </is>
      </c>
      <c r="IB3" s="9" t="inlineStr">
        <is>
          <t>DELTA_MID</t>
        </is>
      </c>
      <c r="IC3" s="9" t="inlineStr">
        <is>
          <t>GAMMA_MID</t>
        </is>
      </c>
      <c r="ID3" s="9" t="inlineStr">
        <is>
          <t>VEGA_MID</t>
        </is>
      </c>
      <c r="IE3" s="9" t="inlineStr">
        <is>
          <t>THETA_MID</t>
        </is>
      </c>
      <c r="IF3" s="9" t="inlineStr">
        <is>
          <t>OPT_UNDL_PX</t>
        </is>
      </c>
      <c r="IH3" s="9" t="inlineStr">
        <is>
          <t>Date</t>
        </is>
      </c>
      <c r="II3" s="9" t="inlineStr">
        <is>
          <t>PX_BID</t>
        </is>
      </c>
      <c r="IJ3" s="9" t="inlineStr">
        <is>
          <t>PX_ASK</t>
        </is>
      </c>
      <c r="IK3" s="9" t="inlineStr">
        <is>
          <t>PX_MID</t>
        </is>
      </c>
      <c r="IL3" s="9" t="inlineStr">
        <is>
          <t>PX_LAST</t>
        </is>
      </c>
      <c r="IM3" s="9" t="inlineStr">
        <is>
          <t>PX_SETTLE</t>
        </is>
      </c>
      <c r="IN3" s="9" t="inlineStr">
        <is>
          <t>PX_VOLUME</t>
        </is>
      </c>
      <c r="IO3" s="9" t="inlineStr">
        <is>
          <t>OPEN_INT</t>
        </is>
      </c>
      <c r="IP3" s="9" t="inlineStr">
        <is>
          <t>IVOL_MID</t>
        </is>
      </c>
      <c r="IQ3" s="9" t="inlineStr">
        <is>
          <t>IVOL_BID</t>
        </is>
      </c>
      <c r="IR3" s="9" t="inlineStr">
        <is>
          <t>IVOL_ASK</t>
        </is>
      </c>
      <c r="IS3" s="9" t="inlineStr">
        <is>
          <t>DELTA_MID</t>
        </is>
      </c>
      <c r="IT3" s="9" t="inlineStr">
        <is>
          <t>GAMMA_MID</t>
        </is>
      </c>
      <c r="IU3" s="9" t="inlineStr">
        <is>
          <t>VEGA_MID</t>
        </is>
      </c>
      <c r="IV3" s="9" t="inlineStr">
        <is>
          <t>THETA_MID</t>
        </is>
      </c>
      <c r="IW3" s="9" t="inlineStr">
        <is>
          <t>OPT_UNDL_PX</t>
        </is>
      </c>
      <c r="IY3" s="9" t="inlineStr">
        <is>
          <t>Date</t>
        </is>
      </c>
      <c r="IZ3" s="9" t="inlineStr">
        <is>
          <t>PX_BID</t>
        </is>
      </c>
      <c r="JA3" s="9" t="inlineStr">
        <is>
          <t>PX_ASK</t>
        </is>
      </c>
      <c r="JB3" s="9" t="inlineStr">
        <is>
          <t>PX_MID</t>
        </is>
      </c>
      <c r="JC3" s="9" t="inlineStr">
        <is>
          <t>PX_LAST</t>
        </is>
      </c>
      <c r="JD3" s="9" t="inlineStr">
        <is>
          <t>PX_SETTLE</t>
        </is>
      </c>
      <c r="JE3" s="9" t="inlineStr">
        <is>
          <t>PX_VOLUME</t>
        </is>
      </c>
      <c r="JF3" s="9" t="inlineStr">
        <is>
          <t>OPEN_INT</t>
        </is>
      </c>
      <c r="JG3" s="9" t="inlineStr">
        <is>
          <t>IVOL_MID</t>
        </is>
      </c>
      <c r="JH3" s="9" t="inlineStr">
        <is>
          <t>IVOL_BID</t>
        </is>
      </c>
      <c r="JI3" s="9" t="inlineStr">
        <is>
          <t>IVOL_ASK</t>
        </is>
      </c>
      <c r="JJ3" s="9" t="inlineStr">
        <is>
          <t>DELTA_MID</t>
        </is>
      </c>
      <c r="JK3" s="9" t="inlineStr">
        <is>
          <t>GAMMA_MID</t>
        </is>
      </c>
      <c r="JL3" s="9" t="inlineStr">
        <is>
          <t>VEGA_MID</t>
        </is>
      </c>
      <c r="JM3" s="9" t="inlineStr">
        <is>
          <t>THETA_MID</t>
        </is>
      </c>
      <c r="JN3" s="9" t="inlineStr">
        <is>
          <t>OPT_UNDL_PX</t>
        </is>
      </c>
      <c r="JP3" s="9" t="inlineStr">
        <is>
          <t>Date</t>
        </is>
      </c>
      <c r="JQ3" s="9" t="inlineStr">
        <is>
          <t>PX_BID</t>
        </is>
      </c>
      <c r="JR3" s="9" t="inlineStr">
        <is>
          <t>PX_ASK</t>
        </is>
      </c>
      <c r="JS3" s="9" t="inlineStr">
        <is>
          <t>PX_MID</t>
        </is>
      </c>
      <c r="JT3" s="9" t="inlineStr">
        <is>
          <t>PX_LAST</t>
        </is>
      </c>
      <c r="JU3" s="9" t="inlineStr">
        <is>
          <t>PX_SETTLE</t>
        </is>
      </c>
      <c r="JV3" s="9" t="inlineStr">
        <is>
          <t>PX_VOLUME</t>
        </is>
      </c>
      <c r="JW3" s="9" t="inlineStr">
        <is>
          <t>OPEN_INT</t>
        </is>
      </c>
      <c r="JX3" s="9" t="inlineStr">
        <is>
          <t>IVOL_MID</t>
        </is>
      </c>
      <c r="JY3" s="9" t="inlineStr">
        <is>
          <t>IVOL_BID</t>
        </is>
      </c>
      <c r="JZ3" s="9" t="inlineStr">
        <is>
          <t>IVOL_ASK</t>
        </is>
      </c>
      <c r="KA3" s="9" t="inlineStr">
        <is>
          <t>DELTA_MID</t>
        </is>
      </c>
      <c r="KB3" s="9" t="inlineStr">
        <is>
          <t>GAMMA_MID</t>
        </is>
      </c>
      <c r="KC3" s="9" t="inlineStr">
        <is>
          <t>VEGA_MID</t>
        </is>
      </c>
      <c r="KD3" s="9" t="inlineStr">
        <is>
          <t>THETA_MID</t>
        </is>
      </c>
      <c r="KE3" s="9" t="inlineStr">
        <is>
          <t>OPT_UNDL_PX</t>
        </is>
      </c>
      <c r="KG3" s="9" t="inlineStr">
        <is>
          <t>Date</t>
        </is>
      </c>
      <c r="KH3" s="9" t="inlineStr">
        <is>
          <t>PX_BID</t>
        </is>
      </c>
      <c r="KI3" s="9" t="inlineStr">
        <is>
          <t>PX_ASK</t>
        </is>
      </c>
      <c r="KJ3" s="9" t="inlineStr">
        <is>
          <t>PX_MID</t>
        </is>
      </c>
      <c r="KK3" s="9" t="inlineStr">
        <is>
          <t>PX_LAST</t>
        </is>
      </c>
      <c r="KL3" s="9" t="inlineStr">
        <is>
          <t>PX_SETTLE</t>
        </is>
      </c>
      <c r="KM3" s="9" t="inlineStr">
        <is>
          <t>PX_VOLUME</t>
        </is>
      </c>
      <c r="KN3" s="9" t="inlineStr">
        <is>
          <t>OPEN_INT</t>
        </is>
      </c>
      <c r="KO3" s="9" t="inlineStr">
        <is>
          <t>IVOL_MID</t>
        </is>
      </c>
      <c r="KP3" s="9" t="inlineStr">
        <is>
          <t>IVOL_BID</t>
        </is>
      </c>
      <c r="KQ3" s="9" t="inlineStr">
        <is>
          <t>IVOL_ASK</t>
        </is>
      </c>
      <c r="KR3" s="9" t="inlineStr">
        <is>
          <t>DELTA_MID</t>
        </is>
      </c>
      <c r="KS3" s="9" t="inlineStr">
        <is>
          <t>GAMMA_MID</t>
        </is>
      </c>
      <c r="KT3" s="9" t="inlineStr">
        <is>
          <t>VEGA_MID</t>
        </is>
      </c>
      <c r="KU3" s="9" t="inlineStr">
        <is>
          <t>THETA_MID</t>
        </is>
      </c>
      <c r="KV3" s="9" t="inlineStr">
        <is>
          <t>OPT_UNDL_PX</t>
        </is>
      </c>
      <c r="KX3" s="9" t="inlineStr">
        <is>
          <t>Date</t>
        </is>
      </c>
      <c r="KY3" s="9" t="inlineStr">
        <is>
          <t>PX_BID</t>
        </is>
      </c>
      <c r="KZ3" s="9" t="inlineStr">
        <is>
          <t>PX_ASK</t>
        </is>
      </c>
      <c r="LA3" s="9" t="inlineStr">
        <is>
          <t>PX_MID</t>
        </is>
      </c>
      <c r="LB3" s="9" t="inlineStr">
        <is>
          <t>PX_LAST</t>
        </is>
      </c>
      <c r="LC3" s="9" t="inlineStr">
        <is>
          <t>PX_SETTLE</t>
        </is>
      </c>
      <c r="LD3" s="9" t="inlineStr">
        <is>
          <t>PX_VOLUME</t>
        </is>
      </c>
      <c r="LE3" s="9" t="inlineStr">
        <is>
          <t>OPEN_INT</t>
        </is>
      </c>
      <c r="LF3" s="9" t="inlineStr">
        <is>
          <t>IVOL_MID</t>
        </is>
      </c>
      <c r="LG3" s="9" t="inlineStr">
        <is>
          <t>IVOL_BID</t>
        </is>
      </c>
      <c r="LH3" s="9" t="inlineStr">
        <is>
          <t>IVOL_ASK</t>
        </is>
      </c>
      <c r="LI3" s="9" t="inlineStr">
        <is>
          <t>DELTA_MID</t>
        </is>
      </c>
      <c r="LJ3" s="9" t="inlineStr">
        <is>
          <t>GAMMA_MID</t>
        </is>
      </c>
      <c r="LK3" s="9" t="inlineStr">
        <is>
          <t>VEGA_MID</t>
        </is>
      </c>
      <c r="LL3" s="9" t="inlineStr">
        <is>
          <t>THETA_MID</t>
        </is>
      </c>
      <c r="LM3" s="9" t="inlineStr">
        <is>
          <t>OPT_UNDL_PX</t>
        </is>
      </c>
      <c r="LO3" s="9" t="inlineStr">
        <is>
          <t>Date</t>
        </is>
      </c>
      <c r="LP3" s="9" t="inlineStr">
        <is>
          <t>PX_BID</t>
        </is>
      </c>
      <c r="LQ3" s="9" t="inlineStr">
        <is>
          <t>PX_ASK</t>
        </is>
      </c>
      <c r="LR3" s="9" t="inlineStr">
        <is>
          <t>PX_MID</t>
        </is>
      </c>
      <c r="LS3" s="9" t="inlineStr">
        <is>
          <t>PX_LAST</t>
        </is>
      </c>
      <c r="LT3" s="9" t="inlineStr">
        <is>
          <t>PX_SETTLE</t>
        </is>
      </c>
      <c r="LU3" s="9" t="inlineStr">
        <is>
          <t>PX_VOLUME</t>
        </is>
      </c>
      <c r="LV3" s="9" t="inlineStr">
        <is>
          <t>OPEN_INT</t>
        </is>
      </c>
      <c r="LW3" s="9" t="inlineStr">
        <is>
          <t>IVOL_MID</t>
        </is>
      </c>
      <c r="LX3" s="9" t="inlineStr">
        <is>
          <t>IVOL_BID</t>
        </is>
      </c>
      <c r="LY3" s="9" t="inlineStr">
        <is>
          <t>IVOL_ASK</t>
        </is>
      </c>
      <c r="LZ3" s="9" t="inlineStr">
        <is>
          <t>DELTA_MID</t>
        </is>
      </c>
      <c r="MA3" s="9" t="inlineStr">
        <is>
          <t>GAMMA_MID</t>
        </is>
      </c>
      <c r="MB3" s="9" t="inlineStr">
        <is>
          <t>VEGA_MID</t>
        </is>
      </c>
      <c r="MC3" s="9" t="inlineStr">
        <is>
          <t>THETA_MID</t>
        </is>
      </c>
      <c r="MD3" s="9" t="inlineStr">
        <is>
          <t>OPT_UNDL_PX</t>
        </is>
      </c>
      <c r="MF3" s="9" t="inlineStr">
        <is>
          <t>Date</t>
        </is>
      </c>
      <c r="MG3" s="9" t="inlineStr">
        <is>
          <t>PX_BID</t>
        </is>
      </c>
      <c r="MH3" s="9" t="inlineStr">
        <is>
          <t>PX_ASK</t>
        </is>
      </c>
      <c r="MI3" s="9" t="inlineStr">
        <is>
          <t>PX_MID</t>
        </is>
      </c>
      <c r="MJ3" s="9" t="inlineStr">
        <is>
          <t>PX_LAST</t>
        </is>
      </c>
      <c r="MK3" s="9" t="inlineStr">
        <is>
          <t>PX_SETTLE</t>
        </is>
      </c>
      <c r="ML3" s="9" t="inlineStr">
        <is>
          <t>PX_VOLUME</t>
        </is>
      </c>
      <c r="MM3" s="9" t="inlineStr">
        <is>
          <t>OPEN_INT</t>
        </is>
      </c>
      <c r="MN3" s="9" t="inlineStr">
        <is>
          <t>IVOL_MID</t>
        </is>
      </c>
      <c r="MO3" s="9" t="inlineStr">
        <is>
          <t>IVOL_BID</t>
        </is>
      </c>
      <c r="MP3" s="9" t="inlineStr">
        <is>
          <t>IVOL_ASK</t>
        </is>
      </c>
      <c r="MQ3" s="9" t="inlineStr">
        <is>
          <t>DELTA_MID</t>
        </is>
      </c>
      <c r="MR3" s="9" t="inlineStr">
        <is>
          <t>GAMMA_MID</t>
        </is>
      </c>
      <c r="MS3" s="9" t="inlineStr">
        <is>
          <t>VEGA_MID</t>
        </is>
      </c>
      <c r="MT3" s="9" t="inlineStr">
        <is>
          <t>THETA_MID</t>
        </is>
      </c>
      <c r="MU3" s="9" t="inlineStr">
        <is>
          <t>OPT_UNDL_PX</t>
        </is>
      </c>
      <c r="MW3" s="9" t="inlineStr">
        <is>
          <t>Date</t>
        </is>
      </c>
      <c r="MX3" s="9" t="inlineStr">
        <is>
          <t>PX_BID</t>
        </is>
      </c>
      <c r="MY3" s="9" t="inlineStr">
        <is>
          <t>PX_ASK</t>
        </is>
      </c>
      <c r="MZ3" s="9" t="inlineStr">
        <is>
          <t>PX_MID</t>
        </is>
      </c>
      <c r="NA3" s="9" t="inlineStr">
        <is>
          <t>PX_LAST</t>
        </is>
      </c>
      <c r="NB3" s="9" t="inlineStr">
        <is>
          <t>PX_SETTLE</t>
        </is>
      </c>
      <c r="NC3" s="9" t="inlineStr">
        <is>
          <t>PX_VOLUME</t>
        </is>
      </c>
      <c r="ND3" s="9" t="inlineStr">
        <is>
          <t>OPEN_INT</t>
        </is>
      </c>
      <c r="NE3" s="9" t="inlineStr">
        <is>
          <t>IVOL_MID</t>
        </is>
      </c>
      <c r="NF3" s="9" t="inlineStr">
        <is>
          <t>IVOL_BID</t>
        </is>
      </c>
      <c r="NG3" s="9" t="inlineStr">
        <is>
          <t>IVOL_ASK</t>
        </is>
      </c>
      <c r="NH3" s="9" t="inlineStr">
        <is>
          <t>DELTA_MID</t>
        </is>
      </c>
      <c r="NI3" s="9" t="inlineStr">
        <is>
          <t>GAMMA_MID</t>
        </is>
      </c>
      <c r="NJ3" s="9" t="inlineStr">
        <is>
          <t>VEGA_MID</t>
        </is>
      </c>
      <c r="NK3" s="9" t="inlineStr">
        <is>
          <t>THETA_MID</t>
        </is>
      </c>
      <c r="NL3" s="9" t="inlineStr">
        <is>
          <t>OPT_UNDL_PX</t>
        </is>
      </c>
      <c r="NN3" s="9" t="inlineStr">
        <is>
          <t>Date</t>
        </is>
      </c>
      <c r="NO3" s="9" t="inlineStr">
        <is>
          <t>PX_BID</t>
        </is>
      </c>
      <c r="NP3" s="9" t="inlineStr">
        <is>
          <t>PX_ASK</t>
        </is>
      </c>
      <c r="NQ3" s="9" t="inlineStr">
        <is>
          <t>PX_MID</t>
        </is>
      </c>
      <c r="NR3" s="9" t="inlineStr">
        <is>
          <t>PX_LAST</t>
        </is>
      </c>
      <c r="NS3" s="9" t="inlineStr">
        <is>
          <t>PX_SETTLE</t>
        </is>
      </c>
      <c r="NT3" s="9" t="inlineStr">
        <is>
          <t>PX_VOLUME</t>
        </is>
      </c>
      <c r="NU3" s="9" t="inlineStr">
        <is>
          <t>OPEN_INT</t>
        </is>
      </c>
      <c r="NV3" s="9" t="inlineStr">
        <is>
          <t>IVOL_MID</t>
        </is>
      </c>
      <c r="NW3" s="9" t="inlineStr">
        <is>
          <t>IVOL_BID</t>
        </is>
      </c>
      <c r="NX3" s="9" t="inlineStr">
        <is>
          <t>IVOL_ASK</t>
        </is>
      </c>
      <c r="NY3" s="9" t="inlineStr">
        <is>
          <t>DELTA_MID</t>
        </is>
      </c>
      <c r="NZ3" s="9" t="inlineStr">
        <is>
          <t>GAMMA_MID</t>
        </is>
      </c>
      <c r="OA3" s="9" t="inlineStr">
        <is>
          <t>VEGA_MID</t>
        </is>
      </c>
      <c r="OB3" s="9" t="inlineStr">
        <is>
          <t>THETA_MID</t>
        </is>
      </c>
      <c r="OC3" s="9" t="inlineStr">
        <is>
          <t>OPT_UNDL_PX</t>
        </is>
      </c>
      <c r="OE3" s="9" t="inlineStr">
        <is>
          <t>Date</t>
        </is>
      </c>
      <c r="OF3" s="9" t="inlineStr">
        <is>
          <t>PX_BID</t>
        </is>
      </c>
      <c r="OG3" s="9" t="inlineStr">
        <is>
          <t>PX_ASK</t>
        </is>
      </c>
      <c r="OH3" s="9" t="inlineStr">
        <is>
          <t>PX_MID</t>
        </is>
      </c>
      <c r="OI3" s="9" t="inlineStr">
        <is>
          <t>PX_LAST</t>
        </is>
      </c>
      <c r="OJ3" s="9" t="inlineStr">
        <is>
          <t>PX_SETTLE</t>
        </is>
      </c>
      <c r="OK3" s="9" t="inlineStr">
        <is>
          <t>PX_VOLUME</t>
        </is>
      </c>
      <c r="OL3" s="9" t="inlineStr">
        <is>
          <t>OPEN_INT</t>
        </is>
      </c>
      <c r="OM3" s="9" t="inlineStr">
        <is>
          <t>IVOL_MID</t>
        </is>
      </c>
      <c r="ON3" s="9" t="inlineStr">
        <is>
          <t>IVOL_BID</t>
        </is>
      </c>
      <c r="OO3" s="9" t="inlineStr">
        <is>
          <t>IVOL_ASK</t>
        </is>
      </c>
      <c r="OP3" s="9" t="inlineStr">
        <is>
          <t>DELTA_MID</t>
        </is>
      </c>
      <c r="OQ3" s="9" t="inlineStr">
        <is>
          <t>GAMMA_MID</t>
        </is>
      </c>
      <c r="OR3" s="9" t="inlineStr">
        <is>
          <t>VEGA_MID</t>
        </is>
      </c>
      <c r="OS3" s="9" t="inlineStr">
        <is>
          <t>THETA_MID</t>
        </is>
      </c>
      <c r="OT3" s="9" t="inlineStr">
        <is>
          <t>OPT_UNDL_PX</t>
        </is>
      </c>
      <c r="OV3" s="9" t="inlineStr">
        <is>
          <t>Date</t>
        </is>
      </c>
      <c r="OW3" s="9" t="inlineStr">
        <is>
          <t>PX_BID</t>
        </is>
      </c>
      <c r="OX3" s="9" t="inlineStr">
        <is>
          <t>PX_ASK</t>
        </is>
      </c>
      <c r="OY3" s="9" t="inlineStr">
        <is>
          <t>PX_MID</t>
        </is>
      </c>
      <c r="OZ3" s="9" t="inlineStr">
        <is>
          <t>PX_LAST</t>
        </is>
      </c>
      <c r="PA3" s="9" t="inlineStr">
        <is>
          <t>PX_SETTLE</t>
        </is>
      </c>
      <c r="PB3" s="9" t="inlineStr">
        <is>
          <t>PX_VOLUME</t>
        </is>
      </c>
      <c r="PC3" s="9" t="inlineStr">
        <is>
          <t>OPEN_INT</t>
        </is>
      </c>
      <c r="PD3" s="9" t="inlineStr">
        <is>
          <t>IVOL_MID</t>
        </is>
      </c>
      <c r="PE3" s="9" t="inlineStr">
        <is>
          <t>IVOL_BID</t>
        </is>
      </c>
      <c r="PF3" s="9" t="inlineStr">
        <is>
          <t>IVOL_ASK</t>
        </is>
      </c>
      <c r="PG3" s="9" t="inlineStr">
        <is>
          <t>DELTA_MID</t>
        </is>
      </c>
      <c r="PH3" s="9" t="inlineStr">
        <is>
          <t>GAMMA_MID</t>
        </is>
      </c>
      <c r="PI3" s="9" t="inlineStr">
        <is>
          <t>VEGA_MID</t>
        </is>
      </c>
      <c r="PJ3" s="9" t="inlineStr">
        <is>
          <t>THETA_MID</t>
        </is>
      </c>
      <c r="PK3" s="9" t="inlineStr">
        <is>
          <t>OPT_UNDL_PX</t>
        </is>
      </c>
      <c r="PM3" s="9" t="inlineStr">
        <is>
          <t>Date</t>
        </is>
      </c>
      <c r="PN3" s="9" t="inlineStr">
        <is>
          <t>PX_BID</t>
        </is>
      </c>
      <c r="PO3" s="9" t="inlineStr">
        <is>
          <t>PX_ASK</t>
        </is>
      </c>
      <c r="PP3" s="9" t="inlineStr">
        <is>
          <t>PX_MID</t>
        </is>
      </c>
      <c r="PQ3" s="9" t="inlineStr">
        <is>
          <t>PX_LAST</t>
        </is>
      </c>
      <c r="PR3" s="9" t="inlineStr">
        <is>
          <t>PX_SETTLE</t>
        </is>
      </c>
      <c r="PS3" s="9" t="inlineStr">
        <is>
          <t>PX_VOLUME</t>
        </is>
      </c>
      <c r="PT3" s="9" t="inlineStr">
        <is>
          <t>OPEN_INT</t>
        </is>
      </c>
      <c r="PU3" s="9" t="inlineStr">
        <is>
          <t>IVOL_MID</t>
        </is>
      </c>
      <c r="PV3" s="9" t="inlineStr">
        <is>
          <t>IVOL_BID</t>
        </is>
      </c>
      <c r="PW3" s="9" t="inlineStr">
        <is>
          <t>IVOL_ASK</t>
        </is>
      </c>
      <c r="PX3" s="9" t="inlineStr">
        <is>
          <t>DELTA_MID</t>
        </is>
      </c>
      <c r="PY3" s="9" t="inlineStr">
        <is>
          <t>GAMMA_MID</t>
        </is>
      </c>
      <c r="PZ3" s="9" t="inlineStr">
        <is>
          <t>VEGA_MID</t>
        </is>
      </c>
      <c r="QA3" s="9" t="inlineStr">
        <is>
          <t>THETA_MID</t>
        </is>
      </c>
      <c r="QB3" s="9" t="inlineStr">
        <is>
          <t>OPT_UNDL_PX</t>
        </is>
      </c>
      <c r="QD3" s="9" t="inlineStr">
        <is>
          <t>Date</t>
        </is>
      </c>
      <c r="QE3" s="9" t="inlineStr">
        <is>
          <t>PX_BID</t>
        </is>
      </c>
      <c r="QF3" s="9" t="inlineStr">
        <is>
          <t>PX_ASK</t>
        </is>
      </c>
      <c r="QG3" s="9" t="inlineStr">
        <is>
          <t>PX_MID</t>
        </is>
      </c>
      <c r="QH3" s="9" t="inlineStr">
        <is>
          <t>PX_LAST</t>
        </is>
      </c>
      <c r="QI3" s="9" t="inlineStr">
        <is>
          <t>PX_SETTLE</t>
        </is>
      </c>
      <c r="QJ3" s="9" t="inlineStr">
        <is>
          <t>PX_VOLUME</t>
        </is>
      </c>
      <c r="QK3" s="9" t="inlineStr">
        <is>
          <t>OPEN_INT</t>
        </is>
      </c>
      <c r="QL3" s="9" t="inlineStr">
        <is>
          <t>IVOL_MID</t>
        </is>
      </c>
      <c r="QM3" s="9" t="inlineStr">
        <is>
          <t>IVOL_BID</t>
        </is>
      </c>
      <c r="QN3" s="9" t="inlineStr">
        <is>
          <t>IVOL_ASK</t>
        </is>
      </c>
      <c r="QO3" s="9" t="inlineStr">
        <is>
          <t>DELTA_MID</t>
        </is>
      </c>
      <c r="QP3" s="9" t="inlineStr">
        <is>
          <t>GAMMA_MID</t>
        </is>
      </c>
      <c r="QQ3" s="9" t="inlineStr">
        <is>
          <t>VEGA_MID</t>
        </is>
      </c>
      <c r="QR3" s="9" t="inlineStr">
        <is>
          <t>THETA_MID</t>
        </is>
      </c>
      <c r="QS3" s="9" t="inlineStr">
        <is>
          <t>OPT_UNDL_PX</t>
        </is>
      </c>
      <c r="QU3" s="9" t="inlineStr">
        <is>
          <t>Date</t>
        </is>
      </c>
      <c r="QV3" s="9" t="inlineStr">
        <is>
          <t>PX_BID</t>
        </is>
      </c>
      <c r="QW3" s="9" t="inlineStr">
        <is>
          <t>PX_ASK</t>
        </is>
      </c>
      <c r="QX3" s="9" t="inlineStr">
        <is>
          <t>PX_MID</t>
        </is>
      </c>
      <c r="QY3" s="9" t="inlineStr">
        <is>
          <t>PX_LAST</t>
        </is>
      </c>
      <c r="QZ3" s="9" t="inlineStr">
        <is>
          <t>PX_SETTLE</t>
        </is>
      </c>
      <c r="RA3" s="9" t="inlineStr">
        <is>
          <t>PX_VOLUME</t>
        </is>
      </c>
      <c r="RB3" s="9" t="inlineStr">
        <is>
          <t>OPEN_INT</t>
        </is>
      </c>
      <c r="RC3" s="9" t="inlineStr">
        <is>
          <t>IVOL_MID</t>
        </is>
      </c>
      <c r="RD3" s="9" t="inlineStr">
        <is>
          <t>IVOL_BID</t>
        </is>
      </c>
      <c r="RE3" s="9" t="inlineStr">
        <is>
          <t>IVOL_ASK</t>
        </is>
      </c>
      <c r="RF3" s="9" t="inlineStr">
        <is>
          <t>DELTA_MID</t>
        </is>
      </c>
      <c r="RG3" s="9" t="inlineStr">
        <is>
          <t>GAMMA_MID</t>
        </is>
      </c>
      <c r="RH3" s="9" t="inlineStr">
        <is>
          <t>VEGA_MID</t>
        </is>
      </c>
      <c r="RI3" s="9" t="inlineStr">
        <is>
          <t>THETA_MID</t>
        </is>
      </c>
      <c r="RJ3" s="9" t="inlineStr">
        <is>
          <t>OPT_UNDL_PX</t>
        </is>
      </c>
      <c r="RL3" s="9" t="inlineStr">
        <is>
          <t>Date</t>
        </is>
      </c>
      <c r="RM3" s="9" t="inlineStr">
        <is>
          <t>PX_BID</t>
        </is>
      </c>
      <c r="RN3" s="9" t="inlineStr">
        <is>
          <t>PX_ASK</t>
        </is>
      </c>
      <c r="RO3" s="9" t="inlineStr">
        <is>
          <t>PX_MID</t>
        </is>
      </c>
      <c r="RP3" s="9" t="inlineStr">
        <is>
          <t>PX_LAST</t>
        </is>
      </c>
      <c r="RQ3" s="9" t="inlineStr">
        <is>
          <t>PX_SETTLE</t>
        </is>
      </c>
      <c r="RR3" s="9" t="inlineStr">
        <is>
          <t>PX_VOLUME</t>
        </is>
      </c>
      <c r="RS3" s="9" t="inlineStr">
        <is>
          <t>OPEN_INT</t>
        </is>
      </c>
      <c r="RT3" s="9" t="inlineStr">
        <is>
          <t>IVOL_MID</t>
        </is>
      </c>
      <c r="RU3" s="9" t="inlineStr">
        <is>
          <t>IVOL_BID</t>
        </is>
      </c>
      <c r="RV3" s="9" t="inlineStr">
        <is>
          <t>IVOL_ASK</t>
        </is>
      </c>
      <c r="RW3" s="9" t="inlineStr">
        <is>
          <t>DELTA_MID</t>
        </is>
      </c>
      <c r="RX3" s="9" t="inlineStr">
        <is>
          <t>GAMMA_MID</t>
        </is>
      </c>
      <c r="RY3" s="9" t="inlineStr">
        <is>
          <t>VEGA_MID</t>
        </is>
      </c>
      <c r="RZ3" s="9" t="inlineStr">
        <is>
          <t>THETA_MID</t>
        </is>
      </c>
      <c r="SA3" s="9" t="inlineStr">
        <is>
          <t>OPT_UNDL_PX</t>
        </is>
      </c>
      <c r="SC3" s="9" t="inlineStr">
        <is>
          <t>Date</t>
        </is>
      </c>
      <c r="SD3" s="9" t="inlineStr">
        <is>
          <t>PX_BID</t>
        </is>
      </c>
      <c r="SE3" s="9" t="inlineStr">
        <is>
          <t>PX_ASK</t>
        </is>
      </c>
      <c r="SF3" s="9" t="inlineStr">
        <is>
          <t>PX_MID</t>
        </is>
      </c>
      <c r="SG3" s="9" t="inlineStr">
        <is>
          <t>PX_LAST</t>
        </is>
      </c>
      <c r="SH3" s="9" t="inlineStr">
        <is>
          <t>PX_SETTLE</t>
        </is>
      </c>
      <c r="SI3" s="9" t="inlineStr">
        <is>
          <t>PX_VOLUME</t>
        </is>
      </c>
      <c r="SJ3" s="9" t="inlineStr">
        <is>
          <t>OPEN_INT</t>
        </is>
      </c>
      <c r="SK3" s="9" t="inlineStr">
        <is>
          <t>IVOL_MID</t>
        </is>
      </c>
      <c r="SL3" s="9" t="inlineStr">
        <is>
          <t>IVOL_BID</t>
        </is>
      </c>
      <c r="SM3" s="9" t="inlineStr">
        <is>
          <t>IVOL_ASK</t>
        </is>
      </c>
      <c r="SN3" s="9" t="inlineStr">
        <is>
          <t>DELTA_MID</t>
        </is>
      </c>
      <c r="SO3" s="9" t="inlineStr">
        <is>
          <t>GAMMA_MID</t>
        </is>
      </c>
      <c r="SP3" s="9" t="inlineStr">
        <is>
          <t>VEGA_MID</t>
        </is>
      </c>
      <c r="SQ3" s="9" t="inlineStr">
        <is>
          <t>THETA_MID</t>
        </is>
      </c>
      <c r="SR3" s="9" t="inlineStr">
        <is>
          <t>OPT_UNDL_PX</t>
        </is>
      </c>
      <c r="ST3" s="9" t="inlineStr">
        <is>
          <t>Date</t>
        </is>
      </c>
      <c r="SU3" s="9" t="inlineStr">
        <is>
          <t>PX_BID</t>
        </is>
      </c>
      <c r="SV3" s="9" t="inlineStr">
        <is>
          <t>PX_ASK</t>
        </is>
      </c>
      <c r="SW3" s="9" t="inlineStr">
        <is>
          <t>PX_MID</t>
        </is>
      </c>
      <c r="SX3" s="9" t="inlineStr">
        <is>
          <t>PX_LAST</t>
        </is>
      </c>
      <c r="SY3" s="9" t="inlineStr">
        <is>
          <t>PX_SETTLE</t>
        </is>
      </c>
      <c r="SZ3" s="9" t="inlineStr">
        <is>
          <t>PX_VOLUME</t>
        </is>
      </c>
      <c r="TA3" s="9" t="inlineStr">
        <is>
          <t>OPEN_INT</t>
        </is>
      </c>
      <c r="TB3" s="9" t="inlineStr">
        <is>
          <t>IVOL_MID</t>
        </is>
      </c>
      <c r="TC3" s="9" t="inlineStr">
        <is>
          <t>IVOL_BID</t>
        </is>
      </c>
      <c r="TD3" s="9" t="inlineStr">
        <is>
          <t>IVOL_ASK</t>
        </is>
      </c>
      <c r="TE3" s="9" t="inlineStr">
        <is>
          <t>DELTA_MID</t>
        </is>
      </c>
      <c r="TF3" s="9" t="inlineStr">
        <is>
          <t>GAMMA_MID</t>
        </is>
      </c>
      <c r="TG3" s="9" t="inlineStr">
        <is>
          <t>VEGA_MID</t>
        </is>
      </c>
      <c r="TH3" s="9" t="inlineStr">
        <is>
          <t>THETA_MID</t>
        </is>
      </c>
      <c r="TI3" s="9" t="inlineStr">
        <is>
          <t>OPT_UNDL_PX</t>
        </is>
      </c>
      <c r="TK3" s="9" t="inlineStr">
        <is>
          <t>Date</t>
        </is>
      </c>
      <c r="TL3" s="9" t="inlineStr">
        <is>
          <t>PX_BID</t>
        </is>
      </c>
      <c r="TM3" s="9" t="inlineStr">
        <is>
          <t>PX_ASK</t>
        </is>
      </c>
      <c r="TN3" s="9" t="inlineStr">
        <is>
          <t>PX_MID</t>
        </is>
      </c>
      <c r="TO3" s="9" t="inlineStr">
        <is>
          <t>PX_LAST</t>
        </is>
      </c>
      <c r="TP3" s="9" t="inlineStr">
        <is>
          <t>PX_SETTLE</t>
        </is>
      </c>
      <c r="TQ3" s="9" t="inlineStr">
        <is>
          <t>PX_VOLUME</t>
        </is>
      </c>
      <c r="TR3" s="9" t="inlineStr">
        <is>
          <t>OPEN_INT</t>
        </is>
      </c>
      <c r="TS3" s="9" t="inlineStr">
        <is>
          <t>IVOL_MID</t>
        </is>
      </c>
      <c r="TT3" s="9" t="inlineStr">
        <is>
          <t>IVOL_BID</t>
        </is>
      </c>
      <c r="TU3" s="9" t="inlineStr">
        <is>
          <t>IVOL_ASK</t>
        </is>
      </c>
      <c r="TV3" s="9" t="inlineStr">
        <is>
          <t>DELTA_MID</t>
        </is>
      </c>
      <c r="TW3" s="9" t="inlineStr">
        <is>
          <t>GAMMA_MID</t>
        </is>
      </c>
      <c r="TX3" s="9" t="inlineStr">
        <is>
          <t>VEGA_MID</t>
        </is>
      </c>
      <c r="TY3" s="9" t="inlineStr">
        <is>
          <t>THETA_MID</t>
        </is>
      </c>
      <c r="TZ3" s="9" t="inlineStr">
        <is>
          <t>OPT_UNDL_PX</t>
        </is>
      </c>
      <c r="UB3" s="9" t="inlineStr">
        <is>
          <t>Date</t>
        </is>
      </c>
      <c r="UC3" s="9" t="inlineStr">
        <is>
          <t>PX_BID</t>
        </is>
      </c>
      <c r="UD3" s="9" t="inlineStr">
        <is>
          <t>PX_ASK</t>
        </is>
      </c>
      <c r="UE3" s="9" t="inlineStr">
        <is>
          <t>PX_MID</t>
        </is>
      </c>
      <c r="UF3" s="9" t="inlineStr">
        <is>
          <t>PX_LAST</t>
        </is>
      </c>
      <c r="UG3" s="9" t="inlineStr">
        <is>
          <t>PX_SETTLE</t>
        </is>
      </c>
      <c r="UH3" s="9" t="inlineStr">
        <is>
          <t>PX_VOLUME</t>
        </is>
      </c>
      <c r="UI3" s="9" t="inlineStr">
        <is>
          <t>OPEN_INT</t>
        </is>
      </c>
      <c r="UJ3" s="9" t="inlineStr">
        <is>
          <t>IVOL_MID</t>
        </is>
      </c>
      <c r="UK3" s="9" t="inlineStr">
        <is>
          <t>IVOL_BID</t>
        </is>
      </c>
      <c r="UL3" s="9" t="inlineStr">
        <is>
          <t>IVOL_ASK</t>
        </is>
      </c>
      <c r="UM3" s="9" t="inlineStr">
        <is>
          <t>DELTA_MID</t>
        </is>
      </c>
      <c r="UN3" s="9" t="inlineStr">
        <is>
          <t>GAMMA_MID</t>
        </is>
      </c>
      <c r="UO3" s="9" t="inlineStr">
        <is>
          <t>VEGA_MID</t>
        </is>
      </c>
      <c r="UP3" s="9" t="inlineStr">
        <is>
          <t>THETA_MID</t>
        </is>
      </c>
      <c r="UQ3" s="9" t="inlineStr">
        <is>
          <t>OPT_UNDL_PX</t>
        </is>
      </c>
      <c r="US3" s="9" t="inlineStr">
        <is>
          <t>Date</t>
        </is>
      </c>
      <c r="UT3" s="9" t="inlineStr">
        <is>
          <t>PX_BID</t>
        </is>
      </c>
      <c r="UU3" s="9" t="inlineStr">
        <is>
          <t>PX_ASK</t>
        </is>
      </c>
      <c r="UV3" s="9" t="inlineStr">
        <is>
          <t>PX_MID</t>
        </is>
      </c>
      <c r="UW3" s="9" t="inlineStr">
        <is>
          <t>PX_LAST</t>
        </is>
      </c>
      <c r="UX3" s="9" t="inlineStr">
        <is>
          <t>PX_SETTLE</t>
        </is>
      </c>
      <c r="UY3" s="9" t="inlineStr">
        <is>
          <t>PX_VOLUME</t>
        </is>
      </c>
      <c r="UZ3" s="9" t="inlineStr">
        <is>
          <t>OPEN_INT</t>
        </is>
      </c>
      <c r="VA3" s="9" t="inlineStr">
        <is>
          <t>IVOL_MID</t>
        </is>
      </c>
      <c r="VB3" s="9" t="inlineStr">
        <is>
          <t>IVOL_BID</t>
        </is>
      </c>
      <c r="VC3" s="9" t="inlineStr">
        <is>
          <t>IVOL_ASK</t>
        </is>
      </c>
      <c r="VD3" s="9" t="inlineStr">
        <is>
          <t>DELTA_MID</t>
        </is>
      </c>
      <c r="VE3" s="9" t="inlineStr">
        <is>
          <t>GAMMA_MID</t>
        </is>
      </c>
      <c r="VF3" s="9" t="inlineStr">
        <is>
          <t>VEGA_MID</t>
        </is>
      </c>
      <c r="VG3" s="9" t="inlineStr">
        <is>
          <t>THETA_MID</t>
        </is>
      </c>
      <c r="VH3" s="9" t="inlineStr">
        <is>
          <t>OPT_UNDL_PX</t>
        </is>
      </c>
    </row>
    <row r="4">
      <c r="A4" s="2" t="inlineStr">
        <is>
          <t>Year in ticker</t>
        </is>
      </c>
      <c r="B4" s="4">
        <f>IF(B2&lt;Settings!$B$5,TEXT(MOD(Settings!$B$3,100),"00"),TEXT(MOD(Settings!$B$3,10),"0"))</f>
        <v/>
      </c>
      <c r="D4" s="4">
        <f>BDH(D$1,E$3:S$3,$B$9,$B$10,"Dir=V","Dts=S","Sort=A","Days=T","Fill=B")</f>
        <v/>
      </c>
      <c r="U4" s="4">
        <f>BDH(U$1,V$3:AJ$3,$B$9,$B$10,"Dir=V","Dts=S","Sort=A","Days=T","Fill=B")</f>
        <v/>
      </c>
      <c r="AL4" s="4">
        <f>BDH(AL$1,AM$3:BA$3,$B$9,$B$10,"Dir=V","Dts=S","Sort=A","Days=T","Fill=B")</f>
        <v/>
      </c>
      <c r="BC4" s="4">
        <f>BDH(BC$1,BD$3:BR$3,$B$9,$B$10,"Dir=V","Dts=S","Sort=A","Days=T","Fill=B")</f>
        <v/>
      </c>
      <c r="BT4" s="4">
        <f>BDH(BT$1,BU$3:CI$3,$B$9,$B$10,"Dir=V","Dts=S","Sort=A","Days=T","Fill=B")</f>
        <v/>
      </c>
      <c r="CK4" s="4">
        <f>BDH(CK$1,CL$3:CZ$3,$B$9,$B$10,"Dir=V","Dts=S","Sort=A","Days=T","Fill=B")</f>
        <v/>
      </c>
      <c r="DB4" s="4">
        <f>BDH(DB$1,DC$3:DQ$3,$B$9,$B$10,"Dir=V","Dts=S","Sort=A","Days=T","Fill=B")</f>
        <v/>
      </c>
      <c r="DS4" s="4">
        <f>BDH(DS$1,DT$3:EH$3,$B$9,$B$10,"Dir=V","Dts=S","Sort=A","Days=T","Fill=B")</f>
        <v/>
      </c>
      <c r="EJ4" s="4">
        <f>BDH(EJ$1,EK$3:EY$3,$B$9,$B$10,"Dir=V","Dts=S","Sort=A","Days=T","Fill=B")</f>
        <v/>
      </c>
      <c r="FA4" s="4">
        <f>BDH(FA$1,FB$3:FP$3,$B$9,$B$10,"Dir=V","Dts=S","Sort=A","Days=T","Fill=B")</f>
        <v/>
      </c>
      <c r="FR4" s="4">
        <f>BDH(FR$1,FS$3:GG$3,$B$9,$B$10,"Dir=V","Dts=S","Sort=A","Days=T","Fill=B")</f>
        <v/>
      </c>
      <c r="GI4" s="4">
        <f>BDH(GI$1,GJ$3:GX$3,$B$9,$B$10,"Dir=V","Dts=S","Sort=A","Days=T","Fill=B")</f>
        <v/>
      </c>
      <c r="GZ4" s="4">
        <f>BDH(GZ$1,HA$3:HO$3,$B$9,$B$10,"Dir=V","Dts=S","Sort=A","Days=T","Fill=B")</f>
        <v/>
      </c>
      <c r="HQ4" s="4">
        <f>BDH(HQ$1,HR$3:IF$3,$B$9,$B$10,"Dir=V","Dts=S","Sort=A","Days=T","Fill=B")</f>
        <v/>
      </c>
      <c r="IH4" s="4">
        <f>BDH(IH$1,II$3:IW$3,$B$9,$B$10,"Dir=V","Dts=S","Sort=A","Days=T","Fill=B")</f>
        <v/>
      </c>
      <c r="IY4" s="4">
        <f>BDH(IY$1,IZ$3:JN$3,$B$9,$B$10,"Dir=V","Dts=S","Sort=A","Days=T","Fill=B")</f>
        <v/>
      </c>
      <c r="JP4" s="4">
        <f>BDH(JP$1,JQ$3:KE$3,$B$9,$B$10,"Dir=V","Dts=S","Sort=A","Days=T","Fill=B")</f>
        <v/>
      </c>
      <c r="KG4" s="4">
        <f>BDH(KG$1,KH$3:KV$3,$B$9,$B$10,"Dir=V","Dts=S","Sort=A","Days=T","Fill=B")</f>
        <v/>
      </c>
      <c r="KX4" s="4">
        <f>BDH(KX$1,KY$3:LM$3,$B$9,$B$10,"Dir=V","Dts=S","Sort=A","Days=T","Fill=B")</f>
        <v/>
      </c>
      <c r="LO4" s="4">
        <f>BDH(LO$1,LP$3:MD$3,$B$9,$B$10,"Dir=V","Dts=S","Sort=A","Days=T","Fill=B")</f>
        <v/>
      </c>
      <c r="MF4" s="4">
        <f>BDH(MF$1,MG$3:MU$3,$B$9,$B$10,"Dir=V","Dts=S","Sort=A","Days=T","Fill=B")</f>
        <v/>
      </c>
      <c r="MW4" s="4">
        <f>BDH(MW$1,MX$3:NL$3,$B$9,$B$10,"Dir=V","Dts=S","Sort=A","Days=T","Fill=B")</f>
        <v/>
      </c>
      <c r="NN4" s="4">
        <f>BDH(NN$1,NO$3:OC$3,$B$9,$B$10,"Dir=V","Dts=S","Sort=A","Days=T","Fill=B")</f>
        <v/>
      </c>
      <c r="OE4" s="4">
        <f>BDH(OE$1,OF$3:OT$3,$B$9,$B$10,"Dir=V","Dts=S","Sort=A","Days=T","Fill=B")</f>
        <v/>
      </c>
      <c r="OV4" s="4">
        <f>BDH(OV$1,OW$3:PK$3,$B$9,$B$10,"Dir=V","Dts=S","Sort=A","Days=T","Fill=B")</f>
        <v/>
      </c>
      <c r="PM4" s="4">
        <f>BDH(PM$1,PN$3:QB$3,$B$9,$B$10,"Dir=V","Dts=S","Sort=A","Days=T","Fill=B")</f>
        <v/>
      </c>
      <c r="QD4" s="4">
        <f>BDH(QD$1,QE$3:QS$3,$B$9,$B$10,"Dir=V","Dts=S","Sort=A","Days=T","Fill=B")</f>
        <v/>
      </c>
      <c r="QU4" s="4">
        <f>BDH(QU$1,QV$3:RJ$3,$B$9,$B$10,"Dir=V","Dts=S","Sort=A","Days=T","Fill=B")</f>
        <v/>
      </c>
      <c r="RL4" s="4">
        <f>BDH(RL$1,RM$3:SA$3,$B$9,$B$10,"Dir=V","Dts=S","Sort=A","Days=T","Fill=B")</f>
        <v/>
      </c>
      <c r="SC4" s="4">
        <f>BDH(SC$1,SD$3:SR$3,$B$9,$B$10,"Dir=V","Dts=S","Sort=A","Days=T","Fill=B")</f>
        <v/>
      </c>
      <c r="ST4" s="4">
        <f>BDH(ST$1,SU$3:TI$3,$B$9,$B$10,"Dir=V","Dts=S","Sort=A","Days=T","Fill=B")</f>
        <v/>
      </c>
      <c r="TK4" s="4">
        <f>BDH(TK$1,TL$3:TZ$3,$B$9,$B$10,"Dir=V","Dts=S","Sort=A","Days=T","Fill=B")</f>
        <v/>
      </c>
      <c r="UB4" s="4">
        <f>BDH(UB$1,UC$3:UQ$3,$B$9,$B$10,"Dir=V","Dts=S","Sort=A","Days=T","Fill=B")</f>
        <v/>
      </c>
      <c r="US4" s="4">
        <f>BDH(US$1,UT$3:VH$3,$B$9,$B$10,"Dir=V","Dts=S","Sort=A","Days=T","Fill=B")</f>
        <v/>
      </c>
    </row>
    <row r="5">
      <c r="A5" s="2" t="inlineStr">
        <is>
          <t>Futures ticker</t>
        </is>
      </c>
      <c r="B5" s="4">
        <f>"CL"&amp;MID("FGHJKMNQUVXZ",B1,1)&amp;B4&amp;" Comdty"</f>
        <v/>
      </c>
    </row>
    <row r="6">
      <c r="A6" s="2" t="inlineStr">
        <is>
          <t>Strike reference date</t>
        </is>
      </c>
      <c r="B6" s="8">
        <f>B3-45</f>
        <v/>
      </c>
    </row>
    <row r="7">
      <c r="A7" s="2" t="inlineStr">
        <is>
          <t>Futures price on that date</t>
        </is>
      </c>
      <c r="B7" s="10">
        <f>BDH(B5,"PX_LAST",B6,B6,"Days=A","Fill=P","Dts=H")</f>
        <v/>
      </c>
    </row>
    <row r="8">
      <c r="A8" s="2" t="inlineStr">
        <is>
          <t>ATM strike</t>
        </is>
      </c>
      <c r="B8" s="7">
        <f>ROUND(B7,0)</f>
        <v/>
      </c>
    </row>
    <row r="9">
      <c r="A9" s="2" t="inlineStr">
        <is>
          <t>History start</t>
        </is>
      </c>
      <c r="B9" s="8">
        <f>B3-100</f>
        <v/>
      </c>
    </row>
    <row r="10">
      <c r="A10" s="2" t="inlineStr">
        <is>
          <t>History end</t>
        </is>
      </c>
      <c r="B10" s="8">
        <f>B3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H1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  <col width="12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1" customWidth="1" min="383" max="383"/>
    <col width="11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1" customWidth="1" min="389" max="389"/>
    <col width="11" customWidth="1" min="390" max="390"/>
    <col width="10" customWidth="1" min="391" max="391"/>
    <col width="11" customWidth="1" min="392" max="392"/>
    <col width="13" customWidth="1" min="393" max="393"/>
    <col width="12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1" customWidth="1" min="400" max="400"/>
    <col width="11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1" customWidth="1" min="406" max="406"/>
    <col width="11" customWidth="1" min="407" max="407"/>
    <col width="10" customWidth="1" min="408" max="408"/>
    <col width="11" customWidth="1" min="409" max="409"/>
    <col width="13" customWidth="1" min="410" max="410"/>
    <col width="12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1" customWidth="1" min="417" max="417"/>
    <col width="11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1" customWidth="1" min="423" max="423"/>
    <col width="11" customWidth="1" min="424" max="424"/>
    <col width="10" customWidth="1" min="425" max="425"/>
    <col width="11" customWidth="1" min="426" max="426"/>
    <col width="13" customWidth="1" min="427" max="427"/>
    <col width="12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1" customWidth="1" min="434" max="434"/>
    <col width="11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1" customWidth="1" min="440" max="440"/>
    <col width="11" customWidth="1" min="441" max="441"/>
    <col width="10" customWidth="1" min="442" max="442"/>
    <col width="11" customWidth="1" min="443" max="443"/>
    <col width="13" customWidth="1" min="444" max="444"/>
    <col width="12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1" customWidth="1" min="451" max="451"/>
    <col width="11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1" customWidth="1" min="457" max="457"/>
    <col width="11" customWidth="1" min="458" max="458"/>
    <col width="10" customWidth="1" min="459" max="459"/>
    <col width="11" customWidth="1" min="460" max="460"/>
    <col width="13" customWidth="1" min="461" max="461"/>
    <col width="12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1" customWidth="1" min="468" max="468"/>
    <col width="11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1" customWidth="1" min="474" max="474"/>
    <col width="11" customWidth="1" min="475" max="475"/>
    <col width="10" customWidth="1" min="476" max="476"/>
    <col width="11" customWidth="1" min="477" max="477"/>
    <col width="13" customWidth="1" min="478" max="478"/>
    <col width="12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1" customWidth="1" min="485" max="485"/>
    <col width="11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1" customWidth="1" min="491" max="491"/>
    <col width="11" customWidth="1" min="492" max="492"/>
    <col width="10" customWidth="1" min="493" max="493"/>
    <col width="11" customWidth="1" min="494" max="494"/>
    <col width="13" customWidth="1" min="495" max="495"/>
    <col width="12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1" customWidth="1" min="502" max="502"/>
    <col width="11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1" customWidth="1" min="508" max="508"/>
    <col width="11" customWidth="1" min="509" max="509"/>
    <col width="10" customWidth="1" min="510" max="510"/>
    <col width="11" customWidth="1" min="511" max="511"/>
    <col width="13" customWidth="1" min="512" max="512"/>
    <col width="12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1" customWidth="1" min="519" max="519"/>
    <col width="11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1" customWidth="1" min="525" max="525"/>
    <col width="11" customWidth="1" min="526" max="526"/>
    <col width="10" customWidth="1" min="527" max="527"/>
    <col width="11" customWidth="1" min="528" max="528"/>
    <col width="13" customWidth="1" min="529" max="529"/>
    <col width="12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1" customWidth="1" min="536" max="536"/>
    <col width="11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1" customWidth="1" min="542" max="542"/>
    <col width="11" customWidth="1" min="543" max="543"/>
    <col width="10" customWidth="1" min="544" max="544"/>
    <col width="11" customWidth="1" min="545" max="545"/>
    <col width="13" customWidth="1" min="546" max="546"/>
    <col width="12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1" customWidth="1" min="553" max="553"/>
    <col width="11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1" customWidth="1" min="559" max="559"/>
    <col width="11" customWidth="1" min="560" max="560"/>
    <col width="10" customWidth="1" min="561" max="561"/>
    <col width="11" customWidth="1" min="562" max="562"/>
    <col width="13" customWidth="1" min="563" max="563"/>
    <col width="12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1" customWidth="1" min="570" max="570"/>
    <col width="11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1" customWidth="1" min="576" max="576"/>
    <col width="11" customWidth="1" min="577" max="577"/>
    <col width="10" customWidth="1" min="578" max="578"/>
    <col width="11" customWidth="1" min="579" max="579"/>
    <col width="13" customWidth="1" min="580" max="580"/>
  </cols>
  <sheetData>
    <row r="1">
      <c r="A1" s="2" t="inlineStr">
        <is>
          <t>Contract month</t>
        </is>
      </c>
      <c r="B1" s="7" t="n">
        <v>9</v>
      </c>
      <c r="D1" s="4">
        <f>"CL"&amp;MID("FGHJKMNQUVXZ",B$1,1)&amp;B$4&amp;"C "&amp;IF(Settings!$B$4=2,TEXT((B$8-8),"0.00"),(B$8-8))&amp;" Comdty"</f>
        <v/>
      </c>
      <c r="U1" s="4">
        <f>"CL"&amp;MID("FGHJKMNQUVXZ",B$1,1)&amp;B$4&amp;"P "&amp;IF(Settings!$B$4=2,TEXT((B$8-8),"0.00"),(B$8-8))&amp;" Comdty"</f>
        <v/>
      </c>
      <c r="AL1" s="4">
        <f>"CL"&amp;MID("FGHJKMNQUVXZ",B$1,1)&amp;B$4&amp;"C "&amp;IF(Settings!$B$4=2,TEXT((B$8-7),"0.00"),(B$8-7))&amp;" Comdty"</f>
        <v/>
      </c>
      <c r="BC1" s="4">
        <f>"CL"&amp;MID("FGHJKMNQUVXZ",B$1,1)&amp;B$4&amp;"P "&amp;IF(Settings!$B$4=2,TEXT((B$8-7),"0.00"),(B$8-7))&amp;" Comdty"</f>
        <v/>
      </c>
      <c r="BT1" s="4">
        <f>"CL"&amp;MID("FGHJKMNQUVXZ",B$1,1)&amp;B$4&amp;"C "&amp;IF(Settings!$B$4=2,TEXT((B$8-6),"0.00"),(B$8-6))&amp;" Comdty"</f>
        <v/>
      </c>
      <c r="CK1" s="4">
        <f>"CL"&amp;MID("FGHJKMNQUVXZ",B$1,1)&amp;B$4&amp;"P "&amp;IF(Settings!$B$4=2,TEXT((B$8-6),"0.00"),(B$8-6))&amp;" Comdty"</f>
        <v/>
      </c>
      <c r="DB1" s="4">
        <f>"CL"&amp;MID("FGHJKMNQUVXZ",B$1,1)&amp;B$4&amp;"C "&amp;IF(Settings!$B$4=2,TEXT((B$8-5),"0.00"),(B$8-5))&amp;" Comdty"</f>
        <v/>
      </c>
      <c r="DS1" s="4">
        <f>"CL"&amp;MID("FGHJKMNQUVXZ",B$1,1)&amp;B$4&amp;"P "&amp;IF(Settings!$B$4=2,TEXT((B$8-5),"0.00"),(B$8-5))&amp;" Comdty"</f>
        <v/>
      </c>
      <c r="EJ1" s="4">
        <f>"CL"&amp;MID("FGHJKMNQUVXZ",B$1,1)&amp;B$4&amp;"C "&amp;IF(Settings!$B$4=2,TEXT((B$8-4),"0.00"),(B$8-4))&amp;" Comdty"</f>
        <v/>
      </c>
      <c r="FA1" s="4">
        <f>"CL"&amp;MID("FGHJKMNQUVXZ",B$1,1)&amp;B$4&amp;"P "&amp;IF(Settings!$B$4=2,TEXT((B$8-4),"0.00"),(B$8-4))&amp;" Comdty"</f>
        <v/>
      </c>
      <c r="FR1" s="4">
        <f>"CL"&amp;MID("FGHJKMNQUVXZ",B$1,1)&amp;B$4&amp;"C "&amp;IF(Settings!$B$4=2,TEXT((B$8-3),"0.00"),(B$8-3))&amp;" Comdty"</f>
        <v/>
      </c>
      <c r="GI1" s="4">
        <f>"CL"&amp;MID("FGHJKMNQUVXZ",B$1,1)&amp;B$4&amp;"P "&amp;IF(Settings!$B$4=2,TEXT((B$8-3),"0.00"),(B$8-3))&amp;" Comdty"</f>
        <v/>
      </c>
      <c r="GZ1" s="4">
        <f>"CL"&amp;MID("FGHJKMNQUVXZ",B$1,1)&amp;B$4&amp;"C "&amp;IF(Settings!$B$4=2,TEXT((B$8-2),"0.00"),(B$8-2))&amp;" Comdty"</f>
        <v/>
      </c>
      <c r="HQ1" s="4">
        <f>"CL"&amp;MID("FGHJKMNQUVXZ",B$1,1)&amp;B$4&amp;"P "&amp;IF(Settings!$B$4=2,TEXT((B$8-2),"0.00"),(B$8-2))&amp;" Comdty"</f>
        <v/>
      </c>
      <c r="IH1" s="4">
        <f>"CL"&amp;MID("FGHJKMNQUVXZ",B$1,1)&amp;B$4&amp;"C "&amp;IF(Settings!$B$4=2,TEXT((B$8-1),"0.00"),(B$8-1))&amp;" Comdty"</f>
        <v/>
      </c>
      <c r="IY1" s="4">
        <f>"CL"&amp;MID("FGHJKMNQUVXZ",B$1,1)&amp;B$4&amp;"P "&amp;IF(Settings!$B$4=2,TEXT((B$8-1),"0.00"),(B$8-1))&amp;" Comdty"</f>
        <v/>
      </c>
      <c r="JP1" s="4">
        <f>"CL"&amp;MID("FGHJKMNQUVXZ",B$1,1)&amp;B$4&amp;"C "&amp;IF(Settings!$B$4=2,TEXT(B$8,"0.00"),B$8)&amp;" Comdty"</f>
        <v/>
      </c>
      <c r="KG1" s="4">
        <f>"CL"&amp;MID("FGHJKMNQUVXZ",B$1,1)&amp;B$4&amp;"P "&amp;IF(Settings!$B$4=2,TEXT(B$8,"0.00"),B$8)&amp;" Comdty"</f>
        <v/>
      </c>
      <c r="KX1" s="4">
        <f>"CL"&amp;MID("FGHJKMNQUVXZ",B$1,1)&amp;B$4&amp;"C "&amp;IF(Settings!$B$4=2,TEXT((B$8+1),"0.00"),(B$8+1))&amp;" Comdty"</f>
        <v/>
      </c>
      <c r="LO1" s="4">
        <f>"CL"&amp;MID("FGHJKMNQUVXZ",B$1,1)&amp;B$4&amp;"P "&amp;IF(Settings!$B$4=2,TEXT((B$8+1),"0.00"),(B$8+1))&amp;" Comdty"</f>
        <v/>
      </c>
      <c r="MF1" s="4">
        <f>"CL"&amp;MID("FGHJKMNQUVXZ",B$1,1)&amp;B$4&amp;"C "&amp;IF(Settings!$B$4=2,TEXT((B$8+2),"0.00"),(B$8+2))&amp;" Comdty"</f>
        <v/>
      </c>
      <c r="MW1" s="4">
        <f>"CL"&amp;MID("FGHJKMNQUVXZ",B$1,1)&amp;B$4&amp;"P "&amp;IF(Settings!$B$4=2,TEXT((B$8+2),"0.00"),(B$8+2))&amp;" Comdty"</f>
        <v/>
      </c>
      <c r="NN1" s="4">
        <f>"CL"&amp;MID("FGHJKMNQUVXZ",B$1,1)&amp;B$4&amp;"C "&amp;IF(Settings!$B$4=2,TEXT((B$8+3),"0.00"),(B$8+3))&amp;" Comdty"</f>
        <v/>
      </c>
      <c r="OE1" s="4">
        <f>"CL"&amp;MID("FGHJKMNQUVXZ",B$1,1)&amp;B$4&amp;"P "&amp;IF(Settings!$B$4=2,TEXT((B$8+3),"0.00"),(B$8+3))&amp;" Comdty"</f>
        <v/>
      </c>
      <c r="OV1" s="4">
        <f>"CL"&amp;MID("FGHJKMNQUVXZ",B$1,1)&amp;B$4&amp;"C "&amp;IF(Settings!$B$4=2,TEXT((B$8+4),"0.00"),(B$8+4))&amp;" Comdty"</f>
        <v/>
      </c>
      <c r="PM1" s="4">
        <f>"CL"&amp;MID("FGHJKMNQUVXZ",B$1,1)&amp;B$4&amp;"P "&amp;IF(Settings!$B$4=2,TEXT((B$8+4),"0.00"),(B$8+4))&amp;" Comdty"</f>
        <v/>
      </c>
      <c r="QD1" s="4">
        <f>"CL"&amp;MID("FGHJKMNQUVXZ",B$1,1)&amp;B$4&amp;"C "&amp;IF(Settings!$B$4=2,TEXT((B$8+5),"0.00"),(B$8+5))&amp;" Comdty"</f>
        <v/>
      </c>
      <c r="QU1" s="4">
        <f>"CL"&amp;MID("FGHJKMNQUVXZ",B$1,1)&amp;B$4&amp;"P "&amp;IF(Settings!$B$4=2,TEXT((B$8+5),"0.00"),(B$8+5))&amp;" Comdty"</f>
        <v/>
      </c>
      <c r="RL1" s="4">
        <f>"CL"&amp;MID("FGHJKMNQUVXZ",B$1,1)&amp;B$4&amp;"C "&amp;IF(Settings!$B$4=2,TEXT((B$8+6),"0.00"),(B$8+6))&amp;" Comdty"</f>
        <v/>
      </c>
      <c r="SC1" s="4">
        <f>"CL"&amp;MID("FGHJKMNQUVXZ",B$1,1)&amp;B$4&amp;"P "&amp;IF(Settings!$B$4=2,TEXT((B$8+6),"0.00"),(B$8+6))&amp;" Comdty"</f>
        <v/>
      </c>
      <c r="ST1" s="4">
        <f>"CL"&amp;MID("FGHJKMNQUVXZ",B$1,1)&amp;B$4&amp;"C "&amp;IF(Settings!$B$4=2,TEXT((B$8+7),"0.00"),(B$8+7))&amp;" Comdty"</f>
        <v/>
      </c>
      <c r="TK1" s="4">
        <f>"CL"&amp;MID("FGHJKMNQUVXZ",B$1,1)&amp;B$4&amp;"P "&amp;IF(Settings!$B$4=2,TEXT((B$8+7),"0.00"),(B$8+7))&amp;" Comdty"</f>
        <v/>
      </c>
      <c r="UB1" s="4">
        <f>"CL"&amp;MID("FGHJKMNQUVXZ",B$1,1)&amp;B$4&amp;"C "&amp;IF(Settings!$B$4=2,TEXT((B$8+8),"0.00"),(B$8+8))&amp;" Comdty"</f>
        <v/>
      </c>
      <c r="US1" s="4">
        <f>"CL"&amp;MID("FGHJKMNQUVXZ",B$1,1)&amp;B$4&amp;"P "&amp;IF(Settings!$B$4=2,TEXT((B$8+8),"0.00"),(B$8+8))&amp;" Comdty"</f>
        <v/>
      </c>
    </row>
    <row r="2">
      <c r="A2" s="2" t="inlineStr">
        <is>
          <t>Futures last trade</t>
        </is>
      </c>
      <c r="B2" s="8">
        <f>WORKDAY(DATE(Settings!$B$3,B1-1,25),-3)</f>
        <v/>
      </c>
      <c r="D2" s="4" t="inlineStr">
        <is>
          <t>call -8 from ATM</t>
        </is>
      </c>
      <c r="U2" s="4" t="inlineStr">
        <is>
          <t>put -8 from ATM</t>
        </is>
      </c>
      <c r="AL2" s="4" t="inlineStr">
        <is>
          <t>call -7 from ATM</t>
        </is>
      </c>
      <c r="BC2" s="4" t="inlineStr">
        <is>
          <t>put -7 from ATM</t>
        </is>
      </c>
      <c r="BT2" s="4" t="inlineStr">
        <is>
          <t>call -6 from ATM</t>
        </is>
      </c>
      <c r="CK2" s="4" t="inlineStr">
        <is>
          <t>put -6 from ATM</t>
        </is>
      </c>
      <c r="DB2" s="4" t="inlineStr">
        <is>
          <t>call -5 from ATM</t>
        </is>
      </c>
      <c r="DS2" s="4" t="inlineStr">
        <is>
          <t>put -5 from ATM</t>
        </is>
      </c>
      <c r="EJ2" s="4" t="inlineStr">
        <is>
          <t>call -4 from ATM</t>
        </is>
      </c>
      <c r="FA2" s="4" t="inlineStr">
        <is>
          <t>put -4 from ATM</t>
        </is>
      </c>
      <c r="FR2" s="4" t="inlineStr">
        <is>
          <t>call -3 from ATM</t>
        </is>
      </c>
      <c r="GI2" s="4" t="inlineStr">
        <is>
          <t>put -3 from ATM</t>
        </is>
      </c>
      <c r="GZ2" s="4" t="inlineStr">
        <is>
          <t>call -2 from ATM</t>
        </is>
      </c>
      <c r="HQ2" s="4" t="inlineStr">
        <is>
          <t>put -2 from ATM</t>
        </is>
      </c>
      <c r="IH2" s="4" t="inlineStr">
        <is>
          <t>call -1 from ATM</t>
        </is>
      </c>
      <c r="IY2" s="4" t="inlineStr">
        <is>
          <t>put -1 from ATM</t>
        </is>
      </c>
      <c r="JP2" s="4" t="inlineStr">
        <is>
          <t>call +0 from ATM</t>
        </is>
      </c>
      <c r="KG2" s="4" t="inlineStr">
        <is>
          <t>put +0 from ATM</t>
        </is>
      </c>
      <c r="KX2" s="4" t="inlineStr">
        <is>
          <t>call +1 from ATM</t>
        </is>
      </c>
      <c r="LO2" s="4" t="inlineStr">
        <is>
          <t>put +1 from ATM</t>
        </is>
      </c>
      <c r="MF2" s="4" t="inlineStr">
        <is>
          <t>call +2 from ATM</t>
        </is>
      </c>
      <c r="MW2" s="4" t="inlineStr">
        <is>
          <t>put +2 from ATM</t>
        </is>
      </c>
      <c r="NN2" s="4" t="inlineStr">
        <is>
          <t>call +3 from ATM</t>
        </is>
      </c>
      <c r="OE2" s="4" t="inlineStr">
        <is>
          <t>put +3 from ATM</t>
        </is>
      </c>
      <c r="OV2" s="4" t="inlineStr">
        <is>
          <t>call +4 from ATM</t>
        </is>
      </c>
      <c r="PM2" s="4" t="inlineStr">
        <is>
          <t>put +4 from ATM</t>
        </is>
      </c>
      <c r="QD2" s="4" t="inlineStr">
        <is>
          <t>call +5 from ATM</t>
        </is>
      </c>
      <c r="QU2" s="4" t="inlineStr">
        <is>
          <t>put +5 from ATM</t>
        </is>
      </c>
      <c r="RL2" s="4" t="inlineStr">
        <is>
          <t>call +6 from ATM</t>
        </is>
      </c>
      <c r="SC2" s="4" t="inlineStr">
        <is>
          <t>put +6 from ATM</t>
        </is>
      </c>
      <c r="ST2" s="4" t="inlineStr">
        <is>
          <t>call +7 from ATM</t>
        </is>
      </c>
      <c r="TK2" s="4" t="inlineStr">
        <is>
          <t>put +7 from ATM</t>
        </is>
      </c>
      <c r="UB2" s="4" t="inlineStr">
        <is>
          <t>call +8 from ATM</t>
        </is>
      </c>
      <c r="US2" s="4" t="inlineStr">
        <is>
          <t>put +8 from ATM</t>
        </is>
      </c>
    </row>
    <row r="3">
      <c r="A3" s="2" t="inlineStr">
        <is>
          <t>Option expiry (approx)</t>
        </is>
      </c>
      <c r="B3" s="8">
        <f>WORKDAY(B2,-1)</f>
        <v/>
      </c>
      <c r="D3" s="9" t="inlineStr">
        <is>
          <t>Date</t>
        </is>
      </c>
      <c r="E3" s="9" t="inlineStr">
        <is>
          <t>PX_BID</t>
        </is>
      </c>
      <c r="F3" s="9" t="inlineStr">
        <is>
          <t>PX_ASK</t>
        </is>
      </c>
      <c r="G3" s="9" t="inlineStr">
        <is>
          <t>PX_MID</t>
        </is>
      </c>
      <c r="H3" s="9" t="inlineStr">
        <is>
          <t>PX_LAST</t>
        </is>
      </c>
      <c r="I3" s="9" t="inlineStr">
        <is>
          <t>PX_SETTLE</t>
        </is>
      </c>
      <c r="J3" s="9" t="inlineStr">
        <is>
          <t>PX_VOLUME</t>
        </is>
      </c>
      <c r="K3" s="9" t="inlineStr">
        <is>
          <t>OPEN_INT</t>
        </is>
      </c>
      <c r="L3" s="9" t="inlineStr">
        <is>
          <t>IVOL_MID</t>
        </is>
      </c>
      <c r="M3" s="9" t="inlineStr">
        <is>
          <t>IVOL_BID</t>
        </is>
      </c>
      <c r="N3" s="9" t="inlineStr">
        <is>
          <t>IVOL_ASK</t>
        </is>
      </c>
      <c r="O3" s="9" t="inlineStr">
        <is>
          <t>DELTA_MID</t>
        </is>
      </c>
      <c r="P3" s="9" t="inlineStr">
        <is>
          <t>GAMMA_MID</t>
        </is>
      </c>
      <c r="Q3" s="9" t="inlineStr">
        <is>
          <t>VEGA_MID</t>
        </is>
      </c>
      <c r="R3" s="9" t="inlineStr">
        <is>
          <t>THETA_MID</t>
        </is>
      </c>
      <c r="S3" s="9" t="inlineStr">
        <is>
          <t>OPT_UNDL_PX</t>
        </is>
      </c>
      <c r="U3" s="9" t="inlineStr">
        <is>
          <t>Date</t>
        </is>
      </c>
      <c r="V3" s="9" t="inlineStr">
        <is>
          <t>PX_BID</t>
        </is>
      </c>
      <c r="W3" s="9" t="inlineStr">
        <is>
          <t>PX_ASK</t>
        </is>
      </c>
      <c r="X3" s="9" t="inlineStr">
        <is>
          <t>PX_MID</t>
        </is>
      </c>
      <c r="Y3" s="9" t="inlineStr">
        <is>
          <t>PX_LAST</t>
        </is>
      </c>
      <c r="Z3" s="9" t="inlineStr">
        <is>
          <t>PX_SETTLE</t>
        </is>
      </c>
      <c r="AA3" s="9" t="inlineStr">
        <is>
          <t>PX_VOLUME</t>
        </is>
      </c>
      <c r="AB3" s="9" t="inlineStr">
        <is>
          <t>OPEN_INT</t>
        </is>
      </c>
      <c r="AC3" s="9" t="inlineStr">
        <is>
          <t>IVOL_MID</t>
        </is>
      </c>
      <c r="AD3" s="9" t="inlineStr">
        <is>
          <t>IVOL_BID</t>
        </is>
      </c>
      <c r="AE3" s="9" t="inlineStr">
        <is>
          <t>IVOL_ASK</t>
        </is>
      </c>
      <c r="AF3" s="9" t="inlineStr">
        <is>
          <t>DELTA_MID</t>
        </is>
      </c>
      <c r="AG3" s="9" t="inlineStr">
        <is>
          <t>GAMMA_MID</t>
        </is>
      </c>
      <c r="AH3" s="9" t="inlineStr">
        <is>
          <t>VEGA_MID</t>
        </is>
      </c>
      <c r="AI3" s="9" t="inlineStr">
        <is>
          <t>THETA_MID</t>
        </is>
      </c>
      <c r="AJ3" s="9" t="inlineStr">
        <is>
          <t>OPT_UNDL_PX</t>
        </is>
      </c>
      <c r="AL3" s="9" t="inlineStr">
        <is>
          <t>Date</t>
        </is>
      </c>
      <c r="AM3" s="9" t="inlineStr">
        <is>
          <t>PX_BID</t>
        </is>
      </c>
      <c r="AN3" s="9" t="inlineStr">
        <is>
          <t>PX_ASK</t>
        </is>
      </c>
      <c r="AO3" s="9" t="inlineStr">
        <is>
          <t>PX_MID</t>
        </is>
      </c>
      <c r="AP3" s="9" t="inlineStr">
        <is>
          <t>PX_LAST</t>
        </is>
      </c>
      <c r="AQ3" s="9" t="inlineStr">
        <is>
          <t>PX_SETTLE</t>
        </is>
      </c>
      <c r="AR3" s="9" t="inlineStr">
        <is>
          <t>PX_VOLUME</t>
        </is>
      </c>
      <c r="AS3" s="9" t="inlineStr">
        <is>
          <t>OPEN_INT</t>
        </is>
      </c>
      <c r="AT3" s="9" t="inlineStr">
        <is>
          <t>IVOL_MID</t>
        </is>
      </c>
      <c r="AU3" s="9" t="inlineStr">
        <is>
          <t>IVOL_BID</t>
        </is>
      </c>
      <c r="AV3" s="9" t="inlineStr">
        <is>
          <t>IVOL_ASK</t>
        </is>
      </c>
      <c r="AW3" s="9" t="inlineStr">
        <is>
          <t>DELTA_MID</t>
        </is>
      </c>
      <c r="AX3" s="9" t="inlineStr">
        <is>
          <t>GAMMA_MID</t>
        </is>
      </c>
      <c r="AY3" s="9" t="inlineStr">
        <is>
          <t>VEGA_MID</t>
        </is>
      </c>
      <c r="AZ3" s="9" t="inlineStr">
        <is>
          <t>THETA_MID</t>
        </is>
      </c>
      <c r="BA3" s="9" t="inlineStr">
        <is>
          <t>OPT_UNDL_PX</t>
        </is>
      </c>
      <c r="BC3" s="9" t="inlineStr">
        <is>
          <t>Date</t>
        </is>
      </c>
      <c r="BD3" s="9" t="inlineStr">
        <is>
          <t>PX_BID</t>
        </is>
      </c>
      <c r="BE3" s="9" t="inlineStr">
        <is>
          <t>PX_ASK</t>
        </is>
      </c>
      <c r="BF3" s="9" t="inlineStr">
        <is>
          <t>PX_MID</t>
        </is>
      </c>
      <c r="BG3" s="9" t="inlineStr">
        <is>
          <t>PX_LAST</t>
        </is>
      </c>
      <c r="BH3" s="9" t="inlineStr">
        <is>
          <t>PX_SETTLE</t>
        </is>
      </c>
      <c r="BI3" s="9" t="inlineStr">
        <is>
          <t>PX_VOLUME</t>
        </is>
      </c>
      <c r="BJ3" s="9" t="inlineStr">
        <is>
          <t>OPEN_INT</t>
        </is>
      </c>
      <c r="BK3" s="9" t="inlineStr">
        <is>
          <t>IVOL_MID</t>
        </is>
      </c>
      <c r="BL3" s="9" t="inlineStr">
        <is>
          <t>IVOL_BID</t>
        </is>
      </c>
      <c r="BM3" s="9" t="inlineStr">
        <is>
          <t>IVOL_ASK</t>
        </is>
      </c>
      <c r="BN3" s="9" t="inlineStr">
        <is>
          <t>DELTA_MID</t>
        </is>
      </c>
      <c r="BO3" s="9" t="inlineStr">
        <is>
          <t>GAMMA_MID</t>
        </is>
      </c>
      <c r="BP3" s="9" t="inlineStr">
        <is>
          <t>VEGA_MID</t>
        </is>
      </c>
      <c r="BQ3" s="9" t="inlineStr">
        <is>
          <t>THETA_MID</t>
        </is>
      </c>
      <c r="BR3" s="9" t="inlineStr">
        <is>
          <t>OPT_UNDL_PX</t>
        </is>
      </c>
      <c r="BT3" s="9" t="inlineStr">
        <is>
          <t>Date</t>
        </is>
      </c>
      <c r="BU3" s="9" t="inlineStr">
        <is>
          <t>PX_BID</t>
        </is>
      </c>
      <c r="BV3" s="9" t="inlineStr">
        <is>
          <t>PX_ASK</t>
        </is>
      </c>
      <c r="BW3" s="9" t="inlineStr">
        <is>
          <t>PX_MID</t>
        </is>
      </c>
      <c r="BX3" s="9" t="inlineStr">
        <is>
          <t>PX_LAST</t>
        </is>
      </c>
      <c r="BY3" s="9" t="inlineStr">
        <is>
          <t>PX_SETTLE</t>
        </is>
      </c>
      <c r="BZ3" s="9" t="inlineStr">
        <is>
          <t>PX_VOLUME</t>
        </is>
      </c>
      <c r="CA3" s="9" t="inlineStr">
        <is>
          <t>OPEN_INT</t>
        </is>
      </c>
      <c r="CB3" s="9" t="inlineStr">
        <is>
          <t>IVOL_MID</t>
        </is>
      </c>
      <c r="CC3" s="9" t="inlineStr">
        <is>
          <t>IVOL_BID</t>
        </is>
      </c>
      <c r="CD3" s="9" t="inlineStr">
        <is>
          <t>IVOL_ASK</t>
        </is>
      </c>
      <c r="CE3" s="9" t="inlineStr">
        <is>
          <t>DELTA_MID</t>
        </is>
      </c>
      <c r="CF3" s="9" t="inlineStr">
        <is>
          <t>GAMMA_MID</t>
        </is>
      </c>
      <c r="CG3" s="9" t="inlineStr">
        <is>
          <t>VEGA_MID</t>
        </is>
      </c>
      <c r="CH3" s="9" t="inlineStr">
        <is>
          <t>THETA_MID</t>
        </is>
      </c>
      <c r="CI3" s="9" t="inlineStr">
        <is>
          <t>OPT_UNDL_PX</t>
        </is>
      </c>
      <c r="CK3" s="9" t="inlineStr">
        <is>
          <t>Date</t>
        </is>
      </c>
      <c r="CL3" s="9" t="inlineStr">
        <is>
          <t>PX_BID</t>
        </is>
      </c>
      <c r="CM3" s="9" t="inlineStr">
        <is>
          <t>PX_ASK</t>
        </is>
      </c>
      <c r="CN3" s="9" t="inlineStr">
        <is>
          <t>PX_MID</t>
        </is>
      </c>
      <c r="CO3" s="9" t="inlineStr">
        <is>
          <t>PX_LAST</t>
        </is>
      </c>
      <c r="CP3" s="9" t="inlineStr">
        <is>
          <t>PX_SETTLE</t>
        </is>
      </c>
      <c r="CQ3" s="9" t="inlineStr">
        <is>
          <t>PX_VOLUME</t>
        </is>
      </c>
      <c r="CR3" s="9" t="inlineStr">
        <is>
          <t>OPEN_INT</t>
        </is>
      </c>
      <c r="CS3" s="9" t="inlineStr">
        <is>
          <t>IVOL_MID</t>
        </is>
      </c>
      <c r="CT3" s="9" t="inlineStr">
        <is>
          <t>IVOL_BID</t>
        </is>
      </c>
      <c r="CU3" s="9" t="inlineStr">
        <is>
          <t>IVOL_ASK</t>
        </is>
      </c>
      <c r="CV3" s="9" t="inlineStr">
        <is>
          <t>DELTA_MID</t>
        </is>
      </c>
      <c r="CW3" s="9" t="inlineStr">
        <is>
          <t>GAMMA_MID</t>
        </is>
      </c>
      <c r="CX3" s="9" t="inlineStr">
        <is>
          <t>VEGA_MID</t>
        </is>
      </c>
      <c r="CY3" s="9" t="inlineStr">
        <is>
          <t>THETA_MID</t>
        </is>
      </c>
      <c r="CZ3" s="9" t="inlineStr">
        <is>
          <t>OPT_UNDL_PX</t>
        </is>
      </c>
      <c r="DB3" s="9" t="inlineStr">
        <is>
          <t>Date</t>
        </is>
      </c>
      <c r="DC3" s="9" t="inlineStr">
        <is>
          <t>PX_BID</t>
        </is>
      </c>
      <c r="DD3" s="9" t="inlineStr">
        <is>
          <t>PX_ASK</t>
        </is>
      </c>
      <c r="DE3" s="9" t="inlineStr">
        <is>
          <t>PX_MID</t>
        </is>
      </c>
      <c r="DF3" s="9" t="inlineStr">
        <is>
          <t>PX_LAST</t>
        </is>
      </c>
      <c r="DG3" s="9" t="inlineStr">
        <is>
          <t>PX_SETTLE</t>
        </is>
      </c>
      <c r="DH3" s="9" t="inlineStr">
        <is>
          <t>PX_VOLUME</t>
        </is>
      </c>
      <c r="DI3" s="9" t="inlineStr">
        <is>
          <t>OPEN_INT</t>
        </is>
      </c>
      <c r="DJ3" s="9" t="inlineStr">
        <is>
          <t>IVOL_MID</t>
        </is>
      </c>
      <c r="DK3" s="9" t="inlineStr">
        <is>
          <t>IVOL_BID</t>
        </is>
      </c>
      <c r="DL3" s="9" t="inlineStr">
        <is>
          <t>IVOL_ASK</t>
        </is>
      </c>
      <c r="DM3" s="9" t="inlineStr">
        <is>
          <t>DELTA_MID</t>
        </is>
      </c>
      <c r="DN3" s="9" t="inlineStr">
        <is>
          <t>GAMMA_MID</t>
        </is>
      </c>
      <c r="DO3" s="9" t="inlineStr">
        <is>
          <t>VEGA_MID</t>
        </is>
      </c>
      <c r="DP3" s="9" t="inlineStr">
        <is>
          <t>THETA_MID</t>
        </is>
      </c>
      <c r="DQ3" s="9" t="inlineStr">
        <is>
          <t>OPT_UNDL_PX</t>
        </is>
      </c>
      <c r="DS3" s="9" t="inlineStr">
        <is>
          <t>Date</t>
        </is>
      </c>
      <c r="DT3" s="9" t="inlineStr">
        <is>
          <t>PX_BID</t>
        </is>
      </c>
      <c r="DU3" s="9" t="inlineStr">
        <is>
          <t>PX_ASK</t>
        </is>
      </c>
      <c r="DV3" s="9" t="inlineStr">
        <is>
          <t>PX_MID</t>
        </is>
      </c>
      <c r="DW3" s="9" t="inlineStr">
        <is>
          <t>PX_LAST</t>
        </is>
      </c>
      <c r="DX3" s="9" t="inlineStr">
        <is>
          <t>PX_SETTLE</t>
        </is>
      </c>
      <c r="DY3" s="9" t="inlineStr">
        <is>
          <t>PX_VOLUME</t>
        </is>
      </c>
      <c r="DZ3" s="9" t="inlineStr">
        <is>
          <t>OPEN_INT</t>
        </is>
      </c>
      <c r="EA3" s="9" t="inlineStr">
        <is>
          <t>IVOL_MID</t>
        </is>
      </c>
      <c r="EB3" s="9" t="inlineStr">
        <is>
          <t>IVOL_BID</t>
        </is>
      </c>
      <c r="EC3" s="9" t="inlineStr">
        <is>
          <t>IVOL_ASK</t>
        </is>
      </c>
      <c r="ED3" s="9" t="inlineStr">
        <is>
          <t>DELTA_MID</t>
        </is>
      </c>
      <c r="EE3" s="9" t="inlineStr">
        <is>
          <t>GAMMA_MID</t>
        </is>
      </c>
      <c r="EF3" s="9" t="inlineStr">
        <is>
          <t>VEGA_MID</t>
        </is>
      </c>
      <c r="EG3" s="9" t="inlineStr">
        <is>
          <t>THETA_MID</t>
        </is>
      </c>
      <c r="EH3" s="9" t="inlineStr">
        <is>
          <t>OPT_UNDL_PX</t>
        </is>
      </c>
      <c r="EJ3" s="9" t="inlineStr">
        <is>
          <t>Date</t>
        </is>
      </c>
      <c r="EK3" s="9" t="inlineStr">
        <is>
          <t>PX_BID</t>
        </is>
      </c>
      <c r="EL3" s="9" t="inlineStr">
        <is>
          <t>PX_ASK</t>
        </is>
      </c>
      <c r="EM3" s="9" t="inlineStr">
        <is>
          <t>PX_MID</t>
        </is>
      </c>
      <c r="EN3" s="9" t="inlineStr">
        <is>
          <t>PX_LAST</t>
        </is>
      </c>
      <c r="EO3" s="9" t="inlineStr">
        <is>
          <t>PX_SETTLE</t>
        </is>
      </c>
      <c r="EP3" s="9" t="inlineStr">
        <is>
          <t>PX_VOLUME</t>
        </is>
      </c>
      <c r="EQ3" s="9" t="inlineStr">
        <is>
          <t>OPEN_INT</t>
        </is>
      </c>
      <c r="ER3" s="9" t="inlineStr">
        <is>
          <t>IVOL_MID</t>
        </is>
      </c>
      <c r="ES3" s="9" t="inlineStr">
        <is>
          <t>IVOL_BID</t>
        </is>
      </c>
      <c r="ET3" s="9" t="inlineStr">
        <is>
          <t>IVOL_ASK</t>
        </is>
      </c>
      <c r="EU3" s="9" t="inlineStr">
        <is>
          <t>DELTA_MID</t>
        </is>
      </c>
      <c r="EV3" s="9" t="inlineStr">
        <is>
          <t>GAMMA_MID</t>
        </is>
      </c>
      <c r="EW3" s="9" t="inlineStr">
        <is>
          <t>VEGA_MID</t>
        </is>
      </c>
      <c r="EX3" s="9" t="inlineStr">
        <is>
          <t>THETA_MID</t>
        </is>
      </c>
      <c r="EY3" s="9" t="inlineStr">
        <is>
          <t>OPT_UNDL_PX</t>
        </is>
      </c>
      <c r="FA3" s="9" t="inlineStr">
        <is>
          <t>Date</t>
        </is>
      </c>
      <c r="FB3" s="9" t="inlineStr">
        <is>
          <t>PX_BID</t>
        </is>
      </c>
      <c r="FC3" s="9" t="inlineStr">
        <is>
          <t>PX_ASK</t>
        </is>
      </c>
      <c r="FD3" s="9" t="inlineStr">
        <is>
          <t>PX_MID</t>
        </is>
      </c>
      <c r="FE3" s="9" t="inlineStr">
        <is>
          <t>PX_LAST</t>
        </is>
      </c>
      <c r="FF3" s="9" t="inlineStr">
        <is>
          <t>PX_SETTLE</t>
        </is>
      </c>
      <c r="FG3" s="9" t="inlineStr">
        <is>
          <t>PX_VOLUME</t>
        </is>
      </c>
      <c r="FH3" s="9" t="inlineStr">
        <is>
          <t>OPEN_INT</t>
        </is>
      </c>
      <c r="FI3" s="9" t="inlineStr">
        <is>
          <t>IVOL_MID</t>
        </is>
      </c>
      <c r="FJ3" s="9" t="inlineStr">
        <is>
          <t>IVOL_BID</t>
        </is>
      </c>
      <c r="FK3" s="9" t="inlineStr">
        <is>
          <t>IVOL_ASK</t>
        </is>
      </c>
      <c r="FL3" s="9" t="inlineStr">
        <is>
          <t>DELTA_MID</t>
        </is>
      </c>
      <c r="FM3" s="9" t="inlineStr">
        <is>
          <t>GAMMA_MID</t>
        </is>
      </c>
      <c r="FN3" s="9" t="inlineStr">
        <is>
          <t>VEGA_MID</t>
        </is>
      </c>
      <c r="FO3" s="9" t="inlineStr">
        <is>
          <t>THETA_MID</t>
        </is>
      </c>
      <c r="FP3" s="9" t="inlineStr">
        <is>
          <t>OPT_UNDL_PX</t>
        </is>
      </c>
      <c r="FR3" s="9" t="inlineStr">
        <is>
          <t>Date</t>
        </is>
      </c>
      <c r="FS3" s="9" t="inlineStr">
        <is>
          <t>PX_BID</t>
        </is>
      </c>
      <c r="FT3" s="9" t="inlineStr">
        <is>
          <t>PX_ASK</t>
        </is>
      </c>
      <c r="FU3" s="9" t="inlineStr">
        <is>
          <t>PX_MID</t>
        </is>
      </c>
      <c r="FV3" s="9" t="inlineStr">
        <is>
          <t>PX_LAST</t>
        </is>
      </c>
      <c r="FW3" s="9" t="inlineStr">
        <is>
          <t>PX_SETTLE</t>
        </is>
      </c>
      <c r="FX3" s="9" t="inlineStr">
        <is>
          <t>PX_VOLUME</t>
        </is>
      </c>
      <c r="FY3" s="9" t="inlineStr">
        <is>
          <t>OPEN_INT</t>
        </is>
      </c>
      <c r="FZ3" s="9" t="inlineStr">
        <is>
          <t>IVOL_MID</t>
        </is>
      </c>
      <c r="GA3" s="9" t="inlineStr">
        <is>
          <t>IVOL_BID</t>
        </is>
      </c>
      <c r="GB3" s="9" t="inlineStr">
        <is>
          <t>IVOL_ASK</t>
        </is>
      </c>
      <c r="GC3" s="9" t="inlineStr">
        <is>
          <t>DELTA_MID</t>
        </is>
      </c>
      <c r="GD3" s="9" t="inlineStr">
        <is>
          <t>GAMMA_MID</t>
        </is>
      </c>
      <c r="GE3" s="9" t="inlineStr">
        <is>
          <t>VEGA_MID</t>
        </is>
      </c>
      <c r="GF3" s="9" t="inlineStr">
        <is>
          <t>THETA_MID</t>
        </is>
      </c>
      <c r="GG3" s="9" t="inlineStr">
        <is>
          <t>OPT_UNDL_PX</t>
        </is>
      </c>
      <c r="GI3" s="9" t="inlineStr">
        <is>
          <t>Date</t>
        </is>
      </c>
      <c r="GJ3" s="9" t="inlineStr">
        <is>
          <t>PX_BID</t>
        </is>
      </c>
      <c r="GK3" s="9" t="inlineStr">
        <is>
          <t>PX_ASK</t>
        </is>
      </c>
      <c r="GL3" s="9" t="inlineStr">
        <is>
          <t>PX_MID</t>
        </is>
      </c>
      <c r="GM3" s="9" t="inlineStr">
        <is>
          <t>PX_LAST</t>
        </is>
      </c>
      <c r="GN3" s="9" t="inlineStr">
        <is>
          <t>PX_SETTLE</t>
        </is>
      </c>
      <c r="GO3" s="9" t="inlineStr">
        <is>
          <t>PX_VOLUME</t>
        </is>
      </c>
      <c r="GP3" s="9" t="inlineStr">
        <is>
          <t>OPEN_INT</t>
        </is>
      </c>
      <c r="GQ3" s="9" t="inlineStr">
        <is>
          <t>IVOL_MID</t>
        </is>
      </c>
      <c r="GR3" s="9" t="inlineStr">
        <is>
          <t>IVOL_BID</t>
        </is>
      </c>
      <c r="GS3" s="9" t="inlineStr">
        <is>
          <t>IVOL_ASK</t>
        </is>
      </c>
      <c r="GT3" s="9" t="inlineStr">
        <is>
          <t>DELTA_MID</t>
        </is>
      </c>
      <c r="GU3" s="9" t="inlineStr">
        <is>
          <t>GAMMA_MID</t>
        </is>
      </c>
      <c r="GV3" s="9" t="inlineStr">
        <is>
          <t>VEGA_MID</t>
        </is>
      </c>
      <c r="GW3" s="9" t="inlineStr">
        <is>
          <t>THETA_MID</t>
        </is>
      </c>
      <c r="GX3" s="9" t="inlineStr">
        <is>
          <t>OPT_UNDL_PX</t>
        </is>
      </c>
      <c r="GZ3" s="9" t="inlineStr">
        <is>
          <t>Date</t>
        </is>
      </c>
      <c r="HA3" s="9" t="inlineStr">
        <is>
          <t>PX_BID</t>
        </is>
      </c>
      <c r="HB3" s="9" t="inlineStr">
        <is>
          <t>PX_ASK</t>
        </is>
      </c>
      <c r="HC3" s="9" t="inlineStr">
        <is>
          <t>PX_MID</t>
        </is>
      </c>
      <c r="HD3" s="9" t="inlineStr">
        <is>
          <t>PX_LAST</t>
        </is>
      </c>
      <c r="HE3" s="9" t="inlineStr">
        <is>
          <t>PX_SETTLE</t>
        </is>
      </c>
      <c r="HF3" s="9" t="inlineStr">
        <is>
          <t>PX_VOLUME</t>
        </is>
      </c>
      <c r="HG3" s="9" t="inlineStr">
        <is>
          <t>OPEN_INT</t>
        </is>
      </c>
      <c r="HH3" s="9" t="inlineStr">
        <is>
          <t>IVOL_MID</t>
        </is>
      </c>
      <c r="HI3" s="9" t="inlineStr">
        <is>
          <t>IVOL_BID</t>
        </is>
      </c>
      <c r="HJ3" s="9" t="inlineStr">
        <is>
          <t>IVOL_ASK</t>
        </is>
      </c>
      <c r="HK3" s="9" t="inlineStr">
        <is>
          <t>DELTA_MID</t>
        </is>
      </c>
      <c r="HL3" s="9" t="inlineStr">
        <is>
          <t>GAMMA_MID</t>
        </is>
      </c>
      <c r="HM3" s="9" t="inlineStr">
        <is>
          <t>VEGA_MID</t>
        </is>
      </c>
      <c r="HN3" s="9" t="inlineStr">
        <is>
          <t>THETA_MID</t>
        </is>
      </c>
      <c r="HO3" s="9" t="inlineStr">
        <is>
          <t>OPT_UNDL_PX</t>
        </is>
      </c>
      <c r="HQ3" s="9" t="inlineStr">
        <is>
          <t>Date</t>
        </is>
      </c>
      <c r="HR3" s="9" t="inlineStr">
        <is>
          <t>PX_BID</t>
        </is>
      </c>
      <c r="HS3" s="9" t="inlineStr">
        <is>
          <t>PX_ASK</t>
        </is>
      </c>
      <c r="HT3" s="9" t="inlineStr">
        <is>
          <t>PX_MID</t>
        </is>
      </c>
      <c r="HU3" s="9" t="inlineStr">
        <is>
          <t>PX_LAST</t>
        </is>
      </c>
      <c r="HV3" s="9" t="inlineStr">
        <is>
          <t>PX_SETTLE</t>
        </is>
      </c>
      <c r="HW3" s="9" t="inlineStr">
        <is>
          <t>PX_VOLUME</t>
        </is>
      </c>
      <c r="HX3" s="9" t="inlineStr">
        <is>
          <t>OPEN_INT</t>
        </is>
      </c>
      <c r="HY3" s="9" t="inlineStr">
        <is>
          <t>IVOL_MID</t>
        </is>
      </c>
      <c r="HZ3" s="9" t="inlineStr">
        <is>
          <t>IVOL_BID</t>
        </is>
      </c>
      <c r="IA3" s="9" t="inlineStr">
        <is>
          <t>IVOL_ASK</t>
        </is>
      </c>
      <c r="IB3" s="9" t="inlineStr">
        <is>
          <t>DELTA_MID</t>
        </is>
      </c>
      <c r="IC3" s="9" t="inlineStr">
        <is>
          <t>GAMMA_MID</t>
        </is>
      </c>
      <c r="ID3" s="9" t="inlineStr">
        <is>
          <t>VEGA_MID</t>
        </is>
      </c>
      <c r="IE3" s="9" t="inlineStr">
        <is>
          <t>THETA_MID</t>
        </is>
      </c>
      <c r="IF3" s="9" t="inlineStr">
        <is>
          <t>OPT_UNDL_PX</t>
        </is>
      </c>
      <c r="IH3" s="9" t="inlineStr">
        <is>
          <t>Date</t>
        </is>
      </c>
      <c r="II3" s="9" t="inlineStr">
        <is>
          <t>PX_BID</t>
        </is>
      </c>
      <c r="IJ3" s="9" t="inlineStr">
        <is>
          <t>PX_ASK</t>
        </is>
      </c>
      <c r="IK3" s="9" t="inlineStr">
        <is>
          <t>PX_MID</t>
        </is>
      </c>
      <c r="IL3" s="9" t="inlineStr">
        <is>
          <t>PX_LAST</t>
        </is>
      </c>
      <c r="IM3" s="9" t="inlineStr">
        <is>
          <t>PX_SETTLE</t>
        </is>
      </c>
      <c r="IN3" s="9" t="inlineStr">
        <is>
          <t>PX_VOLUME</t>
        </is>
      </c>
      <c r="IO3" s="9" t="inlineStr">
        <is>
          <t>OPEN_INT</t>
        </is>
      </c>
      <c r="IP3" s="9" t="inlineStr">
        <is>
          <t>IVOL_MID</t>
        </is>
      </c>
      <c r="IQ3" s="9" t="inlineStr">
        <is>
          <t>IVOL_BID</t>
        </is>
      </c>
      <c r="IR3" s="9" t="inlineStr">
        <is>
          <t>IVOL_ASK</t>
        </is>
      </c>
      <c r="IS3" s="9" t="inlineStr">
        <is>
          <t>DELTA_MID</t>
        </is>
      </c>
      <c r="IT3" s="9" t="inlineStr">
        <is>
          <t>GAMMA_MID</t>
        </is>
      </c>
      <c r="IU3" s="9" t="inlineStr">
        <is>
          <t>VEGA_MID</t>
        </is>
      </c>
      <c r="IV3" s="9" t="inlineStr">
        <is>
          <t>THETA_MID</t>
        </is>
      </c>
      <c r="IW3" s="9" t="inlineStr">
        <is>
          <t>OPT_UNDL_PX</t>
        </is>
      </c>
      <c r="IY3" s="9" t="inlineStr">
        <is>
          <t>Date</t>
        </is>
      </c>
      <c r="IZ3" s="9" t="inlineStr">
        <is>
          <t>PX_BID</t>
        </is>
      </c>
      <c r="JA3" s="9" t="inlineStr">
        <is>
          <t>PX_ASK</t>
        </is>
      </c>
      <c r="JB3" s="9" t="inlineStr">
        <is>
          <t>PX_MID</t>
        </is>
      </c>
      <c r="JC3" s="9" t="inlineStr">
        <is>
          <t>PX_LAST</t>
        </is>
      </c>
      <c r="JD3" s="9" t="inlineStr">
        <is>
          <t>PX_SETTLE</t>
        </is>
      </c>
      <c r="JE3" s="9" t="inlineStr">
        <is>
          <t>PX_VOLUME</t>
        </is>
      </c>
      <c r="JF3" s="9" t="inlineStr">
        <is>
          <t>OPEN_INT</t>
        </is>
      </c>
      <c r="JG3" s="9" t="inlineStr">
        <is>
          <t>IVOL_MID</t>
        </is>
      </c>
      <c r="JH3" s="9" t="inlineStr">
        <is>
          <t>IVOL_BID</t>
        </is>
      </c>
      <c r="JI3" s="9" t="inlineStr">
        <is>
          <t>IVOL_ASK</t>
        </is>
      </c>
      <c r="JJ3" s="9" t="inlineStr">
        <is>
          <t>DELTA_MID</t>
        </is>
      </c>
      <c r="JK3" s="9" t="inlineStr">
        <is>
          <t>GAMMA_MID</t>
        </is>
      </c>
      <c r="JL3" s="9" t="inlineStr">
        <is>
          <t>VEGA_MID</t>
        </is>
      </c>
      <c r="JM3" s="9" t="inlineStr">
        <is>
          <t>THETA_MID</t>
        </is>
      </c>
      <c r="JN3" s="9" t="inlineStr">
        <is>
          <t>OPT_UNDL_PX</t>
        </is>
      </c>
      <c r="JP3" s="9" t="inlineStr">
        <is>
          <t>Date</t>
        </is>
      </c>
      <c r="JQ3" s="9" t="inlineStr">
        <is>
          <t>PX_BID</t>
        </is>
      </c>
      <c r="JR3" s="9" t="inlineStr">
        <is>
          <t>PX_ASK</t>
        </is>
      </c>
      <c r="JS3" s="9" t="inlineStr">
        <is>
          <t>PX_MID</t>
        </is>
      </c>
      <c r="JT3" s="9" t="inlineStr">
        <is>
          <t>PX_LAST</t>
        </is>
      </c>
      <c r="JU3" s="9" t="inlineStr">
        <is>
          <t>PX_SETTLE</t>
        </is>
      </c>
      <c r="JV3" s="9" t="inlineStr">
        <is>
          <t>PX_VOLUME</t>
        </is>
      </c>
      <c r="JW3" s="9" t="inlineStr">
        <is>
          <t>OPEN_INT</t>
        </is>
      </c>
      <c r="JX3" s="9" t="inlineStr">
        <is>
          <t>IVOL_MID</t>
        </is>
      </c>
      <c r="JY3" s="9" t="inlineStr">
        <is>
          <t>IVOL_BID</t>
        </is>
      </c>
      <c r="JZ3" s="9" t="inlineStr">
        <is>
          <t>IVOL_ASK</t>
        </is>
      </c>
      <c r="KA3" s="9" t="inlineStr">
        <is>
          <t>DELTA_MID</t>
        </is>
      </c>
      <c r="KB3" s="9" t="inlineStr">
        <is>
          <t>GAMMA_MID</t>
        </is>
      </c>
      <c r="KC3" s="9" t="inlineStr">
        <is>
          <t>VEGA_MID</t>
        </is>
      </c>
      <c r="KD3" s="9" t="inlineStr">
        <is>
          <t>THETA_MID</t>
        </is>
      </c>
      <c r="KE3" s="9" t="inlineStr">
        <is>
          <t>OPT_UNDL_PX</t>
        </is>
      </c>
      <c r="KG3" s="9" t="inlineStr">
        <is>
          <t>Date</t>
        </is>
      </c>
      <c r="KH3" s="9" t="inlineStr">
        <is>
          <t>PX_BID</t>
        </is>
      </c>
      <c r="KI3" s="9" t="inlineStr">
        <is>
          <t>PX_ASK</t>
        </is>
      </c>
      <c r="KJ3" s="9" t="inlineStr">
        <is>
          <t>PX_MID</t>
        </is>
      </c>
      <c r="KK3" s="9" t="inlineStr">
        <is>
          <t>PX_LAST</t>
        </is>
      </c>
      <c r="KL3" s="9" t="inlineStr">
        <is>
          <t>PX_SETTLE</t>
        </is>
      </c>
      <c r="KM3" s="9" t="inlineStr">
        <is>
          <t>PX_VOLUME</t>
        </is>
      </c>
      <c r="KN3" s="9" t="inlineStr">
        <is>
          <t>OPEN_INT</t>
        </is>
      </c>
      <c r="KO3" s="9" t="inlineStr">
        <is>
          <t>IVOL_MID</t>
        </is>
      </c>
      <c r="KP3" s="9" t="inlineStr">
        <is>
          <t>IVOL_BID</t>
        </is>
      </c>
      <c r="KQ3" s="9" t="inlineStr">
        <is>
          <t>IVOL_ASK</t>
        </is>
      </c>
      <c r="KR3" s="9" t="inlineStr">
        <is>
          <t>DELTA_MID</t>
        </is>
      </c>
      <c r="KS3" s="9" t="inlineStr">
        <is>
          <t>GAMMA_MID</t>
        </is>
      </c>
      <c r="KT3" s="9" t="inlineStr">
        <is>
          <t>VEGA_MID</t>
        </is>
      </c>
      <c r="KU3" s="9" t="inlineStr">
        <is>
          <t>THETA_MID</t>
        </is>
      </c>
      <c r="KV3" s="9" t="inlineStr">
        <is>
          <t>OPT_UNDL_PX</t>
        </is>
      </c>
      <c r="KX3" s="9" t="inlineStr">
        <is>
          <t>Date</t>
        </is>
      </c>
      <c r="KY3" s="9" t="inlineStr">
        <is>
          <t>PX_BID</t>
        </is>
      </c>
      <c r="KZ3" s="9" t="inlineStr">
        <is>
          <t>PX_ASK</t>
        </is>
      </c>
      <c r="LA3" s="9" t="inlineStr">
        <is>
          <t>PX_MID</t>
        </is>
      </c>
      <c r="LB3" s="9" t="inlineStr">
        <is>
          <t>PX_LAST</t>
        </is>
      </c>
      <c r="LC3" s="9" t="inlineStr">
        <is>
          <t>PX_SETTLE</t>
        </is>
      </c>
      <c r="LD3" s="9" t="inlineStr">
        <is>
          <t>PX_VOLUME</t>
        </is>
      </c>
      <c r="LE3" s="9" t="inlineStr">
        <is>
          <t>OPEN_INT</t>
        </is>
      </c>
      <c r="LF3" s="9" t="inlineStr">
        <is>
          <t>IVOL_MID</t>
        </is>
      </c>
      <c r="LG3" s="9" t="inlineStr">
        <is>
          <t>IVOL_BID</t>
        </is>
      </c>
      <c r="LH3" s="9" t="inlineStr">
        <is>
          <t>IVOL_ASK</t>
        </is>
      </c>
      <c r="LI3" s="9" t="inlineStr">
        <is>
          <t>DELTA_MID</t>
        </is>
      </c>
      <c r="LJ3" s="9" t="inlineStr">
        <is>
          <t>GAMMA_MID</t>
        </is>
      </c>
      <c r="LK3" s="9" t="inlineStr">
        <is>
          <t>VEGA_MID</t>
        </is>
      </c>
      <c r="LL3" s="9" t="inlineStr">
        <is>
          <t>THETA_MID</t>
        </is>
      </c>
      <c r="LM3" s="9" t="inlineStr">
        <is>
          <t>OPT_UNDL_PX</t>
        </is>
      </c>
      <c r="LO3" s="9" t="inlineStr">
        <is>
          <t>Date</t>
        </is>
      </c>
      <c r="LP3" s="9" t="inlineStr">
        <is>
          <t>PX_BID</t>
        </is>
      </c>
      <c r="LQ3" s="9" t="inlineStr">
        <is>
          <t>PX_ASK</t>
        </is>
      </c>
      <c r="LR3" s="9" t="inlineStr">
        <is>
          <t>PX_MID</t>
        </is>
      </c>
      <c r="LS3" s="9" t="inlineStr">
        <is>
          <t>PX_LAST</t>
        </is>
      </c>
      <c r="LT3" s="9" t="inlineStr">
        <is>
          <t>PX_SETTLE</t>
        </is>
      </c>
      <c r="LU3" s="9" t="inlineStr">
        <is>
          <t>PX_VOLUME</t>
        </is>
      </c>
      <c r="LV3" s="9" t="inlineStr">
        <is>
          <t>OPEN_INT</t>
        </is>
      </c>
      <c r="LW3" s="9" t="inlineStr">
        <is>
          <t>IVOL_MID</t>
        </is>
      </c>
      <c r="LX3" s="9" t="inlineStr">
        <is>
          <t>IVOL_BID</t>
        </is>
      </c>
      <c r="LY3" s="9" t="inlineStr">
        <is>
          <t>IVOL_ASK</t>
        </is>
      </c>
      <c r="LZ3" s="9" t="inlineStr">
        <is>
          <t>DELTA_MID</t>
        </is>
      </c>
      <c r="MA3" s="9" t="inlineStr">
        <is>
          <t>GAMMA_MID</t>
        </is>
      </c>
      <c r="MB3" s="9" t="inlineStr">
        <is>
          <t>VEGA_MID</t>
        </is>
      </c>
      <c r="MC3" s="9" t="inlineStr">
        <is>
          <t>THETA_MID</t>
        </is>
      </c>
      <c r="MD3" s="9" t="inlineStr">
        <is>
          <t>OPT_UNDL_PX</t>
        </is>
      </c>
      <c r="MF3" s="9" t="inlineStr">
        <is>
          <t>Date</t>
        </is>
      </c>
      <c r="MG3" s="9" t="inlineStr">
        <is>
          <t>PX_BID</t>
        </is>
      </c>
      <c r="MH3" s="9" t="inlineStr">
        <is>
          <t>PX_ASK</t>
        </is>
      </c>
      <c r="MI3" s="9" t="inlineStr">
        <is>
          <t>PX_MID</t>
        </is>
      </c>
      <c r="MJ3" s="9" t="inlineStr">
        <is>
          <t>PX_LAST</t>
        </is>
      </c>
      <c r="MK3" s="9" t="inlineStr">
        <is>
          <t>PX_SETTLE</t>
        </is>
      </c>
      <c r="ML3" s="9" t="inlineStr">
        <is>
          <t>PX_VOLUME</t>
        </is>
      </c>
      <c r="MM3" s="9" t="inlineStr">
        <is>
          <t>OPEN_INT</t>
        </is>
      </c>
      <c r="MN3" s="9" t="inlineStr">
        <is>
          <t>IVOL_MID</t>
        </is>
      </c>
      <c r="MO3" s="9" t="inlineStr">
        <is>
          <t>IVOL_BID</t>
        </is>
      </c>
      <c r="MP3" s="9" t="inlineStr">
        <is>
          <t>IVOL_ASK</t>
        </is>
      </c>
      <c r="MQ3" s="9" t="inlineStr">
        <is>
          <t>DELTA_MID</t>
        </is>
      </c>
      <c r="MR3" s="9" t="inlineStr">
        <is>
          <t>GAMMA_MID</t>
        </is>
      </c>
      <c r="MS3" s="9" t="inlineStr">
        <is>
          <t>VEGA_MID</t>
        </is>
      </c>
      <c r="MT3" s="9" t="inlineStr">
        <is>
          <t>THETA_MID</t>
        </is>
      </c>
      <c r="MU3" s="9" t="inlineStr">
        <is>
          <t>OPT_UNDL_PX</t>
        </is>
      </c>
      <c r="MW3" s="9" t="inlineStr">
        <is>
          <t>Date</t>
        </is>
      </c>
      <c r="MX3" s="9" t="inlineStr">
        <is>
          <t>PX_BID</t>
        </is>
      </c>
      <c r="MY3" s="9" t="inlineStr">
        <is>
          <t>PX_ASK</t>
        </is>
      </c>
      <c r="MZ3" s="9" t="inlineStr">
        <is>
          <t>PX_MID</t>
        </is>
      </c>
      <c r="NA3" s="9" t="inlineStr">
        <is>
          <t>PX_LAST</t>
        </is>
      </c>
      <c r="NB3" s="9" t="inlineStr">
        <is>
          <t>PX_SETTLE</t>
        </is>
      </c>
      <c r="NC3" s="9" t="inlineStr">
        <is>
          <t>PX_VOLUME</t>
        </is>
      </c>
      <c r="ND3" s="9" t="inlineStr">
        <is>
          <t>OPEN_INT</t>
        </is>
      </c>
      <c r="NE3" s="9" t="inlineStr">
        <is>
          <t>IVOL_MID</t>
        </is>
      </c>
      <c r="NF3" s="9" t="inlineStr">
        <is>
          <t>IVOL_BID</t>
        </is>
      </c>
      <c r="NG3" s="9" t="inlineStr">
        <is>
          <t>IVOL_ASK</t>
        </is>
      </c>
      <c r="NH3" s="9" t="inlineStr">
        <is>
          <t>DELTA_MID</t>
        </is>
      </c>
      <c r="NI3" s="9" t="inlineStr">
        <is>
          <t>GAMMA_MID</t>
        </is>
      </c>
      <c r="NJ3" s="9" t="inlineStr">
        <is>
          <t>VEGA_MID</t>
        </is>
      </c>
      <c r="NK3" s="9" t="inlineStr">
        <is>
          <t>THETA_MID</t>
        </is>
      </c>
      <c r="NL3" s="9" t="inlineStr">
        <is>
          <t>OPT_UNDL_PX</t>
        </is>
      </c>
      <c r="NN3" s="9" t="inlineStr">
        <is>
          <t>Date</t>
        </is>
      </c>
      <c r="NO3" s="9" t="inlineStr">
        <is>
          <t>PX_BID</t>
        </is>
      </c>
      <c r="NP3" s="9" t="inlineStr">
        <is>
          <t>PX_ASK</t>
        </is>
      </c>
      <c r="NQ3" s="9" t="inlineStr">
        <is>
          <t>PX_MID</t>
        </is>
      </c>
      <c r="NR3" s="9" t="inlineStr">
        <is>
          <t>PX_LAST</t>
        </is>
      </c>
      <c r="NS3" s="9" t="inlineStr">
        <is>
          <t>PX_SETTLE</t>
        </is>
      </c>
      <c r="NT3" s="9" t="inlineStr">
        <is>
          <t>PX_VOLUME</t>
        </is>
      </c>
      <c r="NU3" s="9" t="inlineStr">
        <is>
          <t>OPEN_INT</t>
        </is>
      </c>
      <c r="NV3" s="9" t="inlineStr">
        <is>
          <t>IVOL_MID</t>
        </is>
      </c>
      <c r="NW3" s="9" t="inlineStr">
        <is>
          <t>IVOL_BID</t>
        </is>
      </c>
      <c r="NX3" s="9" t="inlineStr">
        <is>
          <t>IVOL_ASK</t>
        </is>
      </c>
      <c r="NY3" s="9" t="inlineStr">
        <is>
          <t>DELTA_MID</t>
        </is>
      </c>
      <c r="NZ3" s="9" t="inlineStr">
        <is>
          <t>GAMMA_MID</t>
        </is>
      </c>
      <c r="OA3" s="9" t="inlineStr">
        <is>
          <t>VEGA_MID</t>
        </is>
      </c>
      <c r="OB3" s="9" t="inlineStr">
        <is>
          <t>THETA_MID</t>
        </is>
      </c>
      <c r="OC3" s="9" t="inlineStr">
        <is>
          <t>OPT_UNDL_PX</t>
        </is>
      </c>
      <c r="OE3" s="9" t="inlineStr">
        <is>
          <t>Date</t>
        </is>
      </c>
      <c r="OF3" s="9" t="inlineStr">
        <is>
          <t>PX_BID</t>
        </is>
      </c>
      <c r="OG3" s="9" t="inlineStr">
        <is>
          <t>PX_ASK</t>
        </is>
      </c>
      <c r="OH3" s="9" t="inlineStr">
        <is>
          <t>PX_MID</t>
        </is>
      </c>
      <c r="OI3" s="9" t="inlineStr">
        <is>
          <t>PX_LAST</t>
        </is>
      </c>
      <c r="OJ3" s="9" t="inlineStr">
        <is>
          <t>PX_SETTLE</t>
        </is>
      </c>
      <c r="OK3" s="9" t="inlineStr">
        <is>
          <t>PX_VOLUME</t>
        </is>
      </c>
      <c r="OL3" s="9" t="inlineStr">
        <is>
          <t>OPEN_INT</t>
        </is>
      </c>
      <c r="OM3" s="9" t="inlineStr">
        <is>
          <t>IVOL_MID</t>
        </is>
      </c>
      <c r="ON3" s="9" t="inlineStr">
        <is>
          <t>IVOL_BID</t>
        </is>
      </c>
      <c r="OO3" s="9" t="inlineStr">
        <is>
          <t>IVOL_ASK</t>
        </is>
      </c>
      <c r="OP3" s="9" t="inlineStr">
        <is>
          <t>DELTA_MID</t>
        </is>
      </c>
      <c r="OQ3" s="9" t="inlineStr">
        <is>
          <t>GAMMA_MID</t>
        </is>
      </c>
      <c r="OR3" s="9" t="inlineStr">
        <is>
          <t>VEGA_MID</t>
        </is>
      </c>
      <c r="OS3" s="9" t="inlineStr">
        <is>
          <t>THETA_MID</t>
        </is>
      </c>
      <c r="OT3" s="9" t="inlineStr">
        <is>
          <t>OPT_UNDL_PX</t>
        </is>
      </c>
      <c r="OV3" s="9" t="inlineStr">
        <is>
          <t>Date</t>
        </is>
      </c>
      <c r="OW3" s="9" t="inlineStr">
        <is>
          <t>PX_BID</t>
        </is>
      </c>
      <c r="OX3" s="9" t="inlineStr">
        <is>
          <t>PX_ASK</t>
        </is>
      </c>
      <c r="OY3" s="9" t="inlineStr">
        <is>
          <t>PX_MID</t>
        </is>
      </c>
      <c r="OZ3" s="9" t="inlineStr">
        <is>
          <t>PX_LAST</t>
        </is>
      </c>
      <c r="PA3" s="9" t="inlineStr">
        <is>
          <t>PX_SETTLE</t>
        </is>
      </c>
      <c r="PB3" s="9" t="inlineStr">
        <is>
          <t>PX_VOLUME</t>
        </is>
      </c>
      <c r="PC3" s="9" t="inlineStr">
        <is>
          <t>OPEN_INT</t>
        </is>
      </c>
      <c r="PD3" s="9" t="inlineStr">
        <is>
          <t>IVOL_MID</t>
        </is>
      </c>
      <c r="PE3" s="9" t="inlineStr">
        <is>
          <t>IVOL_BID</t>
        </is>
      </c>
      <c r="PF3" s="9" t="inlineStr">
        <is>
          <t>IVOL_ASK</t>
        </is>
      </c>
      <c r="PG3" s="9" t="inlineStr">
        <is>
          <t>DELTA_MID</t>
        </is>
      </c>
      <c r="PH3" s="9" t="inlineStr">
        <is>
          <t>GAMMA_MID</t>
        </is>
      </c>
      <c r="PI3" s="9" t="inlineStr">
        <is>
          <t>VEGA_MID</t>
        </is>
      </c>
      <c r="PJ3" s="9" t="inlineStr">
        <is>
          <t>THETA_MID</t>
        </is>
      </c>
      <c r="PK3" s="9" t="inlineStr">
        <is>
          <t>OPT_UNDL_PX</t>
        </is>
      </c>
      <c r="PM3" s="9" t="inlineStr">
        <is>
          <t>Date</t>
        </is>
      </c>
      <c r="PN3" s="9" t="inlineStr">
        <is>
          <t>PX_BID</t>
        </is>
      </c>
      <c r="PO3" s="9" t="inlineStr">
        <is>
          <t>PX_ASK</t>
        </is>
      </c>
      <c r="PP3" s="9" t="inlineStr">
        <is>
          <t>PX_MID</t>
        </is>
      </c>
      <c r="PQ3" s="9" t="inlineStr">
        <is>
          <t>PX_LAST</t>
        </is>
      </c>
      <c r="PR3" s="9" t="inlineStr">
        <is>
          <t>PX_SETTLE</t>
        </is>
      </c>
      <c r="PS3" s="9" t="inlineStr">
        <is>
          <t>PX_VOLUME</t>
        </is>
      </c>
      <c r="PT3" s="9" t="inlineStr">
        <is>
          <t>OPEN_INT</t>
        </is>
      </c>
      <c r="PU3" s="9" t="inlineStr">
        <is>
          <t>IVOL_MID</t>
        </is>
      </c>
      <c r="PV3" s="9" t="inlineStr">
        <is>
          <t>IVOL_BID</t>
        </is>
      </c>
      <c r="PW3" s="9" t="inlineStr">
        <is>
          <t>IVOL_ASK</t>
        </is>
      </c>
      <c r="PX3" s="9" t="inlineStr">
        <is>
          <t>DELTA_MID</t>
        </is>
      </c>
      <c r="PY3" s="9" t="inlineStr">
        <is>
          <t>GAMMA_MID</t>
        </is>
      </c>
      <c r="PZ3" s="9" t="inlineStr">
        <is>
          <t>VEGA_MID</t>
        </is>
      </c>
      <c r="QA3" s="9" t="inlineStr">
        <is>
          <t>THETA_MID</t>
        </is>
      </c>
      <c r="QB3" s="9" t="inlineStr">
        <is>
          <t>OPT_UNDL_PX</t>
        </is>
      </c>
      <c r="QD3" s="9" t="inlineStr">
        <is>
          <t>Date</t>
        </is>
      </c>
      <c r="QE3" s="9" t="inlineStr">
        <is>
          <t>PX_BID</t>
        </is>
      </c>
      <c r="QF3" s="9" t="inlineStr">
        <is>
          <t>PX_ASK</t>
        </is>
      </c>
      <c r="QG3" s="9" t="inlineStr">
        <is>
          <t>PX_MID</t>
        </is>
      </c>
      <c r="QH3" s="9" t="inlineStr">
        <is>
          <t>PX_LAST</t>
        </is>
      </c>
      <c r="QI3" s="9" t="inlineStr">
        <is>
          <t>PX_SETTLE</t>
        </is>
      </c>
      <c r="QJ3" s="9" t="inlineStr">
        <is>
          <t>PX_VOLUME</t>
        </is>
      </c>
      <c r="QK3" s="9" t="inlineStr">
        <is>
          <t>OPEN_INT</t>
        </is>
      </c>
      <c r="QL3" s="9" t="inlineStr">
        <is>
          <t>IVOL_MID</t>
        </is>
      </c>
      <c r="QM3" s="9" t="inlineStr">
        <is>
          <t>IVOL_BID</t>
        </is>
      </c>
      <c r="QN3" s="9" t="inlineStr">
        <is>
          <t>IVOL_ASK</t>
        </is>
      </c>
      <c r="QO3" s="9" t="inlineStr">
        <is>
          <t>DELTA_MID</t>
        </is>
      </c>
      <c r="QP3" s="9" t="inlineStr">
        <is>
          <t>GAMMA_MID</t>
        </is>
      </c>
      <c r="QQ3" s="9" t="inlineStr">
        <is>
          <t>VEGA_MID</t>
        </is>
      </c>
      <c r="QR3" s="9" t="inlineStr">
        <is>
          <t>THETA_MID</t>
        </is>
      </c>
      <c r="QS3" s="9" t="inlineStr">
        <is>
          <t>OPT_UNDL_PX</t>
        </is>
      </c>
      <c r="QU3" s="9" t="inlineStr">
        <is>
          <t>Date</t>
        </is>
      </c>
      <c r="QV3" s="9" t="inlineStr">
        <is>
          <t>PX_BID</t>
        </is>
      </c>
      <c r="QW3" s="9" t="inlineStr">
        <is>
          <t>PX_ASK</t>
        </is>
      </c>
      <c r="QX3" s="9" t="inlineStr">
        <is>
          <t>PX_MID</t>
        </is>
      </c>
      <c r="QY3" s="9" t="inlineStr">
        <is>
          <t>PX_LAST</t>
        </is>
      </c>
      <c r="QZ3" s="9" t="inlineStr">
        <is>
          <t>PX_SETTLE</t>
        </is>
      </c>
      <c r="RA3" s="9" t="inlineStr">
        <is>
          <t>PX_VOLUME</t>
        </is>
      </c>
      <c r="RB3" s="9" t="inlineStr">
        <is>
          <t>OPEN_INT</t>
        </is>
      </c>
      <c r="RC3" s="9" t="inlineStr">
        <is>
          <t>IVOL_MID</t>
        </is>
      </c>
      <c r="RD3" s="9" t="inlineStr">
        <is>
          <t>IVOL_BID</t>
        </is>
      </c>
      <c r="RE3" s="9" t="inlineStr">
        <is>
          <t>IVOL_ASK</t>
        </is>
      </c>
      <c r="RF3" s="9" t="inlineStr">
        <is>
          <t>DELTA_MID</t>
        </is>
      </c>
      <c r="RG3" s="9" t="inlineStr">
        <is>
          <t>GAMMA_MID</t>
        </is>
      </c>
      <c r="RH3" s="9" t="inlineStr">
        <is>
          <t>VEGA_MID</t>
        </is>
      </c>
      <c r="RI3" s="9" t="inlineStr">
        <is>
          <t>THETA_MID</t>
        </is>
      </c>
      <c r="RJ3" s="9" t="inlineStr">
        <is>
          <t>OPT_UNDL_PX</t>
        </is>
      </c>
      <c r="RL3" s="9" t="inlineStr">
        <is>
          <t>Date</t>
        </is>
      </c>
      <c r="RM3" s="9" t="inlineStr">
        <is>
          <t>PX_BID</t>
        </is>
      </c>
      <c r="RN3" s="9" t="inlineStr">
        <is>
          <t>PX_ASK</t>
        </is>
      </c>
      <c r="RO3" s="9" t="inlineStr">
        <is>
          <t>PX_MID</t>
        </is>
      </c>
      <c r="RP3" s="9" t="inlineStr">
        <is>
          <t>PX_LAST</t>
        </is>
      </c>
      <c r="RQ3" s="9" t="inlineStr">
        <is>
          <t>PX_SETTLE</t>
        </is>
      </c>
      <c r="RR3" s="9" t="inlineStr">
        <is>
          <t>PX_VOLUME</t>
        </is>
      </c>
      <c r="RS3" s="9" t="inlineStr">
        <is>
          <t>OPEN_INT</t>
        </is>
      </c>
      <c r="RT3" s="9" t="inlineStr">
        <is>
          <t>IVOL_MID</t>
        </is>
      </c>
      <c r="RU3" s="9" t="inlineStr">
        <is>
          <t>IVOL_BID</t>
        </is>
      </c>
      <c r="RV3" s="9" t="inlineStr">
        <is>
          <t>IVOL_ASK</t>
        </is>
      </c>
      <c r="RW3" s="9" t="inlineStr">
        <is>
          <t>DELTA_MID</t>
        </is>
      </c>
      <c r="RX3" s="9" t="inlineStr">
        <is>
          <t>GAMMA_MID</t>
        </is>
      </c>
      <c r="RY3" s="9" t="inlineStr">
        <is>
          <t>VEGA_MID</t>
        </is>
      </c>
      <c r="RZ3" s="9" t="inlineStr">
        <is>
          <t>THETA_MID</t>
        </is>
      </c>
      <c r="SA3" s="9" t="inlineStr">
        <is>
          <t>OPT_UNDL_PX</t>
        </is>
      </c>
      <c r="SC3" s="9" t="inlineStr">
        <is>
          <t>Date</t>
        </is>
      </c>
      <c r="SD3" s="9" t="inlineStr">
        <is>
          <t>PX_BID</t>
        </is>
      </c>
      <c r="SE3" s="9" t="inlineStr">
        <is>
          <t>PX_ASK</t>
        </is>
      </c>
      <c r="SF3" s="9" t="inlineStr">
        <is>
          <t>PX_MID</t>
        </is>
      </c>
      <c r="SG3" s="9" t="inlineStr">
        <is>
          <t>PX_LAST</t>
        </is>
      </c>
      <c r="SH3" s="9" t="inlineStr">
        <is>
          <t>PX_SETTLE</t>
        </is>
      </c>
      <c r="SI3" s="9" t="inlineStr">
        <is>
          <t>PX_VOLUME</t>
        </is>
      </c>
      <c r="SJ3" s="9" t="inlineStr">
        <is>
          <t>OPEN_INT</t>
        </is>
      </c>
      <c r="SK3" s="9" t="inlineStr">
        <is>
          <t>IVOL_MID</t>
        </is>
      </c>
      <c r="SL3" s="9" t="inlineStr">
        <is>
          <t>IVOL_BID</t>
        </is>
      </c>
      <c r="SM3" s="9" t="inlineStr">
        <is>
          <t>IVOL_ASK</t>
        </is>
      </c>
      <c r="SN3" s="9" t="inlineStr">
        <is>
          <t>DELTA_MID</t>
        </is>
      </c>
      <c r="SO3" s="9" t="inlineStr">
        <is>
          <t>GAMMA_MID</t>
        </is>
      </c>
      <c r="SP3" s="9" t="inlineStr">
        <is>
          <t>VEGA_MID</t>
        </is>
      </c>
      <c r="SQ3" s="9" t="inlineStr">
        <is>
          <t>THETA_MID</t>
        </is>
      </c>
      <c r="SR3" s="9" t="inlineStr">
        <is>
          <t>OPT_UNDL_PX</t>
        </is>
      </c>
      <c r="ST3" s="9" t="inlineStr">
        <is>
          <t>Date</t>
        </is>
      </c>
      <c r="SU3" s="9" t="inlineStr">
        <is>
          <t>PX_BID</t>
        </is>
      </c>
      <c r="SV3" s="9" t="inlineStr">
        <is>
          <t>PX_ASK</t>
        </is>
      </c>
      <c r="SW3" s="9" t="inlineStr">
        <is>
          <t>PX_MID</t>
        </is>
      </c>
      <c r="SX3" s="9" t="inlineStr">
        <is>
          <t>PX_LAST</t>
        </is>
      </c>
      <c r="SY3" s="9" t="inlineStr">
        <is>
          <t>PX_SETTLE</t>
        </is>
      </c>
      <c r="SZ3" s="9" t="inlineStr">
        <is>
          <t>PX_VOLUME</t>
        </is>
      </c>
      <c r="TA3" s="9" t="inlineStr">
        <is>
          <t>OPEN_INT</t>
        </is>
      </c>
      <c r="TB3" s="9" t="inlineStr">
        <is>
          <t>IVOL_MID</t>
        </is>
      </c>
      <c r="TC3" s="9" t="inlineStr">
        <is>
          <t>IVOL_BID</t>
        </is>
      </c>
      <c r="TD3" s="9" t="inlineStr">
        <is>
          <t>IVOL_ASK</t>
        </is>
      </c>
      <c r="TE3" s="9" t="inlineStr">
        <is>
          <t>DELTA_MID</t>
        </is>
      </c>
      <c r="TF3" s="9" t="inlineStr">
        <is>
          <t>GAMMA_MID</t>
        </is>
      </c>
      <c r="TG3" s="9" t="inlineStr">
        <is>
          <t>VEGA_MID</t>
        </is>
      </c>
      <c r="TH3" s="9" t="inlineStr">
        <is>
          <t>THETA_MID</t>
        </is>
      </c>
      <c r="TI3" s="9" t="inlineStr">
        <is>
          <t>OPT_UNDL_PX</t>
        </is>
      </c>
      <c r="TK3" s="9" t="inlineStr">
        <is>
          <t>Date</t>
        </is>
      </c>
      <c r="TL3" s="9" t="inlineStr">
        <is>
          <t>PX_BID</t>
        </is>
      </c>
      <c r="TM3" s="9" t="inlineStr">
        <is>
          <t>PX_ASK</t>
        </is>
      </c>
      <c r="TN3" s="9" t="inlineStr">
        <is>
          <t>PX_MID</t>
        </is>
      </c>
      <c r="TO3" s="9" t="inlineStr">
        <is>
          <t>PX_LAST</t>
        </is>
      </c>
      <c r="TP3" s="9" t="inlineStr">
        <is>
          <t>PX_SETTLE</t>
        </is>
      </c>
      <c r="TQ3" s="9" t="inlineStr">
        <is>
          <t>PX_VOLUME</t>
        </is>
      </c>
      <c r="TR3" s="9" t="inlineStr">
        <is>
          <t>OPEN_INT</t>
        </is>
      </c>
      <c r="TS3" s="9" t="inlineStr">
        <is>
          <t>IVOL_MID</t>
        </is>
      </c>
      <c r="TT3" s="9" t="inlineStr">
        <is>
          <t>IVOL_BID</t>
        </is>
      </c>
      <c r="TU3" s="9" t="inlineStr">
        <is>
          <t>IVOL_ASK</t>
        </is>
      </c>
      <c r="TV3" s="9" t="inlineStr">
        <is>
          <t>DELTA_MID</t>
        </is>
      </c>
      <c r="TW3" s="9" t="inlineStr">
        <is>
          <t>GAMMA_MID</t>
        </is>
      </c>
      <c r="TX3" s="9" t="inlineStr">
        <is>
          <t>VEGA_MID</t>
        </is>
      </c>
      <c r="TY3" s="9" t="inlineStr">
        <is>
          <t>THETA_MID</t>
        </is>
      </c>
      <c r="TZ3" s="9" t="inlineStr">
        <is>
          <t>OPT_UNDL_PX</t>
        </is>
      </c>
      <c r="UB3" s="9" t="inlineStr">
        <is>
          <t>Date</t>
        </is>
      </c>
      <c r="UC3" s="9" t="inlineStr">
        <is>
          <t>PX_BID</t>
        </is>
      </c>
      <c r="UD3" s="9" t="inlineStr">
        <is>
          <t>PX_ASK</t>
        </is>
      </c>
      <c r="UE3" s="9" t="inlineStr">
        <is>
          <t>PX_MID</t>
        </is>
      </c>
      <c r="UF3" s="9" t="inlineStr">
        <is>
          <t>PX_LAST</t>
        </is>
      </c>
      <c r="UG3" s="9" t="inlineStr">
        <is>
          <t>PX_SETTLE</t>
        </is>
      </c>
      <c r="UH3" s="9" t="inlineStr">
        <is>
          <t>PX_VOLUME</t>
        </is>
      </c>
      <c r="UI3" s="9" t="inlineStr">
        <is>
          <t>OPEN_INT</t>
        </is>
      </c>
      <c r="UJ3" s="9" t="inlineStr">
        <is>
          <t>IVOL_MID</t>
        </is>
      </c>
      <c r="UK3" s="9" t="inlineStr">
        <is>
          <t>IVOL_BID</t>
        </is>
      </c>
      <c r="UL3" s="9" t="inlineStr">
        <is>
          <t>IVOL_ASK</t>
        </is>
      </c>
      <c r="UM3" s="9" t="inlineStr">
        <is>
          <t>DELTA_MID</t>
        </is>
      </c>
      <c r="UN3" s="9" t="inlineStr">
        <is>
          <t>GAMMA_MID</t>
        </is>
      </c>
      <c r="UO3" s="9" t="inlineStr">
        <is>
          <t>VEGA_MID</t>
        </is>
      </c>
      <c r="UP3" s="9" t="inlineStr">
        <is>
          <t>THETA_MID</t>
        </is>
      </c>
      <c r="UQ3" s="9" t="inlineStr">
        <is>
          <t>OPT_UNDL_PX</t>
        </is>
      </c>
      <c r="US3" s="9" t="inlineStr">
        <is>
          <t>Date</t>
        </is>
      </c>
      <c r="UT3" s="9" t="inlineStr">
        <is>
          <t>PX_BID</t>
        </is>
      </c>
      <c r="UU3" s="9" t="inlineStr">
        <is>
          <t>PX_ASK</t>
        </is>
      </c>
      <c r="UV3" s="9" t="inlineStr">
        <is>
          <t>PX_MID</t>
        </is>
      </c>
      <c r="UW3" s="9" t="inlineStr">
        <is>
          <t>PX_LAST</t>
        </is>
      </c>
      <c r="UX3" s="9" t="inlineStr">
        <is>
          <t>PX_SETTLE</t>
        </is>
      </c>
      <c r="UY3" s="9" t="inlineStr">
        <is>
          <t>PX_VOLUME</t>
        </is>
      </c>
      <c r="UZ3" s="9" t="inlineStr">
        <is>
          <t>OPEN_INT</t>
        </is>
      </c>
      <c r="VA3" s="9" t="inlineStr">
        <is>
          <t>IVOL_MID</t>
        </is>
      </c>
      <c r="VB3" s="9" t="inlineStr">
        <is>
          <t>IVOL_BID</t>
        </is>
      </c>
      <c r="VC3" s="9" t="inlineStr">
        <is>
          <t>IVOL_ASK</t>
        </is>
      </c>
      <c r="VD3" s="9" t="inlineStr">
        <is>
          <t>DELTA_MID</t>
        </is>
      </c>
      <c r="VE3" s="9" t="inlineStr">
        <is>
          <t>GAMMA_MID</t>
        </is>
      </c>
      <c r="VF3" s="9" t="inlineStr">
        <is>
          <t>VEGA_MID</t>
        </is>
      </c>
      <c r="VG3" s="9" t="inlineStr">
        <is>
          <t>THETA_MID</t>
        </is>
      </c>
      <c r="VH3" s="9" t="inlineStr">
        <is>
          <t>OPT_UNDL_PX</t>
        </is>
      </c>
    </row>
    <row r="4">
      <c r="A4" s="2" t="inlineStr">
        <is>
          <t>Year in ticker</t>
        </is>
      </c>
      <c r="B4" s="4">
        <f>IF(B2&lt;Settings!$B$5,TEXT(MOD(Settings!$B$3,100),"00"),TEXT(MOD(Settings!$B$3,10),"0"))</f>
        <v/>
      </c>
      <c r="D4" s="4">
        <f>BDH(D$1,E$3:S$3,$B$9,$B$10,"Dir=V","Dts=S","Sort=A","Days=T","Fill=B")</f>
        <v/>
      </c>
      <c r="U4" s="4">
        <f>BDH(U$1,V$3:AJ$3,$B$9,$B$10,"Dir=V","Dts=S","Sort=A","Days=T","Fill=B")</f>
        <v/>
      </c>
      <c r="AL4" s="4">
        <f>BDH(AL$1,AM$3:BA$3,$B$9,$B$10,"Dir=V","Dts=S","Sort=A","Days=T","Fill=B")</f>
        <v/>
      </c>
      <c r="BC4" s="4">
        <f>BDH(BC$1,BD$3:BR$3,$B$9,$B$10,"Dir=V","Dts=S","Sort=A","Days=T","Fill=B")</f>
        <v/>
      </c>
      <c r="BT4" s="4">
        <f>BDH(BT$1,BU$3:CI$3,$B$9,$B$10,"Dir=V","Dts=S","Sort=A","Days=T","Fill=B")</f>
        <v/>
      </c>
      <c r="CK4" s="4">
        <f>BDH(CK$1,CL$3:CZ$3,$B$9,$B$10,"Dir=V","Dts=S","Sort=A","Days=T","Fill=B")</f>
        <v/>
      </c>
      <c r="DB4" s="4">
        <f>BDH(DB$1,DC$3:DQ$3,$B$9,$B$10,"Dir=V","Dts=S","Sort=A","Days=T","Fill=B")</f>
        <v/>
      </c>
      <c r="DS4" s="4">
        <f>BDH(DS$1,DT$3:EH$3,$B$9,$B$10,"Dir=V","Dts=S","Sort=A","Days=T","Fill=B")</f>
        <v/>
      </c>
      <c r="EJ4" s="4">
        <f>BDH(EJ$1,EK$3:EY$3,$B$9,$B$10,"Dir=V","Dts=S","Sort=A","Days=T","Fill=B")</f>
        <v/>
      </c>
      <c r="FA4" s="4">
        <f>BDH(FA$1,FB$3:FP$3,$B$9,$B$10,"Dir=V","Dts=S","Sort=A","Days=T","Fill=B")</f>
        <v/>
      </c>
      <c r="FR4" s="4">
        <f>BDH(FR$1,FS$3:GG$3,$B$9,$B$10,"Dir=V","Dts=S","Sort=A","Days=T","Fill=B")</f>
        <v/>
      </c>
      <c r="GI4" s="4">
        <f>BDH(GI$1,GJ$3:GX$3,$B$9,$B$10,"Dir=V","Dts=S","Sort=A","Days=T","Fill=B")</f>
        <v/>
      </c>
      <c r="GZ4" s="4">
        <f>BDH(GZ$1,HA$3:HO$3,$B$9,$B$10,"Dir=V","Dts=S","Sort=A","Days=T","Fill=B")</f>
        <v/>
      </c>
      <c r="HQ4" s="4">
        <f>BDH(HQ$1,HR$3:IF$3,$B$9,$B$10,"Dir=V","Dts=S","Sort=A","Days=T","Fill=B")</f>
        <v/>
      </c>
      <c r="IH4" s="4">
        <f>BDH(IH$1,II$3:IW$3,$B$9,$B$10,"Dir=V","Dts=S","Sort=A","Days=T","Fill=B")</f>
        <v/>
      </c>
      <c r="IY4" s="4">
        <f>BDH(IY$1,IZ$3:JN$3,$B$9,$B$10,"Dir=V","Dts=S","Sort=A","Days=T","Fill=B")</f>
        <v/>
      </c>
      <c r="JP4" s="4">
        <f>BDH(JP$1,JQ$3:KE$3,$B$9,$B$10,"Dir=V","Dts=S","Sort=A","Days=T","Fill=B")</f>
        <v/>
      </c>
      <c r="KG4" s="4">
        <f>BDH(KG$1,KH$3:KV$3,$B$9,$B$10,"Dir=V","Dts=S","Sort=A","Days=T","Fill=B")</f>
        <v/>
      </c>
      <c r="KX4" s="4">
        <f>BDH(KX$1,KY$3:LM$3,$B$9,$B$10,"Dir=V","Dts=S","Sort=A","Days=T","Fill=B")</f>
        <v/>
      </c>
      <c r="LO4" s="4">
        <f>BDH(LO$1,LP$3:MD$3,$B$9,$B$10,"Dir=V","Dts=S","Sort=A","Days=T","Fill=B")</f>
        <v/>
      </c>
      <c r="MF4" s="4">
        <f>BDH(MF$1,MG$3:MU$3,$B$9,$B$10,"Dir=V","Dts=S","Sort=A","Days=T","Fill=B")</f>
        <v/>
      </c>
      <c r="MW4" s="4">
        <f>BDH(MW$1,MX$3:NL$3,$B$9,$B$10,"Dir=V","Dts=S","Sort=A","Days=T","Fill=B")</f>
        <v/>
      </c>
      <c r="NN4" s="4">
        <f>BDH(NN$1,NO$3:OC$3,$B$9,$B$10,"Dir=V","Dts=S","Sort=A","Days=T","Fill=B")</f>
        <v/>
      </c>
      <c r="OE4" s="4">
        <f>BDH(OE$1,OF$3:OT$3,$B$9,$B$10,"Dir=V","Dts=S","Sort=A","Days=T","Fill=B")</f>
        <v/>
      </c>
      <c r="OV4" s="4">
        <f>BDH(OV$1,OW$3:PK$3,$B$9,$B$10,"Dir=V","Dts=S","Sort=A","Days=T","Fill=B")</f>
        <v/>
      </c>
      <c r="PM4" s="4">
        <f>BDH(PM$1,PN$3:QB$3,$B$9,$B$10,"Dir=V","Dts=S","Sort=A","Days=T","Fill=B")</f>
        <v/>
      </c>
      <c r="QD4" s="4">
        <f>BDH(QD$1,QE$3:QS$3,$B$9,$B$10,"Dir=V","Dts=S","Sort=A","Days=T","Fill=B")</f>
        <v/>
      </c>
      <c r="QU4" s="4">
        <f>BDH(QU$1,QV$3:RJ$3,$B$9,$B$10,"Dir=V","Dts=S","Sort=A","Days=T","Fill=B")</f>
        <v/>
      </c>
      <c r="RL4" s="4">
        <f>BDH(RL$1,RM$3:SA$3,$B$9,$B$10,"Dir=V","Dts=S","Sort=A","Days=T","Fill=B")</f>
        <v/>
      </c>
      <c r="SC4" s="4">
        <f>BDH(SC$1,SD$3:SR$3,$B$9,$B$10,"Dir=V","Dts=S","Sort=A","Days=T","Fill=B")</f>
        <v/>
      </c>
      <c r="ST4" s="4">
        <f>BDH(ST$1,SU$3:TI$3,$B$9,$B$10,"Dir=V","Dts=S","Sort=A","Days=T","Fill=B")</f>
        <v/>
      </c>
      <c r="TK4" s="4">
        <f>BDH(TK$1,TL$3:TZ$3,$B$9,$B$10,"Dir=V","Dts=S","Sort=A","Days=T","Fill=B")</f>
        <v/>
      </c>
      <c r="UB4" s="4">
        <f>BDH(UB$1,UC$3:UQ$3,$B$9,$B$10,"Dir=V","Dts=S","Sort=A","Days=T","Fill=B")</f>
        <v/>
      </c>
      <c r="US4" s="4">
        <f>BDH(US$1,UT$3:VH$3,$B$9,$B$10,"Dir=V","Dts=S","Sort=A","Days=T","Fill=B")</f>
        <v/>
      </c>
    </row>
    <row r="5">
      <c r="A5" s="2" t="inlineStr">
        <is>
          <t>Futures ticker</t>
        </is>
      </c>
      <c r="B5" s="4">
        <f>"CL"&amp;MID("FGHJKMNQUVXZ",B1,1)&amp;B4&amp;" Comdty"</f>
        <v/>
      </c>
    </row>
    <row r="6">
      <c r="A6" s="2" t="inlineStr">
        <is>
          <t>Strike reference date</t>
        </is>
      </c>
      <c r="B6" s="8">
        <f>B3-45</f>
        <v/>
      </c>
    </row>
    <row r="7">
      <c r="A7" s="2" t="inlineStr">
        <is>
          <t>Futures price on that date</t>
        </is>
      </c>
      <c r="B7" s="10">
        <f>BDH(B5,"PX_LAST",B6,B6,"Days=A","Fill=P","Dts=H")</f>
        <v/>
      </c>
    </row>
    <row r="8">
      <c r="A8" s="2" t="inlineStr">
        <is>
          <t>ATM strike</t>
        </is>
      </c>
      <c r="B8" s="7">
        <f>ROUND(B7,0)</f>
        <v/>
      </c>
    </row>
    <row r="9">
      <c r="A9" s="2" t="inlineStr">
        <is>
          <t>History start</t>
        </is>
      </c>
      <c r="B9" s="8">
        <f>B3-100</f>
        <v/>
      </c>
    </row>
    <row r="10">
      <c r="A10" s="2" t="inlineStr">
        <is>
          <t>History end</t>
        </is>
      </c>
      <c r="B10" s="8">
        <f>B3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H1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  <col width="12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1" customWidth="1" min="383" max="383"/>
    <col width="11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1" customWidth="1" min="389" max="389"/>
    <col width="11" customWidth="1" min="390" max="390"/>
    <col width="10" customWidth="1" min="391" max="391"/>
    <col width="11" customWidth="1" min="392" max="392"/>
    <col width="13" customWidth="1" min="393" max="393"/>
    <col width="12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1" customWidth="1" min="400" max="400"/>
    <col width="11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1" customWidth="1" min="406" max="406"/>
    <col width="11" customWidth="1" min="407" max="407"/>
    <col width="10" customWidth="1" min="408" max="408"/>
    <col width="11" customWidth="1" min="409" max="409"/>
    <col width="13" customWidth="1" min="410" max="410"/>
    <col width="12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1" customWidth="1" min="417" max="417"/>
    <col width="11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1" customWidth="1" min="423" max="423"/>
    <col width="11" customWidth="1" min="424" max="424"/>
    <col width="10" customWidth="1" min="425" max="425"/>
    <col width="11" customWidth="1" min="426" max="426"/>
    <col width="13" customWidth="1" min="427" max="427"/>
    <col width="12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1" customWidth="1" min="434" max="434"/>
    <col width="11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1" customWidth="1" min="440" max="440"/>
    <col width="11" customWidth="1" min="441" max="441"/>
    <col width="10" customWidth="1" min="442" max="442"/>
    <col width="11" customWidth="1" min="443" max="443"/>
    <col width="13" customWidth="1" min="444" max="444"/>
    <col width="12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1" customWidth="1" min="451" max="451"/>
    <col width="11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1" customWidth="1" min="457" max="457"/>
    <col width="11" customWidth="1" min="458" max="458"/>
    <col width="10" customWidth="1" min="459" max="459"/>
    <col width="11" customWidth="1" min="460" max="460"/>
    <col width="13" customWidth="1" min="461" max="461"/>
    <col width="12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1" customWidth="1" min="468" max="468"/>
    <col width="11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1" customWidth="1" min="474" max="474"/>
    <col width="11" customWidth="1" min="475" max="475"/>
    <col width="10" customWidth="1" min="476" max="476"/>
    <col width="11" customWidth="1" min="477" max="477"/>
    <col width="13" customWidth="1" min="478" max="478"/>
    <col width="12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1" customWidth="1" min="485" max="485"/>
    <col width="11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1" customWidth="1" min="491" max="491"/>
    <col width="11" customWidth="1" min="492" max="492"/>
    <col width="10" customWidth="1" min="493" max="493"/>
    <col width="11" customWidth="1" min="494" max="494"/>
    <col width="13" customWidth="1" min="495" max="495"/>
    <col width="12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1" customWidth="1" min="502" max="502"/>
    <col width="11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1" customWidth="1" min="508" max="508"/>
    <col width="11" customWidth="1" min="509" max="509"/>
    <col width="10" customWidth="1" min="510" max="510"/>
    <col width="11" customWidth="1" min="511" max="511"/>
    <col width="13" customWidth="1" min="512" max="512"/>
    <col width="12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1" customWidth="1" min="519" max="519"/>
    <col width="11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1" customWidth="1" min="525" max="525"/>
    <col width="11" customWidth="1" min="526" max="526"/>
    <col width="10" customWidth="1" min="527" max="527"/>
    <col width="11" customWidth="1" min="528" max="528"/>
    <col width="13" customWidth="1" min="529" max="529"/>
    <col width="12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1" customWidth="1" min="536" max="536"/>
    <col width="11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1" customWidth="1" min="542" max="542"/>
    <col width="11" customWidth="1" min="543" max="543"/>
    <col width="10" customWidth="1" min="544" max="544"/>
    <col width="11" customWidth="1" min="545" max="545"/>
    <col width="13" customWidth="1" min="546" max="546"/>
    <col width="12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1" customWidth="1" min="553" max="553"/>
    <col width="11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1" customWidth="1" min="559" max="559"/>
    <col width="11" customWidth="1" min="560" max="560"/>
    <col width="10" customWidth="1" min="561" max="561"/>
    <col width="11" customWidth="1" min="562" max="562"/>
    <col width="13" customWidth="1" min="563" max="563"/>
    <col width="12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1" customWidth="1" min="570" max="570"/>
    <col width="11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1" customWidth="1" min="576" max="576"/>
    <col width="11" customWidth="1" min="577" max="577"/>
    <col width="10" customWidth="1" min="578" max="578"/>
    <col width="11" customWidth="1" min="579" max="579"/>
    <col width="13" customWidth="1" min="580" max="580"/>
  </cols>
  <sheetData>
    <row r="1">
      <c r="A1" s="2" t="inlineStr">
        <is>
          <t>Contract month</t>
        </is>
      </c>
      <c r="B1" s="7" t="n">
        <v>10</v>
      </c>
      <c r="D1" s="4">
        <f>"CL"&amp;MID("FGHJKMNQUVXZ",B$1,1)&amp;B$4&amp;"C "&amp;IF(Settings!$B$4=2,TEXT((B$8-8),"0.00"),(B$8-8))&amp;" Comdty"</f>
        <v/>
      </c>
      <c r="U1" s="4">
        <f>"CL"&amp;MID("FGHJKMNQUVXZ",B$1,1)&amp;B$4&amp;"P "&amp;IF(Settings!$B$4=2,TEXT((B$8-8),"0.00"),(B$8-8))&amp;" Comdty"</f>
        <v/>
      </c>
      <c r="AL1" s="4">
        <f>"CL"&amp;MID("FGHJKMNQUVXZ",B$1,1)&amp;B$4&amp;"C "&amp;IF(Settings!$B$4=2,TEXT((B$8-7),"0.00"),(B$8-7))&amp;" Comdty"</f>
        <v/>
      </c>
      <c r="BC1" s="4">
        <f>"CL"&amp;MID("FGHJKMNQUVXZ",B$1,1)&amp;B$4&amp;"P "&amp;IF(Settings!$B$4=2,TEXT((B$8-7),"0.00"),(B$8-7))&amp;" Comdty"</f>
        <v/>
      </c>
      <c r="BT1" s="4">
        <f>"CL"&amp;MID("FGHJKMNQUVXZ",B$1,1)&amp;B$4&amp;"C "&amp;IF(Settings!$B$4=2,TEXT((B$8-6),"0.00"),(B$8-6))&amp;" Comdty"</f>
        <v/>
      </c>
      <c r="CK1" s="4">
        <f>"CL"&amp;MID("FGHJKMNQUVXZ",B$1,1)&amp;B$4&amp;"P "&amp;IF(Settings!$B$4=2,TEXT((B$8-6),"0.00"),(B$8-6))&amp;" Comdty"</f>
        <v/>
      </c>
      <c r="DB1" s="4">
        <f>"CL"&amp;MID("FGHJKMNQUVXZ",B$1,1)&amp;B$4&amp;"C "&amp;IF(Settings!$B$4=2,TEXT((B$8-5),"0.00"),(B$8-5))&amp;" Comdty"</f>
        <v/>
      </c>
      <c r="DS1" s="4">
        <f>"CL"&amp;MID("FGHJKMNQUVXZ",B$1,1)&amp;B$4&amp;"P "&amp;IF(Settings!$B$4=2,TEXT((B$8-5),"0.00"),(B$8-5))&amp;" Comdty"</f>
        <v/>
      </c>
      <c r="EJ1" s="4">
        <f>"CL"&amp;MID("FGHJKMNQUVXZ",B$1,1)&amp;B$4&amp;"C "&amp;IF(Settings!$B$4=2,TEXT((B$8-4),"0.00"),(B$8-4))&amp;" Comdty"</f>
        <v/>
      </c>
      <c r="FA1" s="4">
        <f>"CL"&amp;MID("FGHJKMNQUVXZ",B$1,1)&amp;B$4&amp;"P "&amp;IF(Settings!$B$4=2,TEXT((B$8-4),"0.00"),(B$8-4))&amp;" Comdty"</f>
        <v/>
      </c>
      <c r="FR1" s="4">
        <f>"CL"&amp;MID("FGHJKMNQUVXZ",B$1,1)&amp;B$4&amp;"C "&amp;IF(Settings!$B$4=2,TEXT((B$8-3),"0.00"),(B$8-3))&amp;" Comdty"</f>
        <v/>
      </c>
      <c r="GI1" s="4">
        <f>"CL"&amp;MID("FGHJKMNQUVXZ",B$1,1)&amp;B$4&amp;"P "&amp;IF(Settings!$B$4=2,TEXT((B$8-3),"0.00"),(B$8-3))&amp;" Comdty"</f>
        <v/>
      </c>
      <c r="GZ1" s="4">
        <f>"CL"&amp;MID("FGHJKMNQUVXZ",B$1,1)&amp;B$4&amp;"C "&amp;IF(Settings!$B$4=2,TEXT((B$8-2),"0.00"),(B$8-2))&amp;" Comdty"</f>
        <v/>
      </c>
      <c r="HQ1" s="4">
        <f>"CL"&amp;MID("FGHJKMNQUVXZ",B$1,1)&amp;B$4&amp;"P "&amp;IF(Settings!$B$4=2,TEXT((B$8-2),"0.00"),(B$8-2))&amp;" Comdty"</f>
        <v/>
      </c>
      <c r="IH1" s="4">
        <f>"CL"&amp;MID("FGHJKMNQUVXZ",B$1,1)&amp;B$4&amp;"C "&amp;IF(Settings!$B$4=2,TEXT((B$8-1),"0.00"),(B$8-1))&amp;" Comdty"</f>
        <v/>
      </c>
      <c r="IY1" s="4">
        <f>"CL"&amp;MID("FGHJKMNQUVXZ",B$1,1)&amp;B$4&amp;"P "&amp;IF(Settings!$B$4=2,TEXT((B$8-1),"0.00"),(B$8-1))&amp;" Comdty"</f>
        <v/>
      </c>
      <c r="JP1" s="4">
        <f>"CL"&amp;MID("FGHJKMNQUVXZ",B$1,1)&amp;B$4&amp;"C "&amp;IF(Settings!$B$4=2,TEXT(B$8,"0.00"),B$8)&amp;" Comdty"</f>
        <v/>
      </c>
      <c r="KG1" s="4">
        <f>"CL"&amp;MID("FGHJKMNQUVXZ",B$1,1)&amp;B$4&amp;"P "&amp;IF(Settings!$B$4=2,TEXT(B$8,"0.00"),B$8)&amp;" Comdty"</f>
        <v/>
      </c>
      <c r="KX1" s="4">
        <f>"CL"&amp;MID("FGHJKMNQUVXZ",B$1,1)&amp;B$4&amp;"C "&amp;IF(Settings!$B$4=2,TEXT((B$8+1),"0.00"),(B$8+1))&amp;" Comdty"</f>
        <v/>
      </c>
      <c r="LO1" s="4">
        <f>"CL"&amp;MID("FGHJKMNQUVXZ",B$1,1)&amp;B$4&amp;"P "&amp;IF(Settings!$B$4=2,TEXT((B$8+1),"0.00"),(B$8+1))&amp;" Comdty"</f>
        <v/>
      </c>
      <c r="MF1" s="4">
        <f>"CL"&amp;MID("FGHJKMNQUVXZ",B$1,1)&amp;B$4&amp;"C "&amp;IF(Settings!$B$4=2,TEXT((B$8+2),"0.00"),(B$8+2))&amp;" Comdty"</f>
        <v/>
      </c>
      <c r="MW1" s="4">
        <f>"CL"&amp;MID("FGHJKMNQUVXZ",B$1,1)&amp;B$4&amp;"P "&amp;IF(Settings!$B$4=2,TEXT((B$8+2),"0.00"),(B$8+2))&amp;" Comdty"</f>
        <v/>
      </c>
      <c r="NN1" s="4">
        <f>"CL"&amp;MID("FGHJKMNQUVXZ",B$1,1)&amp;B$4&amp;"C "&amp;IF(Settings!$B$4=2,TEXT((B$8+3),"0.00"),(B$8+3))&amp;" Comdty"</f>
        <v/>
      </c>
      <c r="OE1" s="4">
        <f>"CL"&amp;MID("FGHJKMNQUVXZ",B$1,1)&amp;B$4&amp;"P "&amp;IF(Settings!$B$4=2,TEXT((B$8+3),"0.00"),(B$8+3))&amp;" Comdty"</f>
        <v/>
      </c>
      <c r="OV1" s="4">
        <f>"CL"&amp;MID("FGHJKMNQUVXZ",B$1,1)&amp;B$4&amp;"C "&amp;IF(Settings!$B$4=2,TEXT((B$8+4),"0.00"),(B$8+4))&amp;" Comdty"</f>
        <v/>
      </c>
      <c r="PM1" s="4">
        <f>"CL"&amp;MID("FGHJKMNQUVXZ",B$1,1)&amp;B$4&amp;"P "&amp;IF(Settings!$B$4=2,TEXT((B$8+4),"0.00"),(B$8+4))&amp;" Comdty"</f>
        <v/>
      </c>
      <c r="QD1" s="4">
        <f>"CL"&amp;MID("FGHJKMNQUVXZ",B$1,1)&amp;B$4&amp;"C "&amp;IF(Settings!$B$4=2,TEXT((B$8+5),"0.00"),(B$8+5))&amp;" Comdty"</f>
        <v/>
      </c>
      <c r="QU1" s="4">
        <f>"CL"&amp;MID("FGHJKMNQUVXZ",B$1,1)&amp;B$4&amp;"P "&amp;IF(Settings!$B$4=2,TEXT((B$8+5),"0.00"),(B$8+5))&amp;" Comdty"</f>
        <v/>
      </c>
      <c r="RL1" s="4">
        <f>"CL"&amp;MID("FGHJKMNQUVXZ",B$1,1)&amp;B$4&amp;"C "&amp;IF(Settings!$B$4=2,TEXT((B$8+6),"0.00"),(B$8+6))&amp;" Comdty"</f>
        <v/>
      </c>
      <c r="SC1" s="4">
        <f>"CL"&amp;MID("FGHJKMNQUVXZ",B$1,1)&amp;B$4&amp;"P "&amp;IF(Settings!$B$4=2,TEXT((B$8+6),"0.00"),(B$8+6))&amp;" Comdty"</f>
        <v/>
      </c>
      <c r="ST1" s="4">
        <f>"CL"&amp;MID("FGHJKMNQUVXZ",B$1,1)&amp;B$4&amp;"C "&amp;IF(Settings!$B$4=2,TEXT((B$8+7),"0.00"),(B$8+7))&amp;" Comdty"</f>
        <v/>
      </c>
      <c r="TK1" s="4">
        <f>"CL"&amp;MID("FGHJKMNQUVXZ",B$1,1)&amp;B$4&amp;"P "&amp;IF(Settings!$B$4=2,TEXT((B$8+7),"0.00"),(B$8+7))&amp;" Comdty"</f>
        <v/>
      </c>
      <c r="UB1" s="4">
        <f>"CL"&amp;MID("FGHJKMNQUVXZ",B$1,1)&amp;B$4&amp;"C "&amp;IF(Settings!$B$4=2,TEXT((B$8+8),"0.00"),(B$8+8))&amp;" Comdty"</f>
        <v/>
      </c>
      <c r="US1" s="4">
        <f>"CL"&amp;MID("FGHJKMNQUVXZ",B$1,1)&amp;B$4&amp;"P "&amp;IF(Settings!$B$4=2,TEXT((B$8+8),"0.00"),(B$8+8))&amp;" Comdty"</f>
        <v/>
      </c>
    </row>
    <row r="2">
      <c r="A2" s="2" t="inlineStr">
        <is>
          <t>Futures last trade</t>
        </is>
      </c>
      <c r="B2" s="8">
        <f>WORKDAY(DATE(Settings!$B$3,B1-1,25),-3)</f>
        <v/>
      </c>
      <c r="D2" s="4" t="inlineStr">
        <is>
          <t>call -8 from ATM</t>
        </is>
      </c>
      <c r="U2" s="4" t="inlineStr">
        <is>
          <t>put -8 from ATM</t>
        </is>
      </c>
      <c r="AL2" s="4" t="inlineStr">
        <is>
          <t>call -7 from ATM</t>
        </is>
      </c>
      <c r="BC2" s="4" t="inlineStr">
        <is>
          <t>put -7 from ATM</t>
        </is>
      </c>
      <c r="BT2" s="4" t="inlineStr">
        <is>
          <t>call -6 from ATM</t>
        </is>
      </c>
      <c r="CK2" s="4" t="inlineStr">
        <is>
          <t>put -6 from ATM</t>
        </is>
      </c>
      <c r="DB2" s="4" t="inlineStr">
        <is>
          <t>call -5 from ATM</t>
        </is>
      </c>
      <c r="DS2" s="4" t="inlineStr">
        <is>
          <t>put -5 from ATM</t>
        </is>
      </c>
      <c r="EJ2" s="4" t="inlineStr">
        <is>
          <t>call -4 from ATM</t>
        </is>
      </c>
      <c r="FA2" s="4" t="inlineStr">
        <is>
          <t>put -4 from ATM</t>
        </is>
      </c>
      <c r="FR2" s="4" t="inlineStr">
        <is>
          <t>call -3 from ATM</t>
        </is>
      </c>
      <c r="GI2" s="4" t="inlineStr">
        <is>
          <t>put -3 from ATM</t>
        </is>
      </c>
      <c r="GZ2" s="4" t="inlineStr">
        <is>
          <t>call -2 from ATM</t>
        </is>
      </c>
      <c r="HQ2" s="4" t="inlineStr">
        <is>
          <t>put -2 from ATM</t>
        </is>
      </c>
      <c r="IH2" s="4" t="inlineStr">
        <is>
          <t>call -1 from ATM</t>
        </is>
      </c>
      <c r="IY2" s="4" t="inlineStr">
        <is>
          <t>put -1 from ATM</t>
        </is>
      </c>
      <c r="JP2" s="4" t="inlineStr">
        <is>
          <t>call +0 from ATM</t>
        </is>
      </c>
      <c r="KG2" s="4" t="inlineStr">
        <is>
          <t>put +0 from ATM</t>
        </is>
      </c>
      <c r="KX2" s="4" t="inlineStr">
        <is>
          <t>call +1 from ATM</t>
        </is>
      </c>
      <c r="LO2" s="4" t="inlineStr">
        <is>
          <t>put +1 from ATM</t>
        </is>
      </c>
      <c r="MF2" s="4" t="inlineStr">
        <is>
          <t>call +2 from ATM</t>
        </is>
      </c>
      <c r="MW2" s="4" t="inlineStr">
        <is>
          <t>put +2 from ATM</t>
        </is>
      </c>
      <c r="NN2" s="4" t="inlineStr">
        <is>
          <t>call +3 from ATM</t>
        </is>
      </c>
      <c r="OE2" s="4" t="inlineStr">
        <is>
          <t>put +3 from ATM</t>
        </is>
      </c>
      <c r="OV2" s="4" t="inlineStr">
        <is>
          <t>call +4 from ATM</t>
        </is>
      </c>
      <c r="PM2" s="4" t="inlineStr">
        <is>
          <t>put +4 from ATM</t>
        </is>
      </c>
      <c r="QD2" s="4" t="inlineStr">
        <is>
          <t>call +5 from ATM</t>
        </is>
      </c>
      <c r="QU2" s="4" t="inlineStr">
        <is>
          <t>put +5 from ATM</t>
        </is>
      </c>
      <c r="RL2" s="4" t="inlineStr">
        <is>
          <t>call +6 from ATM</t>
        </is>
      </c>
      <c r="SC2" s="4" t="inlineStr">
        <is>
          <t>put +6 from ATM</t>
        </is>
      </c>
      <c r="ST2" s="4" t="inlineStr">
        <is>
          <t>call +7 from ATM</t>
        </is>
      </c>
      <c r="TK2" s="4" t="inlineStr">
        <is>
          <t>put +7 from ATM</t>
        </is>
      </c>
      <c r="UB2" s="4" t="inlineStr">
        <is>
          <t>call +8 from ATM</t>
        </is>
      </c>
      <c r="US2" s="4" t="inlineStr">
        <is>
          <t>put +8 from ATM</t>
        </is>
      </c>
    </row>
    <row r="3">
      <c r="A3" s="2" t="inlineStr">
        <is>
          <t>Option expiry (approx)</t>
        </is>
      </c>
      <c r="B3" s="8">
        <f>WORKDAY(B2,-1)</f>
        <v/>
      </c>
      <c r="D3" s="9" t="inlineStr">
        <is>
          <t>Date</t>
        </is>
      </c>
      <c r="E3" s="9" t="inlineStr">
        <is>
          <t>PX_BID</t>
        </is>
      </c>
      <c r="F3" s="9" t="inlineStr">
        <is>
          <t>PX_ASK</t>
        </is>
      </c>
      <c r="G3" s="9" t="inlineStr">
        <is>
          <t>PX_MID</t>
        </is>
      </c>
      <c r="H3" s="9" t="inlineStr">
        <is>
          <t>PX_LAST</t>
        </is>
      </c>
      <c r="I3" s="9" t="inlineStr">
        <is>
          <t>PX_SETTLE</t>
        </is>
      </c>
      <c r="J3" s="9" t="inlineStr">
        <is>
          <t>PX_VOLUME</t>
        </is>
      </c>
      <c r="K3" s="9" t="inlineStr">
        <is>
          <t>OPEN_INT</t>
        </is>
      </c>
      <c r="L3" s="9" t="inlineStr">
        <is>
          <t>IVOL_MID</t>
        </is>
      </c>
      <c r="M3" s="9" t="inlineStr">
        <is>
          <t>IVOL_BID</t>
        </is>
      </c>
      <c r="N3" s="9" t="inlineStr">
        <is>
          <t>IVOL_ASK</t>
        </is>
      </c>
      <c r="O3" s="9" t="inlineStr">
        <is>
          <t>DELTA_MID</t>
        </is>
      </c>
      <c r="P3" s="9" t="inlineStr">
        <is>
          <t>GAMMA_MID</t>
        </is>
      </c>
      <c r="Q3" s="9" t="inlineStr">
        <is>
          <t>VEGA_MID</t>
        </is>
      </c>
      <c r="R3" s="9" t="inlineStr">
        <is>
          <t>THETA_MID</t>
        </is>
      </c>
      <c r="S3" s="9" t="inlineStr">
        <is>
          <t>OPT_UNDL_PX</t>
        </is>
      </c>
      <c r="U3" s="9" t="inlineStr">
        <is>
          <t>Date</t>
        </is>
      </c>
      <c r="V3" s="9" t="inlineStr">
        <is>
          <t>PX_BID</t>
        </is>
      </c>
      <c r="W3" s="9" t="inlineStr">
        <is>
          <t>PX_ASK</t>
        </is>
      </c>
      <c r="X3" s="9" t="inlineStr">
        <is>
          <t>PX_MID</t>
        </is>
      </c>
      <c r="Y3" s="9" t="inlineStr">
        <is>
          <t>PX_LAST</t>
        </is>
      </c>
      <c r="Z3" s="9" t="inlineStr">
        <is>
          <t>PX_SETTLE</t>
        </is>
      </c>
      <c r="AA3" s="9" t="inlineStr">
        <is>
          <t>PX_VOLUME</t>
        </is>
      </c>
      <c r="AB3" s="9" t="inlineStr">
        <is>
          <t>OPEN_INT</t>
        </is>
      </c>
      <c r="AC3" s="9" t="inlineStr">
        <is>
          <t>IVOL_MID</t>
        </is>
      </c>
      <c r="AD3" s="9" t="inlineStr">
        <is>
          <t>IVOL_BID</t>
        </is>
      </c>
      <c r="AE3" s="9" t="inlineStr">
        <is>
          <t>IVOL_ASK</t>
        </is>
      </c>
      <c r="AF3" s="9" t="inlineStr">
        <is>
          <t>DELTA_MID</t>
        </is>
      </c>
      <c r="AG3" s="9" t="inlineStr">
        <is>
          <t>GAMMA_MID</t>
        </is>
      </c>
      <c r="AH3" s="9" t="inlineStr">
        <is>
          <t>VEGA_MID</t>
        </is>
      </c>
      <c r="AI3" s="9" t="inlineStr">
        <is>
          <t>THETA_MID</t>
        </is>
      </c>
      <c r="AJ3" s="9" t="inlineStr">
        <is>
          <t>OPT_UNDL_PX</t>
        </is>
      </c>
      <c r="AL3" s="9" t="inlineStr">
        <is>
          <t>Date</t>
        </is>
      </c>
      <c r="AM3" s="9" t="inlineStr">
        <is>
          <t>PX_BID</t>
        </is>
      </c>
      <c r="AN3" s="9" t="inlineStr">
        <is>
          <t>PX_ASK</t>
        </is>
      </c>
      <c r="AO3" s="9" t="inlineStr">
        <is>
          <t>PX_MID</t>
        </is>
      </c>
      <c r="AP3" s="9" t="inlineStr">
        <is>
          <t>PX_LAST</t>
        </is>
      </c>
      <c r="AQ3" s="9" t="inlineStr">
        <is>
          <t>PX_SETTLE</t>
        </is>
      </c>
      <c r="AR3" s="9" t="inlineStr">
        <is>
          <t>PX_VOLUME</t>
        </is>
      </c>
      <c r="AS3" s="9" t="inlineStr">
        <is>
          <t>OPEN_INT</t>
        </is>
      </c>
      <c r="AT3" s="9" t="inlineStr">
        <is>
          <t>IVOL_MID</t>
        </is>
      </c>
      <c r="AU3" s="9" t="inlineStr">
        <is>
          <t>IVOL_BID</t>
        </is>
      </c>
      <c r="AV3" s="9" t="inlineStr">
        <is>
          <t>IVOL_ASK</t>
        </is>
      </c>
      <c r="AW3" s="9" t="inlineStr">
        <is>
          <t>DELTA_MID</t>
        </is>
      </c>
      <c r="AX3" s="9" t="inlineStr">
        <is>
          <t>GAMMA_MID</t>
        </is>
      </c>
      <c r="AY3" s="9" t="inlineStr">
        <is>
          <t>VEGA_MID</t>
        </is>
      </c>
      <c r="AZ3" s="9" t="inlineStr">
        <is>
          <t>THETA_MID</t>
        </is>
      </c>
      <c r="BA3" s="9" t="inlineStr">
        <is>
          <t>OPT_UNDL_PX</t>
        </is>
      </c>
      <c r="BC3" s="9" t="inlineStr">
        <is>
          <t>Date</t>
        </is>
      </c>
      <c r="BD3" s="9" t="inlineStr">
        <is>
          <t>PX_BID</t>
        </is>
      </c>
      <c r="BE3" s="9" t="inlineStr">
        <is>
          <t>PX_ASK</t>
        </is>
      </c>
      <c r="BF3" s="9" t="inlineStr">
        <is>
          <t>PX_MID</t>
        </is>
      </c>
      <c r="BG3" s="9" t="inlineStr">
        <is>
          <t>PX_LAST</t>
        </is>
      </c>
      <c r="BH3" s="9" t="inlineStr">
        <is>
          <t>PX_SETTLE</t>
        </is>
      </c>
      <c r="BI3" s="9" t="inlineStr">
        <is>
          <t>PX_VOLUME</t>
        </is>
      </c>
      <c r="BJ3" s="9" t="inlineStr">
        <is>
          <t>OPEN_INT</t>
        </is>
      </c>
      <c r="BK3" s="9" t="inlineStr">
        <is>
          <t>IVOL_MID</t>
        </is>
      </c>
      <c r="BL3" s="9" t="inlineStr">
        <is>
          <t>IVOL_BID</t>
        </is>
      </c>
      <c r="BM3" s="9" t="inlineStr">
        <is>
          <t>IVOL_ASK</t>
        </is>
      </c>
      <c r="BN3" s="9" t="inlineStr">
        <is>
          <t>DELTA_MID</t>
        </is>
      </c>
      <c r="BO3" s="9" t="inlineStr">
        <is>
          <t>GAMMA_MID</t>
        </is>
      </c>
      <c r="BP3" s="9" t="inlineStr">
        <is>
          <t>VEGA_MID</t>
        </is>
      </c>
      <c r="BQ3" s="9" t="inlineStr">
        <is>
          <t>THETA_MID</t>
        </is>
      </c>
      <c r="BR3" s="9" t="inlineStr">
        <is>
          <t>OPT_UNDL_PX</t>
        </is>
      </c>
      <c r="BT3" s="9" t="inlineStr">
        <is>
          <t>Date</t>
        </is>
      </c>
      <c r="BU3" s="9" t="inlineStr">
        <is>
          <t>PX_BID</t>
        </is>
      </c>
      <c r="BV3" s="9" t="inlineStr">
        <is>
          <t>PX_ASK</t>
        </is>
      </c>
      <c r="BW3" s="9" t="inlineStr">
        <is>
          <t>PX_MID</t>
        </is>
      </c>
      <c r="BX3" s="9" t="inlineStr">
        <is>
          <t>PX_LAST</t>
        </is>
      </c>
      <c r="BY3" s="9" t="inlineStr">
        <is>
          <t>PX_SETTLE</t>
        </is>
      </c>
      <c r="BZ3" s="9" t="inlineStr">
        <is>
          <t>PX_VOLUME</t>
        </is>
      </c>
      <c r="CA3" s="9" t="inlineStr">
        <is>
          <t>OPEN_INT</t>
        </is>
      </c>
      <c r="CB3" s="9" t="inlineStr">
        <is>
          <t>IVOL_MID</t>
        </is>
      </c>
      <c r="CC3" s="9" t="inlineStr">
        <is>
          <t>IVOL_BID</t>
        </is>
      </c>
      <c r="CD3" s="9" t="inlineStr">
        <is>
          <t>IVOL_ASK</t>
        </is>
      </c>
      <c r="CE3" s="9" t="inlineStr">
        <is>
          <t>DELTA_MID</t>
        </is>
      </c>
      <c r="CF3" s="9" t="inlineStr">
        <is>
          <t>GAMMA_MID</t>
        </is>
      </c>
      <c r="CG3" s="9" t="inlineStr">
        <is>
          <t>VEGA_MID</t>
        </is>
      </c>
      <c r="CH3" s="9" t="inlineStr">
        <is>
          <t>THETA_MID</t>
        </is>
      </c>
      <c r="CI3" s="9" t="inlineStr">
        <is>
          <t>OPT_UNDL_PX</t>
        </is>
      </c>
      <c r="CK3" s="9" t="inlineStr">
        <is>
          <t>Date</t>
        </is>
      </c>
      <c r="CL3" s="9" t="inlineStr">
        <is>
          <t>PX_BID</t>
        </is>
      </c>
      <c r="CM3" s="9" t="inlineStr">
        <is>
          <t>PX_ASK</t>
        </is>
      </c>
      <c r="CN3" s="9" t="inlineStr">
        <is>
          <t>PX_MID</t>
        </is>
      </c>
      <c r="CO3" s="9" t="inlineStr">
        <is>
          <t>PX_LAST</t>
        </is>
      </c>
      <c r="CP3" s="9" t="inlineStr">
        <is>
          <t>PX_SETTLE</t>
        </is>
      </c>
      <c r="CQ3" s="9" t="inlineStr">
        <is>
          <t>PX_VOLUME</t>
        </is>
      </c>
      <c r="CR3" s="9" t="inlineStr">
        <is>
          <t>OPEN_INT</t>
        </is>
      </c>
      <c r="CS3" s="9" t="inlineStr">
        <is>
          <t>IVOL_MID</t>
        </is>
      </c>
      <c r="CT3" s="9" t="inlineStr">
        <is>
          <t>IVOL_BID</t>
        </is>
      </c>
      <c r="CU3" s="9" t="inlineStr">
        <is>
          <t>IVOL_ASK</t>
        </is>
      </c>
      <c r="CV3" s="9" t="inlineStr">
        <is>
          <t>DELTA_MID</t>
        </is>
      </c>
      <c r="CW3" s="9" t="inlineStr">
        <is>
          <t>GAMMA_MID</t>
        </is>
      </c>
      <c r="CX3" s="9" t="inlineStr">
        <is>
          <t>VEGA_MID</t>
        </is>
      </c>
      <c r="CY3" s="9" t="inlineStr">
        <is>
          <t>THETA_MID</t>
        </is>
      </c>
      <c r="CZ3" s="9" t="inlineStr">
        <is>
          <t>OPT_UNDL_PX</t>
        </is>
      </c>
      <c r="DB3" s="9" t="inlineStr">
        <is>
          <t>Date</t>
        </is>
      </c>
      <c r="DC3" s="9" t="inlineStr">
        <is>
          <t>PX_BID</t>
        </is>
      </c>
      <c r="DD3" s="9" t="inlineStr">
        <is>
          <t>PX_ASK</t>
        </is>
      </c>
      <c r="DE3" s="9" t="inlineStr">
        <is>
          <t>PX_MID</t>
        </is>
      </c>
      <c r="DF3" s="9" t="inlineStr">
        <is>
          <t>PX_LAST</t>
        </is>
      </c>
      <c r="DG3" s="9" t="inlineStr">
        <is>
          <t>PX_SETTLE</t>
        </is>
      </c>
      <c r="DH3" s="9" t="inlineStr">
        <is>
          <t>PX_VOLUME</t>
        </is>
      </c>
      <c r="DI3" s="9" t="inlineStr">
        <is>
          <t>OPEN_INT</t>
        </is>
      </c>
      <c r="DJ3" s="9" t="inlineStr">
        <is>
          <t>IVOL_MID</t>
        </is>
      </c>
      <c r="DK3" s="9" t="inlineStr">
        <is>
          <t>IVOL_BID</t>
        </is>
      </c>
      <c r="DL3" s="9" t="inlineStr">
        <is>
          <t>IVOL_ASK</t>
        </is>
      </c>
      <c r="DM3" s="9" t="inlineStr">
        <is>
          <t>DELTA_MID</t>
        </is>
      </c>
      <c r="DN3" s="9" t="inlineStr">
        <is>
          <t>GAMMA_MID</t>
        </is>
      </c>
      <c r="DO3" s="9" t="inlineStr">
        <is>
          <t>VEGA_MID</t>
        </is>
      </c>
      <c r="DP3" s="9" t="inlineStr">
        <is>
          <t>THETA_MID</t>
        </is>
      </c>
      <c r="DQ3" s="9" t="inlineStr">
        <is>
          <t>OPT_UNDL_PX</t>
        </is>
      </c>
      <c r="DS3" s="9" t="inlineStr">
        <is>
          <t>Date</t>
        </is>
      </c>
      <c r="DT3" s="9" t="inlineStr">
        <is>
          <t>PX_BID</t>
        </is>
      </c>
      <c r="DU3" s="9" t="inlineStr">
        <is>
          <t>PX_ASK</t>
        </is>
      </c>
      <c r="DV3" s="9" t="inlineStr">
        <is>
          <t>PX_MID</t>
        </is>
      </c>
      <c r="DW3" s="9" t="inlineStr">
        <is>
          <t>PX_LAST</t>
        </is>
      </c>
      <c r="DX3" s="9" t="inlineStr">
        <is>
          <t>PX_SETTLE</t>
        </is>
      </c>
      <c r="DY3" s="9" t="inlineStr">
        <is>
          <t>PX_VOLUME</t>
        </is>
      </c>
      <c r="DZ3" s="9" t="inlineStr">
        <is>
          <t>OPEN_INT</t>
        </is>
      </c>
      <c r="EA3" s="9" t="inlineStr">
        <is>
          <t>IVOL_MID</t>
        </is>
      </c>
      <c r="EB3" s="9" t="inlineStr">
        <is>
          <t>IVOL_BID</t>
        </is>
      </c>
      <c r="EC3" s="9" t="inlineStr">
        <is>
          <t>IVOL_ASK</t>
        </is>
      </c>
      <c r="ED3" s="9" t="inlineStr">
        <is>
          <t>DELTA_MID</t>
        </is>
      </c>
      <c r="EE3" s="9" t="inlineStr">
        <is>
          <t>GAMMA_MID</t>
        </is>
      </c>
      <c r="EF3" s="9" t="inlineStr">
        <is>
          <t>VEGA_MID</t>
        </is>
      </c>
      <c r="EG3" s="9" t="inlineStr">
        <is>
          <t>THETA_MID</t>
        </is>
      </c>
      <c r="EH3" s="9" t="inlineStr">
        <is>
          <t>OPT_UNDL_PX</t>
        </is>
      </c>
      <c r="EJ3" s="9" t="inlineStr">
        <is>
          <t>Date</t>
        </is>
      </c>
      <c r="EK3" s="9" t="inlineStr">
        <is>
          <t>PX_BID</t>
        </is>
      </c>
      <c r="EL3" s="9" t="inlineStr">
        <is>
          <t>PX_ASK</t>
        </is>
      </c>
      <c r="EM3" s="9" t="inlineStr">
        <is>
          <t>PX_MID</t>
        </is>
      </c>
      <c r="EN3" s="9" t="inlineStr">
        <is>
          <t>PX_LAST</t>
        </is>
      </c>
      <c r="EO3" s="9" t="inlineStr">
        <is>
          <t>PX_SETTLE</t>
        </is>
      </c>
      <c r="EP3" s="9" t="inlineStr">
        <is>
          <t>PX_VOLUME</t>
        </is>
      </c>
      <c r="EQ3" s="9" t="inlineStr">
        <is>
          <t>OPEN_INT</t>
        </is>
      </c>
      <c r="ER3" s="9" t="inlineStr">
        <is>
          <t>IVOL_MID</t>
        </is>
      </c>
      <c r="ES3" s="9" t="inlineStr">
        <is>
          <t>IVOL_BID</t>
        </is>
      </c>
      <c r="ET3" s="9" t="inlineStr">
        <is>
          <t>IVOL_ASK</t>
        </is>
      </c>
      <c r="EU3" s="9" t="inlineStr">
        <is>
          <t>DELTA_MID</t>
        </is>
      </c>
      <c r="EV3" s="9" t="inlineStr">
        <is>
          <t>GAMMA_MID</t>
        </is>
      </c>
      <c r="EW3" s="9" t="inlineStr">
        <is>
          <t>VEGA_MID</t>
        </is>
      </c>
      <c r="EX3" s="9" t="inlineStr">
        <is>
          <t>THETA_MID</t>
        </is>
      </c>
      <c r="EY3" s="9" t="inlineStr">
        <is>
          <t>OPT_UNDL_PX</t>
        </is>
      </c>
      <c r="FA3" s="9" t="inlineStr">
        <is>
          <t>Date</t>
        </is>
      </c>
      <c r="FB3" s="9" t="inlineStr">
        <is>
          <t>PX_BID</t>
        </is>
      </c>
      <c r="FC3" s="9" t="inlineStr">
        <is>
          <t>PX_ASK</t>
        </is>
      </c>
      <c r="FD3" s="9" t="inlineStr">
        <is>
          <t>PX_MID</t>
        </is>
      </c>
      <c r="FE3" s="9" t="inlineStr">
        <is>
          <t>PX_LAST</t>
        </is>
      </c>
      <c r="FF3" s="9" t="inlineStr">
        <is>
          <t>PX_SETTLE</t>
        </is>
      </c>
      <c r="FG3" s="9" t="inlineStr">
        <is>
          <t>PX_VOLUME</t>
        </is>
      </c>
      <c r="FH3" s="9" t="inlineStr">
        <is>
          <t>OPEN_INT</t>
        </is>
      </c>
      <c r="FI3" s="9" t="inlineStr">
        <is>
          <t>IVOL_MID</t>
        </is>
      </c>
      <c r="FJ3" s="9" t="inlineStr">
        <is>
          <t>IVOL_BID</t>
        </is>
      </c>
      <c r="FK3" s="9" t="inlineStr">
        <is>
          <t>IVOL_ASK</t>
        </is>
      </c>
      <c r="FL3" s="9" t="inlineStr">
        <is>
          <t>DELTA_MID</t>
        </is>
      </c>
      <c r="FM3" s="9" t="inlineStr">
        <is>
          <t>GAMMA_MID</t>
        </is>
      </c>
      <c r="FN3" s="9" t="inlineStr">
        <is>
          <t>VEGA_MID</t>
        </is>
      </c>
      <c r="FO3" s="9" t="inlineStr">
        <is>
          <t>THETA_MID</t>
        </is>
      </c>
      <c r="FP3" s="9" t="inlineStr">
        <is>
          <t>OPT_UNDL_PX</t>
        </is>
      </c>
      <c r="FR3" s="9" t="inlineStr">
        <is>
          <t>Date</t>
        </is>
      </c>
      <c r="FS3" s="9" t="inlineStr">
        <is>
          <t>PX_BID</t>
        </is>
      </c>
      <c r="FT3" s="9" t="inlineStr">
        <is>
          <t>PX_ASK</t>
        </is>
      </c>
      <c r="FU3" s="9" t="inlineStr">
        <is>
          <t>PX_MID</t>
        </is>
      </c>
      <c r="FV3" s="9" t="inlineStr">
        <is>
          <t>PX_LAST</t>
        </is>
      </c>
      <c r="FW3" s="9" t="inlineStr">
        <is>
          <t>PX_SETTLE</t>
        </is>
      </c>
      <c r="FX3" s="9" t="inlineStr">
        <is>
          <t>PX_VOLUME</t>
        </is>
      </c>
      <c r="FY3" s="9" t="inlineStr">
        <is>
          <t>OPEN_INT</t>
        </is>
      </c>
      <c r="FZ3" s="9" t="inlineStr">
        <is>
          <t>IVOL_MID</t>
        </is>
      </c>
      <c r="GA3" s="9" t="inlineStr">
        <is>
          <t>IVOL_BID</t>
        </is>
      </c>
      <c r="GB3" s="9" t="inlineStr">
        <is>
          <t>IVOL_ASK</t>
        </is>
      </c>
      <c r="GC3" s="9" t="inlineStr">
        <is>
          <t>DELTA_MID</t>
        </is>
      </c>
      <c r="GD3" s="9" t="inlineStr">
        <is>
          <t>GAMMA_MID</t>
        </is>
      </c>
      <c r="GE3" s="9" t="inlineStr">
        <is>
          <t>VEGA_MID</t>
        </is>
      </c>
      <c r="GF3" s="9" t="inlineStr">
        <is>
          <t>THETA_MID</t>
        </is>
      </c>
      <c r="GG3" s="9" t="inlineStr">
        <is>
          <t>OPT_UNDL_PX</t>
        </is>
      </c>
      <c r="GI3" s="9" t="inlineStr">
        <is>
          <t>Date</t>
        </is>
      </c>
      <c r="GJ3" s="9" t="inlineStr">
        <is>
          <t>PX_BID</t>
        </is>
      </c>
      <c r="GK3" s="9" t="inlineStr">
        <is>
          <t>PX_ASK</t>
        </is>
      </c>
      <c r="GL3" s="9" t="inlineStr">
        <is>
          <t>PX_MID</t>
        </is>
      </c>
      <c r="GM3" s="9" t="inlineStr">
        <is>
          <t>PX_LAST</t>
        </is>
      </c>
      <c r="GN3" s="9" t="inlineStr">
        <is>
          <t>PX_SETTLE</t>
        </is>
      </c>
      <c r="GO3" s="9" t="inlineStr">
        <is>
          <t>PX_VOLUME</t>
        </is>
      </c>
      <c r="GP3" s="9" t="inlineStr">
        <is>
          <t>OPEN_INT</t>
        </is>
      </c>
      <c r="GQ3" s="9" t="inlineStr">
        <is>
          <t>IVOL_MID</t>
        </is>
      </c>
      <c r="GR3" s="9" t="inlineStr">
        <is>
          <t>IVOL_BID</t>
        </is>
      </c>
      <c r="GS3" s="9" t="inlineStr">
        <is>
          <t>IVOL_ASK</t>
        </is>
      </c>
      <c r="GT3" s="9" t="inlineStr">
        <is>
          <t>DELTA_MID</t>
        </is>
      </c>
      <c r="GU3" s="9" t="inlineStr">
        <is>
          <t>GAMMA_MID</t>
        </is>
      </c>
      <c r="GV3" s="9" t="inlineStr">
        <is>
          <t>VEGA_MID</t>
        </is>
      </c>
      <c r="GW3" s="9" t="inlineStr">
        <is>
          <t>THETA_MID</t>
        </is>
      </c>
      <c r="GX3" s="9" t="inlineStr">
        <is>
          <t>OPT_UNDL_PX</t>
        </is>
      </c>
      <c r="GZ3" s="9" t="inlineStr">
        <is>
          <t>Date</t>
        </is>
      </c>
      <c r="HA3" s="9" t="inlineStr">
        <is>
          <t>PX_BID</t>
        </is>
      </c>
      <c r="HB3" s="9" t="inlineStr">
        <is>
          <t>PX_ASK</t>
        </is>
      </c>
      <c r="HC3" s="9" t="inlineStr">
        <is>
          <t>PX_MID</t>
        </is>
      </c>
      <c r="HD3" s="9" t="inlineStr">
        <is>
          <t>PX_LAST</t>
        </is>
      </c>
      <c r="HE3" s="9" t="inlineStr">
        <is>
          <t>PX_SETTLE</t>
        </is>
      </c>
      <c r="HF3" s="9" t="inlineStr">
        <is>
          <t>PX_VOLUME</t>
        </is>
      </c>
      <c r="HG3" s="9" t="inlineStr">
        <is>
          <t>OPEN_INT</t>
        </is>
      </c>
      <c r="HH3" s="9" t="inlineStr">
        <is>
          <t>IVOL_MID</t>
        </is>
      </c>
      <c r="HI3" s="9" t="inlineStr">
        <is>
          <t>IVOL_BID</t>
        </is>
      </c>
      <c r="HJ3" s="9" t="inlineStr">
        <is>
          <t>IVOL_ASK</t>
        </is>
      </c>
      <c r="HK3" s="9" t="inlineStr">
        <is>
          <t>DELTA_MID</t>
        </is>
      </c>
      <c r="HL3" s="9" t="inlineStr">
        <is>
          <t>GAMMA_MID</t>
        </is>
      </c>
      <c r="HM3" s="9" t="inlineStr">
        <is>
          <t>VEGA_MID</t>
        </is>
      </c>
      <c r="HN3" s="9" t="inlineStr">
        <is>
          <t>THETA_MID</t>
        </is>
      </c>
      <c r="HO3" s="9" t="inlineStr">
        <is>
          <t>OPT_UNDL_PX</t>
        </is>
      </c>
      <c r="HQ3" s="9" t="inlineStr">
        <is>
          <t>Date</t>
        </is>
      </c>
      <c r="HR3" s="9" t="inlineStr">
        <is>
          <t>PX_BID</t>
        </is>
      </c>
      <c r="HS3" s="9" t="inlineStr">
        <is>
          <t>PX_ASK</t>
        </is>
      </c>
      <c r="HT3" s="9" t="inlineStr">
        <is>
          <t>PX_MID</t>
        </is>
      </c>
      <c r="HU3" s="9" t="inlineStr">
        <is>
          <t>PX_LAST</t>
        </is>
      </c>
      <c r="HV3" s="9" t="inlineStr">
        <is>
          <t>PX_SETTLE</t>
        </is>
      </c>
      <c r="HW3" s="9" t="inlineStr">
        <is>
          <t>PX_VOLUME</t>
        </is>
      </c>
      <c r="HX3" s="9" t="inlineStr">
        <is>
          <t>OPEN_INT</t>
        </is>
      </c>
      <c r="HY3" s="9" t="inlineStr">
        <is>
          <t>IVOL_MID</t>
        </is>
      </c>
      <c r="HZ3" s="9" t="inlineStr">
        <is>
          <t>IVOL_BID</t>
        </is>
      </c>
      <c r="IA3" s="9" t="inlineStr">
        <is>
          <t>IVOL_ASK</t>
        </is>
      </c>
      <c r="IB3" s="9" t="inlineStr">
        <is>
          <t>DELTA_MID</t>
        </is>
      </c>
      <c r="IC3" s="9" t="inlineStr">
        <is>
          <t>GAMMA_MID</t>
        </is>
      </c>
      <c r="ID3" s="9" t="inlineStr">
        <is>
          <t>VEGA_MID</t>
        </is>
      </c>
      <c r="IE3" s="9" t="inlineStr">
        <is>
          <t>THETA_MID</t>
        </is>
      </c>
      <c r="IF3" s="9" t="inlineStr">
        <is>
          <t>OPT_UNDL_PX</t>
        </is>
      </c>
      <c r="IH3" s="9" t="inlineStr">
        <is>
          <t>Date</t>
        </is>
      </c>
      <c r="II3" s="9" t="inlineStr">
        <is>
          <t>PX_BID</t>
        </is>
      </c>
      <c r="IJ3" s="9" t="inlineStr">
        <is>
          <t>PX_ASK</t>
        </is>
      </c>
      <c r="IK3" s="9" t="inlineStr">
        <is>
          <t>PX_MID</t>
        </is>
      </c>
      <c r="IL3" s="9" t="inlineStr">
        <is>
          <t>PX_LAST</t>
        </is>
      </c>
      <c r="IM3" s="9" t="inlineStr">
        <is>
          <t>PX_SETTLE</t>
        </is>
      </c>
      <c r="IN3" s="9" t="inlineStr">
        <is>
          <t>PX_VOLUME</t>
        </is>
      </c>
      <c r="IO3" s="9" t="inlineStr">
        <is>
          <t>OPEN_INT</t>
        </is>
      </c>
      <c r="IP3" s="9" t="inlineStr">
        <is>
          <t>IVOL_MID</t>
        </is>
      </c>
      <c r="IQ3" s="9" t="inlineStr">
        <is>
          <t>IVOL_BID</t>
        </is>
      </c>
      <c r="IR3" s="9" t="inlineStr">
        <is>
          <t>IVOL_ASK</t>
        </is>
      </c>
      <c r="IS3" s="9" t="inlineStr">
        <is>
          <t>DELTA_MID</t>
        </is>
      </c>
      <c r="IT3" s="9" t="inlineStr">
        <is>
          <t>GAMMA_MID</t>
        </is>
      </c>
      <c r="IU3" s="9" t="inlineStr">
        <is>
          <t>VEGA_MID</t>
        </is>
      </c>
      <c r="IV3" s="9" t="inlineStr">
        <is>
          <t>THETA_MID</t>
        </is>
      </c>
      <c r="IW3" s="9" t="inlineStr">
        <is>
          <t>OPT_UNDL_PX</t>
        </is>
      </c>
      <c r="IY3" s="9" t="inlineStr">
        <is>
          <t>Date</t>
        </is>
      </c>
      <c r="IZ3" s="9" t="inlineStr">
        <is>
          <t>PX_BID</t>
        </is>
      </c>
      <c r="JA3" s="9" t="inlineStr">
        <is>
          <t>PX_ASK</t>
        </is>
      </c>
      <c r="JB3" s="9" t="inlineStr">
        <is>
          <t>PX_MID</t>
        </is>
      </c>
      <c r="JC3" s="9" t="inlineStr">
        <is>
          <t>PX_LAST</t>
        </is>
      </c>
      <c r="JD3" s="9" t="inlineStr">
        <is>
          <t>PX_SETTLE</t>
        </is>
      </c>
      <c r="JE3" s="9" t="inlineStr">
        <is>
          <t>PX_VOLUME</t>
        </is>
      </c>
      <c r="JF3" s="9" t="inlineStr">
        <is>
          <t>OPEN_INT</t>
        </is>
      </c>
      <c r="JG3" s="9" t="inlineStr">
        <is>
          <t>IVOL_MID</t>
        </is>
      </c>
      <c r="JH3" s="9" t="inlineStr">
        <is>
          <t>IVOL_BID</t>
        </is>
      </c>
      <c r="JI3" s="9" t="inlineStr">
        <is>
          <t>IVOL_ASK</t>
        </is>
      </c>
      <c r="JJ3" s="9" t="inlineStr">
        <is>
          <t>DELTA_MID</t>
        </is>
      </c>
      <c r="JK3" s="9" t="inlineStr">
        <is>
          <t>GAMMA_MID</t>
        </is>
      </c>
      <c r="JL3" s="9" t="inlineStr">
        <is>
          <t>VEGA_MID</t>
        </is>
      </c>
      <c r="JM3" s="9" t="inlineStr">
        <is>
          <t>THETA_MID</t>
        </is>
      </c>
      <c r="JN3" s="9" t="inlineStr">
        <is>
          <t>OPT_UNDL_PX</t>
        </is>
      </c>
      <c r="JP3" s="9" t="inlineStr">
        <is>
          <t>Date</t>
        </is>
      </c>
      <c r="JQ3" s="9" t="inlineStr">
        <is>
          <t>PX_BID</t>
        </is>
      </c>
      <c r="JR3" s="9" t="inlineStr">
        <is>
          <t>PX_ASK</t>
        </is>
      </c>
      <c r="JS3" s="9" t="inlineStr">
        <is>
          <t>PX_MID</t>
        </is>
      </c>
      <c r="JT3" s="9" t="inlineStr">
        <is>
          <t>PX_LAST</t>
        </is>
      </c>
      <c r="JU3" s="9" t="inlineStr">
        <is>
          <t>PX_SETTLE</t>
        </is>
      </c>
      <c r="JV3" s="9" t="inlineStr">
        <is>
          <t>PX_VOLUME</t>
        </is>
      </c>
      <c r="JW3" s="9" t="inlineStr">
        <is>
          <t>OPEN_INT</t>
        </is>
      </c>
      <c r="JX3" s="9" t="inlineStr">
        <is>
          <t>IVOL_MID</t>
        </is>
      </c>
      <c r="JY3" s="9" t="inlineStr">
        <is>
          <t>IVOL_BID</t>
        </is>
      </c>
      <c r="JZ3" s="9" t="inlineStr">
        <is>
          <t>IVOL_ASK</t>
        </is>
      </c>
      <c r="KA3" s="9" t="inlineStr">
        <is>
          <t>DELTA_MID</t>
        </is>
      </c>
      <c r="KB3" s="9" t="inlineStr">
        <is>
          <t>GAMMA_MID</t>
        </is>
      </c>
      <c r="KC3" s="9" t="inlineStr">
        <is>
          <t>VEGA_MID</t>
        </is>
      </c>
      <c r="KD3" s="9" t="inlineStr">
        <is>
          <t>THETA_MID</t>
        </is>
      </c>
      <c r="KE3" s="9" t="inlineStr">
        <is>
          <t>OPT_UNDL_PX</t>
        </is>
      </c>
      <c r="KG3" s="9" t="inlineStr">
        <is>
          <t>Date</t>
        </is>
      </c>
      <c r="KH3" s="9" t="inlineStr">
        <is>
          <t>PX_BID</t>
        </is>
      </c>
      <c r="KI3" s="9" t="inlineStr">
        <is>
          <t>PX_ASK</t>
        </is>
      </c>
      <c r="KJ3" s="9" t="inlineStr">
        <is>
          <t>PX_MID</t>
        </is>
      </c>
      <c r="KK3" s="9" t="inlineStr">
        <is>
          <t>PX_LAST</t>
        </is>
      </c>
      <c r="KL3" s="9" t="inlineStr">
        <is>
          <t>PX_SETTLE</t>
        </is>
      </c>
      <c r="KM3" s="9" t="inlineStr">
        <is>
          <t>PX_VOLUME</t>
        </is>
      </c>
      <c r="KN3" s="9" t="inlineStr">
        <is>
          <t>OPEN_INT</t>
        </is>
      </c>
      <c r="KO3" s="9" t="inlineStr">
        <is>
          <t>IVOL_MID</t>
        </is>
      </c>
      <c r="KP3" s="9" t="inlineStr">
        <is>
          <t>IVOL_BID</t>
        </is>
      </c>
      <c r="KQ3" s="9" t="inlineStr">
        <is>
          <t>IVOL_ASK</t>
        </is>
      </c>
      <c r="KR3" s="9" t="inlineStr">
        <is>
          <t>DELTA_MID</t>
        </is>
      </c>
      <c r="KS3" s="9" t="inlineStr">
        <is>
          <t>GAMMA_MID</t>
        </is>
      </c>
      <c r="KT3" s="9" t="inlineStr">
        <is>
          <t>VEGA_MID</t>
        </is>
      </c>
      <c r="KU3" s="9" t="inlineStr">
        <is>
          <t>THETA_MID</t>
        </is>
      </c>
      <c r="KV3" s="9" t="inlineStr">
        <is>
          <t>OPT_UNDL_PX</t>
        </is>
      </c>
      <c r="KX3" s="9" t="inlineStr">
        <is>
          <t>Date</t>
        </is>
      </c>
      <c r="KY3" s="9" t="inlineStr">
        <is>
          <t>PX_BID</t>
        </is>
      </c>
      <c r="KZ3" s="9" t="inlineStr">
        <is>
          <t>PX_ASK</t>
        </is>
      </c>
      <c r="LA3" s="9" t="inlineStr">
        <is>
          <t>PX_MID</t>
        </is>
      </c>
      <c r="LB3" s="9" t="inlineStr">
        <is>
          <t>PX_LAST</t>
        </is>
      </c>
      <c r="LC3" s="9" t="inlineStr">
        <is>
          <t>PX_SETTLE</t>
        </is>
      </c>
      <c r="LD3" s="9" t="inlineStr">
        <is>
          <t>PX_VOLUME</t>
        </is>
      </c>
      <c r="LE3" s="9" t="inlineStr">
        <is>
          <t>OPEN_INT</t>
        </is>
      </c>
      <c r="LF3" s="9" t="inlineStr">
        <is>
          <t>IVOL_MID</t>
        </is>
      </c>
      <c r="LG3" s="9" t="inlineStr">
        <is>
          <t>IVOL_BID</t>
        </is>
      </c>
      <c r="LH3" s="9" t="inlineStr">
        <is>
          <t>IVOL_ASK</t>
        </is>
      </c>
      <c r="LI3" s="9" t="inlineStr">
        <is>
          <t>DELTA_MID</t>
        </is>
      </c>
      <c r="LJ3" s="9" t="inlineStr">
        <is>
          <t>GAMMA_MID</t>
        </is>
      </c>
      <c r="LK3" s="9" t="inlineStr">
        <is>
          <t>VEGA_MID</t>
        </is>
      </c>
      <c r="LL3" s="9" t="inlineStr">
        <is>
          <t>THETA_MID</t>
        </is>
      </c>
      <c r="LM3" s="9" t="inlineStr">
        <is>
          <t>OPT_UNDL_PX</t>
        </is>
      </c>
      <c r="LO3" s="9" t="inlineStr">
        <is>
          <t>Date</t>
        </is>
      </c>
      <c r="LP3" s="9" t="inlineStr">
        <is>
          <t>PX_BID</t>
        </is>
      </c>
      <c r="LQ3" s="9" t="inlineStr">
        <is>
          <t>PX_ASK</t>
        </is>
      </c>
      <c r="LR3" s="9" t="inlineStr">
        <is>
          <t>PX_MID</t>
        </is>
      </c>
      <c r="LS3" s="9" t="inlineStr">
        <is>
          <t>PX_LAST</t>
        </is>
      </c>
      <c r="LT3" s="9" t="inlineStr">
        <is>
          <t>PX_SETTLE</t>
        </is>
      </c>
      <c r="LU3" s="9" t="inlineStr">
        <is>
          <t>PX_VOLUME</t>
        </is>
      </c>
      <c r="LV3" s="9" t="inlineStr">
        <is>
          <t>OPEN_INT</t>
        </is>
      </c>
      <c r="LW3" s="9" t="inlineStr">
        <is>
          <t>IVOL_MID</t>
        </is>
      </c>
      <c r="LX3" s="9" t="inlineStr">
        <is>
          <t>IVOL_BID</t>
        </is>
      </c>
      <c r="LY3" s="9" t="inlineStr">
        <is>
          <t>IVOL_ASK</t>
        </is>
      </c>
      <c r="LZ3" s="9" t="inlineStr">
        <is>
          <t>DELTA_MID</t>
        </is>
      </c>
      <c r="MA3" s="9" t="inlineStr">
        <is>
          <t>GAMMA_MID</t>
        </is>
      </c>
      <c r="MB3" s="9" t="inlineStr">
        <is>
          <t>VEGA_MID</t>
        </is>
      </c>
      <c r="MC3" s="9" t="inlineStr">
        <is>
          <t>THETA_MID</t>
        </is>
      </c>
      <c r="MD3" s="9" t="inlineStr">
        <is>
          <t>OPT_UNDL_PX</t>
        </is>
      </c>
      <c r="MF3" s="9" t="inlineStr">
        <is>
          <t>Date</t>
        </is>
      </c>
      <c r="MG3" s="9" t="inlineStr">
        <is>
          <t>PX_BID</t>
        </is>
      </c>
      <c r="MH3" s="9" t="inlineStr">
        <is>
          <t>PX_ASK</t>
        </is>
      </c>
      <c r="MI3" s="9" t="inlineStr">
        <is>
          <t>PX_MID</t>
        </is>
      </c>
      <c r="MJ3" s="9" t="inlineStr">
        <is>
          <t>PX_LAST</t>
        </is>
      </c>
      <c r="MK3" s="9" t="inlineStr">
        <is>
          <t>PX_SETTLE</t>
        </is>
      </c>
      <c r="ML3" s="9" t="inlineStr">
        <is>
          <t>PX_VOLUME</t>
        </is>
      </c>
      <c r="MM3" s="9" t="inlineStr">
        <is>
          <t>OPEN_INT</t>
        </is>
      </c>
      <c r="MN3" s="9" t="inlineStr">
        <is>
          <t>IVOL_MID</t>
        </is>
      </c>
      <c r="MO3" s="9" t="inlineStr">
        <is>
          <t>IVOL_BID</t>
        </is>
      </c>
      <c r="MP3" s="9" t="inlineStr">
        <is>
          <t>IVOL_ASK</t>
        </is>
      </c>
      <c r="MQ3" s="9" t="inlineStr">
        <is>
          <t>DELTA_MID</t>
        </is>
      </c>
      <c r="MR3" s="9" t="inlineStr">
        <is>
          <t>GAMMA_MID</t>
        </is>
      </c>
      <c r="MS3" s="9" t="inlineStr">
        <is>
          <t>VEGA_MID</t>
        </is>
      </c>
      <c r="MT3" s="9" t="inlineStr">
        <is>
          <t>THETA_MID</t>
        </is>
      </c>
      <c r="MU3" s="9" t="inlineStr">
        <is>
          <t>OPT_UNDL_PX</t>
        </is>
      </c>
      <c r="MW3" s="9" t="inlineStr">
        <is>
          <t>Date</t>
        </is>
      </c>
      <c r="MX3" s="9" t="inlineStr">
        <is>
          <t>PX_BID</t>
        </is>
      </c>
      <c r="MY3" s="9" t="inlineStr">
        <is>
          <t>PX_ASK</t>
        </is>
      </c>
      <c r="MZ3" s="9" t="inlineStr">
        <is>
          <t>PX_MID</t>
        </is>
      </c>
      <c r="NA3" s="9" t="inlineStr">
        <is>
          <t>PX_LAST</t>
        </is>
      </c>
      <c r="NB3" s="9" t="inlineStr">
        <is>
          <t>PX_SETTLE</t>
        </is>
      </c>
      <c r="NC3" s="9" t="inlineStr">
        <is>
          <t>PX_VOLUME</t>
        </is>
      </c>
      <c r="ND3" s="9" t="inlineStr">
        <is>
          <t>OPEN_INT</t>
        </is>
      </c>
      <c r="NE3" s="9" t="inlineStr">
        <is>
          <t>IVOL_MID</t>
        </is>
      </c>
      <c r="NF3" s="9" t="inlineStr">
        <is>
          <t>IVOL_BID</t>
        </is>
      </c>
      <c r="NG3" s="9" t="inlineStr">
        <is>
          <t>IVOL_ASK</t>
        </is>
      </c>
      <c r="NH3" s="9" t="inlineStr">
        <is>
          <t>DELTA_MID</t>
        </is>
      </c>
      <c r="NI3" s="9" t="inlineStr">
        <is>
          <t>GAMMA_MID</t>
        </is>
      </c>
      <c r="NJ3" s="9" t="inlineStr">
        <is>
          <t>VEGA_MID</t>
        </is>
      </c>
      <c r="NK3" s="9" t="inlineStr">
        <is>
          <t>THETA_MID</t>
        </is>
      </c>
      <c r="NL3" s="9" t="inlineStr">
        <is>
          <t>OPT_UNDL_PX</t>
        </is>
      </c>
      <c r="NN3" s="9" t="inlineStr">
        <is>
          <t>Date</t>
        </is>
      </c>
      <c r="NO3" s="9" t="inlineStr">
        <is>
          <t>PX_BID</t>
        </is>
      </c>
      <c r="NP3" s="9" t="inlineStr">
        <is>
          <t>PX_ASK</t>
        </is>
      </c>
      <c r="NQ3" s="9" t="inlineStr">
        <is>
          <t>PX_MID</t>
        </is>
      </c>
      <c r="NR3" s="9" t="inlineStr">
        <is>
          <t>PX_LAST</t>
        </is>
      </c>
      <c r="NS3" s="9" t="inlineStr">
        <is>
          <t>PX_SETTLE</t>
        </is>
      </c>
      <c r="NT3" s="9" t="inlineStr">
        <is>
          <t>PX_VOLUME</t>
        </is>
      </c>
      <c r="NU3" s="9" t="inlineStr">
        <is>
          <t>OPEN_INT</t>
        </is>
      </c>
      <c r="NV3" s="9" t="inlineStr">
        <is>
          <t>IVOL_MID</t>
        </is>
      </c>
      <c r="NW3" s="9" t="inlineStr">
        <is>
          <t>IVOL_BID</t>
        </is>
      </c>
      <c r="NX3" s="9" t="inlineStr">
        <is>
          <t>IVOL_ASK</t>
        </is>
      </c>
      <c r="NY3" s="9" t="inlineStr">
        <is>
          <t>DELTA_MID</t>
        </is>
      </c>
      <c r="NZ3" s="9" t="inlineStr">
        <is>
          <t>GAMMA_MID</t>
        </is>
      </c>
      <c r="OA3" s="9" t="inlineStr">
        <is>
          <t>VEGA_MID</t>
        </is>
      </c>
      <c r="OB3" s="9" t="inlineStr">
        <is>
          <t>THETA_MID</t>
        </is>
      </c>
      <c r="OC3" s="9" t="inlineStr">
        <is>
          <t>OPT_UNDL_PX</t>
        </is>
      </c>
      <c r="OE3" s="9" t="inlineStr">
        <is>
          <t>Date</t>
        </is>
      </c>
      <c r="OF3" s="9" t="inlineStr">
        <is>
          <t>PX_BID</t>
        </is>
      </c>
      <c r="OG3" s="9" t="inlineStr">
        <is>
          <t>PX_ASK</t>
        </is>
      </c>
      <c r="OH3" s="9" t="inlineStr">
        <is>
          <t>PX_MID</t>
        </is>
      </c>
      <c r="OI3" s="9" t="inlineStr">
        <is>
          <t>PX_LAST</t>
        </is>
      </c>
      <c r="OJ3" s="9" t="inlineStr">
        <is>
          <t>PX_SETTLE</t>
        </is>
      </c>
      <c r="OK3" s="9" t="inlineStr">
        <is>
          <t>PX_VOLUME</t>
        </is>
      </c>
      <c r="OL3" s="9" t="inlineStr">
        <is>
          <t>OPEN_INT</t>
        </is>
      </c>
      <c r="OM3" s="9" t="inlineStr">
        <is>
          <t>IVOL_MID</t>
        </is>
      </c>
      <c r="ON3" s="9" t="inlineStr">
        <is>
          <t>IVOL_BID</t>
        </is>
      </c>
      <c r="OO3" s="9" t="inlineStr">
        <is>
          <t>IVOL_ASK</t>
        </is>
      </c>
      <c r="OP3" s="9" t="inlineStr">
        <is>
          <t>DELTA_MID</t>
        </is>
      </c>
      <c r="OQ3" s="9" t="inlineStr">
        <is>
          <t>GAMMA_MID</t>
        </is>
      </c>
      <c r="OR3" s="9" t="inlineStr">
        <is>
          <t>VEGA_MID</t>
        </is>
      </c>
      <c r="OS3" s="9" t="inlineStr">
        <is>
          <t>THETA_MID</t>
        </is>
      </c>
      <c r="OT3" s="9" t="inlineStr">
        <is>
          <t>OPT_UNDL_PX</t>
        </is>
      </c>
      <c r="OV3" s="9" t="inlineStr">
        <is>
          <t>Date</t>
        </is>
      </c>
      <c r="OW3" s="9" t="inlineStr">
        <is>
          <t>PX_BID</t>
        </is>
      </c>
      <c r="OX3" s="9" t="inlineStr">
        <is>
          <t>PX_ASK</t>
        </is>
      </c>
      <c r="OY3" s="9" t="inlineStr">
        <is>
          <t>PX_MID</t>
        </is>
      </c>
      <c r="OZ3" s="9" t="inlineStr">
        <is>
          <t>PX_LAST</t>
        </is>
      </c>
      <c r="PA3" s="9" t="inlineStr">
        <is>
          <t>PX_SETTLE</t>
        </is>
      </c>
      <c r="PB3" s="9" t="inlineStr">
        <is>
          <t>PX_VOLUME</t>
        </is>
      </c>
      <c r="PC3" s="9" t="inlineStr">
        <is>
          <t>OPEN_INT</t>
        </is>
      </c>
      <c r="PD3" s="9" t="inlineStr">
        <is>
          <t>IVOL_MID</t>
        </is>
      </c>
      <c r="PE3" s="9" t="inlineStr">
        <is>
          <t>IVOL_BID</t>
        </is>
      </c>
      <c r="PF3" s="9" t="inlineStr">
        <is>
          <t>IVOL_ASK</t>
        </is>
      </c>
      <c r="PG3" s="9" t="inlineStr">
        <is>
          <t>DELTA_MID</t>
        </is>
      </c>
      <c r="PH3" s="9" t="inlineStr">
        <is>
          <t>GAMMA_MID</t>
        </is>
      </c>
      <c r="PI3" s="9" t="inlineStr">
        <is>
          <t>VEGA_MID</t>
        </is>
      </c>
      <c r="PJ3" s="9" t="inlineStr">
        <is>
          <t>THETA_MID</t>
        </is>
      </c>
      <c r="PK3" s="9" t="inlineStr">
        <is>
          <t>OPT_UNDL_PX</t>
        </is>
      </c>
      <c r="PM3" s="9" t="inlineStr">
        <is>
          <t>Date</t>
        </is>
      </c>
      <c r="PN3" s="9" t="inlineStr">
        <is>
          <t>PX_BID</t>
        </is>
      </c>
      <c r="PO3" s="9" t="inlineStr">
        <is>
          <t>PX_ASK</t>
        </is>
      </c>
      <c r="PP3" s="9" t="inlineStr">
        <is>
          <t>PX_MID</t>
        </is>
      </c>
      <c r="PQ3" s="9" t="inlineStr">
        <is>
          <t>PX_LAST</t>
        </is>
      </c>
      <c r="PR3" s="9" t="inlineStr">
        <is>
          <t>PX_SETTLE</t>
        </is>
      </c>
      <c r="PS3" s="9" t="inlineStr">
        <is>
          <t>PX_VOLUME</t>
        </is>
      </c>
      <c r="PT3" s="9" t="inlineStr">
        <is>
          <t>OPEN_INT</t>
        </is>
      </c>
      <c r="PU3" s="9" t="inlineStr">
        <is>
          <t>IVOL_MID</t>
        </is>
      </c>
      <c r="PV3" s="9" t="inlineStr">
        <is>
          <t>IVOL_BID</t>
        </is>
      </c>
      <c r="PW3" s="9" t="inlineStr">
        <is>
          <t>IVOL_ASK</t>
        </is>
      </c>
      <c r="PX3" s="9" t="inlineStr">
        <is>
          <t>DELTA_MID</t>
        </is>
      </c>
      <c r="PY3" s="9" t="inlineStr">
        <is>
          <t>GAMMA_MID</t>
        </is>
      </c>
      <c r="PZ3" s="9" t="inlineStr">
        <is>
          <t>VEGA_MID</t>
        </is>
      </c>
      <c r="QA3" s="9" t="inlineStr">
        <is>
          <t>THETA_MID</t>
        </is>
      </c>
      <c r="QB3" s="9" t="inlineStr">
        <is>
          <t>OPT_UNDL_PX</t>
        </is>
      </c>
      <c r="QD3" s="9" t="inlineStr">
        <is>
          <t>Date</t>
        </is>
      </c>
      <c r="QE3" s="9" t="inlineStr">
        <is>
          <t>PX_BID</t>
        </is>
      </c>
      <c r="QF3" s="9" t="inlineStr">
        <is>
          <t>PX_ASK</t>
        </is>
      </c>
      <c r="QG3" s="9" t="inlineStr">
        <is>
          <t>PX_MID</t>
        </is>
      </c>
      <c r="QH3" s="9" t="inlineStr">
        <is>
          <t>PX_LAST</t>
        </is>
      </c>
      <c r="QI3" s="9" t="inlineStr">
        <is>
          <t>PX_SETTLE</t>
        </is>
      </c>
      <c r="QJ3" s="9" t="inlineStr">
        <is>
          <t>PX_VOLUME</t>
        </is>
      </c>
      <c r="QK3" s="9" t="inlineStr">
        <is>
          <t>OPEN_INT</t>
        </is>
      </c>
      <c r="QL3" s="9" t="inlineStr">
        <is>
          <t>IVOL_MID</t>
        </is>
      </c>
      <c r="QM3" s="9" t="inlineStr">
        <is>
          <t>IVOL_BID</t>
        </is>
      </c>
      <c r="QN3" s="9" t="inlineStr">
        <is>
          <t>IVOL_ASK</t>
        </is>
      </c>
      <c r="QO3" s="9" t="inlineStr">
        <is>
          <t>DELTA_MID</t>
        </is>
      </c>
      <c r="QP3" s="9" t="inlineStr">
        <is>
          <t>GAMMA_MID</t>
        </is>
      </c>
      <c r="QQ3" s="9" t="inlineStr">
        <is>
          <t>VEGA_MID</t>
        </is>
      </c>
      <c r="QR3" s="9" t="inlineStr">
        <is>
          <t>THETA_MID</t>
        </is>
      </c>
      <c r="QS3" s="9" t="inlineStr">
        <is>
          <t>OPT_UNDL_PX</t>
        </is>
      </c>
      <c r="QU3" s="9" t="inlineStr">
        <is>
          <t>Date</t>
        </is>
      </c>
      <c r="QV3" s="9" t="inlineStr">
        <is>
          <t>PX_BID</t>
        </is>
      </c>
      <c r="QW3" s="9" t="inlineStr">
        <is>
          <t>PX_ASK</t>
        </is>
      </c>
      <c r="QX3" s="9" t="inlineStr">
        <is>
          <t>PX_MID</t>
        </is>
      </c>
      <c r="QY3" s="9" t="inlineStr">
        <is>
          <t>PX_LAST</t>
        </is>
      </c>
      <c r="QZ3" s="9" t="inlineStr">
        <is>
          <t>PX_SETTLE</t>
        </is>
      </c>
      <c r="RA3" s="9" t="inlineStr">
        <is>
          <t>PX_VOLUME</t>
        </is>
      </c>
      <c r="RB3" s="9" t="inlineStr">
        <is>
          <t>OPEN_INT</t>
        </is>
      </c>
      <c r="RC3" s="9" t="inlineStr">
        <is>
          <t>IVOL_MID</t>
        </is>
      </c>
      <c r="RD3" s="9" t="inlineStr">
        <is>
          <t>IVOL_BID</t>
        </is>
      </c>
      <c r="RE3" s="9" t="inlineStr">
        <is>
          <t>IVOL_ASK</t>
        </is>
      </c>
      <c r="RF3" s="9" t="inlineStr">
        <is>
          <t>DELTA_MID</t>
        </is>
      </c>
      <c r="RG3" s="9" t="inlineStr">
        <is>
          <t>GAMMA_MID</t>
        </is>
      </c>
      <c r="RH3" s="9" t="inlineStr">
        <is>
          <t>VEGA_MID</t>
        </is>
      </c>
      <c r="RI3" s="9" t="inlineStr">
        <is>
          <t>THETA_MID</t>
        </is>
      </c>
      <c r="RJ3" s="9" t="inlineStr">
        <is>
          <t>OPT_UNDL_PX</t>
        </is>
      </c>
      <c r="RL3" s="9" t="inlineStr">
        <is>
          <t>Date</t>
        </is>
      </c>
      <c r="RM3" s="9" t="inlineStr">
        <is>
          <t>PX_BID</t>
        </is>
      </c>
      <c r="RN3" s="9" t="inlineStr">
        <is>
          <t>PX_ASK</t>
        </is>
      </c>
      <c r="RO3" s="9" t="inlineStr">
        <is>
          <t>PX_MID</t>
        </is>
      </c>
      <c r="RP3" s="9" t="inlineStr">
        <is>
          <t>PX_LAST</t>
        </is>
      </c>
      <c r="RQ3" s="9" t="inlineStr">
        <is>
          <t>PX_SETTLE</t>
        </is>
      </c>
      <c r="RR3" s="9" t="inlineStr">
        <is>
          <t>PX_VOLUME</t>
        </is>
      </c>
      <c r="RS3" s="9" t="inlineStr">
        <is>
          <t>OPEN_INT</t>
        </is>
      </c>
      <c r="RT3" s="9" t="inlineStr">
        <is>
          <t>IVOL_MID</t>
        </is>
      </c>
      <c r="RU3" s="9" t="inlineStr">
        <is>
          <t>IVOL_BID</t>
        </is>
      </c>
      <c r="RV3" s="9" t="inlineStr">
        <is>
          <t>IVOL_ASK</t>
        </is>
      </c>
      <c r="RW3" s="9" t="inlineStr">
        <is>
          <t>DELTA_MID</t>
        </is>
      </c>
      <c r="RX3" s="9" t="inlineStr">
        <is>
          <t>GAMMA_MID</t>
        </is>
      </c>
      <c r="RY3" s="9" t="inlineStr">
        <is>
          <t>VEGA_MID</t>
        </is>
      </c>
      <c r="RZ3" s="9" t="inlineStr">
        <is>
          <t>THETA_MID</t>
        </is>
      </c>
      <c r="SA3" s="9" t="inlineStr">
        <is>
          <t>OPT_UNDL_PX</t>
        </is>
      </c>
      <c r="SC3" s="9" t="inlineStr">
        <is>
          <t>Date</t>
        </is>
      </c>
      <c r="SD3" s="9" t="inlineStr">
        <is>
          <t>PX_BID</t>
        </is>
      </c>
      <c r="SE3" s="9" t="inlineStr">
        <is>
          <t>PX_ASK</t>
        </is>
      </c>
      <c r="SF3" s="9" t="inlineStr">
        <is>
          <t>PX_MID</t>
        </is>
      </c>
      <c r="SG3" s="9" t="inlineStr">
        <is>
          <t>PX_LAST</t>
        </is>
      </c>
      <c r="SH3" s="9" t="inlineStr">
        <is>
          <t>PX_SETTLE</t>
        </is>
      </c>
      <c r="SI3" s="9" t="inlineStr">
        <is>
          <t>PX_VOLUME</t>
        </is>
      </c>
      <c r="SJ3" s="9" t="inlineStr">
        <is>
          <t>OPEN_INT</t>
        </is>
      </c>
      <c r="SK3" s="9" t="inlineStr">
        <is>
          <t>IVOL_MID</t>
        </is>
      </c>
      <c r="SL3" s="9" t="inlineStr">
        <is>
          <t>IVOL_BID</t>
        </is>
      </c>
      <c r="SM3" s="9" t="inlineStr">
        <is>
          <t>IVOL_ASK</t>
        </is>
      </c>
      <c r="SN3" s="9" t="inlineStr">
        <is>
          <t>DELTA_MID</t>
        </is>
      </c>
      <c r="SO3" s="9" t="inlineStr">
        <is>
          <t>GAMMA_MID</t>
        </is>
      </c>
      <c r="SP3" s="9" t="inlineStr">
        <is>
          <t>VEGA_MID</t>
        </is>
      </c>
      <c r="SQ3" s="9" t="inlineStr">
        <is>
          <t>THETA_MID</t>
        </is>
      </c>
      <c r="SR3" s="9" t="inlineStr">
        <is>
          <t>OPT_UNDL_PX</t>
        </is>
      </c>
      <c r="ST3" s="9" t="inlineStr">
        <is>
          <t>Date</t>
        </is>
      </c>
      <c r="SU3" s="9" t="inlineStr">
        <is>
          <t>PX_BID</t>
        </is>
      </c>
      <c r="SV3" s="9" t="inlineStr">
        <is>
          <t>PX_ASK</t>
        </is>
      </c>
      <c r="SW3" s="9" t="inlineStr">
        <is>
          <t>PX_MID</t>
        </is>
      </c>
      <c r="SX3" s="9" t="inlineStr">
        <is>
          <t>PX_LAST</t>
        </is>
      </c>
      <c r="SY3" s="9" t="inlineStr">
        <is>
          <t>PX_SETTLE</t>
        </is>
      </c>
      <c r="SZ3" s="9" t="inlineStr">
        <is>
          <t>PX_VOLUME</t>
        </is>
      </c>
      <c r="TA3" s="9" t="inlineStr">
        <is>
          <t>OPEN_INT</t>
        </is>
      </c>
      <c r="TB3" s="9" t="inlineStr">
        <is>
          <t>IVOL_MID</t>
        </is>
      </c>
      <c r="TC3" s="9" t="inlineStr">
        <is>
          <t>IVOL_BID</t>
        </is>
      </c>
      <c r="TD3" s="9" t="inlineStr">
        <is>
          <t>IVOL_ASK</t>
        </is>
      </c>
      <c r="TE3" s="9" t="inlineStr">
        <is>
          <t>DELTA_MID</t>
        </is>
      </c>
      <c r="TF3" s="9" t="inlineStr">
        <is>
          <t>GAMMA_MID</t>
        </is>
      </c>
      <c r="TG3" s="9" t="inlineStr">
        <is>
          <t>VEGA_MID</t>
        </is>
      </c>
      <c r="TH3" s="9" t="inlineStr">
        <is>
          <t>THETA_MID</t>
        </is>
      </c>
      <c r="TI3" s="9" t="inlineStr">
        <is>
          <t>OPT_UNDL_PX</t>
        </is>
      </c>
      <c r="TK3" s="9" t="inlineStr">
        <is>
          <t>Date</t>
        </is>
      </c>
      <c r="TL3" s="9" t="inlineStr">
        <is>
          <t>PX_BID</t>
        </is>
      </c>
      <c r="TM3" s="9" t="inlineStr">
        <is>
          <t>PX_ASK</t>
        </is>
      </c>
      <c r="TN3" s="9" t="inlineStr">
        <is>
          <t>PX_MID</t>
        </is>
      </c>
      <c r="TO3" s="9" t="inlineStr">
        <is>
          <t>PX_LAST</t>
        </is>
      </c>
      <c r="TP3" s="9" t="inlineStr">
        <is>
          <t>PX_SETTLE</t>
        </is>
      </c>
      <c r="TQ3" s="9" t="inlineStr">
        <is>
          <t>PX_VOLUME</t>
        </is>
      </c>
      <c r="TR3" s="9" t="inlineStr">
        <is>
          <t>OPEN_INT</t>
        </is>
      </c>
      <c r="TS3" s="9" t="inlineStr">
        <is>
          <t>IVOL_MID</t>
        </is>
      </c>
      <c r="TT3" s="9" t="inlineStr">
        <is>
          <t>IVOL_BID</t>
        </is>
      </c>
      <c r="TU3" s="9" t="inlineStr">
        <is>
          <t>IVOL_ASK</t>
        </is>
      </c>
      <c r="TV3" s="9" t="inlineStr">
        <is>
          <t>DELTA_MID</t>
        </is>
      </c>
      <c r="TW3" s="9" t="inlineStr">
        <is>
          <t>GAMMA_MID</t>
        </is>
      </c>
      <c r="TX3" s="9" t="inlineStr">
        <is>
          <t>VEGA_MID</t>
        </is>
      </c>
      <c r="TY3" s="9" t="inlineStr">
        <is>
          <t>THETA_MID</t>
        </is>
      </c>
      <c r="TZ3" s="9" t="inlineStr">
        <is>
          <t>OPT_UNDL_PX</t>
        </is>
      </c>
      <c r="UB3" s="9" t="inlineStr">
        <is>
          <t>Date</t>
        </is>
      </c>
      <c r="UC3" s="9" t="inlineStr">
        <is>
          <t>PX_BID</t>
        </is>
      </c>
      <c r="UD3" s="9" t="inlineStr">
        <is>
          <t>PX_ASK</t>
        </is>
      </c>
      <c r="UE3" s="9" t="inlineStr">
        <is>
          <t>PX_MID</t>
        </is>
      </c>
      <c r="UF3" s="9" t="inlineStr">
        <is>
          <t>PX_LAST</t>
        </is>
      </c>
      <c r="UG3" s="9" t="inlineStr">
        <is>
          <t>PX_SETTLE</t>
        </is>
      </c>
      <c r="UH3" s="9" t="inlineStr">
        <is>
          <t>PX_VOLUME</t>
        </is>
      </c>
      <c r="UI3" s="9" t="inlineStr">
        <is>
          <t>OPEN_INT</t>
        </is>
      </c>
      <c r="UJ3" s="9" t="inlineStr">
        <is>
          <t>IVOL_MID</t>
        </is>
      </c>
      <c r="UK3" s="9" t="inlineStr">
        <is>
          <t>IVOL_BID</t>
        </is>
      </c>
      <c r="UL3" s="9" t="inlineStr">
        <is>
          <t>IVOL_ASK</t>
        </is>
      </c>
      <c r="UM3" s="9" t="inlineStr">
        <is>
          <t>DELTA_MID</t>
        </is>
      </c>
      <c r="UN3" s="9" t="inlineStr">
        <is>
          <t>GAMMA_MID</t>
        </is>
      </c>
      <c r="UO3" s="9" t="inlineStr">
        <is>
          <t>VEGA_MID</t>
        </is>
      </c>
      <c r="UP3" s="9" t="inlineStr">
        <is>
          <t>THETA_MID</t>
        </is>
      </c>
      <c r="UQ3" s="9" t="inlineStr">
        <is>
          <t>OPT_UNDL_PX</t>
        </is>
      </c>
      <c r="US3" s="9" t="inlineStr">
        <is>
          <t>Date</t>
        </is>
      </c>
      <c r="UT3" s="9" t="inlineStr">
        <is>
          <t>PX_BID</t>
        </is>
      </c>
      <c r="UU3" s="9" t="inlineStr">
        <is>
          <t>PX_ASK</t>
        </is>
      </c>
      <c r="UV3" s="9" t="inlineStr">
        <is>
          <t>PX_MID</t>
        </is>
      </c>
      <c r="UW3" s="9" t="inlineStr">
        <is>
          <t>PX_LAST</t>
        </is>
      </c>
      <c r="UX3" s="9" t="inlineStr">
        <is>
          <t>PX_SETTLE</t>
        </is>
      </c>
      <c r="UY3" s="9" t="inlineStr">
        <is>
          <t>PX_VOLUME</t>
        </is>
      </c>
      <c r="UZ3" s="9" t="inlineStr">
        <is>
          <t>OPEN_INT</t>
        </is>
      </c>
      <c r="VA3" s="9" t="inlineStr">
        <is>
          <t>IVOL_MID</t>
        </is>
      </c>
      <c r="VB3" s="9" t="inlineStr">
        <is>
          <t>IVOL_BID</t>
        </is>
      </c>
      <c r="VC3" s="9" t="inlineStr">
        <is>
          <t>IVOL_ASK</t>
        </is>
      </c>
      <c r="VD3" s="9" t="inlineStr">
        <is>
          <t>DELTA_MID</t>
        </is>
      </c>
      <c r="VE3" s="9" t="inlineStr">
        <is>
          <t>GAMMA_MID</t>
        </is>
      </c>
      <c r="VF3" s="9" t="inlineStr">
        <is>
          <t>VEGA_MID</t>
        </is>
      </c>
      <c r="VG3" s="9" t="inlineStr">
        <is>
          <t>THETA_MID</t>
        </is>
      </c>
      <c r="VH3" s="9" t="inlineStr">
        <is>
          <t>OPT_UNDL_PX</t>
        </is>
      </c>
    </row>
    <row r="4">
      <c r="A4" s="2" t="inlineStr">
        <is>
          <t>Year in ticker</t>
        </is>
      </c>
      <c r="B4" s="4">
        <f>IF(B2&lt;Settings!$B$5,TEXT(MOD(Settings!$B$3,100),"00"),TEXT(MOD(Settings!$B$3,10),"0"))</f>
        <v/>
      </c>
      <c r="D4" s="4">
        <f>BDH(D$1,E$3:S$3,$B$9,$B$10,"Dir=V","Dts=S","Sort=A","Days=T","Fill=B")</f>
        <v/>
      </c>
      <c r="U4" s="4">
        <f>BDH(U$1,V$3:AJ$3,$B$9,$B$10,"Dir=V","Dts=S","Sort=A","Days=T","Fill=B")</f>
        <v/>
      </c>
      <c r="AL4" s="4">
        <f>BDH(AL$1,AM$3:BA$3,$B$9,$B$10,"Dir=V","Dts=S","Sort=A","Days=T","Fill=B")</f>
        <v/>
      </c>
      <c r="BC4" s="4">
        <f>BDH(BC$1,BD$3:BR$3,$B$9,$B$10,"Dir=V","Dts=S","Sort=A","Days=T","Fill=B")</f>
        <v/>
      </c>
      <c r="BT4" s="4">
        <f>BDH(BT$1,BU$3:CI$3,$B$9,$B$10,"Dir=V","Dts=S","Sort=A","Days=T","Fill=B")</f>
        <v/>
      </c>
      <c r="CK4" s="4">
        <f>BDH(CK$1,CL$3:CZ$3,$B$9,$B$10,"Dir=V","Dts=S","Sort=A","Days=T","Fill=B")</f>
        <v/>
      </c>
      <c r="DB4" s="4">
        <f>BDH(DB$1,DC$3:DQ$3,$B$9,$B$10,"Dir=V","Dts=S","Sort=A","Days=T","Fill=B")</f>
        <v/>
      </c>
      <c r="DS4" s="4">
        <f>BDH(DS$1,DT$3:EH$3,$B$9,$B$10,"Dir=V","Dts=S","Sort=A","Days=T","Fill=B")</f>
        <v/>
      </c>
      <c r="EJ4" s="4">
        <f>BDH(EJ$1,EK$3:EY$3,$B$9,$B$10,"Dir=V","Dts=S","Sort=A","Days=T","Fill=B")</f>
        <v/>
      </c>
      <c r="FA4" s="4">
        <f>BDH(FA$1,FB$3:FP$3,$B$9,$B$10,"Dir=V","Dts=S","Sort=A","Days=T","Fill=B")</f>
        <v/>
      </c>
      <c r="FR4" s="4">
        <f>BDH(FR$1,FS$3:GG$3,$B$9,$B$10,"Dir=V","Dts=S","Sort=A","Days=T","Fill=B")</f>
        <v/>
      </c>
      <c r="GI4" s="4">
        <f>BDH(GI$1,GJ$3:GX$3,$B$9,$B$10,"Dir=V","Dts=S","Sort=A","Days=T","Fill=B")</f>
        <v/>
      </c>
      <c r="GZ4" s="4">
        <f>BDH(GZ$1,HA$3:HO$3,$B$9,$B$10,"Dir=V","Dts=S","Sort=A","Days=T","Fill=B")</f>
        <v/>
      </c>
      <c r="HQ4" s="4">
        <f>BDH(HQ$1,HR$3:IF$3,$B$9,$B$10,"Dir=V","Dts=S","Sort=A","Days=T","Fill=B")</f>
        <v/>
      </c>
      <c r="IH4" s="4">
        <f>BDH(IH$1,II$3:IW$3,$B$9,$B$10,"Dir=V","Dts=S","Sort=A","Days=T","Fill=B")</f>
        <v/>
      </c>
      <c r="IY4" s="4">
        <f>BDH(IY$1,IZ$3:JN$3,$B$9,$B$10,"Dir=V","Dts=S","Sort=A","Days=T","Fill=B")</f>
        <v/>
      </c>
      <c r="JP4" s="4">
        <f>BDH(JP$1,JQ$3:KE$3,$B$9,$B$10,"Dir=V","Dts=S","Sort=A","Days=T","Fill=B")</f>
        <v/>
      </c>
      <c r="KG4" s="4">
        <f>BDH(KG$1,KH$3:KV$3,$B$9,$B$10,"Dir=V","Dts=S","Sort=A","Days=T","Fill=B")</f>
        <v/>
      </c>
      <c r="KX4" s="4">
        <f>BDH(KX$1,KY$3:LM$3,$B$9,$B$10,"Dir=V","Dts=S","Sort=A","Days=T","Fill=B")</f>
        <v/>
      </c>
      <c r="LO4" s="4">
        <f>BDH(LO$1,LP$3:MD$3,$B$9,$B$10,"Dir=V","Dts=S","Sort=A","Days=T","Fill=B")</f>
        <v/>
      </c>
      <c r="MF4" s="4">
        <f>BDH(MF$1,MG$3:MU$3,$B$9,$B$10,"Dir=V","Dts=S","Sort=A","Days=T","Fill=B")</f>
        <v/>
      </c>
      <c r="MW4" s="4">
        <f>BDH(MW$1,MX$3:NL$3,$B$9,$B$10,"Dir=V","Dts=S","Sort=A","Days=T","Fill=B")</f>
        <v/>
      </c>
      <c r="NN4" s="4">
        <f>BDH(NN$1,NO$3:OC$3,$B$9,$B$10,"Dir=V","Dts=S","Sort=A","Days=T","Fill=B")</f>
        <v/>
      </c>
      <c r="OE4" s="4">
        <f>BDH(OE$1,OF$3:OT$3,$B$9,$B$10,"Dir=V","Dts=S","Sort=A","Days=T","Fill=B")</f>
        <v/>
      </c>
      <c r="OV4" s="4">
        <f>BDH(OV$1,OW$3:PK$3,$B$9,$B$10,"Dir=V","Dts=S","Sort=A","Days=T","Fill=B")</f>
        <v/>
      </c>
      <c r="PM4" s="4">
        <f>BDH(PM$1,PN$3:QB$3,$B$9,$B$10,"Dir=V","Dts=S","Sort=A","Days=T","Fill=B")</f>
        <v/>
      </c>
      <c r="QD4" s="4">
        <f>BDH(QD$1,QE$3:QS$3,$B$9,$B$10,"Dir=V","Dts=S","Sort=A","Days=T","Fill=B")</f>
        <v/>
      </c>
      <c r="QU4" s="4">
        <f>BDH(QU$1,QV$3:RJ$3,$B$9,$B$10,"Dir=V","Dts=S","Sort=A","Days=T","Fill=B")</f>
        <v/>
      </c>
      <c r="RL4" s="4">
        <f>BDH(RL$1,RM$3:SA$3,$B$9,$B$10,"Dir=V","Dts=S","Sort=A","Days=T","Fill=B")</f>
        <v/>
      </c>
      <c r="SC4" s="4">
        <f>BDH(SC$1,SD$3:SR$3,$B$9,$B$10,"Dir=V","Dts=S","Sort=A","Days=T","Fill=B")</f>
        <v/>
      </c>
      <c r="ST4" s="4">
        <f>BDH(ST$1,SU$3:TI$3,$B$9,$B$10,"Dir=V","Dts=S","Sort=A","Days=T","Fill=B")</f>
        <v/>
      </c>
      <c r="TK4" s="4">
        <f>BDH(TK$1,TL$3:TZ$3,$B$9,$B$10,"Dir=V","Dts=S","Sort=A","Days=T","Fill=B")</f>
        <v/>
      </c>
      <c r="UB4" s="4">
        <f>BDH(UB$1,UC$3:UQ$3,$B$9,$B$10,"Dir=V","Dts=S","Sort=A","Days=T","Fill=B")</f>
        <v/>
      </c>
      <c r="US4" s="4">
        <f>BDH(US$1,UT$3:VH$3,$B$9,$B$10,"Dir=V","Dts=S","Sort=A","Days=T","Fill=B")</f>
        <v/>
      </c>
    </row>
    <row r="5">
      <c r="A5" s="2" t="inlineStr">
        <is>
          <t>Futures ticker</t>
        </is>
      </c>
      <c r="B5" s="4">
        <f>"CL"&amp;MID("FGHJKMNQUVXZ",B1,1)&amp;B4&amp;" Comdty"</f>
        <v/>
      </c>
    </row>
    <row r="6">
      <c r="A6" s="2" t="inlineStr">
        <is>
          <t>Strike reference date</t>
        </is>
      </c>
      <c r="B6" s="8">
        <f>B3-45</f>
        <v/>
      </c>
    </row>
    <row r="7">
      <c r="A7" s="2" t="inlineStr">
        <is>
          <t>Futures price on that date</t>
        </is>
      </c>
      <c r="B7" s="10">
        <f>BDH(B5,"PX_LAST",B6,B6,"Days=A","Fill=P","Dts=H")</f>
        <v/>
      </c>
    </row>
    <row r="8">
      <c r="A8" s="2" t="inlineStr">
        <is>
          <t>ATM strike</t>
        </is>
      </c>
      <c r="B8" s="7">
        <f>ROUND(B7,0)</f>
        <v/>
      </c>
    </row>
    <row r="9">
      <c r="A9" s="2" t="inlineStr">
        <is>
          <t>History start</t>
        </is>
      </c>
      <c r="B9" s="8">
        <f>B3-100</f>
        <v/>
      </c>
    </row>
    <row r="10">
      <c r="A10" s="2" t="inlineStr">
        <is>
          <t>History end</t>
        </is>
      </c>
      <c r="B10" s="8">
        <f>B3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H1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  <col width="12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1" customWidth="1" min="383" max="383"/>
    <col width="11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1" customWidth="1" min="389" max="389"/>
    <col width="11" customWidth="1" min="390" max="390"/>
    <col width="10" customWidth="1" min="391" max="391"/>
    <col width="11" customWidth="1" min="392" max="392"/>
    <col width="13" customWidth="1" min="393" max="393"/>
    <col width="12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1" customWidth="1" min="400" max="400"/>
    <col width="11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1" customWidth="1" min="406" max="406"/>
    <col width="11" customWidth="1" min="407" max="407"/>
    <col width="10" customWidth="1" min="408" max="408"/>
    <col width="11" customWidth="1" min="409" max="409"/>
    <col width="13" customWidth="1" min="410" max="410"/>
    <col width="12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1" customWidth="1" min="417" max="417"/>
    <col width="11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1" customWidth="1" min="423" max="423"/>
    <col width="11" customWidth="1" min="424" max="424"/>
    <col width="10" customWidth="1" min="425" max="425"/>
    <col width="11" customWidth="1" min="426" max="426"/>
    <col width="13" customWidth="1" min="427" max="427"/>
    <col width="12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1" customWidth="1" min="434" max="434"/>
    <col width="11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1" customWidth="1" min="440" max="440"/>
    <col width="11" customWidth="1" min="441" max="441"/>
    <col width="10" customWidth="1" min="442" max="442"/>
    <col width="11" customWidth="1" min="443" max="443"/>
    <col width="13" customWidth="1" min="444" max="444"/>
    <col width="12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1" customWidth="1" min="451" max="451"/>
    <col width="11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1" customWidth="1" min="457" max="457"/>
    <col width="11" customWidth="1" min="458" max="458"/>
    <col width="10" customWidth="1" min="459" max="459"/>
    <col width="11" customWidth="1" min="460" max="460"/>
    <col width="13" customWidth="1" min="461" max="461"/>
    <col width="12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1" customWidth="1" min="468" max="468"/>
    <col width="11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1" customWidth="1" min="474" max="474"/>
    <col width="11" customWidth="1" min="475" max="475"/>
    <col width="10" customWidth="1" min="476" max="476"/>
    <col width="11" customWidth="1" min="477" max="477"/>
    <col width="13" customWidth="1" min="478" max="478"/>
    <col width="12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1" customWidth="1" min="485" max="485"/>
    <col width="11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1" customWidth="1" min="491" max="491"/>
    <col width="11" customWidth="1" min="492" max="492"/>
    <col width="10" customWidth="1" min="493" max="493"/>
    <col width="11" customWidth="1" min="494" max="494"/>
    <col width="13" customWidth="1" min="495" max="495"/>
    <col width="12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1" customWidth="1" min="502" max="502"/>
    <col width="11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1" customWidth="1" min="508" max="508"/>
    <col width="11" customWidth="1" min="509" max="509"/>
    <col width="10" customWidth="1" min="510" max="510"/>
    <col width="11" customWidth="1" min="511" max="511"/>
    <col width="13" customWidth="1" min="512" max="512"/>
    <col width="12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1" customWidth="1" min="519" max="519"/>
    <col width="11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1" customWidth="1" min="525" max="525"/>
    <col width="11" customWidth="1" min="526" max="526"/>
    <col width="10" customWidth="1" min="527" max="527"/>
    <col width="11" customWidth="1" min="528" max="528"/>
    <col width="13" customWidth="1" min="529" max="529"/>
    <col width="12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1" customWidth="1" min="536" max="536"/>
    <col width="11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1" customWidth="1" min="542" max="542"/>
    <col width="11" customWidth="1" min="543" max="543"/>
    <col width="10" customWidth="1" min="544" max="544"/>
    <col width="11" customWidth="1" min="545" max="545"/>
    <col width="13" customWidth="1" min="546" max="546"/>
    <col width="12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1" customWidth="1" min="553" max="553"/>
    <col width="11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1" customWidth="1" min="559" max="559"/>
    <col width="11" customWidth="1" min="560" max="560"/>
    <col width="10" customWidth="1" min="561" max="561"/>
    <col width="11" customWidth="1" min="562" max="562"/>
    <col width="13" customWidth="1" min="563" max="563"/>
    <col width="12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1" customWidth="1" min="570" max="570"/>
    <col width="11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1" customWidth="1" min="576" max="576"/>
    <col width="11" customWidth="1" min="577" max="577"/>
    <col width="10" customWidth="1" min="578" max="578"/>
    <col width="11" customWidth="1" min="579" max="579"/>
    <col width="13" customWidth="1" min="580" max="580"/>
  </cols>
  <sheetData>
    <row r="1">
      <c r="A1" s="2" t="inlineStr">
        <is>
          <t>Contract month</t>
        </is>
      </c>
      <c r="B1" s="7" t="n">
        <v>11</v>
      </c>
      <c r="D1" s="4">
        <f>"CL"&amp;MID("FGHJKMNQUVXZ",B$1,1)&amp;B$4&amp;"C "&amp;IF(Settings!$B$4=2,TEXT((B$8-8),"0.00"),(B$8-8))&amp;" Comdty"</f>
        <v/>
      </c>
      <c r="U1" s="4">
        <f>"CL"&amp;MID("FGHJKMNQUVXZ",B$1,1)&amp;B$4&amp;"P "&amp;IF(Settings!$B$4=2,TEXT((B$8-8),"0.00"),(B$8-8))&amp;" Comdty"</f>
        <v/>
      </c>
      <c r="AL1" s="4">
        <f>"CL"&amp;MID("FGHJKMNQUVXZ",B$1,1)&amp;B$4&amp;"C "&amp;IF(Settings!$B$4=2,TEXT((B$8-7),"0.00"),(B$8-7))&amp;" Comdty"</f>
        <v/>
      </c>
      <c r="BC1" s="4">
        <f>"CL"&amp;MID("FGHJKMNQUVXZ",B$1,1)&amp;B$4&amp;"P "&amp;IF(Settings!$B$4=2,TEXT((B$8-7),"0.00"),(B$8-7))&amp;" Comdty"</f>
        <v/>
      </c>
      <c r="BT1" s="4">
        <f>"CL"&amp;MID("FGHJKMNQUVXZ",B$1,1)&amp;B$4&amp;"C "&amp;IF(Settings!$B$4=2,TEXT((B$8-6),"0.00"),(B$8-6))&amp;" Comdty"</f>
        <v/>
      </c>
      <c r="CK1" s="4">
        <f>"CL"&amp;MID("FGHJKMNQUVXZ",B$1,1)&amp;B$4&amp;"P "&amp;IF(Settings!$B$4=2,TEXT((B$8-6),"0.00"),(B$8-6))&amp;" Comdty"</f>
        <v/>
      </c>
      <c r="DB1" s="4">
        <f>"CL"&amp;MID("FGHJKMNQUVXZ",B$1,1)&amp;B$4&amp;"C "&amp;IF(Settings!$B$4=2,TEXT((B$8-5),"0.00"),(B$8-5))&amp;" Comdty"</f>
        <v/>
      </c>
      <c r="DS1" s="4">
        <f>"CL"&amp;MID("FGHJKMNQUVXZ",B$1,1)&amp;B$4&amp;"P "&amp;IF(Settings!$B$4=2,TEXT((B$8-5),"0.00"),(B$8-5))&amp;" Comdty"</f>
        <v/>
      </c>
      <c r="EJ1" s="4">
        <f>"CL"&amp;MID("FGHJKMNQUVXZ",B$1,1)&amp;B$4&amp;"C "&amp;IF(Settings!$B$4=2,TEXT((B$8-4),"0.00"),(B$8-4))&amp;" Comdty"</f>
        <v/>
      </c>
      <c r="FA1" s="4">
        <f>"CL"&amp;MID("FGHJKMNQUVXZ",B$1,1)&amp;B$4&amp;"P "&amp;IF(Settings!$B$4=2,TEXT((B$8-4),"0.00"),(B$8-4))&amp;" Comdty"</f>
        <v/>
      </c>
      <c r="FR1" s="4">
        <f>"CL"&amp;MID("FGHJKMNQUVXZ",B$1,1)&amp;B$4&amp;"C "&amp;IF(Settings!$B$4=2,TEXT((B$8-3),"0.00"),(B$8-3))&amp;" Comdty"</f>
        <v/>
      </c>
      <c r="GI1" s="4">
        <f>"CL"&amp;MID("FGHJKMNQUVXZ",B$1,1)&amp;B$4&amp;"P "&amp;IF(Settings!$B$4=2,TEXT((B$8-3),"0.00"),(B$8-3))&amp;" Comdty"</f>
        <v/>
      </c>
      <c r="GZ1" s="4">
        <f>"CL"&amp;MID("FGHJKMNQUVXZ",B$1,1)&amp;B$4&amp;"C "&amp;IF(Settings!$B$4=2,TEXT((B$8-2),"0.00"),(B$8-2))&amp;" Comdty"</f>
        <v/>
      </c>
      <c r="HQ1" s="4">
        <f>"CL"&amp;MID("FGHJKMNQUVXZ",B$1,1)&amp;B$4&amp;"P "&amp;IF(Settings!$B$4=2,TEXT((B$8-2),"0.00"),(B$8-2))&amp;" Comdty"</f>
        <v/>
      </c>
      <c r="IH1" s="4">
        <f>"CL"&amp;MID("FGHJKMNQUVXZ",B$1,1)&amp;B$4&amp;"C "&amp;IF(Settings!$B$4=2,TEXT((B$8-1),"0.00"),(B$8-1))&amp;" Comdty"</f>
        <v/>
      </c>
      <c r="IY1" s="4">
        <f>"CL"&amp;MID("FGHJKMNQUVXZ",B$1,1)&amp;B$4&amp;"P "&amp;IF(Settings!$B$4=2,TEXT((B$8-1),"0.00"),(B$8-1))&amp;" Comdty"</f>
        <v/>
      </c>
      <c r="JP1" s="4">
        <f>"CL"&amp;MID("FGHJKMNQUVXZ",B$1,1)&amp;B$4&amp;"C "&amp;IF(Settings!$B$4=2,TEXT(B$8,"0.00"),B$8)&amp;" Comdty"</f>
        <v/>
      </c>
      <c r="KG1" s="4">
        <f>"CL"&amp;MID("FGHJKMNQUVXZ",B$1,1)&amp;B$4&amp;"P "&amp;IF(Settings!$B$4=2,TEXT(B$8,"0.00"),B$8)&amp;" Comdty"</f>
        <v/>
      </c>
      <c r="KX1" s="4">
        <f>"CL"&amp;MID("FGHJKMNQUVXZ",B$1,1)&amp;B$4&amp;"C "&amp;IF(Settings!$B$4=2,TEXT((B$8+1),"0.00"),(B$8+1))&amp;" Comdty"</f>
        <v/>
      </c>
      <c r="LO1" s="4">
        <f>"CL"&amp;MID("FGHJKMNQUVXZ",B$1,1)&amp;B$4&amp;"P "&amp;IF(Settings!$B$4=2,TEXT((B$8+1),"0.00"),(B$8+1))&amp;" Comdty"</f>
        <v/>
      </c>
      <c r="MF1" s="4">
        <f>"CL"&amp;MID("FGHJKMNQUVXZ",B$1,1)&amp;B$4&amp;"C "&amp;IF(Settings!$B$4=2,TEXT((B$8+2),"0.00"),(B$8+2))&amp;" Comdty"</f>
        <v/>
      </c>
      <c r="MW1" s="4">
        <f>"CL"&amp;MID("FGHJKMNQUVXZ",B$1,1)&amp;B$4&amp;"P "&amp;IF(Settings!$B$4=2,TEXT((B$8+2),"0.00"),(B$8+2))&amp;" Comdty"</f>
        <v/>
      </c>
      <c r="NN1" s="4">
        <f>"CL"&amp;MID("FGHJKMNQUVXZ",B$1,1)&amp;B$4&amp;"C "&amp;IF(Settings!$B$4=2,TEXT((B$8+3),"0.00"),(B$8+3))&amp;" Comdty"</f>
        <v/>
      </c>
      <c r="OE1" s="4">
        <f>"CL"&amp;MID("FGHJKMNQUVXZ",B$1,1)&amp;B$4&amp;"P "&amp;IF(Settings!$B$4=2,TEXT((B$8+3),"0.00"),(B$8+3))&amp;" Comdty"</f>
        <v/>
      </c>
      <c r="OV1" s="4">
        <f>"CL"&amp;MID("FGHJKMNQUVXZ",B$1,1)&amp;B$4&amp;"C "&amp;IF(Settings!$B$4=2,TEXT((B$8+4),"0.00"),(B$8+4))&amp;" Comdty"</f>
        <v/>
      </c>
      <c r="PM1" s="4">
        <f>"CL"&amp;MID("FGHJKMNQUVXZ",B$1,1)&amp;B$4&amp;"P "&amp;IF(Settings!$B$4=2,TEXT((B$8+4),"0.00"),(B$8+4))&amp;" Comdty"</f>
        <v/>
      </c>
      <c r="QD1" s="4">
        <f>"CL"&amp;MID("FGHJKMNQUVXZ",B$1,1)&amp;B$4&amp;"C "&amp;IF(Settings!$B$4=2,TEXT((B$8+5),"0.00"),(B$8+5))&amp;" Comdty"</f>
        <v/>
      </c>
      <c r="QU1" s="4">
        <f>"CL"&amp;MID("FGHJKMNQUVXZ",B$1,1)&amp;B$4&amp;"P "&amp;IF(Settings!$B$4=2,TEXT((B$8+5),"0.00"),(B$8+5))&amp;" Comdty"</f>
        <v/>
      </c>
      <c r="RL1" s="4">
        <f>"CL"&amp;MID("FGHJKMNQUVXZ",B$1,1)&amp;B$4&amp;"C "&amp;IF(Settings!$B$4=2,TEXT((B$8+6),"0.00"),(B$8+6))&amp;" Comdty"</f>
        <v/>
      </c>
      <c r="SC1" s="4">
        <f>"CL"&amp;MID("FGHJKMNQUVXZ",B$1,1)&amp;B$4&amp;"P "&amp;IF(Settings!$B$4=2,TEXT((B$8+6),"0.00"),(B$8+6))&amp;" Comdty"</f>
        <v/>
      </c>
      <c r="ST1" s="4">
        <f>"CL"&amp;MID("FGHJKMNQUVXZ",B$1,1)&amp;B$4&amp;"C "&amp;IF(Settings!$B$4=2,TEXT((B$8+7),"0.00"),(B$8+7))&amp;" Comdty"</f>
        <v/>
      </c>
      <c r="TK1" s="4">
        <f>"CL"&amp;MID("FGHJKMNQUVXZ",B$1,1)&amp;B$4&amp;"P "&amp;IF(Settings!$B$4=2,TEXT((B$8+7),"0.00"),(B$8+7))&amp;" Comdty"</f>
        <v/>
      </c>
      <c r="UB1" s="4">
        <f>"CL"&amp;MID("FGHJKMNQUVXZ",B$1,1)&amp;B$4&amp;"C "&amp;IF(Settings!$B$4=2,TEXT((B$8+8),"0.00"),(B$8+8))&amp;" Comdty"</f>
        <v/>
      </c>
      <c r="US1" s="4">
        <f>"CL"&amp;MID("FGHJKMNQUVXZ",B$1,1)&amp;B$4&amp;"P "&amp;IF(Settings!$B$4=2,TEXT((B$8+8),"0.00"),(B$8+8))&amp;" Comdty"</f>
        <v/>
      </c>
    </row>
    <row r="2">
      <c r="A2" s="2" t="inlineStr">
        <is>
          <t>Futures last trade</t>
        </is>
      </c>
      <c r="B2" s="8">
        <f>WORKDAY(DATE(Settings!$B$3,B1-1,25),-3)</f>
        <v/>
      </c>
      <c r="D2" s="4" t="inlineStr">
        <is>
          <t>call -8 from ATM</t>
        </is>
      </c>
      <c r="U2" s="4" t="inlineStr">
        <is>
          <t>put -8 from ATM</t>
        </is>
      </c>
      <c r="AL2" s="4" t="inlineStr">
        <is>
          <t>call -7 from ATM</t>
        </is>
      </c>
      <c r="BC2" s="4" t="inlineStr">
        <is>
          <t>put -7 from ATM</t>
        </is>
      </c>
      <c r="BT2" s="4" t="inlineStr">
        <is>
          <t>call -6 from ATM</t>
        </is>
      </c>
      <c r="CK2" s="4" t="inlineStr">
        <is>
          <t>put -6 from ATM</t>
        </is>
      </c>
      <c r="DB2" s="4" t="inlineStr">
        <is>
          <t>call -5 from ATM</t>
        </is>
      </c>
      <c r="DS2" s="4" t="inlineStr">
        <is>
          <t>put -5 from ATM</t>
        </is>
      </c>
      <c r="EJ2" s="4" t="inlineStr">
        <is>
          <t>call -4 from ATM</t>
        </is>
      </c>
      <c r="FA2" s="4" t="inlineStr">
        <is>
          <t>put -4 from ATM</t>
        </is>
      </c>
      <c r="FR2" s="4" t="inlineStr">
        <is>
          <t>call -3 from ATM</t>
        </is>
      </c>
      <c r="GI2" s="4" t="inlineStr">
        <is>
          <t>put -3 from ATM</t>
        </is>
      </c>
      <c r="GZ2" s="4" t="inlineStr">
        <is>
          <t>call -2 from ATM</t>
        </is>
      </c>
      <c r="HQ2" s="4" t="inlineStr">
        <is>
          <t>put -2 from ATM</t>
        </is>
      </c>
      <c r="IH2" s="4" t="inlineStr">
        <is>
          <t>call -1 from ATM</t>
        </is>
      </c>
      <c r="IY2" s="4" t="inlineStr">
        <is>
          <t>put -1 from ATM</t>
        </is>
      </c>
      <c r="JP2" s="4" t="inlineStr">
        <is>
          <t>call +0 from ATM</t>
        </is>
      </c>
      <c r="KG2" s="4" t="inlineStr">
        <is>
          <t>put +0 from ATM</t>
        </is>
      </c>
      <c r="KX2" s="4" t="inlineStr">
        <is>
          <t>call +1 from ATM</t>
        </is>
      </c>
      <c r="LO2" s="4" t="inlineStr">
        <is>
          <t>put +1 from ATM</t>
        </is>
      </c>
      <c r="MF2" s="4" t="inlineStr">
        <is>
          <t>call +2 from ATM</t>
        </is>
      </c>
      <c r="MW2" s="4" t="inlineStr">
        <is>
          <t>put +2 from ATM</t>
        </is>
      </c>
      <c r="NN2" s="4" t="inlineStr">
        <is>
          <t>call +3 from ATM</t>
        </is>
      </c>
      <c r="OE2" s="4" t="inlineStr">
        <is>
          <t>put +3 from ATM</t>
        </is>
      </c>
      <c r="OV2" s="4" t="inlineStr">
        <is>
          <t>call +4 from ATM</t>
        </is>
      </c>
      <c r="PM2" s="4" t="inlineStr">
        <is>
          <t>put +4 from ATM</t>
        </is>
      </c>
      <c r="QD2" s="4" t="inlineStr">
        <is>
          <t>call +5 from ATM</t>
        </is>
      </c>
      <c r="QU2" s="4" t="inlineStr">
        <is>
          <t>put +5 from ATM</t>
        </is>
      </c>
      <c r="RL2" s="4" t="inlineStr">
        <is>
          <t>call +6 from ATM</t>
        </is>
      </c>
      <c r="SC2" s="4" t="inlineStr">
        <is>
          <t>put +6 from ATM</t>
        </is>
      </c>
      <c r="ST2" s="4" t="inlineStr">
        <is>
          <t>call +7 from ATM</t>
        </is>
      </c>
      <c r="TK2" s="4" t="inlineStr">
        <is>
          <t>put +7 from ATM</t>
        </is>
      </c>
      <c r="UB2" s="4" t="inlineStr">
        <is>
          <t>call +8 from ATM</t>
        </is>
      </c>
      <c r="US2" s="4" t="inlineStr">
        <is>
          <t>put +8 from ATM</t>
        </is>
      </c>
    </row>
    <row r="3">
      <c r="A3" s="2" t="inlineStr">
        <is>
          <t>Option expiry (approx)</t>
        </is>
      </c>
      <c r="B3" s="8">
        <f>WORKDAY(B2,-1)</f>
        <v/>
      </c>
      <c r="D3" s="9" t="inlineStr">
        <is>
          <t>Date</t>
        </is>
      </c>
      <c r="E3" s="9" t="inlineStr">
        <is>
          <t>PX_BID</t>
        </is>
      </c>
      <c r="F3" s="9" t="inlineStr">
        <is>
          <t>PX_ASK</t>
        </is>
      </c>
      <c r="G3" s="9" t="inlineStr">
        <is>
          <t>PX_MID</t>
        </is>
      </c>
      <c r="H3" s="9" t="inlineStr">
        <is>
          <t>PX_LAST</t>
        </is>
      </c>
      <c r="I3" s="9" t="inlineStr">
        <is>
          <t>PX_SETTLE</t>
        </is>
      </c>
      <c r="J3" s="9" t="inlineStr">
        <is>
          <t>PX_VOLUME</t>
        </is>
      </c>
      <c r="K3" s="9" t="inlineStr">
        <is>
          <t>OPEN_INT</t>
        </is>
      </c>
      <c r="L3" s="9" t="inlineStr">
        <is>
          <t>IVOL_MID</t>
        </is>
      </c>
      <c r="M3" s="9" t="inlineStr">
        <is>
          <t>IVOL_BID</t>
        </is>
      </c>
      <c r="N3" s="9" t="inlineStr">
        <is>
          <t>IVOL_ASK</t>
        </is>
      </c>
      <c r="O3" s="9" t="inlineStr">
        <is>
          <t>DELTA_MID</t>
        </is>
      </c>
      <c r="P3" s="9" t="inlineStr">
        <is>
          <t>GAMMA_MID</t>
        </is>
      </c>
      <c r="Q3" s="9" t="inlineStr">
        <is>
          <t>VEGA_MID</t>
        </is>
      </c>
      <c r="R3" s="9" t="inlineStr">
        <is>
          <t>THETA_MID</t>
        </is>
      </c>
      <c r="S3" s="9" t="inlineStr">
        <is>
          <t>OPT_UNDL_PX</t>
        </is>
      </c>
      <c r="U3" s="9" t="inlineStr">
        <is>
          <t>Date</t>
        </is>
      </c>
      <c r="V3" s="9" t="inlineStr">
        <is>
          <t>PX_BID</t>
        </is>
      </c>
      <c r="W3" s="9" t="inlineStr">
        <is>
          <t>PX_ASK</t>
        </is>
      </c>
      <c r="X3" s="9" t="inlineStr">
        <is>
          <t>PX_MID</t>
        </is>
      </c>
      <c r="Y3" s="9" t="inlineStr">
        <is>
          <t>PX_LAST</t>
        </is>
      </c>
      <c r="Z3" s="9" t="inlineStr">
        <is>
          <t>PX_SETTLE</t>
        </is>
      </c>
      <c r="AA3" s="9" t="inlineStr">
        <is>
          <t>PX_VOLUME</t>
        </is>
      </c>
      <c r="AB3" s="9" t="inlineStr">
        <is>
          <t>OPEN_INT</t>
        </is>
      </c>
      <c r="AC3" s="9" t="inlineStr">
        <is>
          <t>IVOL_MID</t>
        </is>
      </c>
      <c r="AD3" s="9" t="inlineStr">
        <is>
          <t>IVOL_BID</t>
        </is>
      </c>
      <c r="AE3" s="9" t="inlineStr">
        <is>
          <t>IVOL_ASK</t>
        </is>
      </c>
      <c r="AF3" s="9" t="inlineStr">
        <is>
          <t>DELTA_MID</t>
        </is>
      </c>
      <c r="AG3" s="9" t="inlineStr">
        <is>
          <t>GAMMA_MID</t>
        </is>
      </c>
      <c r="AH3" s="9" t="inlineStr">
        <is>
          <t>VEGA_MID</t>
        </is>
      </c>
      <c r="AI3" s="9" t="inlineStr">
        <is>
          <t>THETA_MID</t>
        </is>
      </c>
      <c r="AJ3" s="9" t="inlineStr">
        <is>
          <t>OPT_UNDL_PX</t>
        </is>
      </c>
      <c r="AL3" s="9" t="inlineStr">
        <is>
          <t>Date</t>
        </is>
      </c>
      <c r="AM3" s="9" t="inlineStr">
        <is>
          <t>PX_BID</t>
        </is>
      </c>
      <c r="AN3" s="9" t="inlineStr">
        <is>
          <t>PX_ASK</t>
        </is>
      </c>
      <c r="AO3" s="9" t="inlineStr">
        <is>
          <t>PX_MID</t>
        </is>
      </c>
      <c r="AP3" s="9" t="inlineStr">
        <is>
          <t>PX_LAST</t>
        </is>
      </c>
      <c r="AQ3" s="9" t="inlineStr">
        <is>
          <t>PX_SETTLE</t>
        </is>
      </c>
      <c r="AR3" s="9" t="inlineStr">
        <is>
          <t>PX_VOLUME</t>
        </is>
      </c>
      <c r="AS3" s="9" t="inlineStr">
        <is>
          <t>OPEN_INT</t>
        </is>
      </c>
      <c r="AT3" s="9" t="inlineStr">
        <is>
          <t>IVOL_MID</t>
        </is>
      </c>
      <c r="AU3" s="9" t="inlineStr">
        <is>
          <t>IVOL_BID</t>
        </is>
      </c>
      <c r="AV3" s="9" t="inlineStr">
        <is>
          <t>IVOL_ASK</t>
        </is>
      </c>
      <c r="AW3" s="9" t="inlineStr">
        <is>
          <t>DELTA_MID</t>
        </is>
      </c>
      <c r="AX3" s="9" t="inlineStr">
        <is>
          <t>GAMMA_MID</t>
        </is>
      </c>
      <c r="AY3" s="9" t="inlineStr">
        <is>
          <t>VEGA_MID</t>
        </is>
      </c>
      <c r="AZ3" s="9" t="inlineStr">
        <is>
          <t>THETA_MID</t>
        </is>
      </c>
      <c r="BA3" s="9" t="inlineStr">
        <is>
          <t>OPT_UNDL_PX</t>
        </is>
      </c>
      <c r="BC3" s="9" t="inlineStr">
        <is>
          <t>Date</t>
        </is>
      </c>
      <c r="BD3" s="9" t="inlineStr">
        <is>
          <t>PX_BID</t>
        </is>
      </c>
      <c r="BE3" s="9" t="inlineStr">
        <is>
          <t>PX_ASK</t>
        </is>
      </c>
      <c r="BF3" s="9" t="inlineStr">
        <is>
          <t>PX_MID</t>
        </is>
      </c>
      <c r="BG3" s="9" t="inlineStr">
        <is>
          <t>PX_LAST</t>
        </is>
      </c>
      <c r="BH3" s="9" t="inlineStr">
        <is>
          <t>PX_SETTLE</t>
        </is>
      </c>
      <c r="BI3" s="9" t="inlineStr">
        <is>
          <t>PX_VOLUME</t>
        </is>
      </c>
      <c r="BJ3" s="9" t="inlineStr">
        <is>
          <t>OPEN_INT</t>
        </is>
      </c>
      <c r="BK3" s="9" t="inlineStr">
        <is>
          <t>IVOL_MID</t>
        </is>
      </c>
      <c r="BL3" s="9" t="inlineStr">
        <is>
          <t>IVOL_BID</t>
        </is>
      </c>
      <c r="BM3" s="9" t="inlineStr">
        <is>
          <t>IVOL_ASK</t>
        </is>
      </c>
      <c r="BN3" s="9" t="inlineStr">
        <is>
          <t>DELTA_MID</t>
        </is>
      </c>
      <c r="BO3" s="9" t="inlineStr">
        <is>
          <t>GAMMA_MID</t>
        </is>
      </c>
      <c r="BP3" s="9" t="inlineStr">
        <is>
          <t>VEGA_MID</t>
        </is>
      </c>
      <c r="BQ3" s="9" t="inlineStr">
        <is>
          <t>THETA_MID</t>
        </is>
      </c>
      <c r="BR3" s="9" t="inlineStr">
        <is>
          <t>OPT_UNDL_PX</t>
        </is>
      </c>
      <c r="BT3" s="9" t="inlineStr">
        <is>
          <t>Date</t>
        </is>
      </c>
      <c r="BU3" s="9" t="inlineStr">
        <is>
          <t>PX_BID</t>
        </is>
      </c>
      <c r="BV3" s="9" t="inlineStr">
        <is>
          <t>PX_ASK</t>
        </is>
      </c>
      <c r="BW3" s="9" t="inlineStr">
        <is>
          <t>PX_MID</t>
        </is>
      </c>
      <c r="BX3" s="9" t="inlineStr">
        <is>
          <t>PX_LAST</t>
        </is>
      </c>
      <c r="BY3" s="9" t="inlineStr">
        <is>
          <t>PX_SETTLE</t>
        </is>
      </c>
      <c r="BZ3" s="9" t="inlineStr">
        <is>
          <t>PX_VOLUME</t>
        </is>
      </c>
      <c r="CA3" s="9" t="inlineStr">
        <is>
          <t>OPEN_INT</t>
        </is>
      </c>
      <c r="CB3" s="9" t="inlineStr">
        <is>
          <t>IVOL_MID</t>
        </is>
      </c>
      <c r="CC3" s="9" t="inlineStr">
        <is>
          <t>IVOL_BID</t>
        </is>
      </c>
      <c r="CD3" s="9" t="inlineStr">
        <is>
          <t>IVOL_ASK</t>
        </is>
      </c>
      <c r="CE3" s="9" t="inlineStr">
        <is>
          <t>DELTA_MID</t>
        </is>
      </c>
      <c r="CF3" s="9" t="inlineStr">
        <is>
          <t>GAMMA_MID</t>
        </is>
      </c>
      <c r="CG3" s="9" t="inlineStr">
        <is>
          <t>VEGA_MID</t>
        </is>
      </c>
      <c r="CH3" s="9" t="inlineStr">
        <is>
          <t>THETA_MID</t>
        </is>
      </c>
      <c r="CI3" s="9" t="inlineStr">
        <is>
          <t>OPT_UNDL_PX</t>
        </is>
      </c>
      <c r="CK3" s="9" t="inlineStr">
        <is>
          <t>Date</t>
        </is>
      </c>
      <c r="CL3" s="9" t="inlineStr">
        <is>
          <t>PX_BID</t>
        </is>
      </c>
      <c r="CM3" s="9" t="inlineStr">
        <is>
          <t>PX_ASK</t>
        </is>
      </c>
      <c r="CN3" s="9" t="inlineStr">
        <is>
          <t>PX_MID</t>
        </is>
      </c>
      <c r="CO3" s="9" t="inlineStr">
        <is>
          <t>PX_LAST</t>
        </is>
      </c>
      <c r="CP3" s="9" t="inlineStr">
        <is>
          <t>PX_SETTLE</t>
        </is>
      </c>
      <c r="CQ3" s="9" t="inlineStr">
        <is>
          <t>PX_VOLUME</t>
        </is>
      </c>
      <c r="CR3" s="9" t="inlineStr">
        <is>
          <t>OPEN_INT</t>
        </is>
      </c>
      <c r="CS3" s="9" t="inlineStr">
        <is>
          <t>IVOL_MID</t>
        </is>
      </c>
      <c r="CT3" s="9" t="inlineStr">
        <is>
          <t>IVOL_BID</t>
        </is>
      </c>
      <c r="CU3" s="9" t="inlineStr">
        <is>
          <t>IVOL_ASK</t>
        </is>
      </c>
      <c r="CV3" s="9" t="inlineStr">
        <is>
          <t>DELTA_MID</t>
        </is>
      </c>
      <c r="CW3" s="9" t="inlineStr">
        <is>
          <t>GAMMA_MID</t>
        </is>
      </c>
      <c r="CX3" s="9" t="inlineStr">
        <is>
          <t>VEGA_MID</t>
        </is>
      </c>
      <c r="CY3" s="9" t="inlineStr">
        <is>
          <t>THETA_MID</t>
        </is>
      </c>
      <c r="CZ3" s="9" t="inlineStr">
        <is>
          <t>OPT_UNDL_PX</t>
        </is>
      </c>
      <c r="DB3" s="9" t="inlineStr">
        <is>
          <t>Date</t>
        </is>
      </c>
      <c r="DC3" s="9" t="inlineStr">
        <is>
          <t>PX_BID</t>
        </is>
      </c>
      <c r="DD3" s="9" t="inlineStr">
        <is>
          <t>PX_ASK</t>
        </is>
      </c>
      <c r="DE3" s="9" t="inlineStr">
        <is>
          <t>PX_MID</t>
        </is>
      </c>
      <c r="DF3" s="9" t="inlineStr">
        <is>
          <t>PX_LAST</t>
        </is>
      </c>
      <c r="DG3" s="9" t="inlineStr">
        <is>
          <t>PX_SETTLE</t>
        </is>
      </c>
      <c r="DH3" s="9" t="inlineStr">
        <is>
          <t>PX_VOLUME</t>
        </is>
      </c>
      <c r="DI3" s="9" t="inlineStr">
        <is>
          <t>OPEN_INT</t>
        </is>
      </c>
      <c r="DJ3" s="9" t="inlineStr">
        <is>
          <t>IVOL_MID</t>
        </is>
      </c>
      <c r="DK3" s="9" t="inlineStr">
        <is>
          <t>IVOL_BID</t>
        </is>
      </c>
      <c r="DL3" s="9" t="inlineStr">
        <is>
          <t>IVOL_ASK</t>
        </is>
      </c>
      <c r="DM3" s="9" t="inlineStr">
        <is>
          <t>DELTA_MID</t>
        </is>
      </c>
      <c r="DN3" s="9" t="inlineStr">
        <is>
          <t>GAMMA_MID</t>
        </is>
      </c>
      <c r="DO3" s="9" t="inlineStr">
        <is>
          <t>VEGA_MID</t>
        </is>
      </c>
      <c r="DP3" s="9" t="inlineStr">
        <is>
          <t>THETA_MID</t>
        </is>
      </c>
      <c r="DQ3" s="9" t="inlineStr">
        <is>
          <t>OPT_UNDL_PX</t>
        </is>
      </c>
      <c r="DS3" s="9" t="inlineStr">
        <is>
          <t>Date</t>
        </is>
      </c>
      <c r="DT3" s="9" t="inlineStr">
        <is>
          <t>PX_BID</t>
        </is>
      </c>
      <c r="DU3" s="9" t="inlineStr">
        <is>
          <t>PX_ASK</t>
        </is>
      </c>
      <c r="DV3" s="9" t="inlineStr">
        <is>
          <t>PX_MID</t>
        </is>
      </c>
      <c r="DW3" s="9" t="inlineStr">
        <is>
          <t>PX_LAST</t>
        </is>
      </c>
      <c r="DX3" s="9" t="inlineStr">
        <is>
          <t>PX_SETTLE</t>
        </is>
      </c>
      <c r="DY3" s="9" t="inlineStr">
        <is>
          <t>PX_VOLUME</t>
        </is>
      </c>
      <c r="DZ3" s="9" t="inlineStr">
        <is>
          <t>OPEN_INT</t>
        </is>
      </c>
      <c r="EA3" s="9" t="inlineStr">
        <is>
          <t>IVOL_MID</t>
        </is>
      </c>
      <c r="EB3" s="9" t="inlineStr">
        <is>
          <t>IVOL_BID</t>
        </is>
      </c>
      <c r="EC3" s="9" t="inlineStr">
        <is>
          <t>IVOL_ASK</t>
        </is>
      </c>
      <c r="ED3" s="9" t="inlineStr">
        <is>
          <t>DELTA_MID</t>
        </is>
      </c>
      <c r="EE3" s="9" t="inlineStr">
        <is>
          <t>GAMMA_MID</t>
        </is>
      </c>
      <c r="EF3" s="9" t="inlineStr">
        <is>
          <t>VEGA_MID</t>
        </is>
      </c>
      <c r="EG3" s="9" t="inlineStr">
        <is>
          <t>THETA_MID</t>
        </is>
      </c>
      <c r="EH3" s="9" t="inlineStr">
        <is>
          <t>OPT_UNDL_PX</t>
        </is>
      </c>
      <c r="EJ3" s="9" t="inlineStr">
        <is>
          <t>Date</t>
        </is>
      </c>
      <c r="EK3" s="9" t="inlineStr">
        <is>
          <t>PX_BID</t>
        </is>
      </c>
      <c r="EL3" s="9" t="inlineStr">
        <is>
          <t>PX_ASK</t>
        </is>
      </c>
      <c r="EM3" s="9" t="inlineStr">
        <is>
          <t>PX_MID</t>
        </is>
      </c>
      <c r="EN3" s="9" t="inlineStr">
        <is>
          <t>PX_LAST</t>
        </is>
      </c>
      <c r="EO3" s="9" t="inlineStr">
        <is>
          <t>PX_SETTLE</t>
        </is>
      </c>
      <c r="EP3" s="9" t="inlineStr">
        <is>
          <t>PX_VOLUME</t>
        </is>
      </c>
      <c r="EQ3" s="9" t="inlineStr">
        <is>
          <t>OPEN_INT</t>
        </is>
      </c>
      <c r="ER3" s="9" t="inlineStr">
        <is>
          <t>IVOL_MID</t>
        </is>
      </c>
      <c r="ES3" s="9" t="inlineStr">
        <is>
          <t>IVOL_BID</t>
        </is>
      </c>
      <c r="ET3" s="9" t="inlineStr">
        <is>
          <t>IVOL_ASK</t>
        </is>
      </c>
      <c r="EU3" s="9" t="inlineStr">
        <is>
          <t>DELTA_MID</t>
        </is>
      </c>
      <c r="EV3" s="9" t="inlineStr">
        <is>
          <t>GAMMA_MID</t>
        </is>
      </c>
      <c r="EW3" s="9" t="inlineStr">
        <is>
          <t>VEGA_MID</t>
        </is>
      </c>
      <c r="EX3" s="9" t="inlineStr">
        <is>
          <t>THETA_MID</t>
        </is>
      </c>
      <c r="EY3" s="9" t="inlineStr">
        <is>
          <t>OPT_UNDL_PX</t>
        </is>
      </c>
      <c r="FA3" s="9" t="inlineStr">
        <is>
          <t>Date</t>
        </is>
      </c>
      <c r="FB3" s="9" t="inlineStr">
        <is>
          <t>PX_BID</t>
        </is>
      </c>
      <c r="FC3" s="9" t="inlineStr">
        <is>
          <t>PX_ASK</t>
        </is>
      </c>
      <c r="FD3" s="9" t="inlineStr">
        <is>
          <t>PX_MID</t>
        </is>
      </c>
      <c r="FE3" s="9" t="inlineStr">
        <is>
          <t>PX_LAST</t>
        </is>
      </c>
      <c r="FF3" s="9" t="inlineStr">
        <is>
          <t>PX_SETTLE</t>
        </is>
      </c>
      <c r="FG3" s="9" t="inlineStr">
        <is>
          <t>PX_VOLUME</t>
        </is>
      </c>
      <c r="FH3" s="9" t="inlineStr">
        <is>
          <t>OPEN_INT</t>
        </is>
      </c>
      <c r="FI3" s="9" t="inlineStr">
        <is>
          <t>IVOL_MID</t>
        </is>
      </c>
      <c r="FJ3" s="9" t="inlineStr">
        <is>
          <t>IVOL_BID</t>
        </is>
      </c>
      <c r="FK3" s="9" t="inlineStr">
        <is>
          <t>IVOL_ASK</t>
        </is>
      </c>
      <c r="FL3" s="9" t="inlineStr">
        <is>
          <t>DELTA_MID</t>
        </is>
      </c>
      <c r="FM3" s="9" t="inlineStr">
        <is>
          <t>GAMMA_MID</t>
        </is>
      </c>
      <c r="FN3" s="9" t="inlineStr">
        <is>
          <t>VEGA_MID</t>
        </is>
      </c>
      <c r="FO3" s="9" t="inlineStr">
        <is>
          <t>THETA_MID</t>
        </is>
      </c>
      <c r="FP3" s="9" t="inlineStr">
        <is>
          <t>OPT_UNDL_PX</t>
        </is>
      </c>
      <c r="FR3" s="9" t="inlineStr">
        <is>
          <t>Date</t>
        </is>
      </c>
      <c r="FS3" s="9" t="inlineStr">
        <is>
          <t>PX_BID</t>
        </is>
      </c>
      <c r="FT3" s="9" t="inlineStr">
        <is>
          <t>PX_ASK</t>
        </is>
      </c>
      <c r="FU3" s="9" t="inlineStr">
        <is>
          <t>PX_MID</t>
        </is>
      </c>
      <c r="FV3" s="9" t="inlineStr">
        <is>
          <t>PX_LAST</t>
        </is>
      </c>
      <c r="FW3" s="9" t="inlineStr">
        <is>
          <t>PX_SETTLE</t>
        </is>
      </c>
      <c r="FX3" s="9" t="inlineStr">
        <is>
          <t>PX_VOLUME</t>
        </is>
      </c>
      <c r="FY3" s="9" t="inlineStr">
        <is>
          <t>OPEN_INT</t>
        </is>
      </c>
      <c r="FZ3" s="9" t="inlineStr">
        <is>
          <t>IVOL_MID</t>
        </is>
      </c>
      <c r="GA3" s="9" t="inlineStr">
        <is>
          <t>IVOL_BID</t>
        </is>
      </c>
      <c r="GB3" s="9" t="inlineStr">
        <is>
          <t>IVOL_ASK</t>
        </is>
      </c>
      <c r="GC3" s="9" t="inlineStr">
        <is>
          <t>DELTA_MID</t>
        </is>
      </c>
      <c r="GD3" s="9" t="inlineStr">
        <is>
          <t>GAMMA_MID</t>
        </is>
      </c>
      <c r="GE3" s="9" t="inlineStr">
        <is>
          <t>VEGA_MID</t>
        </is>
      </c>
      <c r="GF3" s="9" t="inlineStr">
        <is>
          <t>THETA_MID</t>
        </is>
      </c>
      <c r="GG3" s="9" t="inlineStr">
        <is>
          <t>OPT_UNDL_PX</t>
        </is>
      </c>
      <c r="GI3" s="9" t="inlineStr">
        <is>
          <t>Date</t>
        </is>
      </c>
      <c r="GJ3" s="9" t="inlineStr">
        <is>
          <t>PX_BID</t>
        </is>
      </c>
      <c r="GK3" s="9" t="inlineStr">
        <is>
          <t>PX_ASK</t>
        </is>
      </c>
      <c r="GL3" s="9" t="inlineStr">
        <is>
          <t>PX_MID</t>
        </is>
      </c>
      <c r="GM3" s="9" t="inlineStr">
        <is>
          <t>PX_LAST</t>
        </is>
      </c>
      <c r="GN3" s="9" t="inlineStr">
        <is>
          <t>PX_SETTLE</t>
        </is>
      </c>
      <c r="GO3" s="9" t="inlineStr">
        <is>
          <t>PX_VOLUME</t>
        </is>
      </c>
      <c r="GP3" s="9" t="inlineStr">
        <is>
          <t>OPEN_INT</t>
        </is>
      </c>
      <c r="GQ3" s="9" t="inlineStr">
        <is>
          <t>IVOL_MID</t>
        </is>
      </c>
      <c r="GR3" s="9" t="inlineStr">
        <is>
          <t>IVOL_BID</t>
        </is>
      </c>
      <c r="GS3" s="9" t="inlineStr">
        <is>
          <t>IVOL_ASK</t>
        </is>
      </c>
      <c r="GT3" s="9" t="inlineStr">
        <is>
          <t>DELTA_MID</t>
        </is>
      </c>
      <c r="GU3" s="9" t="inlineStr">
        <is>
          <t>GAMMA_MID</t>
        </is>
      </c>
      <c r="GV3" s="9" t="inlineStr">
        <is>
          <t>VEGA_MID</t>
        </is>
      </c>
      <c r="GW3" s="9" t="inlineStr">
        <is>
          <t>THETA_MID</t>
        </is>
      </c>
      <c r="GX3" s="9" t="inlineStr">
        <is>
          <t>OPT_UNDL_PX</t>
        </is>
      </c>
      <c r="GZ3" s="9" t="inlineStr">
        <is>
          <t>Date</t>
        </is>
      </c>
      <c r="HA3" s="9" t="inlineStr">
        <is>
          <t>PX_BID</t>
        </is>
      </c>
      <c r="HB3" s="9" t="inlineStr">
        <is>
          <t>PX_ASK</t>
        </is>
      </c>
      <c r="HC3" s="9" t="inlineStr">
        <is>
          <t>PX_MID</t>
        </is>
      </c>
      <c r="HD3" s="9" t="inlineStr">
        <is>
          <t>PX_LAST</t>
        </is>
      </c>
      <c r="HE3" s="9" t="inlineStr">
        <is>
          <t>PX_SETTLE</t>
        </is>
      </c>
      <c r="HF3" s="9" t="inlineStr">
        <is>
          <t>PX_VOLUME</t>
        </is>
      </c>
      <c r="HG3" s="9" t="inlineStr">
        <is>
          <t>OPEN_INT</t>
        </is>
      </c>
      <c r="HH3" s="9" t="inlineStr">
        <is>
          <t>IVOL_MID</t>
        </is>
      </c>
      <c r="HI3" s="9" t="inlineStr">
        <is>
          <t>IVOL_BID</t>
        </is>
      </c>
      <c r="HJ3" s="9" t="inlineStr">
        <is>
          <t>IVOL_ASK</t>
        </is>
      </c>
      <c r="HK3" s="9" t="inlineStr">
        <is>
          <t>DELTA_MID</t>
        </is>
      </c>
      <c r="HL3" s="9" t="inlineStr">
        <is>
          <t>GAMMA_MID</t>
        </is>
      </c>
      <c r="HM3" s="9" t="inlineStr">
        <is>
          <t>VEGA_MID</t>
        </is>
      </c>
      <c r="HN3" s="9" t="inlineStr">
        <is>
          <t>THETA_MID</t>
        </is>
      </c>
      <c r="HO3" s="9" t="inlineStr">
        <is>
          <t>OPT_UNDL_PX</t>
        </is>
      </c>
      <c r="HQ3" s="9" t="inlineStr">
        <is>
          <t>Date</t>
        </is>
      </c>
      <c r="HR3" s="9" t="inlineStr">
        <is>
          <t>PX_BID</t>
        </is>
      </c>
      <c r="HS3" s="9" t="inlineStr">
        <is>
          <t>PX_ASK</t>
        </is>
      </c>
      <c r="HT3" s="9" t="inlineStr">
        <is>
          <t>PX_MID</t>
        </is>
      </c>
      <c r="HU3" s="9" t="inlineStr">
        <is>
          <t>PX_LAST</t>
        </is>
      </c>
      <c r="HV3" s="9" t="inlineStr">
        <is>
          <t>PX_SETTLE</t>
        </is>
      </c>
      <c r="HW3" s="9" t="inlineStr">
        <is>
          <t>PX_VOLUME</t>
        </is>
      </c>
      <c r="HX3" s="9" t="inlineStr">
        <is>
          <t>OPEN_INT</t>
        </is>
      </c>
      <c r="HY3" s="9" t="inlineStr">
        <is>
          <t>IVOL_MID</t>
        </is>
      </c>
      <c r="HZ3" s="9" t="inlineStr">
        <is>
          <t>IVOL_BID</t>
        </is>
      </c>
      <c r="IA3" s="9" t="inlineStr">
        <is>
          <t>IVOL_ASK</t>
        </is>
      </c>
      <c r="IB3" s="9" t="inlineStr">
        <is>
          <t>DELTA_MID</t>
        </is>
      </c>
      <c r="IC3" s="9" t="inlineStr">
        <is>
          <t>GAMMA_MID</t>
        </is>
      </c>
      <c r="ID3" s="9" t="inlineStr">
        <is>
          <t>VEGA_MID</t>
        </is>
      </c>
      <c r="IE3" s="9" t="inlineStr">
        <is>
          <t>THETA_MID</t>
        </is>
      </c>
      <c r="IF3" s="9" t="inlineStr">
        <is>
          <t>OPT_UNDL_PX</t>
        </is>
      </c>
      <c r="IH3" s="9" t="inlineStr">
        <is>
          <t>Date</t>
        </is>
      </c>
      <c r="II3" s="9" t="inlineStr">
        <is>
          <t>PX_BID</t>
        </is>
      </c>
      <c r="IJ3" s="9" t="inlineStr">
        <is>
          <t>PX_ASK</t>
        </is>
      </c>
      <c r="IK3" s="9" t="inlineStr">
        <is>
          <t>PX_MID</t>
        </is>
      </c>
      <c r="IL3" s="9" t="inlineStr">
        <is>
          <t>PX_LAST</t>
        </is>
      </c>
      <c r="IM3" s="9" t="inlineStr">
        <is>
          <t>PX_SETTLE</t>
        </is>
      </c>
      <c r="IN3" s="9" t="inlineStr">
        <is>
          <t>PX_VOLUME</t>
        </is>
      </c>
      <c r="IO3" s="9" t="inlineStr">
        <is>
          <t>OPEN_INT</t>
        </is>
      </c>
      <c r="IP3" s="9" t="inlineStr">
        <is>
          <t>IVOL_MID</t>
        </is>
      </c>
      <c r="IQ3" s="9" t="inlineStr">
        <is>
          <t>IVOL_BID</t>
        </is>
      </c>
      <c r="IR3" s="9" t="inlineStr">
        <is>
          <t>IVOL_ASK</t>
        </is>
      </c>
      <c r="IS3" s="9" t="inlineStr">
        <is>
          <t>DELTA_MID</t>
        </is>
      </c>
      <c r="IT3" s="9" t="inlineStr">
        <is>
          <t>GAMMA_MID</t>
        </is>
      </c>
      <c r="IU3" s="9" t="inlineStr">
        <is>
          <t>VEGA_MID</t>
        </is>
      </c>
      <c r="IV3" s="9" t="inlineStr">
        <is>
          <t>THETA_MID</t>
        </is>
      </c>
      <c r="IW3" s="9" t="inlineStr">
        <is>
          <t>OPT_UNDL_PX</t>
        </is>
      </c>
      <c r="IY3" s="9" t="inlineStr">
        <is>
          <t>Date</t>
        </is>
      </c>
      <c r="IZ3" s="9" t="inlineStr">
        <is>
          <t>PX_BID</t>
        </is>
      </c>
      <c r="JA3" s="9" t="inlineStr">
        <is>
          <t>PX_ASK</t>
        </is>
      </c>
      <c r="JB3" s="9" t="inlineStr">
        <is>
          <t>PX_MID</t>
        </is>
      </c>
      <c r="JC3" s="9" t="inlineStr">
        <is>
          <t>PX_LAST</t>
        </is>
      </c>
      <c r="JD3" s="9" t="inlineStr">
        <is>
          <t>PX_SETTLE</t>
        </is>
      </c>
      <c r="JE3" s="9" t="inlineStr">
        <is>
          <t>PX_VOLUME</t>
        </is>
      </c>
      <c r="JF3" s="9" t="inlineStr">
        <is>
          <t>OPEN_INT</t>
        </is>
      </c>
      <c r="JG3" s="9" t="inlineStr">
        <is>
          <t>IVOL_MID</t>
        </is>
      </c>
      <c r="JH3" s="9" t="inlineStr">
        <is>
          <t>IVOL_BID</t>
        </is>
      </c>
      <c r="JI3" s="9" t="inlineStr">
        <is>
          <t>IVOL_ASK</t>
        </is>
      </c>
      <c r="JJ3" s="9" t="inlineStr">
        <is>
          <t>DELTA_MID</t>
        </is>
      </c>
      <c r="JK3" s="9" t="inlineStr">
        <is>
          <t>GAMMA_MID</t>
        </is>
      </c>
      <c r="JL3" s="9" t="inlineStr">
        <is>
          <t>VEGA_MID</t>
        </is>
      </c>
      <c r="JM3" s="9" t="inlineStr">
        <is>
          <t>THETA_MID</t>
        </is>
      </c>
      <c r="JN3" s="9" t="inlineStr">
        <is>
          <t>OPT_UNDL_PX</t>
        </is>
      </c>
      <c r="JP3" s="9" t="inlineStr">
        <is>
          <t>Date</t>
        </is>
      </c>
      <c r="JQ3" s="9" t="inlineStr">
        <is>
          <t>PX_BID</t>
        </is>
      </c>
      <c r="JR3" s="9" t="inlineStr">
        <is>
          <t>PX_ASK</t>
        </is>
      </c>
      <c r="JS3" s="9" t="inlineStr">
        <is>
          <t>PX_MID</t>
        </is>
      </c>
      <c r="JT3" s="9" t="inlineStr">
        <is>
          <t>PX_LAST</t>
        </is>
      </c>
      <c r="JU3" s="9" t="inlineStr">
        <is>
          <t>PX_SETTLE</t>
        </is>
      </c>
      <c r="JV3" s="9" t="inlineStr">
        <is>
          <t>PX_VOLUME</t>
        </is>
      </c>
      <c r="JW3" s="9" t="inlineStr">
        <is>
          <t>OPEN_INT</t>
        </is>
      </c>
      <c r="JX3" s="9" t="inlineStr">
        <is>
          <t>IVOL_MID</t>
        </is>
      </c>
      <c r="JY3" s="9" t="inlineStr">
        <is>
          <t>IVOL_BID</t>
        </is>
      </c>
      <c r="JZ3" s="9" t="inlineStr">
        <is>
          <t>IVOL_ASK</t>
        </is>
      </c>
      <c r="KA3" s="9" t="inlineStr">
        <is>
          <t>DELTA_MID</t>
        </is>
      </c>
      <c r="KB3" s="9" t="inlineStr">
        <is>
          <t>GAMMA_MID</t>
        </is>
      </c>
      <c r="KC3" s="9" t="inlineStr">
        <is>
          <t>VEGA_MID</t>
        </is>
      </c>
      <c r="KD3" s="9" t="inlineStr">
        <is>
          <t>THETA_MID</t>
        </is>
      </c>
      <c r="KE3" s="9" t="inlineStr">
        <is>
          <t>OPT_UNDL_PX</t>
        </is>
      </c>
      <c r="KG3" s="9" t="inlineStr">
        <is>
          <t>Date</t>
        </is>
      </c>
      <c r="KH3" s="9" t="inlineStr">
        <is>
          <t>PX_BID</t>
        </is>
      </c>
      <c r="KI3" s="9" t="inlineStr">
        <is>
          <t>PX_ASK</t>
        </is>
      </c>
      <c r="KJ3" s="9" t="inlineStr">
        <is>
          <t>PX_MID</t>
        </is>
      </c>
      <c r="KK3" s="9" t="inlineStr">
        <is>
          <t>PX_LAST</t>
        </is>
      </c>
      <c r="KL3" s="9" t="inlineStr">
        <is>
          <t>PX_SETTLE</t>
        </is>
      </c>
      <c r="KM3" s="9" t="inlineStr">
        <is>
          <t>PX_VOLUME</t>
        </is>
      </c>
      <c r="KN3" s="9" t="inlineStr">
        <is>
          <t>OPEN_INT</t>
        </is>
      </c>
      <c r="KO3" s="9" t="inlineStr">
        <is>
          <t>IVOL_MID</t>
        </is>
      </c>
      <c r="KP3" s="9" t="inlineStr">
        <is>
          <t>IVOL_BID</t>
        </is>
      </c>
      <c r="KQ3" s="9" t="inlineStr">
        <is>
          <t>IVOL_ASK</t>
        </is>
      </c>
      <c r="KR3" s="9" t="inlineStr">
        <is>
          <t>DELTA_MID</t>
        </is>
      </c>
      <c r="KS3" s="9" t="inlineStr">
        <is>
          <t>GAMMA_MID</t>
        </is>
      </c>
      <c r="KT3" s="9" t="inlineStr">
        <is>
          <t>VEGA_MID</t>
        </is>
      </c>
      <c r="KU3" s="9" t="inlineStr">
        <is>
          <t>THETA_MID</t>
        </is>
      </c>
      <c r="KV3" s="9" t="inlineStr">
        <is>
          <t>OPT_UNDL_PX</t>
        </is>
      </c>
      <c r="KX3" s="9" t="inlineStr">
        <is>
          <t>Date</t>
        </is>
      </c>
      <c r="KY3" s="9" t="inlineStr">
        <is>
          <t>PX_BID</t>
        </is>
      </c>
      <c r="KZ3" s="9" t="inlineStr">
        <is>
          <t>PX_ASK</t>
        </is>
      </c>
      <c r="LA3" s="9" t="inlineStr">
        <is>
          <t>PX_MID</t>
        </is>
      </c>
      <c r="LB3" s="9" t="inlineStr">
        <is>
          <t>PX_LAST</t>
        </is>
      </c>
      <c r="LC3" s="9" t="inlineStr">
        <is>
          <t>PX_SETTLE</t>
        </is>
      </c>
      <c r="LD3" s="9" t="inlineStr">
        <is>
          <t>PX_VOLUME</t>
        </is>
      </c>
      <c r="LE3" s="9" t="inlineStr">
        <is>
          <t>OPEN_INT</t>
        </is>
      </c>
      <c r="LF3" s="9" t="inlineStr">
        <is>
          <t>IVOL_MID</t>
        </is>
      </c>
      <c r="LG3" s="9" t="inlineStr">
        <is>
          <t>IVOL_BID</t>
        </is>
      </c>
      <c r="LH3" s="9" t="inlineStr">
        <is>
          <t>IVOL_ASK</t>
        </is>
      </c>
      <c r="LI3" s="9" t="inlineStr">
        <is>
          <t>DELTA_MID</t>
        </is>
      </c>
      <c r="LJ3" s="9" t="inlineStr">
        <is>
          <t>GAMMA_MID</t>
        </is>
      </c>
      <c r="LK3" s="9" t="inlineStr">
        <is>
          <t>VEGA_MID</t>
        </is>
      </c>
      <c r="LL3" s="9" t="inlineStr">
        <is>
          <t>THETA_MID</t>
        </is>
      </c>
      <c r="LM3" s="9" t="inlineStr">
        <is>
          <t>OPT_UNDL_PX</t>
        </is>
      </c>
      <c r="LO3" s="9" t="inlineStr">
        <is>
          <t>Date</t>
        </is>
      </c>
      <c r="LP3" s="9" t="inlineStr">
        <is>
          <t>PX_BID</t>
        </is>
      </c>
      <c r="LQ3" s="9" t="inlineStr">
        <is>
          <t>PX_ASK</t>
        </is>
      </c>
      <c r="LR3" s="9" t="inlineStr">
        <is>
          <t>PX_MID</t>
        </is>
      </c>
      <c r="LS3" s="9" t="inlineStr">
        <is>
          <t>PX_LAST</t>
        </is>
      </c>
      <c r="LT3" s="9" t="inlineStr">
        <is>
          <t>PX_SETTLE</t>
        </is>
      </c>
      <c r="LU3" s="9" t="inlineStr">
        <is>
          <t>PX_VOLUME</t>
        </is>
      </c>
      <c r="LV3" s="9" t="inlineStr">
        <is>
          <t>OPEN_INT</t>
        </is>
      </c>
      <c r="LW3" s="9" t="inlineStr">
        <is>
          <t>IVOL_MID</t>
        </is>
      </c>
      <c r="LX3" s="9" t="inlineStr">
        <is>
          <t>IVOL_BID</t>
        </is>
      </c>
      <c r="LY3" s="9" t="inlineStr">
        <is>
          <t>IVOL_ASK</t>
        </is>
      </c>
      <c r="LZ3" s="9" t="inlineStr">
        <is>
          <t>DELTA_MID</t>
        </is>
      </c>
      <c r="MA3" s="9" t="inlineStr">
        <is>
          <t>GAMMA_MID</t>
        </is>
      </c>
      <c r="MB3" s="9" t="inlineStr">
        <is>
          <t>VEGA_MID</t>
        </is>
      </c>
      <c r="MC3" s="9" t="inlineStr">
        <is>
          <t>THETA_MID</t>
        </is>
      </c>
      <c r="MD3" s="9" t="inlineStr">
        <is>
          <t>OPT_UNDL_PX</t>
        </is>
      </c>
      <c r="MF3" s="9" t="inlineStr">
        <is>
          <t>Date</t>
        </is>
      </c>
      <c r="MG3" s="9" t="inlineStr">
        <is>
          <t>PX_BID</t>
        </is>
      </c>
      <c r="MH3" s="9" t="inlineStr">
        <is>
          <t>PX_ASK</t>
        </is>
      </c>
      <c r="MI3" s="9" t="inlineStr">
        <is>
          <t>PX_MID</t>
        </is>
      </c>
      <c r="MJ3" s="9" t="inlineStr">
        <is>
          <t>PX_LAST</t>
        </is>
      </c>
      <c r="MK3" s="9" t="inlineStr">
        <is>
          <t>PX_SETTLE</t>
        </is>
      </c>
      <c r="ML3" s="9" t="inlineStr">
        <is>
          <t>PX_VOLUME</t>
        </is>
      </c>
      <c r="MM3" s="9" t="inlineStr">
        <is>
          <t>OPEN_INT</t>
        </is>
      </c>
      <c r="MN3" s="9" t="inlineStr">
        <is>
          <t>IVOL_MID</t>
        </is>
      </c>
      <c r="MO3" s="9" t="inlineStr">
        <is>
          <t>IVOL_BID</t>
        </is>
      </c>
      <c r="MP3" s="9" t="inlineStr">
        <is>
          <t>IVOL_ASK</t>
        </is>
      </c>
      <c r="MQ3" s="9" t="inlineStr">
        <is>
          <t>DELTA_MID</t>
        </is>
      </c>
      <c r="MR3" s="9" t="inlineStr">
        <is>
          <t>GAMMA_MID</t>
        </is>
      </c>
      <c r="MS3" s="9" t="inlineStr">
        <is>
          <t>VEGA_MID</t>
        </is>
      </c>
      <c r="MT3" s="9" t="inlineStr">
        <is>
          <t>THETA_MID</t>
        </is>
      </c>
      <c r="MU3" s="9" t="inlineStr">
        <is>
          <t>OPT_UNDL_PX</t>
        </is>
      </c>
      <c r="MW3" s="9" t="inlineStr">
        <is>
          <t>Date</t>
        </is>
      </c>
      <c r="MX3" s="9" t="inlineStr">
        <is>
          <t>PX_BID</t>
        </is>
      </c>
      <c r="MY3" s="9" t="inlineStr">
        <is>
          <t>PX_ASK</t>
        </is>
      </c>
      <c r="MZ3" s="9" t="inlineStr">
        <is>
          <t>PX_MID</t>
        </is>
      </c>
      <c r="NA3" s="9" t="inlineStr">
        <is>
          <t>PX_LAST</t>
        </is>
      </c>
      <c r="NB3" s="9" t="inlineStr">
        <is>
          <t>PX_SETTLE</t>
        </is>
      </c>
      <c r="NC3" s="9" t="inlineStr">
        <is>
          <t>PX_VOLUME</t>
        </is>
      </c>
      <c r="ND3" s="9" t="inlineStr">
        <is>
          <t>OPEN_INT</t>
        </is>
      </c>
      <c r="NE3" s="9" t="inlineStr">
        <is>
          <t>IVOL_MID</t>
        </is>
      </c>
      <c r="NF3" s="9" t="inlineStr">
        <is>
          <t>IVOL_BID</t>
        </is>
      </c>
      <c r="NG3" s="9" t="inlineStr">
        <is>
          <t>IVOL_ASK</t>
        </is>
      </c>
      <c r="NH3" s="9" t="inlineStr">
        <is>
          <t>DELTA_MID</t>
        </is>
      </c>
      <c r="NI3" s="9" t="inlineStr">
        <is>
          <t>GAMMA_MID</t>
        </is>
      </c>
      <c r="NJ3" s="9" t="inlineStr">
        <is>
          <t>VEGA_MID</t>
        </is>
      </c>
      <c r="NK3" s="9" t="inlineStr">
        <is>
          <t>THETA_MID</t>
        </is>
      </c>
      <c r="NL3" s="9" t="inlineStr">
        <is>
          <t>OPT_UNDL_PX</t>
        </is>
      </c>
      <c r="NN3" s="9" t="inlineStr">
        <is>
          <t>Date</t>
        </is>
      </c>
      <c r="NO3" s="9" t="inlineStr">
        <is>
          <t>PX_BID</t>
        </is>
      </c>
      <c r="NP3" s="9" t="inlineStr">
        <is>
          <t>PX_ASK</t>
        </is>
      </c>
      <c r="NQ3" s="9" t="inlineStr">
        <is>
          <t>PX_MID</t>
        </is>
      </c>
      <c r="NR3" s="9" t="inlineStr">
        <is>
          <t>PX_LAST</t>
        </is>
      </c>
      <c r="NS3" s="9" t="inlineStr">
        <is>
          <t>PX_SETTLE</t>
        </is>
      </c>
      <c r="NT3" s="9" t="inlineStr">
        <is>
          <t>PX_VOLUME</t>
        </is>
      </c>
      <c r="NU3" s="9" t="inlineStr">
        <is>
          <t>OPEN_INT</t>
        </is>
      </c>
      <c r="NV3" s="9" t="inlineStr">
        <is>
          <t>IVOL_MID</t>
        </is>
      </c>
      <c r="NW3" s="9" t="inlineStr">
        <is>
          <t>IVOL_BID</t>
        </is>
      </c>
      <c r="NX3" s="9" t="inlineStr">
        <is>
          <t>IVOL_ASK</t>
        </is>
      </c>
      <c r="NY3" s="9" t="inlineStr">
        <is>
          <t>DELTA_MID</t>
        </is>
      </c>
      <c r="NZ3" s="9" t="inlineStr">
        <is>
          <t>GAMMA_MID</t>
        </is>
      </c>
      <c r="OA3" s="9" t="inlineStr">
        <is>
          <t>VEGA_MID</t>
        </is>
      </c>
      <c r="OB3" s="9" t="inlineStr">
        <is>
          <t>THETA_MID</t>
        </is>
      </c>
      <c r="OC3" s="9" t="inlineStr">
        <is>
          <t>OPT_UNDL_PX</t>
        </is>
      </c>
      <c r="OE3" s="9" t="inlineStr">
        <is>
          <t>Date</t>
        </is>
      </c>
      <c r="OF3" s="9" t="inlineStr">
        <is>
          <t>PX_BID</t>
        </is>
      </c>
      <c r="OG3" s="9" t="inlineStr">
        <is>
          <t>PX_ASK</t>
        </is>
      </c>
      <c r="OH3" s="9" t="inlineStr">
        <is>
          <t>PX_MID</t>
        </is>
      </c>
      <c r="OI3" s="9" t="inlineStr">
        <is>
          <t>PX_LAST</t>
        </is>
      </c>
      <c r="OJ3" s="9" t="inlineStr">
        <is>
          <t>PX_SETTLE</t>
        </is>
      </c>
      <c r="OK3" s="9" t="inlineStr">
        <is>
          <t>PX_VOLUME</t>
        </is>
      </c>
      <c r="OL3" s="9" t="inlineStr">
        <is>
          <t>OPEN_INT</t>
        </is>
      </c>
      <c r="OM3" s="9" t="inlineStr">
        <is>
          <t>IVOL_MID</t>
        </is>
      </c>
      <c r="ON3" s="9" t="inlineStr">
        <is>
          <t>IVOL_BID</t>
        </is>
      </c>
      <c r="OO3" s="9" t="inlineStr">
        <is>
          <t>IVOL_ASK</t>
        </is>
      </c>
      <c r="OP3" s="9" t="inlineStr">
        <is>
          <t>DELTA_MID</t>
        </is>
      </c>
      <c r="OQ3" s="9" t="inlineStr">
        <is>
          <t>GAMMA_MID</t>
        </is>
      </c>
      <c r="OR3" s="9" t="inlineStr">
        <is>
          <t>VEGA_MID</t>
        </is>
      </c>
      <c r="OS3" s="9" t="inlineStr">
        <is>
          <t>THETA_MID</t>
        </is>
      </c>
      <c r="OT3" s="9" t="inlineStr">
        <is>
          <t>OPT_UNDL_PX</t>
        </is>
      </c>
      <c r="OV3" s="9" t="inlineStr">
        <is>
          <t>Date</t>
        </is>
      </c>
      <c r="OW3" s="9" t="inlineStr">
        <is>
          <t>PX_BID</t>
        </is>
      </c>
      <c r="OX3" s="9" t="inlineStr">
        <is>
          <t>PX_ASK</t>
        </is>
      </c>
      <c r="OY3" s="9" t="inlineStr">
        <is>
          <t>PX_MID</t>
        </is>
      </c>
      <c r="OZ3" s="9" t="inlineStr">
        <is>
          <t>PX_LAST</t>
        </is>
      </c>
      <c r="PA3" s="9" t="inlineStr">
        <is>
          <t>PX_SETTLE</t>
        </is>
      </c>
      <c r="PB3" s="9" t="inlineStr">
        <is>
          <t>PX_VOLUME</t>
        </is>
      </c>
      <c r="PC3" s="9" t="inlineStr">
        <is>
          <t>OPEN_INT</t>
        </is>
      </c>
      <c r="PD3" s="9" t="inlineStr">
        <is>
          <t>IVOL_MID</t>
        </is>
      </c>
      <c r="PE3" s="9" t="inlineStr">
        <is>
          <t>IVOL_BID</t>
        </is>
      </c>
      <c r="PF3" s="9" t="inlineStr">
        <is>
          <t>IVOL_ASK</t>
        </is>
      </c>
      <c r="PG3" s="9" t="inlineStr">
        <is>
          <t>DELTA_MID</t>
        </is>
      </c>
      <c r="PH3" s="9" t="inlineStr">
        <is>
          <t>GAMMA_MID</t>
        </is>
      </c>
      <c r="PI3" s="9" t="inlineStr">
        <is>
          <t>VEGA_MID</t>
        </is>
      </c>
      <c r="PJ3" s="9" t="inlineStr">
        <is>
          <t>THETA_MID</t>
        </is>
      </c>
      <c r="PK3" s="9" t="inlineStr">
        <is>
          <t>OPT_UNDL_PX</t>
        </is>
      </c>
      <c r="PM3" s="9" t="inlineStr">
        <is>
          <t>Date</t>
        </is>
      </c>
      <c r="PN3" s="9" t="inlineStr">
        <is>
          <t>PX_BID</t>
        </is>
      </c>
      <c r="PO3" s="9" t="inlineStr">
        <is>
          <t>PX_ASK</t>
        </is>
      </c>
      <c r="PP3" s="9" t="inlineStr">
        <is>
          <t>PX_MID</t>
        </is>
      </c>
      <c r="PQ3" s="9" t="inlineStr">
        <is>
          <t>PX_LAST</t>
        </is>
      </c>
      <c r="PR3" s="9" t="inlineStr">
        <is>
          <t>PX_SETTLE</t>
        </is>
      </c>
      <c r="PS3" s="9" t="inlineStr">
        <is>
          <t>PX_VOLUME</t>
        </is>
      </c>
      <c r="PT3" s="9" t="inlineStr">
        <is>
          <t>OPEN_INT</t>
        </is>
      </c>
      <c r="PU3" s="9" t="inlineStr">
        <is>
          <t>IVOL_MID</t>
        </is>
      </c>
      <c r="PV3" s="9" t="inlineStr">
        <is>
          <t>IVOL_BID</t>
        </is>
      </c>
      <c r="PW3" s="9" t="inlineStr">
        <is>
          <t>IVOL_ASK</t>
        </is>
      </c>
      <c r="PX3" s="9" t="inlineStr">
        <is>
          <t>DELTA_MID</t>
        </is>
      </c>
      <c r="PY3" s="9" t="inlineStr">
        <is>
          <t>GAMMA_MID</t>
        </is>
      </c>
      <c r="PZ3" s="9" t="inlineStr">
        <is>
          <t>VEGA_MID</t>
        </is>
      </c>
      <c r="QA3" s="9" t="inlineStr">
        <is>
          <t>THETA_MID</t>
        </is>
      </c>
      <c r="QB3" s="9" t="inlineStr">
        <is>
          <t>OPT_UNDL_PX</t>
        </is>
      </c>
      <c r="QD3" s="9" t="inlineStr">
        <is>
          <t>Date</t>
        </is>
      </c>
      <c r="QE3" s="9" t="inlineStr">
        <is>
          <t>PX_BID</t>
        </is>
      </c>
      <c r="QF3" s="9" t="inlineStr">
        <is>
          <t>PX_ASK</t>
        </is>
      </c>
      <c r="QG3" s="9" t="inlineStr">
        <is>
          <t>PX_MID</t>
        </is>
      </c>
      <c r="QH3" s="9" t="inlineStr">
        <is>
          <t>PX_LAST</t>
        </is>
      </c>
      <c r="QI3" s="9" t="inlineStr">
        <is>
          <t>PX_SETTLE</t>
        </is>
      </c>
      <c r="QJ3" s="9" t="inlineStr">
        <is>
          <t>PX_VOLUME</t>
        </is>
      </c>
      <c r="QK3" s="9" t="inlineStr">
        <is>
          <t>OPEN_INT</t>
        </is>
      </c>
      <c r="QL3" s="9" t="inlineStr">
        <is>
          <t>IVOL_MID</t>
        </is>
      </c>
      <c r="QM3" s="9" t="inlineStr">
        <is>
          <t>IVOL_BID</t>
        </is>
      </c>
      <c r="QN3" s="9" t="inlineStr">
        <is>
          <t>IVOL_ASK</t>
        </is>
      </c>
      <c r="QO3" s="9" t="inlineStr">
        <is>
          <t>DELTA_MID</t>
        </is>
      </c>
      <c r="QP3" s="9" t="inlineStr">
        <is>
          <t>GAMMA_MID</t>
        </is>
      </c>
      <c r="QQ3" s="9" t="inlineStr">
        <is>
          <t>VEGA_MID</t>
        </is>
      </c>
      <c r="QR3" s="9" t="inlineStr">
        <is>
          <t>THETA_MID</t>
        </is>
      </c>
      <c r="QS3" s="9" t="inlineStr">
        <is>
          <t>OPT_UNDL_PX</t>
        </is>
      </c>
      <c r="QU3" s="9" t="inlineStr">
        <is>
          <t>Date</t>
        </is>
      </c>
      <c r="QV3" s="9" t="inlineStr">
        <is>
          <t>PX_BID</t>
        </is>
      </c>
      <c r="QW3" s="9" t="inlineStr">
        <is>
          <t>PX_ASK</t>
        </is>
      </c>
      <c r="QX3" s="9" t="inlineStr">
        <is>
          <t>PX_MID</t>
        </is>
      </c>
      <c r="QY3" s="9" t="inlineStr">
        <is>
          <t>PX_LAST</t>
        </is>
      </c>
      <c r="QZ3" s="9" t="inlineStr">
        <is>
          <t>PX_SETTLE</t>
        </is>
      </c>
      <c r="RA3" s="9" t="inlineStr">
        <is>
          <t>PX_VOLUME</t>
        </is>
      </c>
      <c r="RB3" s="9" t="inlineStr">
        <is>
          <t>OPEN_INT</t>
        </is>
      </c>
      <c r="RC3" s="9" t="inlineStr">
        <is>
          <t>IVOL_MID</t>
        </is>
      </c>
      <c r="RD3" s="9" t="inlineStr">
        <is>
          <t>IVOL_BID</t>
        </is>
      </c>
      <c r="RE3" s="9" t="inlineStr">
        <is>
          <t>IVOL_ASK</t>
        </is>
      </c>
      <c r="RF3" s="9" t="inlineStr">
        <is>
          <t>DELTA_MID</t>
        </is>
      </c>
      <c r="RG3" s="9" t="inlineStr">
        <is>
          <t>GAMMA_MID</t>
        </is>
      </c>
      <c r="RH3" s="9" t="inlineStr">
        <is>
          <t>VEGA_MID</t>
        </is>
      </c>
      <c r="RI3" s="9" t="inlineStr">
        <is>
          <t>THETA_MID</t>
        </is>
      </c>
      <c r="RJ3" s="9" t="inlineStr">
        <is>
          <t>OPT_UNDL_PX</t>
        </is>
      </c>
      <c r="RL3" s="9" t="inlineStr">
        <is>
          <t>Date</t>
        </is>
      </c>
      <c r="RM3" s="9" t="inlineStr">
        <is>
          <t>PX_BID</t>
        </is>
      </c>
      <c r="RN3" s="9" t="inlineStr">
        <is>
          <t>PX_ASK</t>
        </is>
      </c>
      <c r="RO3" s="9" t="inlineStr">
        <is>
          <t>PX_MID</t>
        </is>
      </c>
      <c r="RP3" s="9" t="inlineStr">
        <is>
          <t>PX_LAST</t>
        </is>
      </c>
      <c r="RQ3" s="9" t="inlineStr">
        <is>
          <t>PX_SETTLE</t>
        </is>
      </c>
      <c r="RR3" s="9" t="inlineStr">
        <is>
          <t>PX_VOLUME</t>
        </is>
      </c>
      <c r="RS3" s="9" t="inlineStr">
        <is>
          <t>OPEN_INT</t>
        </is>
      </c>
      <c r="RT3" s="9" t="inlineStr">
        <is>
          <t>IVOL_MID</t>
        </is>
      </c>
      <c r="RU3" s="9" t="inlineStr">
        <is>
          <t>IVOL_BID</t>
        </is>
      </c>
      <c r="RV3" s="9" t="inlineStr">
        <is>
          <t>IVOL_ASK</t>
        </is>
      </c>
      <c r="RW3" s="9" t="inlineStr">
        <is>
          <t>DELTA_MID</t>
        </is>
      </c>
      <c r="RX3" s="9" t="inlineStr">
        <is>
          <t>GAMMA_MID</t>
        </is>
      </c>
      <c r="RY3" s="9" t="inlineStr">
        <is>
          <t>VEGA_MID</t>
        </is>
      </c>
      <c r="RZ3" s="9" t="inlineStr">
        <is>
          <t>THETA_MID</t>
        </is>
      </c>
      <c r="SA3" s="9" t="inlineStr">
        <is>
          <t>OPT_UNDL_PX</t>
        </is>
      </c>
      <c r="SC3" s="9" t="inlineStr">
        <is>
          <t>Date</t>
        </is>
      </c>
      <c r="SD3" s="9" t="inlineStr">
        <is>
          <t>PX_BID</t>
        </is>
      </c>
      <c r="SE3" s="9" t="inlineStr">
        <is>
          <t>PX_ASK</t>
        </is>
      </c>
      <c r="SF3" s="9" t="inlineStr">
        <is>
          <t>PX_MID</t>
        </is>
      </c>
      <c r="SG3" s="9" t="inlineStr">
        <is>
          <t>PX_LAST</t>
        </is>
      </c>
      <c r="SH3" s="9" t="inlineStr">
        <is>
          <t>PX_SETTLE</t>
        </is>
      </c>
      <c r="SI3" s="9" t="inlineStr">
        <is>
          <t>PX_VOLUME</t>
        </is>
      </c>
      <c r="SJ3" s="9" t="inlineStr">
        <is>
          <t>OPEN_INT</t>
        </is>
      </c>
      <c r="SK3" s="9" t="inlineStr">
        <is>
          <t>IVOL_MID</t>
        </is>
      </c>
      <c r="SL3" s="9" t="inlineStr">
        <is>
          <t>IVOL_BID</t>
        </is>
      </c>
      <c r="SM3" s="9" t="inlineStr">
        <is>
          <t>IVOL_ASK</t>
        </is>
      </c>
      <c r="SN3" s="9" t="inlineStr">
        <is>
          <t>DELTA_MID</t>
        </is>
      </c>
      <c r="SO3" s="9" t="inlineStr">
        <is>
          <t>GAMMA_MID</t>
        </is>
      </c>
      <c r="SP3" s="9" t="inlineStr">
        <is>
          <t>VEGA_MID</t>
        </is>
      </c>
      <c r="SQ3" s="9" t="inlineStr">
        <is>
          <t>THETA_MID</t>
        </is>
      </c>
      <c r="SR3" s="9" t="inlineStr">
        <is>
          <t>OPT_UNDL_PX</t>
        </is>
      </c>
      <c r="ST3" s="9" t="inlineStr">
        <is>
          <t>Date</t>
        </is>
      </c>
      <c r="SU3" s="9" t="inlineStr">
        <is>
          <t>PX_BID</t>
        </is>
      </c>
      <c r="SV3" s="9" t="inlineStr">
        <is>
          <t>PX_ASK</t>
        </is>
      </c>
      <c r="SW3" s="9" t="inlineStr">
        <is>
          <t>PX_MID</t>
        </is>
      </c>
      <c r="SX3" s="9" t="inlineStr">
        <is>
          <t>PX_LAST</t>
        </is>
      </c>
      <c r="SY3" s="9" t="inlineStr">
        <is>
          <t>PX_SETTLE</t>
        </is>
      </c>
      <c r="SZ3" s="9" t="inlineStr">
        <is>
          <t>PX_VOLUME</t>
        </is>
      </c>
      <c r="TA3" s="9" t="inlineStr">
        <is>
          <t>OPEN_INT</t>
        </is>
      </c>
      <c r="TB3" s="9" t="inlineStr">
        <is>
          <t>IVOL_MID</t>
        </is>
      </c>
      <c r="TC3" s="9" t="inlineStr">
        <is>
          <t>IVOL_BID</t>
        </is>
      </c>
      <c r="TD3" s="9" t="inlineStr">
        <is>
          <t>IVOL_ASK</t>
        </is>
      </c>
      <c r="TE3" s="9" t="inlineStr">
        <is>
          <t>DELTA_MID</t>
        </is>
      </c>
      <c r="TF3" s="9" t="inlineStr">
        <is>
          <t>GAMMA_MID</t>
        </is>
      </c>
      <c r="TG3" s="9" t="inlineStr">
        <is>
          <t>VEGA_MID</t>
        </is>
      </c>
      <c r="TH3" s="9" t="inlineStr">
        <is>
          <t>THETA_MID</t>
        </is>
      </c>
      <c r="TI3" s="9" t="inlineStr">
        <is>
          <t>OPT_UNDL_PX</t>
        </is>
      </c>
      <c r="TK3" s="9" t="inlineStr">
        <is>
          <t>Date</t>
        </is>
      </c>
      <c r="TL3" s="9" t="inlineStr">
        <is>
          <t>PX_BID</t>
        </is>
      </c>
      <c r="TM3" s="9" t="inlineStr">
        <is>
          <t>PX_ASK</t>
        </is>
      </c>
      <c r="TN3" s="9" t="inlineStr">
        <is>
          <t>PX_MID</t>
        </is>
      </c>
      <c r="TO3" s="9" t="inlineStr">
        <is>
          <t>PX_LAST</t>
        </is>
      </c>
      <c r="TP3" s="9" t="inlineStr">
        <is>
          <t>PX_SETTLE</t>
        </is>
      </c>
      <c r="TQ3" s="9" t="inlineStr">
        <is>
          <t>PX_VOLUME</t>
        </is>
      </c>
      <c r="TR3" s="9" t="inlineStr">
        <is>
          <t>OPEN_INT</t>
        </is>
      </c>
      <c r="TS3" s="9" t="inlineStr">
        <is>
          <t>IVOL_MID</t>
        </is>
      </c>
      <c r="TT3" s="9" t="inlineStr">
        <is>
          <t>IVOL_BID</t>
        </is>
      </c>
      <c r="TU3" s="9" t="inlineStr">
        <is>
          <t>IVOL_ASK</t>
        </is>
      </c>
      <c r="TV3" s="9" t="inlineStr">
        <is>
          <t>DELTA_MID</t>
        </is>
      </c>
      <c r="TW3" s="9" t="inlineStr">
        <is>
          <t>GAMMA_MID</t>
        </is>
      </c>
      <c r="TX3" s="9" t="inlineStr">
        <is>
          <t>VEGA_MID</t>
        </is>
      </c>
      <c r="TY3" s="9" t="inlineStr">
        <is>
          <t>THETA_MID</t>
        </is>
      </c>
      <c r="TZ3" s="9" t="inlineStr">
        <is>
          <t>OPT_UNDL_PX</t>
        </is>
      </c>
      <c r="UB3" s="9" t="inlineStr">
        <is>
          <t>Date</t>
        </is>
      </c>
      <c r="UC3" s="9" t="inlineStr">
        <is>
          <t>PX_BID</t>
        </is>
      </c>
      <c r="UD3" s="9" t="inlineStr">
        <is>
          <t>PX_ASK</t>
        </is>
      </c>
      <c r="UE3" s="9" t="inlineStr">
        <is>
          <t>PX_MID</t>
        </is>
      </c>
      <c r="UF3" s="9" t="inlineStr">
        <is>
          <t>PX_LAST</t>
        </is>
      </c>
      <c r="UG3" s="9" t="inlineStr">
        <is>
          <t>PX_SETTLE</t>
        </is>
      </c>
      <c r="UH3" s="9" t="inlineStr">
        <is>
          <t>PX_VOLUME</t>
        </is>
      </c>
      <c r="UI3" s="9" t="inlineStr">
        <is>
          <t>OPEN_INT</t>
        </is>
      </c>
      <c r="UJ3" s="9" t="inlineStr">
        <is>
          <t>IVOL_MID</t>
        </is>
      </c>
      <c r="UK3" s="9" t="inlineStr">
        <is>
          <t>IVOL_BID</t>
        </is>
      </c>
      <c r="UL3" s="9" t="inlineStr">
        <is>
          <t>IVOL_ASK</t>
        </is>
      </c>
      <c r="UM3" s="9" t="inlineStr">
        <is>
          <t>DELTA_MID</t>
        </is>
      </c>
      <c r="UN3" s="9" t="inlineStr">
        <is>
          <t>GAMMA_MID</t>
        </is>
      </c>
      <c r="UO3" s="9" t="inlineStr">
        <is>
          <t>VEGA_MID</t>
        </is>
      </c>
      <c r="UP3" s="9" t="inlineStr">
        <is>
          <t>THETA_MID</t>
        </is>
      </c>
      <c r="UQ3" s="9" t="inlineStr">
        <is>
          <t>OPT_UNDL_PX</t>
        </is>
      </c>
      <c r="US3" s="9" t="inlineStr">
        <is>
          <t>Date</t>
        </is>
      </c>
      <c r="UT3" s="9" t="inlineStr">
        <is>
          <t>PX_BID</t>
        </is>
      </c>
      <c r="UU3" s="9" t="inlineStr">
        <is>
          <t>PX_ASK</t>
        </is>
      </c>
      <c r="UV3" s="9" t="inlineStr">
        <is>
          <t>PX_MID</t>
        </is>
      </c>
      <c r="UW3" s="9" t="inlineStr">
        <is>
          <t>PX_LAST</t>
        </is>
      </c>
      <c r="UX3" s="9" t="inlineStr">
        <is>
          <t>PX_SETTLE</t>
        </is>
      </c>
      <c r="UY3" s="9" t="inlineStr">
        <is>
          <t>PX_VOLUME</t>
        </is>
      </c>
      <c r="UZ3" s="9" t="inlineStr">
        <is>
          <t>OPEN_INT</t>
        </is>
      </c>
      <c r="VA3" s="9" t="inlineStr">
        <is>
          <t>IVOL_MID</t>
        </is>
      </c>
      <c r="VB3" s="9" t="inlineStr">
        <is>
          <t>IVOL_BID</t>
        </is>
      </c>
      <c r="VC3" s="9" t="inlineStr">
        <is>
          <t>IVOL_ASK</t>
        </is>
      </c>
      <c r="VD3" s="9" t="inlineStr">
        <is>
          <t>DELTA_MID</t>
        </is>
      </c>
      <c r="VE3" s="9" t="inlineStr">
        <is>
          <t>GAMMA_MID</t>
        </is>
      </c>
      <c r="VF3" s="9" t="inlineStr">
        <is>
          <t>VEGA_MID</t>
        </is>
      </c>
      <c r="VG3" s="9" t="inlineStr">
        <is>
          <t>THETA_MID</t>
        </is>
      </c>
      <c r="VH3" s="9" t="inlineStr">
        <is>
          <t>OPT_UNDL_PX</t>
        </is>
      </c>
    </row>
    <row r="4">
      <c r="A4" s="2" t="inlineStr">
        <is>
          <t>Year in ticker</t>
        </is>
      </c>
      <c r="B4" s="4">
        <f>IF(B2&lt;Settings!$B$5,TEXT(MOD(Settings!$B$3,100),"00"),TEXT(MOD(Settings!$B$3,10),"0"))</f>
        <v/>
      </c>
      <c r="D4" s="4">
        <f>BDH(D$1,E$3:S$3,$B$9,$B$10,"Dir=V","Dts=S","Sort=A","Days=T","Fill=B")</f>
        <v/>
      </c>
      <c r="U4" s="4">
        <f>BDH(U$1,V$3:AJ$3,$B$9,$B$10,"Dir=V","Dts=S","Sort=A","Days=T","Fill=B")</f>
        <v/>
      </c>
      <c r="AL4" s="4">
        <f>BDH(AL$1,AM$3:BA$3,$B$9,$B$10,"Dir=V","Dts=S","Sort=A","Days=T","Fill=B")</f>
        <v/>
      </c>
      <c r="BC4" s="4">
        <f>BDH(BC$1,BD$3:BR$3,$B$9,$B$10,"Dir=V","Dts=S","Sort=A","Days=T","Fill=B")</f>
        <v/>
      </c>
      <c r="BT4" s="4">
        <f>BDH(BT$1,BU$3:CI$3,$B$9,$B$10,"Dir=V","Dts=S","Sort=A","Days=T","Fill=B")</f>
        <v/>
      </c>
      <c r="CK4" s="4">
        <f>BDH(CK$1,CL$3:CZ$3,$B$9,$B$10,"Dir=V","Dts=S","Sort=A","Days=T","Fill=B")</f>
        <v/>
      </c>
      <c r="DB4" s="4">
        <f>BDH(DB$1,DC$3:DQ$3,$B$9,$B$10,"Dir=V","Dts=S","Sort=A","Days=T","Fill=B")</f>
        <v/>
      </c>
      <c r="DS4" s="4">
        <f>BDH(DS$1,DT$3:EH$3,$B$9,$B$10,"Dir=V","Dts=S","Sort=A","Days=T","Fill=B")</f>
        <v/>
      </c>
      <c r="EJ4" s="4">
        <f>BDH(EJ$1,EK$3:EY$3,$B$9,$B$10,"Dir=V","Dts=S","Sort=A","Days=T","Fill=B")</f>
        <v/>
      </c>
      <c r="FA4" s="4">
        <f>BDH(FA$1,FB$3:FP$3,$B$9,$B$10,"Dir=V","Dts=S","Sort=A","Days=T","Fill=B")</f>
        <v/>
      </c>
      <c r="FR4" s="4">
        <f>BDH(FR$1,FS$3:GG$3,$B$9,$B$10,"Dir=V","Dts=S","Sort=A","Days=T","Fill=B")</f>
        <v/>
      </c>
      <c r="GI4" s="4">
        <f>BDH(GI$1,GJ$3:GX$3,$B$9,$B$10,"Dir=V","Dts=S","Sort=A","Days=T","Fill=B")</f>
        <v/>
      </c>
      <c r="GZ4" s="4">
        <f>BDH(GZ$1,HA$3:HO$3,$B$9,$B$10,"Dir=V","Dts=S","Sort=A","Days=T","Fill=B")</f>
        <v/>
      </c>
      <c r="HQ4" s="4">
        <f>BDH(HQ$1,HR$3:IF$3,$B$9,$B$10,"Dir=V","Dts=S","Sort=A","Days=T","Fill=B")</f>
        <v/>
      </c>
      <c r="IH4" s="4">
        <f>BDH(IH$1,II$3:IW$3,$B$9,$B$10,"Dir=V","Dts=S","Sort=A","Days=T","Fill=B")</f>
        <v/>
      </c>
      <c r="IY4" s="4">
        <f>BDH(IY$1,IZ$3:JN$3,$B$9,$B$10,"Dir=V","Dts=S","Sort=A","Days=T","Fill=B")</f>
        <v/>
      </c>
      <c r="JP4" s="4">
        <f>BDH(JP$1,JQ$3:KE$3,$B$9,$B$10,"Dir=V","Dts=S","Sort=A","Days=T","Fill=B")</f>
        <v/>
      </c>
      <c r="KG4" s="4">
        <f>BDH(KG$1,KH$3:KV$3,$B$9,$B$10,"Dir=V","Dts=S","Sort=A","Days=T","Fill=B")</f>
        <v/>
      </c>
      <c r="KX4" s="4">
        <f>BDH(KX$1,KY$3:LM$3,$B$9,$B$10,"Dir=V","Dts=S","Sort=A","Days=T","Fill=B")</f>
        <v/>
      </c>
      <c r="LO4" s="4">
        <f>BDH(LO$1,LP$3:MD$3,$B$9,$B$10,"Dir=V","Dts=S","Sort=A","Days=T","Fill=B")</f>
        <v/>
      </c>
      <c r="MF4" s="4">
        <f>BDH(MF$1,MG$3:MU$3,$B$9,$B$10,"Dir=V","Dts=S","Sort=A","Days=T","Fill=B")</f>
        <v/>
      </c>
      <c r="MW4" s="4">
        <f>BDH(MW$1,MX$3:NL$3,$B$9,$B$10,"Dir=V","Dts=S","Sort=A","Days=T","Fill=B")</f>
        <v/>
      </c>
      <c r="NN4" s="4">
        <f>BDH(NN$1,NO$3:OC$3,$B$9,$B$10,"Dir=V","Dts=S","Sort=A","Days=T","Fill=B")</f>
        <v/>
      </c>
      <c r="OE4" s="4">
        <f>BDH(OE$1,OF$3:OT$3,$B$9,$B$10,"Dir=V","Dts=S","Sort=A","Days=T","Fill=B")</f>
        <v/>
      </c>
      <c r="OV4" s="4">
        <f>BDH(OV$1,OW$3:PK$3,$B$9,$B$10,"Dir=V","Dts=S","Sort=A","Days=T","Fill=B")</f>
        <v/>
      </c>
      <c r="PM4" s="4">
        <f>BDH(PM$1,PN$3:QB$3,$B$9,$B$10,"Dir=V","Dts=S","Sort=A","Days=T","Fill=B")</f>
        <v/>
      </c>
      <c r="QD4" s="4">
        <f>BDH(QD$1,QE$3:QS$3,$B$9,$B$10,"Dir=V","Dts=S","Sort=A","Days=T","Fill=B")</f>
        <v/>
      </c>
      <c r="QU4" s="4">
        <f>BDH(QU$1,QV$3:RJ$3,$B$9,$B$10,"Dir=V","Dts=S","Sort=A","Days=T","Fill=B")</f>
        <v/>
      </c>
      <c r="RL4" s="4">
        <f>BDH(RL$1,RM$3:SA$3,$B$9,$B$10,"Dir=V","Dts=S","Sort=A","Days=T","Fill=B")</f>
        <v/>
      </c>
      <c r="SC4" s="4">
        <f>BDH(SC$1,SD$3:SR$3,$B$9,$B$10,"Dir=V","Dts=S","Sort=A","Days=T","Fill=B")</f>
        <v/>
      </c>
      <c r="ST4" s="4">
        <f>BDH(ST$1,SU$3:TI$3,$B$9,$B$10,"Dir=V","Dts=S","Sort=A","Days=T","Fill=B")</f>
        <v/>
      </c>
      <c r="TK4" s="4">
        <f>BDH(TK$1,TL$3:TZ$3,$B$9,$B$10,"Dir=V","Dts=S","Sort=A","Days=T","Fill=B")</f>
        <v/>
      </c>
      <c r="UB4" s="4">
        <f>BDH(UB$1,UC$3:UQ$3,$B$9,$B$10,"Dir=V","Dts=S","Sort=A","Days=T","Fill=B")</f>
        <v/>
      </c>
      <c r="US4" s="4">
        <f>BDH(US$1,UT$3:VH$3,$B$9,$B$10,"Dir=V","Dts=S","Sort=A","Days=T","Fill=B")</f>
        <v/>
      </c>
    </row>
    <row r="5">
      <c r="A5" s="2" t="inlineStr">
        <is>
          <t>Futures ticker</t>
        </is>
      </c>
      <c r="B5" s="4">
        <f>"CL"&amp;MID("FGHJKMNQUVXZ",B1,1)&amp;B4&amp;" Comdty"</f>
        <v/>
      </c>
    </row>
    <row r="6">
      <c r="A6" s="2" t="inlineStr">
        <is>
          <t>Strike reference date</t>
        </is>
      </c>
      <c r="B6" s="8">
        <f>B3-45</f>
        <v/>
      </c>
    </row>
    <row r="7">
      <c r="A7" s="2" t="inlineStr">
        <is>
          <t>Futures price on that date</t>
        </is>
      </c>
      <c r="B7" s="10">
        <f>BDH(B5,"PX_LAST",B6,B6,"Days=A","Fill=P","Dts=H")</f>
        <v/>
      </c>
    </row>
    <row r="8">
      <c r="A8" s="2" t="inlineStr">
        <is>
          <t>ATM strike</t>
        </is>
      </c>
      <c r="B8" s="7">
        <f>ROUND(B7,0)</f>
        <v/>
      </c>
    </row>
    <row r="9">
      <c r="A9" s="2" t="inlineStr">
        <is>
          <t>History start</t>
        </is>
      </c>
      <c r="B9" s="8">
        <f>B3-100</f>
        <v/>
      </c>
    </row>
    <row r="10">
      <c r="A10" s="2" t="inlineStr">
        <is>
          <t>History end</t>
        </is>
      </c>
      <c r="B10" s="8">
        <f>B3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H1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  <col width="12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1" customWidth="1" min="383" max="383"/>
    <col width="11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1" customWidth="1" min="389" max="389"/>
    <col width="11" customWidth="1" min="390" max="390"/>
    <col width="10" customWidth="1" min="391" max="391"/>
    <col width="11" customWidth="1" min="392" max="392"/>
    <col width="13" customWidth="1" min="393" max="393"/>
    <col width="12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1" customWidth="1" min="400" max="400"/>
    <col width="11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1" customWidth="1" min="406" max="406"/>
    <col width="11" customWidth="1" min="407" max="407"/>
    <col width="10" customWidth="1" min="408" max="408"/>
    <col width="11" customWidth="1" min="409" max="409"/>
    <col width="13" customWidth="1" min="410" max="410"/>
    <col width="12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1" customWidth="1" min="417" max="417"/>
    <col width="11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1" customWidth="1" min="423" max="423"/>
    <col width="11" customWidth="1" min="424" max="424"/>
    <col width="10" customWidth="1" min="425" max="425"/>
    <col width="11" customWidth="1" min="426" max="426"/>
    <col width="13" customWidth="1" min="427" max="427"/>
    <col width="12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1" customWidth="1" min="434" max="434"/>
    <col width="11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1" customWidth="1" min="440" max="440"/>
    <col width="11" customWidth="1" min="441" max="441"/>
    <col width="10" customWidth="1" min="442" max="442"/>
    <col width="11" customWidth="1" min="443" max="443"/>
    <col width="13" customWidth="1" min="444" max="444"/>
    <col width="12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1" customWidth="1" min="451" max="451"/>
    <col width="11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1" customWidth="1" min="457" max="457"/>
    <col width="11" customWidth="1" min="458" max="458"/>
    <col width="10" customWidth="1" min="459" max="459"/>
    <col width="11" customWidth="1" min="460" max="460"/>
    <col width="13" customWidth="1" min="461" max="461"/>
    <col width="12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1" customWidth="1" min="468" max="468"/>
    <col width="11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1" customWidth="1" min="474" max="474"/>
    <col width="11" customWidth="1" min="475" max="475"/>
    <col width="10" customWidth="1" min="476" max="476"/>
    <col width="11" customWidth="1" min="477" max="477"/>
    <col width="13" customWidth="1" min="478" max="478"/>
    <col width="12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1" customWidth="1" min="485" max="485"/>
    <col width="11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1" customWidth="1" min="491" max="491"/>
    <col width="11" customWidth="1" min="492" max="492"/>
    <col width="10" customWidth="1" min="493" max="493"/>
    <col width="11" customWidth="1" min="494" max="494"/>
    <col width="13" customWidth="1" min="495" max="495"/>
    <col width="12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1" customWidth="1" min="502" max="502"/>
    <col width="11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1" customWidth="1" min="508" max="508"/>
    <col width="11" customWidth="1" min="509" max="509"/>
    <col width="10" customWidth="1" min="510" max="510"/>
    <col width="11" customWidth="1" min="511" max="511"/>
    <col width="13" customWidth="1" min="512" max="512"/>
    <col width="12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1" customWidth="1" min="519" max="519"/>
    <col width="11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1" customWidth="1" min="525" max="525"/>
    <col width="11" customWidth="1" min="526" max="526"/>
    <col width="10" customWidth="1" min="527" max="527"/>
    <col width="11" customWidth="1" min="528" max="528"/>
    <col width="13" customWidth="1" min="529" max="529"/>
    <col width="12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1" customWidth="1" min="536" max="536"/>
    <col width="11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1" customWidth="1" min="542" max="542"/>
    <col width="11" customWidth="1" min="543" max="543"/>
    <col width="10" customWidth="1" min="544" max="544"/>
    <col width="11" customWidth="1" min="545" max="545"/>
    <col width="13" customWidth="1" min="546" max="546"/>
    <col width="12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1" customWidth="1" min="553" max="553"/>
    <col width="11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1" customWidth="1" min="559" max="559"/>
    <col width="11" customWidth="1" min="560" max="560"/>
    <col width="10" customWidth="1" min="561" max="561"/>
    <col width="11" customWidth="1" min="562" max="562"/>
    <col width="13" customWidth="1" min="563" max="563"/>
    <col width="12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1" customWidth="1" min="570" max="570"/>
    <col width="11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1" customWidth="1" min="576" max="576"/>
    <col width="11" customWidth="1" min="577" max="577"/>
    <col width="10" customWidth="1" min="578" max="578"/>
    <col width="11" customWidth="1" min="579" max="579"/>
    <col width="13" customWidth="1" min="580" max="580"/>
  </cols>
  <sheetData>
    <row r="1">
      <c r="A1" s="2" t="inlineStr">
        <is>
          <t>Contract month</t>
        </is>
      </c>
      <c r="B1" s="7" t="n">
        <v>12</v>
      </c>
      <c r="D1" s="4">
        <f>"CL"&amp;MID("FGHJKMNQUVXZ",B$1,1)&amp;B$4&amp;"C "&amp;IF(Settings!$B$4=2,TEXT((B$8-8),"0.00"),(B$8-8))&amp;" Comdty"</f>
        <v/>
      </c>
      <c r="U1" s="4">
        <f>"CL"&amp;MID("FGHJKMNQUVXZ",B$1,1)&amp;B$4&amp;"P "&amp;IF(Settings!$B$4=2,TEXT((B$8-8),"0.00"),(B$8-8))&amp;" Comdty"</f>
        <v/>
      </c>
      <c r="AL1" s="4">
        <f>"CL"&amp;MID("FGHJKMNQUVXZ",B$1,1)&amp;B$4&amp;"C "&amp;IF(Settings!$B$4=2,TEXT((B$8-7),"0.00"),(B$8-7))&amp;" Comdty"</f>
        <v/>
      </c>
      <c r="BC1" s="4">
        <f>"CL"&amp;MID("FGHJKMNQUVXZ",B$1,1)&amp;B$4&amp;"P "&amp;IF(Settings!$B$4=2,TEXT((B$8-7),"0.00"),(B$8-7))&amp;" Comdty"</f>
        <v/>
      </c>
      <c r="BT1" s="4">
        <f>"CL"&amp;MID("FGHJKMNQUVXZ",B$1,1)&amp;B$4&amp;"C "&amp;IF(Settings!$B$4=2,TEXT((B$8-6),"0.00"),(B$8-6))&amp;" Comdty"</f>
        <v/>
      </c>
      <c r="CK1" s="4">
        <f>"CL"&amp;MID("FGHJKMNQUVXZ",B$1,1)&amp;B$4&amp;"P "&amp;IF(Settings!$B$4=2,TEXT((B$8-6),"0.00"),(B$8-6))&amp;" Comdty"</f>
        <v/>
      </c>
      <c r="DB1" s="4">
        <f>"CL"&amp;MID("FGHJKMNQUVXZ",B$1,1)&amp;B$4&amp;"C "&amp;IF(Settings!$B$4=2,TEXT((B$8-5),"0.00"),(B$8-5))&amp;" Comdty"</f>
        <v/>
      </c>
      <c r="DS1" s="4">
        <f>"CL"&amp;MID("FGHJKMNQUVXZ",B$1,1)&amp;B$4&amp;"P "&amp;IF(Settings!$B$4=2,TEXT((B$8-5),"0.00"),(B$8-5))&amp;" Comdty"</f>
        <v/>
      </c>
      <c r="EJ1" s="4">
        <f>"CL"&amp;MID("FGHJKMNQUVXZ",B$1,1)&amp;B$4&amp;"C "&amp;IF(Settings!$B$4=2,TEXT((B$8-4),"0.00"),(B$8-4))&amp;" Comdty"</f>
        <v/>
      </c>
      <c r="FA1" s="4">
        <f>"CL"&amp;MID("FGHJKMNQUVXZ",B$1,1)&amp;B$4&amp;"P "&amp;IF(Settings!$B$4=2,TEXT((B$8-4),"0.00"),(B$8-4))&amp;" Comdty"</f>
        <v/>
      </c>
      <c r="FR1" s="4">
        <f>"CL"&amp;MID("FGHJKMNQUVXZ",B$1,1)&amp;B$4&amp;"C "&amp;IF(Settings!$B$4=2,TEXT((B$8-3),"0.00"),(B$8-3))&amp;" Comdty"</f>
        <v/>
      </c>
      <c r="GI1" s="4">
        <f>"CL"&amp;MID("FGHJKMNQUVXZ",B$1,1)&amp;B$4&amp;"P "&amp;IF(Settings!$B$4=2,TEXT((B$8-3),"0.00"),(B$8-3))&amp;" Comdty"</f>
        <v/>
      </c>
      <c r="GZ1" s="4">
        <f>"CL"&amp;MID("FGHJKMNQUVXZ",B$1,1)&amp;B$4&amp;"C "&amp;IF(Settings!$B$4=2,TEXT((B$8-2),"0.00"),(B$8-2))&amp;" Comdty"</f>
        <v/>
      </c>
      <c r="HQ1" s="4">
        <f>"CL"&amp;MID("FGHJKMNQUVXZ",B$1,1)&amp;B$4&amp;"P "&amp;IF(Settings!$B$4=2,TEXT((B$8-2),"0.00"),(B$8-2))&amp;" Comdty"</f>
        <v/>
      </c>
      <c r="IH1" s="4">
        <f>"CL"&amp;MID("FGHJKMNQUVXZ",B$1,1)&amp;B$4&amp;"C "&amp;IF(Settings!$B$4=2,TEXT((B$8-1),"0.00"),(B$8-1))&amp;" Comdty"</f>
        <v/>
      </c>
      <c r="IY1" s="4">
        <f>"CL"&amp;MID("FGHJKMNQUVXZ",B$1,1)&amp;B$4&amp;"P "&amp;IF(Settings!$B$4=2,TEXT((B$8-1),"0.00"),(B$8-1))&amp;" Comdty"</f>
        <v/>
      </c>
      <c r="JP1" s="4">
        <f>"CL"&amp;MID("FGHJKMNQUVXZ",B$1,1)&amp;B$4&amp;"C "&amp;IF(Settings!$B$4=2,TEXT(B$8,"0.00"),B$8)&amp;" Comdty"</f>
        <v/>
      </c>
      <c r="KG1" s="4">
        <f>"CL"&amp;MID("FGHJKMNQUVXZ",B$1,1)&amp;B$4&amp;"P "&amp;IF(Settings!$B$4=2,TEXT(B$8,"0.00"),B$8)&amp;" Comdty"</f>
        <v/>
      </c>
      <c r="KX1" s="4">
        <f>"CL"&amp;MID("FGHJKMNQUVXZ",B$1,1)&amp;B$4&amp;"C "&amp;IF(Settings!$B$4=2,TEXT((B$8+1),"0.00"),(B$8+1))&amp;" Comdty"</f>
        <v/>
      </c>
      <c r="LO1" s="4">
        <f>"CL"&amp;MID("FGHJKMNQUVXZ",B$1,1)&amp;B$4&amp;"P "&amp;IF(Settings!$B$4=2,TEXT((B$8+1),"0.00"),(B$8+1))&amp;" Comdty"</f>
        <v/>
      </c>
      <c r="MF1" s="4">
        <f>"CL"&amp;MID("FGHJKMNQUVXZ",B$1,1)&amp;B$4&amp;"C "&amp;IF(Settings!$B$4=2,TEXT((B$8+2),"0.00"),(B$8+2))&amp;" Comdty"</f>
        <v/>
      </c>
      <c r="MW1" s="4">
        <f>"CL"&amp;MID("FGHJKMNQUVXZ",B$1,1)&amp;B$4&amp;"P "&amp;IF(Settings!$B$4=2,TEXT((B$8+2),"0.00"),(B$8+2))&amp;" Comdty"</f>
        <v/>
      </c>
      <c r="NN1" s="4">
        <f>"CL"&amp;MID("FGHJKMNQUVXZ",B$1,1)&amp;B$4&amp;"C "&amp;IF(Settings!$B$4=2,TEXT((B$8+3),"0.00"),(B$8+3))&amp;" Comdty"</f>
        <v/>
      </c>
      <c r="OE1" s="4">
        <f>"CL"&amp;MID("FGHJKMNQUVXZ",B$1,1)&amp;B$4&amp;"P "&amp;IF(Settings!$B$4=2,TEXT((B$8+3),"0.00"),(B$8+3))&amp;" Comdty"</f>
        <v/>
      </c>
      <c r="OV1" s="4">
        <f>"CL"&amp;MID("FGHJKMNQUVXZ",B$1,1)&amp;B$4&amp;"C "&amp;IF(Settings!$B$4=2,TEXT((B$8+4),"0.00"),(B$8+4))&amp;" Comdty"</f>
        <v/>
      </c>
      <c r="PM1" s="4">
        <f>"CL"&amp;MID("FGHJKMNQUVXZ",B$1,1)&amp;B$4&amp;"P "&amp;IF(Settings!$B$4=2,TEXT((B$8+4),"0.00"),(B$8+4))&amp;" Comdty"</f>
        <v/>
      </c>
      <c r="QD1" s="4">
        <f>"CL"&amp;MID("FGHJKMNQUVXZ",B$1,1)&amp;B$4&amp;"C "&amp;IF(Settings!$B$4=2,TEXT((B$8+5),"0.00"),(B$8+5))&amp;" Comdty"</f>
        <v/>
      </c>
      <c r="QU1" s="4">
        <f>"CL"&amp;MID("FGHJKMNQUVXZ",B$1,1)&amp;B$4&amp;"P "&amp;IF(Settings!$B$4=2,TEXT((B$8+5),"0.00"),(B$8+5))&amp;" Comdty"</f>
        <v/>
      </c>
      <c r="RL1" s="4">
        <f>"CL"&amp;MID("FGHJKMNQUVXZ",B$1,1)&amp;B$4&amp;"C "&amp;IF(Settings!$B$4=2,TEXT((B$8+6),"0.00"),(B$8+6))&amp;" Comdty"</f>
        <v/>
      </c>
      <c r="SC1" s="4">
        <f>"CL"&amp;MID("FGHJKMNQUVXZ",B$1,1)&amp;B$4&amp;"P "&amp;IF(Settings!$B$4=2,TEXT((B$8+6),"0.00"),(B$8+6))&amp;" Comdty"</f>
        <v/>
      </c>
      <c r="ST1" s="4">
        <f>"CL"&amp;MID("FGHJKMNQUVXZ",B$1,1)&amp;B$4&amp;"C "&amp;IF(Settings!$B$4=2,TEXT((B$8+7),"0.00"),(B$8+7))&amp;" Comdty"</f>
        <v/>
      </c>
      <c r="TK1" s="4">
        <f>"CL"&amp;MID("FGHJKMNQUVXZ",B$1,1)&amp;B$4&amp;"P "&amp;IF(Settings!$B$4=2,TEXT((B$8+7),"0.00"),(B$8+7))&amp;" Comdty"</f>
        <v/>
      </c>
      <c r="UB1" s="4">
        <f>"CL"&amp;MID("FGHJKMNQUVXZ",B$1,1)&amp;B$4&amp;"C "&amp;IF(Settings!$B$4=2,TEXT((B$8+8),"0.00"),(B$8+8))&amp;" Comdty"</f>
        <v/>
      </c>
      <c r="US1" s="4">
        <f>"CL"&amp;MID("FGHJKMNQUVXZ",B$1,1)&amp;B$4&amp;"P "&amp;IF(Settings!$B$4=2,TEXT((B$8+8),"0.00"),(B$8+8))&amp;" Comdty"</f>
        <v/>
      </c>
    </row>
    <row r="2">
      <c r="A2" s="2" t="inlineStr">
        <is>
          <t>Futures last trade</t>
        </is>
      </c>
      <c r="B2" s="8">
        <f>WORKDAY(DATE(Settings!$B$3,B1-1,25),-3)</f>
        <v/>
      </c>
      <c r="D2" s="4" t="inlineStr">
        <is>
          <t>call -8 from ATM</t>
        </is>
      </c>
      <c r="U2" s="4" t="inlineStr">
        <is>
          <t>put -8 from ATM</t>
        </is>
      </c>
      <c r="AL2" s="4" t="inlineStr">
        <is>
          <t>call -7 from ATM</t>
        </is>
      </c>
      <c r="BC2" s="4" t="inlineStr">
        <is>
          <t>put -7 from ATM</t>
        </is>
      </c>
      <c r="BT2" s="4" t="inlineStr">
        <is>
          <t>call -6 from ATM</t>
        </is>
      </c>
      <c r="CK2" s="4" t="inlineStr">
        <is>
          <t>put -6 from ATM</t>
        </is>
      </c>
      <c r="DB2" s="4" t="inlineStr">
        <is>
          <t>call -5 from ATM</t>
        </is>
      </c>
      <c r="DS2" s="4" t="inlineStr">
        <is>
          <t>put -5 from ATM</t>
        </is>
      </c>
      <c r="EJ2" s="4" t="inlineStr">
        <is>
          <t>call -4 from ATM</t>
        </is>
      </c>
      <c r="FA2" s="4" t="inlineStr">
        <is>
          <t>put -4 from ATM</t>
        </is>
      </c>
      <c r="FR2" s="4" t="inlineStr">
        <is>
          <t>call -3 from ATM</t>
        </is>
      </c>
      <c r="GI2" s="4" t="inlineStr">
        <is>
          <t>put -3 from ATM</t>
        </is>
      </c>
      <c r="GZ2" s="4" t="inlineStr">
        <is>
          <t>call -2 from ATM</t>
        </is>
      </c>
      <c r="HQ2" s="4" t="inlineStr">
        <is>
          <t>put -2 from ATM</t>
        </is>
      </c>
      <c r="IH2" s="4" t="inlineStr">
        <is>
          <t>call -1 from ATM</t>
        </is>
      </c>
      <c r="IY2" s="4" t="inlineStr">
        <is>
          <t>put -1 from ATM</t>
        </is>
      </c>
      <c r="JP2" s="4" t="inlineStr">
        <is>
          <t>call +0 from ATM</t>
        </is>
      </c>
      <c r="KG2" s="4" t="inlineStr">
        <is>
          <t>put +0 from ATM</t>
        </is>
      </c>
      <c r="KX2" s="4" t="inlineStr">
        <is>
          <t>call +1 from ATM</t>
        </is>
      </c>
      <c r="LO2" s="4" t="inlineStr">
        <is>
          <t>put +1 from ATM</t>
        </is>
      </c>
      <c r="MF2" s="4" t="inlineStr">
        <is>
          <t>call +2 from ATM</t>
        </is>
      </c>
      <c r="MW2" s="4" t="inlineStr">
        <is>
          <t>put +2 from ATM</t>
        </is>
      </c>
      <c r="NN2" s="4" t="inlineStr">
        <is>
          <t>call +3 from ATM</t>
        </is>
      </c>
      <c r="OE2" s="4" t="inlineStr">
        <is>
          <t>put +3 from ATM</t>
        </is>
      </c>
      <c r="OV2" s="4" t="inlineStr">
        <is>
          <t>call +4 from ATM</t>
        </is>
      </c>
      <c r="PM2" s="4" t="inlineStr">
        <is>
          <t>put +4 from ATM</t>
        </is>
      </c>
      <c r="QD2" s="4" t="inlineStr">
        <is>
          <t>call +5 from ATM</t>
        </is>
      </c>
      <c r="QU2" s="4" t="inlineStr">
        <is>
          <t>put +5 from ATM</t>
        </is>
      </c>
      <c r="RL2" s="4" t="inlineStr">
        <is>
          <t>call +6 from ATM</t>
        </is>
      </c>
      <c r="SC2" s="4" t="inlineStr">
        <is>
          <t>put +6 from ATM</t>
        </is>
      </c>
      <c r="ST2" s="4" t="inlineStr">
        <is>
          <t>call +7 from ATM</t>
        </is>
      </c>
      <c r="TK2" s="4" t="inlineStr">
        <is>
          <t>put +7 from ATM</t>
        </is>
      </c>
      <c r="UB2" s="4" t="inlineStr">
        <is>
          <t>call +8 from ATM</t>
        </is>
      </c>
      <c r="US2" s="4" t="inlineStr">
        <is>
          <t>put +8 from ATM</t>
        </is>
      </c>
    </row>
    <row r="3">
      <c r="A3" s="2" t="inlineStr">
        <is>
          <t>Option expiry (approx)</t>
        </is>
      </c>
      <c r="B3" s="8">
        <f>WORKDAY(B2,-1)</f>
        <v/>
      </c>
      <c r="D3" s="9" t="inlineStr">
        <is>
          <t>Date</t>
        </is>
      </c>
      <c r="E3" s="9" t="inlineStr">
        <is>
          <t>PX_BID</t>
        </is>
      </c>
      <c r="F3" s="9" t="inlineStr">
        <is>
          <t>PX_ASK</t>
        </is>
      </c>
      <c r="G3" s="9" t="inlineStr">
        <is>
          <t>PX_MID</t>
        </is>
      </c>
      <c r="H3" s="9" t="inlineStr">
        <is>
          <t>PX_LAST</t>
        </is>
      </c>
      <c r="I3" s="9" t="inlineStr">
        <is>
          <t>PX_SETTLE</t>
        </is>
      </c>
      <c r="J3" s="9" t="inlineStr">
        <is>
          <t>PX_VOLUME</t>
        </is>
      </c>
      <c r="K3" s="9" t="inlineStr">
        <is>
          <t>OPEN_INT</t>
        </is>
      </c>
      <c r="L3" s="9" t="inlineStr">
        <is>
          <t>IVOL_MID</t>
        </is>
      </c>
      <c r="M3" s="9" t="inlineStr">
        <is>
          <t>IVOL_BID</t>
        </is>
      </c>
      <c r="N3" s="9" t="inlineStr">
        <is>
          <t>IVOL_ASK</t>
        </is>
      </c>
      <c r="O3" s="9" t="inlineStr">
        <is>
          <t>DELTA_MID</t>
        </is>
      </c>
      <c r="P3" s="9" t="inlineStr">
        <is>
          <t>GAMMA_MID</t>
        </is>
      </c>
      <c r="Q3" s="9" t="inlineStr">
        <is>
          <t>VEGA_MID</t>
        </is>
      </c>
      <c r="R3" s="9" t="inlineStr">
        <is>
          <t>THETA_MID</t>
        </is>
      </c>
      <c r="S3" s="9" t="inlineStr">
        <is>
          <t>OPT_UNDL_PX</t>
        </is>
      </c>
      <c r="U3" s="9" t="inlineStr">
        <is>
          <t>Date</t>
        </is>
      </c>
      <c r="V3" s="9" t="inlineStr">
        <is>
          <t>PX_BID</t>
        </is>
      </c>
      <c r="W3" s="9" t="inlineStr">
        <is>
          <t>PX_ASK</t>
        </is>
      </c>
      <c r="X3" s="9" t="inlineStr">
        <is>
          <t>PX_MID</t>
        </is>
      </c>
      <c r="Y3" s="9" t="inlineStr">
        <is>
          <t>PX_LAST</t>
        </is>
      </c>
      <c r="Z3" s="9" t="inlineStr">
        <is>
          <t>PX_SETTLE</t>
        </is>
      </c>
      <c r="AA3" s="9" t="inlineStr">
        <is>
          <t>PX_VOLUME</t>
        </is>
      </c>
      <c r="AB3" s="9" t="inlineStr">
        <is>
          <t>OPEN_INT</t>
        </is>
      </c>
      <c r="AC3" s="9" t="inlineStr">
        <is>
          <t>IVOL_MID</t>
        </is>
      </c>
      <c r="AD3" s="9" t="inlineStr">
        <is>
          <t>IVOL_BID</t>
        </is>
      </c>
      <c r="AE3" s="9" t="inlineStr">
        <is>
          <t>IVOL_ASK</t>
        </is>
      </c>
      <c r="AF3" s="9" t="inlineStr">
        <is>
          <t>DELTA_MID</t>
        </is>
      </c>
      <c r="AG3" s="9" t="inlineStr">
        <is>
          <t>GAMMA_MID</t>
        </is>
      </c>
      <c r="AH3" s="9" t="inlineStr">
        <is>
          <t>VEGA_MID</t>
        </is>
      </c>
      <c r="AI3" s="9" t="inlineStr">
        <is>
          <t>THETA_MID</t>
        </is>
      </c>
      <c r="AJ3" s="9" t="inlineStr">
        <is>
          <t>OPT_UNDL_PX</t>
        </is>
      </c>
      <c r="AL3" s="9" t="inlineStr">
        <is>
          <t>Date</t>
        </is>
      </c>
      <c r="AM3" s="9" t="inlineStr">
        <is>
          <t>PX_BID</t>
        </is>
      </c>
      <c r="AN3" s="9" t="inlineStr">
        <is>
          <t>PX_ASK</t>
        </is>
      </c>
      <c r="AO3" s="9" t="inlineStr">
        <is>
          <t>PX_MID</t>
        </is>
      </c>
      <c r="AP3" s="9" t="inlineStr">
        <is>
          <t>PX_LAST</t>
        </is>
      </c>
      <c r="AQ3" s="9" t="inlineStr">
        <is>
          <t>PX_SETTLE</t>
        </is>
      </c>
      <c r="AR3" s="9" t="inlineStr">
        <is>
          <t>PX_VOLUME</t>
        </is>
      </c>
      <c r="AS3" s="9" t="inlineStr">
        <is>
          <t>OPEN_INT</t>
        </is>
      </c>
      <c r="AT3" s="9" t="inlineStr">
        <is>
          <t>IVOL_MID</t>
        </is>
      </c>
      <c r="AU3" s="9" t="inlineStr">
        <is>
          <t>IVOL_BID</t>
        </is>
      </c>
      <c r="AV3" s="9" t="inlineStr">
        <is>
          <t>IVOL_ASK</t>
        </is>
      </c>
      <c r="AW3" s="9" t="inlineStr">
        <is>
          <t>DELTA_MID</t>
        </is>
      </c>
      <c r="AX3" s="9" t="inlineStr">
        <is>
          <t>GAMMA_MID</t>
        </is>
      </c>
      <c r="AY3" s="9" t="inlineStr">
        <is>
          <t>VEGA_MID</t>
        </is>
      </c>
      <c r="AZ3" s="9" t="inlineStr">
        <is>
          <t>THETA_MID</t>
        </is>
      </c>
      <c r="BA3" s="9" t="inlineStr">
        <is>
          <t>OPT_UNDL_PX</t>
        </is>
      </c>
      <c r="BC3" s="9" t="inlineStr">
        <is>
          <t>Date</t>
        </is>
      </c>
      <c r="BD3" s="9" t="inlineStr">
        <is>
          <t>PX_BID</t>
        </is>
      </c>
      <c r="BE3" s="9" t="inlineStr">
        <is>
          <t>PX_ASK</t>
        </is>
      </c>
      <c r="BF3" s="9" t="inlineStr">
        <is>
          <t>PX_MID</t>
        </is>
      </c>
      <c r="BG3" s="9" t="inlineStr">
        <is>
          <t>PX_LAST</t>
        </is>
      </c>
      <c r="BH3" s="9" t="inlineStr">
        <is>
          <t>PX_SETTLE</t>
        </is>
      </c>
      <c r="BI3" s="9" t="inlineStr">
        <is>
          <t>PX_VOLUME</t>
        </is>
      </c>
      <c r="BJ3" s="9" t="inlineStr">
        <is>
          <t>OPEN_INT</t>
        </is>
      </c>
      <c r="BK3" s="9" t="inlineStr">
        <is>
          <t>IVOL_MID</t>
        </is>
      </c>
      <c r="BL3" s="9" t="inlineStr">
        <is>
          <t>IVOL_BID</t>
        </is>
      </c>
      <c r="BM3" s="9" t="inlineStr">
        <is>
          <t>IVOL_ASK</t>
        </is>
      </c>
      <c r="BN3" s="9" t="inlineStr">
        <is>
          <t>DELTA_MID</t>
        </is>
      </c>
      <c r="BO3" s="9" t="inlineStr">
        <is>
          <t>GAMMA_MID</t>
        </is>
      </c>
      <c r="BP3" s="9" t="inlineStr">
        <is>
          <t>VEGA_MID</t>
        </is>
      </c>
      <c r="BQ3" s="9" t="inlineStr">
        <is>
          <t>THETA_MID</t>
        </is>
      </c>
      <c r="BR3" s="9" t="inlineStr">
        <is>
          <t>OPT_UNDL_PX</t>
        </is>
      </c>
      <c r="BT3" s="9" t="inlineStr">
        <is>
          <t>Date</t>
        </is>
      </c>
      <c r="BU3" s="9" t="inlineStr">
        <is>
          <t>PX_BID</t>
        </is>
      </c>
      <c r="BV3" s="9" t="inlineStr">
        <is>
          <t>PX_ASK</t>
        </is>
      </c>
      <c r="BW3" s="9" t="inlineStr">
        <is>
          <t>PX_MID</t>
        </is>
      </c>
      <c r="BX3" s="9" t="inlineStr">
        <is>
          <t>PX_LAST</t>
        </is>
      </c>
      <c r="BY3" s="9" t="inlineStr">
        <is>
          <t>PX_SETTLE</t>
        </is>
      </c>
      <c r="BZ3" s="9" t="inlineStr">
        <is>
          <t>PX_VOLUME</t>
        </is>
      </c>
      <c r="CA3" s="9" t="inlineStr">
        <is>
          <t>OPEN_INT</t>
        </is>
      </c>
      <c r="CB3" s="9" t="inlineStr">
        <is>
          <t>IVOL_MID</t>
        </is>
      </c>
      <c r="CC3" s="9" t="inlineStr">
        <is>
          <t>IVOL_BID</t>
        </is>
      </c>
      <c r="CD3" s="9" t="inlineStr">
        <is>
          <t>IVOL_ASK</t>
        </is>
      </c>
      <c r="CE3" s="9" t="inlineStr">
        <is>
          <t>DELTA_MID</t>
        </is>
      </c>
      <c r="CF3" s="9" t="inlineStr">
        <is>
          <t>GAMMA_MID</t>
        </is>
      </c>
      <c r="CG3" s="9" t="inlineStr">
        <is>
          <t>VEGA_MID</t>
        </is>
      </c>
      <c r="CH3" s="9" t="inlineStr">
        <is>
          <t>THETA_MID</t>
        </is>
      </c>
      <c r="CI3" s="9" t="inlineStr">
        <is>
          <t>OPT_UNDL_PX</t>
        </is>
      </c>
      <c r="CK3" s="9" t="inlineStr">
        <is>
          <t>Date</t>
        </is>
      </c>
      <c r="CL3" s="9" t="inlineStr">
        <is>
          <t>PX_BID</t>
        </is>
      </c>
      <c r="CM3" s="9" t="inlineStr">
        <is>
          <t>PX_ASK</t>
        </is>
      </c>
      <c r="CN3" s="9" t="inlineStr">
        <is>
          <t>PX_MID</t>
        </is>
      </c>
      <c r="CO3" s="9" t="inlineStr">
        <is>
          <t>PX_LAST</t>
        </is>
      </c>
      <c r="CP3" s="9" t="inlineStr">
        <is>
          <t>PX_SETTLE</t>
        </is>
      </c>
      <c r="CQ3" s="9" t="inlineStr">
        <is>
          <t>PX_VOLUME</t>
        </is>
      </c>
      <c r="CR3" s="9" t="inlineStr">
        <is>
          <t>OPEN_INT</t>
        </is>
      </c>
      <c r="CS3" s="9" t="inlineStr">
        <is>
          <t>IVOL_MID</t>
        </is>
      </c>
      <c r="CT3" s="9" t="inlineStr">
        <is>
          <t>IVOL_BID</t>
        </is>
      </c>
      <c r="CU3" s="9" t="inlineStr">
        <is>
          <t>IVOL_ASK</t>
        </is>
      </c>
      <c r="CV3" s="9" t="inlineStr">
        <is>
          <t>DELTA_MID</t>
        </is>
      </c>
      <c r="CW3" s="9" t="inlineStr">
        <is>
          <t>GAMMA_MID</t>
        </is>
      </c>
      <c r="CX3" s="9" t="inlineStr">
        <is>
          <t>VEGA_MID</t>
        </is>
      </c>
      <c r="CY3" s="9" t="inlineStr">
        <is>
          <t>THETA_MID</t>
        </is>
      </c>
      <c r="CZ3" s="9" t="inlineStr">
        <is>
          <t>OPT_UNDL_PX</t>
        </is>
      </c>
      <c r="DB3" s="9" t="inlineStr">
        <is>
          <t>Date</t>
        </is>
      </c>
      <c r="DC3" s="9" t="inlineStr">
        <is>
          <t>PX_BID</t>
        </is>
      </c>
      <c r="DD3" s="9" t="inlineStr">
        <is>
          <t>PX_ASK</t>
        </is>
      </c>
      <c r="DE3" s="9" t="inlineStr">
        <is>
          <t>PX_MID</t>
        </is>
      </c>
      <c r="DF3" s="9" t="inlineStr">
        <is>
          <t>PX_LAST</t>
        </is>
      </c>
      <c r="DG3" s="9" t="inlineStr">
        <is>
          <t>PX_SETTLE</t>
        </is>
      </c>
      <c r="DH3" s="9" t="inlineStr">
        <is>
          <t>PX_VOLUME</t>
        </is>
      </c>
      <c r="DI3" s="9" t="inlineStr">
        <is>
          <t>OPEN_INT</t>
        </is>
      </c>
      <c r="DJ3" s="9" t="inlineStr">
        <is>
          <t>IVOL_MID</t>
        </is>
      </c>
      <c r="DK3" s="9" t="inlineStr">
        <is>
          <t>IVOL_BID</t>
        </is>
      </c>
      <c r="DL3" s="9" t="inlineStr">
        <is>
          <t>IVOL_ASK</t>
        </is>
      </c>
      <c r="DM3" s="9" t="inlineStr">
        <is>
          <t>DELTA_MID</t>
        </is>
      </c>
      <c r="DN3" s="9" t="inlineStr">
        <is>
          <t>GAMMA_MID</t>
        </is>
      </c>
      <c r="DO3" s="9" t="inlineStr">
        <is>
          <t>VEGA_MID</t>
        </is>
      </c>
      <c r="DP3" s="9" t="inlineStr">
        <is>
          <t>THETA_MID</t>
        </is>
      </c>
      <c r="DQ3" s="9" t="inlineStr">
        <is>
          <t>OPT_UNDL_PX</t>
        </is>
      </c>
      <c r="DS3" s="9" t="inlineStr">
        <is>
          <t>Date</t>
        </is>
      </c>
      <c r="DT3" s="9" t="inlineStr">
        <is>
          <t>PX_BID</t>
        </is>
      </c>
      <c r="DU3" s="9" t="inlineStr">
        <is>
          <t>PX_ASK</t>
        </is>
      </c>
      <c r="DV3" s="9" t="inlineStr">
        <is>
          <t>PX_MID</t>
        </is>
      </c>
      <c r="DW3" s="9" t="inlineStr">
        <is>
          <t>PX_LAST</t>
        </is>
      </c>
      <c r="DX3" s="9" t="inlineStr">
        <is>
          <t>PX_SETTLE</t>
        </is>
      </c>
      <c r="DY3" s="9" t="inlineStr">
        <is>
          <t>PX_VOLUME</t>
        </is>
      </c>
      <c r="DZ3" s="9" t="inlineStr">
        <is>
          <t>OPEN_INT</t>
        </is>
      </c>
      <c r="EA3" s="9" t="inlineStr">
        <is>
          <t>IVOL_MID</t>
        </is>
      </c>
      <c r="EB3" s="9" t="inlineStr">
        <is>
          <t>IVOL_BID</t>
        </is>
      </c>
      <c r="EC3" s="9" t="inlineStr">
        <is>
          <t>IVOL_ASK</t>
        </is>
      </c>
      <c r="ED3" s="9" t="inlineStr">
        <is>
          <t>DELTA_MID</t>
        </is>
      </c>
      <c r="EE3" s="9" t="inlineStr">
        <is>
          <t>GAMMA_MID</t>
        </is>
      </c>
      <c r="EF3" s="9" t="inlineStr">
        <is>
          <t>VEGA_MID</t>
        </is>
      </c>
      <c r="EG3" s="9" t="inlineStr">
        <is>
          <t>THETA_MID</t>
        </is>
      </c>
      <c r="EH3" s="9" t="inlineStr">
        <is>
          <t>OPT_UNDL_PX</t>
        </is>
      </c>
      <c r="EJ3" s="9" t="inlineStr">
        <is>
          <t>Date</t>
        </is>
      </c>
      <c r="EK3" s="9" t="inlineStr">
        <is>
          <t>PX_BID</t>
        </is>
      </c>
      <c r="EL3" s="9" t="inlineStr">
        <is>
          <t>PX_ASK</t>
        </is>
      </c>
      <c r="EM3" s="9" t="inlineStr">
        <is>
          <t>PX_MID</t>
        </is>
      </c>
      <c r="EN3" s="9" t="inlineStr">
        <is>
          <t>PX_LAST</t>
        </is>
      </c>
      <c r="EO3" s="9" t="inlineStr">
        <is>
          <t>PX_SETTLE</t>
        </is>
      </c>
      <c r="EP3" s="9" t="inlineStr">
        <is>
          <t>PX_VOLUME</t>
        </is>
      </c>
      <c r="EQ3" s="9" t="inlineStr">
        <is>
          <t>OPEN_INT</t>
        </is>
      </c>
      <c r="ER3" s="9" t="inlineStr">
        <is>
          <t>IVOL_MID</t>
        </is>
      </c>
      <c r="ES3" s="9" t="inlineStr">
        <is>
          <t>IVOL_BID</t>
        </is>
      </c>
      <c r="ET3" s="9" t="inlineStr">
        <is>
          <t>IVOL_ASK</t>
        </is>
      </c>
      <c r="EU3" s="9" t="inlineStr">
        <is>
          <t>DELTA_MID</t>
        </is>
      </c>
      <c r="EV3" s="9" t="inlineStr">
        <is>
          <t>GAMMA_MID</t>
        </is>
      </c>
      <c r="EW3" s="9" t="inlineStr">
        <is>
          <t>VEGA_MID</t>
        </is>
      </c>
      <c r="EX3" s="9" t="inlineStr">
        <is>
          <t>THETA_MID</t>
        </is>
      </c>
      <c r="EY3" s="9" t="inlineStr">
        <is>
          <t>OPT_UNDL_PX</t>
        </is>
      </c>
      <c r="FA3" s="9" t="inlineStr">
        <is>
          <t>Date</t>
        </is>
      </c>
      <c r="FB3" s="9" t="inlineStr">
        <is>
          <t>PX_BID</t>
        </is>
      </c>
      <c r="FC3" s="9" t="inlineStr">
        <is>
          <t>PX_ASK</t>
        </is>
      </c>
      <c r="FD3" s="9" t="inlineStr">
        <is>
          <t>PX_MID</t>
        </is>
      </c>
      <c r="FE3" s="9" t="inlineStr">
        <is>
          <t>PX_LAST</t>
        </is>
      </c>
      <c r="FF3" s="9" t="inlineStr">
        <is>
          <t>PX_SETTLE</t>
        </is>
      </c>
      <c r="FG3" s="9" t="inlineStr">
        <is>
          <t>PX_VOLUME</t>
        </is>
      </c>
      <c r="FH3" s="9" t="inlineStr">
        <is>
          <t>OPEN_INT</t>
        </is>
      </c>
      <c r="FI3" s="9" t="inlineStr">
        <is>
          <t>IVOL_MID</t>
        </is>
      </c>
      <c r="FJ3" s="9" t="inlineStr">
        <is>
          <t>IVOL_BID</t>
        </is>
      </c>
      <c r="FK3" s="9" t="inlineStr">
        <is>
          <t>IVOL_ASK</t>
        </is>
      </c>
      <c r="FL3" s="9" t="inlineStr">
        <is>
          <t>DELTA_MID</t>
        </is>
      </c>
      <c r="FM3" s="9" t="inlineStr">
        <is>
          <t>GAMMA_MID</t>
        </is>
      </c>
      <c r="FN3" s="9" t="inlineStr">
        <is>
          <t>VEGA_MID</t>
        </is>
      </c>
      <c r="FO3" s="9" t="inlineStr">
        <is>
          <t>THETA_MID</t>
        </is>
      </c>
      <c r="FP3" s="9" t="inlineStr">
        <is>
          <t>OPT_UNDL_PX</t>
        </is>
      </c>
      <c r="FR3" s="9" t="inlineStr">
        <is>
          <t>Date</t>
        </is>
      </c>
      <c r="FS3" s="9" t="inlineStr">
        <is>
          <t>PX_BID</t>
        </is>
      </c>
      <c r="FT3" s="9" t="inlineStr">
        <is>
          <t>PX_ASK</t>
        </is>
      </c>
      <c r="FU3" s="9" t="inlineStr">
        <is>
          <t>PX_MID</t>
        </is>
      </c>
      <c r="FV3" s="9" t="inlineStr">
        <is>
          <t>PX_LAST</t>
        </is>
      </c>
      <c r="FW3" s="9" t="inlineStr">
        <is>
          <t>PX_SETTLE</t>
        </is>
      </c>
      <c r="FX3" s="9" t="inlineStr">
        <is>
          <t>PX_VOLUME</t>
        </is>
      </c>
      <c r="FY3" s="9" t="inlineStr">
        <is>
          <t>OPEN_INT</t>
        </is>
      </c>
      <c r="FZ3" s="9" t="inlineStr">
        <is>
          <t>IVOL_MID</t>
        </is>
      </c>
      <c r="GA3" s="9" t="inlineStr">
        <is>
          <t>IVOL_BID</t>
        </is>
      </c>
      <c r="GB3" s="9" t="inlineStr">
        <is>
          <t>IVOL_ASK</t>
        </is>
      </c>
      <c r="GC3" s="9" t="inlineStr">
        <is>
          <t>DELTA_MID</t>
        </is>
      </c>
      <c r="GD3" s="9" t="inlineStr">
        <is>
          <t>GAMMA_MID</t>
        </is>
      </c>
      <c r="GE3" s="9" t="inlineStr">
        <is>
          <t>VEGA_MID</t>
        </is>
      </c>
      <c r="GF3" s="9" t="inlineStr">
        <is>
          <t>THETA_MID</t>
        </is>
      </c>
      <c r="GG3" s="9" t="inlineStr">
        <is>
          <t>OPT_UNDL_PX</t>
        </is>
      </c>
      <c r="GI3" s="9" t="inlineStr">
        <is>
          <t>Date</t>
        </is>
      </c>
      <c r="GJ3" s="9" t="inlineStr">
        <is>
          <t>PX_BID</t>
        </is>
      </c>
      <c r="GK3" s="9" t="inlineStr">
        <is>
          <t>PX_ASK</t>
        </is>
      </c>
      <c r="GL3" s="9" t="inlineStr">
        <is>
          <t>PX_MID</t>
        </is>
      </c>
      <c r="GM3" s="9" t="inlineStr">
        <is>
          <t>PX_LAST</t>
        </is>
      </c>
      <c r="GN3" s="9" t="inlineStr">
        <is>
          <t>PX_SETTLE</t>
        </is>
      </c>
      <c r="GO3" s="9" t="inlineStr">
        <is>
          <t>PX_VOLUME</t>
        </is>
      </c>
      <c r="GP3" s="9" t="inlineStr">
        <is>
          <t>OPEN_INT</t>
        </is>
      </c>
      <c r="GQ3" s="9" t="inlineStr">
        <is>
          <t>IVOL_MID</t>
        </is>
      </c>
      <c r="GR3" s="9" t="inlineStr">
        <is>
          <t>IVOL_BID</t>
        </is>
      </c>
      <c r="GS3" s="9" t="inlineStr">
        <is>
          <t>IVOL_ASK</t>
        </is>
      </c>
      <c r="GT3" s="9" t="inlineStr">
        <is>
          <t>DELTA_MID</t>
        </is>
      </c>
      <c r="GU3" s="9" t="inlineStr">
        <is>
          <t>GAMMA_MID</t>
        </is>
      </c>
      <c r="GV3" s="9" t="inlineStr">
        <is>
          <t>VEGA_MID</t>
        </is>
      </c>
      <c r="GW3" s="9" t="inlineStr">
        <is>
          <t>THETA_MID</t>
        </is>
      </c>
      <c r="GX3" s="9" t="inlineStr">
        <is>
          <t>OPT_UNDL_PX</t>
        </is>
      </c>
      <c r="GZ3" s="9" t="inlineStr">
        <is>
          <t>Date</t>
        </is>
      </c>
      <c r="HA3" s="9" t="inlineStr">
        <is>
          <t>PX_BID</t>
        </is>
      </c>
      <c r="HB3" s="9" t="inlineStr">
        <is>
          <t>PX_ASK</t>
        </is>
      </c>
      <c r="HC3" s="9" t="inlineStr">
        <is>
          <t>PX_MID</t>
        </is>
      </c>
      <c r="HD3" s="9" t="inlineStr">
        <is>
          <t>PX_LAST</t>
        </is>
      </c>
      <c r="HE3" s="9" t="inlineStr">
        <is>
          <t>PX_SETTLE</t>
        </is>
      </c>
      <c r="HF3" s="9" t="inlineStr">
        <is>
          <t>PX_VOLUME</t>
        </is>
      </c>
      <c r="HG3" s="9" t="inlineStr">
        <is>
          <t>OPEN_INT</t>
        </is>
      </c>
      <c r="HH3" s="9" t="inlineStr">
        <is>
          <t>IVOL_MID</t>
        </is>
      </c>
      <c r="HI3" s="9" t="inlineStr">
        <is>
          <t>IVOL_BID</t>
        </is>
      </c>
      <c r="HJ3" s="9" t="inlineStr">
        <is>
          <t>IVOL_ASK</t>
        </is>
      </c>
      <c r="HK3" s="9" t="inlineStr">
        <is>
          <t>DELTA_MID</t>
        </is>
      </c>
      <c r="HL3" s="9" t="inlineStr">
        <is>
          <t>GAMMA_MID</t>
        </is>
      </c>
      <c r="HM3" s="9" t="inlineStr">
        <is>
          <t>VEGA_MID</t>
        </is>
      </c>
      <c r="HN3" s="9" t="inlineStr">
        <is>
          <t>THETA_MID</t>
        </is>
      </c>
      <c r="HO3" s="9" t="inlineStr">
        <is>
          <t>OPT_UNDL_PX</t>
        </is>
      </c>
      <c r="HQ3" s="9" t="inlineStr">
        <is>
          <t>Date</t>
        </is>
      </c>
      <c r="HR3" s="9" t="inlineStr">
        <is>
          <t>PX_BID</t>
        </is>
      </c>
      <c r="HS3" s="9" t="inlineStr">
        <is>
          <t>PX_ASK</t>
        </is>
      </c>
      <c r="HT3" s="9" t="inlineStr">
        <is>
          <t>PX_MID</t>
        </is>
      </c>
      <c r="HU3" s="9" t="inlineStr">
        <is>
          <t>PX_LAST</t>
        </is>
      </c>
      <c r="HV3" s="9" t="inlineStr">
        <is>
          <t>PX_SETTLE</t>
        </is>
      </c>
      <c r="HW3" s="9" t="inlineStr">
        <is>
          <t>PX_VOLUME</t>
        </is>
      </c>
      <c r="HX3" s="9" t="inlineStr">
        <is>
          <t>OPEN_INT</t>
        </is>
      </c>
      <c r="HY3" s="9" t="inlineStr">
        <is>
          <t>IVOL_MID</t>
        </is>
      </c>
      <c r="HZ3" s="9" t="inlineStr">
        <is>
          <t>IVOL_BID</t>
        </is>
      </c>
      <c r="IA3" s="9" t="inlineStr">
        <is>
          <t>IVOL_ASK</t>
        </is>
      </c>
      <c r="IB3" s="9" t="inlineStr">
        <is>
          <t>DELTA_MID</t>
        </is>
      </c>
      <c r="IC3" s="9" t="inlineStr">
        <is>
          <t>GAMMA_MID</t>
        </is>
      </c>
      <c r="ID3" s="9" t="inlineStr">
        <is>
          <t>VEGA_MID</t>
        </is>
      </c>
      <c r="IE3" s="9" t="inlineStr">
        <is>
          <t>THETA_MID</t>
        </is>
      </c>
      <c r="IF3" s="9" t="inlineStr">
        <is>
          <t>OPT_UNDL_PX</t>
        </is>
      </c>
      <c r="IH3" s="9" t="inlineStr">
        <is>
          <t>Date</t>
        </is>
      </c>
      <c r="II3" s="9" t="inlineStr">
        <is>
          <t>PX_BID</t>
        </is>
      </c>
      <c r="IJ3" s="9" t="inlineStr">
        <is>
          <t>PX_ASK</t>
        </is>
      </c>
      <c r="IK3" s="9" t="inlineStr">
        <is>
          <t>PX_MID</t>
        </is>
      </c>
      <c r="IL3" s="9" t="inlineStr">
        <is>
          <t>PX_LAST</t>
        </is>
      </c>
      <c r="IM3" s="9" t="inlineStr">
        <is>
          <t>PX_SETTLE</t>
        </is>
      </c>
      <c r="IN3" s="9" t="inlineStr">
        <is>
          <t>PX_VOLUME</t>
        </is>
      </c>
      <c r="IO3" s="9" t="inlineStr">
        <is>
          <t>OPEN_INT</t>
        </is>
      </c>
      <c r="IP3" s="9" t="inlineStr">
        <is>
          <t>IVOL_MID</t>
        </is>
      </c>
      <c r="IQ3" s="9" t="inlineStr">
        <is>
          <t>IVOL_BID</t>
        </is>
      </c>
      <c r="IR3" s="9" t="inlineStr">
        <is>
          <t>IVOL_ASK</t>
        </is>
      </c>
      <c r="IS3" s="9" t="inlineStr">
        <is>
          <t>DELTA_MID</t>
        </is>
      </c>
      <c r="IT3" s="9" t="inlineStr">
        <is>
          <t>GAMMA_MID</t>
        </is>
      </c>
      <c r="IU3" s="9" t="inlineStr">
        <is>
          <t>VEGA_MID</t>
        </is>
      </c>
      <c r="IV3" s="9" t="inlineStr">
        <is>
          <t>THETA_MID</t>
        </is>
      </c>
      <c r="IW3" s="9" t="inlineStr">
        <is>
          <t>OPT_UNDL_PX</t>
        </is>
      </c>
      <c r="IY3" s="9" t="inlineStr">
        <is>
          <t>Date</t>
        </is>
      </c>
      <c r="IZ3" s="9" t="inlineStr">
        <is>
          <t>PX_BID</t>
        </is>
      </c>
      <c r="JA3" s="9" t="inlineStr">
        <is>
          <t>PX_ASK</t>
        </is>
      </c>
      <c r="JB3" s="9" t="inlineStr">
        <is>
          <t>PX_MID</t>
        </is>
      </c>
      <c r="JC3" s="9" t="inlineStr">
        <is>
          <t>PX_LAST</t>
        </is>
      </c>
      <c r="JD3" s="9" t="inlineStr">
        <is>
          <t>PX_SETTLE</t>
        </is>
      </c>
      <c r="JE3" s="9" t="inlineStr">
        <is>
          <t>PX_VOLUME</t>
        </is>
      </c>
      <c r="JF3" s="9" t="inlineStr">
        <is>
          <t>OPEN_INT</t>
        </is>
      </c>
      <c r="JG3" s="9" t="inlineStr">
        <is>
          <t>IVOL_MID</t>
        </is>
      </c>
      <c r="JH3" s="9" t="inlineStr">
        <is>
          <t>IVOL_BID</t>
        </is>
      </c>
      <c r="JI3" s="9" t="inlineStr">
        <is>
          <t>IVOL_ASK</t>
        </is>
      </c>
      <c r="JJ3" s="9" t="inlineStr">
        <is>
          <t>DELTA_MID</t>
        </is>
      </c>
      <c r="JK3" s="9" t="inlineStr">
        <is>
          <t>GAMMA_MID</t>
        </is>
      </c>
      <c r="JL3" s="9" t="inlineStr">
        <is>
          <t>VEGA_MID</t>
        </is>
      </c>
      <c r="JM3" s="9" t="inlineStr">
        <is>
          <t>THETA_MID</t>
        </is>
      </c>
      <c r="JN3" s="9" t="inlineStr">
        <is>
          <t>OPT_UNDL_PX</t>
        </is>
      </c>
      <c r="JP3" s="9" t="inlineStr">
        <is>
          <t>Date</t>
        </is>
      </c>
      <c r="JQ3" s="9" t="inlineStr">
        <is>
          <t>PX_BID</t>
        </is>
      </c>
      <c r="JR3" s="9" t="inlineStr">
        <is>
          <t>PX_ASK</t>
        </is>
      </c>
      <c r="JS3" s="9" t="inlineStr">
        <is>
          <t>PX_MID</t>
        </is>
      </c>
      <c r="JT3" s="9" t="inlineStr">
        <is>
          <t>PX_LAST</t>
        </is>
      </c>
      <c r="JU3" s="9" t="inlineStr">
        <is>
          <t>PX_SETTLE</t>
        </is>
      </c>
      <c r="JV3" s="9" t="inlineStr">
        <is>
          <t>PX_VOLUME</t>
        </is>
      </c>
      <c r="JW3" s="9" t="inlineStr">
        <is>
          <t>OPEN_INT</t>
        </is>
      </c>
      <c r="JX3" s="9" t="inlineStr">
        <is>
          <t>IVOL_MID</t>
        </is>
      </c>
      <c r="JY3" s="9" t="inlineStr">
        <is>
          <t>IVOL_BID</t>
        </is>
      </c>
      <c r="JZ3" s="9" t="inlineStr">
        <is>
          <t>IVOL_ASK</t>
        </is>
      </c>
      <c r="KA3" s="9" t="inlineStr">
        <is>
          <t>DELTA_MID</t>
        </is>
      </c>
      <c r="KB3" s="9" t="inlineStr">
        <is>
          <t>GAMMA_MID</t>
        </is>
      </c>
      <c r="KC3" s="9" t="inlineStr">
        <is>
          <t>VEGA_MID</t>
        </is>
      </c>
      <c r="KD3" s="9" t="inlineStr">
        <is>
          <t>THETA_MID</t>
        </is>
      </c>
      <c r="KE3" s="9" t="inlineStr">
        <is>
          <t>OPT_UNDL_PX</t>
        </is>
      </c>
      <c r="KG3" s="9" t="inlineStr">
        <is>
          <t>Date</t>
        </is>
      </c>
      <c r="KH3" s="9" t="inlineStr">
        <is>
          <t>PX_BID</t>
        </is>
      </c>
      <c r="KI3" s="9" t="inlineStr">
        <is>
          <t>PX_ASK</t>
        </is>
      </c>
      <c r="KJ3" s="9" t="inlineStr">
        <is>
          <t>PX_MID</t>
        </is>
      </c>
      <c r="KK3" s="9" t="inlineStr">
        <is>
          <t>PX_LAST</t>
        </is>
      </c>
      <c r="KL3" s="9" t="inlineStr">
        <is>
          <t>PX_SETTLE</t>
        </is>
      </c>
      <c r="KM3" s="9" t="inlineStr">
        <is>
          <t>PX_VOLUME</t>
        </is>
      </c>
      <c r="KN3" s="9" t="inlineStr">
        <is>
          <t>OPEN_INT</t>
        </is>
      </c>
      <c r="KO3" s="9" t="inlineStr">
        <is>
          <t>IVOL_MID</t>
        </is>
      </c>
      <c r="KP3" s="9" t="inlineStr">
        <is>
          <t>IVOL_BID</t>
        </is>
      </c>
      <c r="KQ3" s="9" t="inlineStr">
        <is>
          <t>IVOL_ASK</t>
        </is>
      </c>
      <c r="KR3" s="9" t="inlineStr">
        <is>
          <t>DELTA_MID</t>
        </is>
      </c>
      <c r="KS3" s="9" t="inlineStr">
        <is>
          <t>GAMMA_MID</t>
        </is>
      </c>
      <c r="KT3" s="9" t="inlineStr">
        <is>
          <t>VEGA_MID</t>
        </is>
      </c>
      <c r="KU3" s="9" t="inlineStr">
        <is>
          <t>THETA_MID</t>
        </is>
      </c>
      <c r="KV3" s="9" t="inlineStr">
        <is>
          <t>OPT_UNDL_PX</t>
        </is>
      </c>
      <c r="KX3" s="9" t="inlineStr">
        <is>
          <t>Date</t>
        </is>
      </c>
      <c r="KY3" s="9" t="inlineStr">
        <is>
          <t>PX_BID</t>
        </is>
      </c>
      <c r="KZ3" s="9" t="inlineStr">
        <is>
          <t>PX_ASK</t>
        </is>
      </c>
      <c r="LA3" s="9" t="inlineStr">
        <is>
          <t>PX_MID</t>
        </is>
      </c>
      <c r="LB3" s="9" t="inlineStr">
        <is>
          <t>PX_LAST</t>
        </is>
      </c>
      <c r="LC3" s="9" t="inlineStr">
        <is>
          <t>PX_SETTLE</t>
        </is>
      </c>
      <c r="LD3" s="9" t="inlineStr">
        <is>
          <t>PX_VOLUME</t>
        </is>
      </c>
      <c r="LE3" s="9" t="inlineStr">
        <is>
          <t>OPEN_INT</t>
        </is>
      </c>
      <c r="LF3" s="9" t="inlineStr">
        <is>
          <t>IVOL_MID</t>
        </is>
      </c>
      <c r="LG3" s="9" t="inlineStr">
        <is>
          <t>IVOL_BID</t>
        </is>
      </c>
      <c r="LH3" s="9" t="inlineStr">
        <is>
          <t>IVOL_ASK</t>
        </is>
      </c>
      <c r="LI3" s="9" t="inlineStr">
        <is>
          <t>DELTA_MID</t>
        </is>
      </c>
      <c r="LJ3" s="9" t="inlineStr">
        <is>
          <t>GAMMA_MID</t>
        </is>
      </c>
      <c r="LK3" s="9" t="inlineStr">
        <is>
          <t>VEGA_MID</t>
        </is>
      </c>
      <c r="LL3" s="9" t="inlineStr">
        <is>
          <t>THETA_MID</t>
        </is>
      </c>
      <c r="LM3" s="9" t="inlineStr">
        <is>
          <t>OPT_UNDL_PX</t>
        </is>
      </c>
      <c r="LO3" s="9" t="inlineStr">
        <is>
          <t>Date</t>
        </is>
      </c>
      <c r="LP3" s="9" t="inlineStr">
        <is>
          <t>PX_BID</t>
        </is>
      </c>
      <c r="LQ3" s="9" t="inlineStr">
        <is>
          <t>PX_ASK</t>
        </is>
      </c>
      <c r="LR3" s="9" t="inlineStr">
        <is>
          <t>PX_MID</t>
        </is>
      </c>
      <c r="LS3" s="9" t="inlineStr">
        <is>
          <t>PX_LAST</t>
        </is>
      </c>
      <c r="LT3" s="9" t="inlineStr">
        <is>
          <t>PX_SETTLE</t>
        </is>
      </c>
      <c r="LU3" s="9" t="inlineStr">
        <is>
          <t>PX_VOLUME</t>
        </is>
      </c>
      <c r="LV3" s="9" t="inlineStr">
        <is>
          <t>OPEN_INT</t>
        </is>
      </c>
      <c r="LW3" s="9" t="inlineStr">
        <is>
          <t>IVOL_MID</t>
        </is>
      </c>
      <c r="LX3" s="9" t="inlineStr">
        <is>
          <t>IVOL_BID</t>
        </is>
      </c>
      <c r="LY3" s="9" t="inlineStr">
        <is>
          <t>IVOL_ASK</t>
        </is>
      </c>
      <c r="LZ3" s="9" t="inlineStr">
        <is>
          <t>DELTA_MID</t>
        </is>
      </c>
      <c r="MA3" s="9" t="inlineStr">
        <is>
          <t>GAMMA_MID</t>
        </is>
      </c>
      <c r="MB3" s="9" t="inlineStr">
        <is>
          <t>VEGA_MID</t>
        </is>
      </c>
      <c r="MC3" s="9" t="inlineStr">
        <is>
          <t>THETA_MID</t>
        </is>
      </c>
      <c r="MD3" s="9" t="inlineStr">
        <is>
          <t>OPT_UNDL_PX</t>
        </is>
      </c>
      <c r="MF3" s="9" t="inlineStr">
        <is>
          <t>Date</t>
        </is>
      </c>
      <c r="MG3" s="9" t="inlineStr">
        <is>
          <t>PX_BID</t>
        </is>
      </c>
      <c r="MH3" s="9" t="inlineStr">
        <is>
          <t>PX_ASK</t>
        </is>
      </c>
      <c r="MI3" s="9" t="inlineStr">
        <is>
          <t>PX_MID</t>
        </is>
      </c>
      <c r="MJ3" s="9" t="inlineStr">
        <is>
          <t>PX_LAST</t>
        </is>
      </c>
      <c r="MK3" s="9" t="inlineStr">
        <is>
          <t>PX_SETTLE</t>
        </is>
      </c>
      <c r="ML3" s="9" t="inlineStr">
        <is>
          <t>PX_VOLUME</t>
        </is>
      </c>
      <c r="MM3" s="9" t="inlineStr">
        <is>
          <t>OPEN_INT</t>
        </is>
      </c>
      <c r="MN3" s="9" t="inlineStr">
        <is>
          <t>IVOL_MID</t>
        </is>
      </c>
      <c r="MO3" s="9" t="inlineStr">
        <is>
          <t>IVOL_BID</t>
        </is>
      </c>
      <c r="MP3" s="9" t="inlineStr">
        <is>
          <t>IVOL_ASK</t>
        </is>
      </c>
      <c r="MQ3" s="9" t="inlineStr">
        <is>
          <t>DELTA_MID</t>
        </is>
      </c>
      <c r="MR3" s="9" t="inlineStr">
        <is>
          <t>GAMMA_MID</t>
        </is>
      </c>
      <c r="MS3" s="9" t="inlineStr">
        <is>
          <t>VEGA_MID</t>
        </is>
      </c>
      <c r="MT3" s="9" t="inlineStr">
        <is>
          <t>THETA_MID</t>
        </is>
      </c>
      <c r="MU3" s="9" t="inlineStr">
        <is>
          <t>OPT_UNDL_PX</t>
        </is>
      </c>
      <c r="MW3" s="9" t="inlineStr">
        <is>
          <t>Date</t>
        </is>
      </c>
      <c r="MX3" s="9" t="inlineStr">
        <is>
          <t>PX_BID</t>
        </is>
      </c>
      <c r="MY3" s="9" t="inlineStr">
        <is>
          <t>PX_ASK</t>
        </is>
      </c>
      <c r="MZ3" s="9" t="inlineStr">
        <is>
          <t>PX_MID</t>
        </is>
      </c>
      <c r="NA3" s="9" t="inlineStr">
        <is>
          <t>PX_LAST</t>
        </is>
      </c>
      <c r="NB3" s="9" t="inlineStr">
        <is>
          <t>PX_SETTLE</t>
        </is>
      </c>
      <c r="NC3" s="9" t="inlineStr">
        <is>
          <t>PX_VOLUME</t>
        </is>
      </c>
      <c r="ND3" s="9" t="inlineStr">
        <is>
          <t>OPEN_INT</t>
        </is>
      </c>
      <c r="NE3" s="9" t="inlineStr">
        <is>
          <t>IVOL_MID</t>
        </is>
      </c>
      <c r="NF3" s="9" t="inlineStr">
        <is>
          <t>IVOL_BID</t>
        </is>
      </c>
      <c r="NG3" s="9" t="inlineStr">
        <is>
          <t>IVOL_ASK</t>
        </is>
      </c>
      <c r="NH3" s="9" t="inlineStr">
        <is>
          <t>DELTA_MID</t>
        </is>
      </c>
      <c r="NI3" s="9" t="inlineStr">
        <is>
          <t>GAMMA_MID</t>
        </is>
      </c>
      <c r="NJ3" s="9" t="inlineStr">
        <is>
          <t>VEGA_MID</t>
        </is>
      </c>
      <c r="NK3" s="9" t="inlineStr">
        <is>
          <t>THETA_MID</t>
        </is>
      </c>
      <c r="NL3" s="9" t="inlineStr">
        <is>
          <t>OPT_UNDL_PX</t>
        </is>
      </c>
      <c r="NN3" s="9" t="inlineStr">
        <is>
          <t>Date</t>
        </is>
      </c>
      <c r="NO3" s="9" t="inlineStr">
        <is>
          <t>PX_BID</t>
        </is>
      </c>
      <c r="NP3" s="9" t="inlineStr">
        <is>
          <t>PX_ASK</t>
        </is>
      </c>
      <c r="NQ3" s="9" t="inlineStr">
        <is>
          <t>PX_MID</t>
        </is>
      </c>
      <c r="NR3" s="9" t="inlineStr">
        <is>
          <t>PX_LAST</t>
        </is>
      </c>
      <c r="NS3" s="9" t="inlineStr">
        <is>
          <t>PX_SETTLE</t>
        </is>
      </c>
      <c r="NT3" s="9" t="inlineStr">
        <is>
          <t>PX_VOLUME</t>
        </is>
      </c>
      <c r="NU3" s="9" t="inlineStr">
        <is>
          <t>OPEN_INT</t>
        </is>
      </c>
      <c r="NV3" s="9" t="inlineStr">
        <is>
          <t>IVOL_MID</t>
        </is>
      </c>
      <c r="NW3" s="9" t="inlineStr">
        <is>
          <t>IVOL_BID</t>
        </is>
      </c>
      <c r="NX3" s="9" t="inlineStr">
        <is>
          <t>IVOL_ASK</t>
        </is>
      </c>
      <c r="NY3" s="9" t="inlineStr">
        <is>
          <t>DELTA_MID</t>
        </is>
      </c>
      <c r="NZ3" s="9" t="inlineStr">
        <is>
          <t>GAMMA_MID</t>
        </is>
      </c>
      <c r="OA3" s="9" t="inlineStr">
        <is>
          <t>VEGA_MID</t>
        </is>
      </c>
      <c r="OB3" s="9" t="inlineStr">
        <is>
          <t>THETA_MID</t>
        </is>
      </c>
      <c r="OC3" s="9" t="inlineStr">
        <is>
          <t>OPT_UNDL_PX</t>
        </is>
      </c>
      <c r="OE3" s="9" t="inlineStr">
        <is>
          <t>Date</t>
        </is>
      </c>
      <c r="OF3" s="9" t="inlineStr">
        <is>
          <t>PX_BID</t>
        </is>
      </c>
      <c r="OG3" s="9" t="inlineStr">
        <is>
          <t>PX_ASK</t>
        </is>
      </c>
      <c r="OH3" s="9" t="inlineStr">
        <is>
          <t>PX_MID</t>
        </is>
      </c>
      <c r="OI3" s="9" t="inlineStr">
        <is>
          <t>PX_LAST</t>
        </is>
      </c>
      <c r="OJ3" s="9" t="inlineStr">
        <is>
          <t>PX_SETTLE</t>
        </is>
      </c>
      <c r="OK3" s="9" t="inlineStr">
        <is>
          <t>PX_VOLUME</t>
        </is>
      </c>
      <c r="OL3" s="9" t="inlineStr">
        <is>
          <t>OPEN_INT</t>
        </is>
      </c>
      <c r="OM3" s="9" t="inlineStr">
        <is>
          <t>IVOL_MID</t>
        </is>
      </c>
      <c r="ON3" s="9" t="inlineStr">
        <is>
          <t>IVOL_BID</t>
        </is>
      </c>
      <c r="OO3" s="9" t="inlineStr">
        <is>
          <t>IVOL_ASK</t>
        </is>
      </c>
      <c r="OP3" s="9" t="inlineStr">
        <is>
          <t>DELTA_MID</t>
        </is>
      </c>
      <c r="OQ3" s="9" t="inlineStr">
        <is>
          <t>GAMMA_MID</t>
        </is>
      </c>
      <c r="OR3" s="9" t="inlineStr">
        <is>
          <t>VEGA_MID</t>
        </is>
      </c>
      <c r="OS3" s="9" t="inlineStr">
        <is>
          <t>THETA_MID</t>
        </is>
      </c>
      <c r="OT3" s="9" t="inlineStr">
        <is>
          <t>OPT_UNDL_PX</t>
        </is>
      </c>
      <c r="OV3" s="9" t="inlineStr">
        <is>
          <t>Date</t>
        </is>
      </c>
      <c r="OW3" s="9" t="inlineStr">
        <is>
          <t>PX_BID</t>
        </is>
      </c>
      <c r="OX3" s="9" t="inlineStr">
        <is>
          <t>PX_ASK</t>
        </is>
      </c>
      <c r="OY3" s="9" t="inlineStr">
        <is>
          <t>PX_MID</t>
        </is>
      </c>
      <c r="OZ3" s="9" t="inlineStr">
        <is>
          <t>PX_LAST</t>
        </is>
      </c>
      <c r="PA3" s="9" t="inlineStr">
        <is>
          <t>PX_SETTLE</t>
        </is>
      </c>
      <c r="PB3" s="9" t="inlineStr">
        <is>
          <t>PX_VOLUME</t>
        </is>
      </c>
      <c r="PC3" s="9" t="inlineStr">
        <is>
          <t>OPEN_INT</t>
        </is>
      </c>
      <c r="PD3" s="9" t="inlineStr">
        <is>
          <t>IVOL_MID</t>
        </is>
      </c>
      <c r="PE3" s="9" t="inlineStr">
        <is>
          <t>IVOL_BID</t>
        </is>
      </c>
      <c r="PF3" s="9" t="inlineStr">
        <is>
          <t>IVOL_ASK</t>
        </is>
      </c>
      <c r="PG3" s="9" t="inlineStr">
        <is>
          <t>DELTA_MID</t>
        </is>
      </c>
      <c r="PH3" s="9" t="inlineStr">
        <is>
          <t>GAMMA_MID</t>
        </is>
      </c>
      <c r="PI3" s="9" t="inlineStr">
        <is>
          <t>VEGA_MID</t>
        </is>
      </c>
      <c r="PJ3" s="9" t="inlineStr">
        <is>
          <t>THETA_MID</t>
        </is>
      </c>
      <c r="PK3" s="9" t="inlineStr">
        <is>
          <t>OPT_UNDL_PX</t>
        </is>
      </c>
      <c r="PM3" s="9" t="inlineStr">
        <is>
          <t>Date</t>
        </is>
      </c>
      <c r="PN3" s="9" t="inlineStr">
        <is>
          <t>PX_BID</t>
        </is>
      </c>
      <c r="PO3" s="9" t="inlineStr">
        <is>
          <t>PX_ASK</t>
        </is>
      </c>
      <c r="PP3" s="9" t="inlineStr">
        <is>
          <t>PX_MID</t>
        </is>
      </c>
      <c r="PQ3" s="9" t="inlineStr">
        <is>
          <t>PX_LAST</t>
        </is>
      </c>
      <c r="PR3" s="9" t="inlineStr">
        <is>
          <t>PX_SETTLE</t>
        </is>
      </c>
      <c r="PS3" s="9" t="inlineStr">
        <is>
          <t>PX_VOLUME</t>
        </is>
      </c>
      <c r="PT3" s="9" t="inlineStr">
        <is>
          <t>OPEN_INT</t>
        </is>
      </c>
      <c r="PU3" s="9" t="inlineStr">
        <is>
          <t>IVOL_MID</t>
        </is>
      </c>
      <c r="PV3" s="9" t="inlineStr">
        <is>
          <t>IVOL_BID</t>
        </is>
      </c>
      <c r="PW3" s="9" t="inlineStr">
        <is>
          <t>IVOL_ASK</t>
        </is>
      </c>
      <c r="PX3" s="9" t="inlineStr">
        <is>
          <t>DELTA_MID</t>
        </is>
      </c>
      <c r="PY3" s="9" t="inlineStr">
        <is>
          <t>GAMMA_MID</t>
        </is>
      </c>
      <c r="PZ3" s="9" t="inlineStr">
        <is>
          <t>VEGA_MID</t>
        </is>
      </c>
      <c r="QA3" s="9" t="inlineStr">
        <is>
          <t>THETA_MID</t>
        </is>
      </c>
      <c r="QB3" s="9" t="inlineStr">
        <is>
          <t>OPT_UNDL_PX</t>
        </is>
      </c>
      <c r="QD3" s="9" t="inlineStr">
        <is>
          <t>Date</t>
        </is>
      </c>
      <c r="QE3" s="9" t="inlineStr">
        <is>
          <t>PX_BID</t>
        </is>
      </c>
      <c r="QF3" s="9" t="inlineStr">
        <is>
          <t>PX_ASK</t>
        </is>
      </c>
      <c r="QG3" s="9" t="inlineStr">
        <is>
          <t>PX_MID</t>
        </is>
      </c>
      <c r="QH3" s="9" t="inlineStr">
        <is>
          <t>PX_LAST</t>
        </is>
      </c>
      <c r="QI3" s="9" t="inlineStr">
        <is>
          <t>PX_SETTLE</t>
        </is>
      </c>
      <c r="QJ3" s="9" t="inlineStr">
        <is>
          <t>PX_VOLUME</t>
        </is>
      </c>
      <c r="QK3" s="9" t="inlineStr">
        <is>
          <t>OPEN_INT</t>
        </is>
      </c>
      <c r="QL3" s="9" t="inlineStr">
        <is>
          <t>IVOL_MID</t>
        </is>
      </c>
      <c r="QM3" s="9" t="inlineStr">
        <is>
          <t>IVOL_BID</t>
        </is>
      </c>
      <c r="QN3" s="9" t="inlineStr">
        <is>
          <t>IVOL_ASK</t>
        </is>
      </c>
      <c r="QO3" s="9" t="inlineStr">
        <is>
          <t>DELTA_MID</t>
        </is>
      </c>
      <c r="QP3" s="9" t="inlineStr">
        <is>
          <t>GAMMA_MID</t>
        </is>
      </c>
      <c r="QQ3" s="9" t="inlineStr">
        <is>
          <t>VEGA_MID</t>
        </is>
      </c>
      <c r="QR3" s="9" t="inlineStr">
        <is>
          <t>THETA_MID</t>
        </is>
      </c>
      <c r="QS3" s="9" t="inlineStr">
        <is>
          <t>OPT_UNDL_PX</t>
        </is>
      </c>
      <c r="QU3" s="9" t="inlineStr">
        <is>
          <t>Date</t>
        </is>
      </c>
      <c r="QV3" s="9" t="inlineStr">
        <is>
          <t>PX_BID</t>
        </is>
      </c>
      <c r="QW3" s="9" t="inlineStr">
        <is>
          <t>PX_ASK</t>
        </is>
      </c>
      <c r="QX3" s="9" t="inlineStr">
        <is>
          <t>PX_MID</t>
        </is>
      </c>
      <c r="QY3" s="9" t="inlineStr">
        <is>
          <t>PX_LAST</t>
        </is>
      </c>
      <c r="QZ3" s="9" t="inlineStr">
        <is>
          <t>PX_SETTLE</t>
        </is>
      </c>
      <c r="RA3" s="9" t="inlineStr">
        <is>
          <t>PX_VOLUME</t>
        </is>
      </c>
      <c r="RB3" s="9" t="inlineStr">
        <is>
          <t>OPEN_INT</t>
        </is>
      </c>
      <c r="RC3" s="9" t="inlineStr">
        <is>
          <t>IVOL_MID</t>
        </is>
      </c>
      <c r="RD3" s="9" t="inlineStr">
        <is>
          <t>IVOL_BID</t>
        </is>
      </c>
      <c r="RE3" s="9" t="inlineStr">
        <is>
          <t>IVOL_ASK</t>
        </is>
      </c>
      <c r="RF3" s="9" t="inlineStr">
        <is>
          <t>DELTA_MID</t>
        </is>
      </c>
      <c r="RG3" s="9" t="inlineStr">
        <is>
          <t>GAMMA_MID</t>
        </is>
      </c>
      <c r="RH3" s="9" t="inlineStr">
        <is>
          <t>VEGA_MID</t>
        </is>
      </c>
      <c r="RI3" s="9" t="inlineStr">
        <is>
          <t>THETA_MID</t>
        </is>
      </c>
      <c r="RJ3" s="9" t="inlineStr">
        <is>
          <t>OPT_UNDL_PX</t>
        </is>
      </c>
      <c r="RL3" s="9" t="inlineStr">
        <is>
          <t>Date</t>
        </is>
      </c>
      <c r="RM3" s="9" t="inlineStr">
        <is>
          <t>PX_BID</t>
        </is>
      </c>
      <c r="RN3" s="9" t="inlineStr">
        <is>
          <t>PX_ASK</t>
        </is>
      </c>
      <c r="RO3" s="9" t="inlineStr">
        <is>
          <t>PX_MID</t>
        </is>
      </c>
      <c r="RP3" s="9" t="inlineStr">
        <is>
          <t>PX_LAST</t>
        </is>
      </c>
      <c r="RQ3" s="9" t="inlineStr">
        <is>
          <t>PX_SETTLE</t>
        </is>
      </c>
      <c r="RR3" s="9" t="inlineStr">
        <is>
          <t>PX_VOLUME</t>
        </is>
      </c>
      <c r="RS3" s="9" t="inlineStr">
        <is>
          <t>OPEN_INT</t>
        </is>
      </c>
      <c r="RT3" s="9" t="inlineStr">
        <is>
          <t>IVOL_MID</t>
        </is>
      </c>
      <c r="RU3" s="9" t="inlineStr">
        <is>
          <t>IVOL_BID</t>
        </is>
      </c>
      <c r="RV3" s="9" t="inlineStr">
        <is>
          <t>IVOL_ASK</t>
        </is>
      </c>
      <c r="RW3" s="9" t="inlineStr">
        <is>
          <t>DELTA_MID</t>
        </is>
      </c>
      <c r="RX3" s="9" t="inlineStr">
        <is>
          <t>GAMMA_MID</t>
        </is>
      </c>
      <c r="RY3" s="9" t="inlineStr">
        <is>
          <t>VEGA_MID</t>
        </is>
      </c>
      <c r="RZ3" s="9" t="inlineStr">
        <is>
          <t>THETA_MID</t>
        </is>
      </c>
      <c r="SA3" s="9" t="inlineStr">
        <is>
          <t>OPT_UNDL_PX</t>
        </is>
      </c>
      <c r="SC3" s="9" t="inlineStr">
        <is>
          <t>Date</t>
        </is>
      </c>
      <c r="SD3" s="9" t="inlineStr">
        <is>
          <t>PX_BID</t>
        </is>
      </c>
      <c r="SE3" s="9" t="inlineStr">
        <is>
          <t>PX_ASK</t>
        </is>
      </c>
      <c r="SF3" s="9" t="inlineStr">
        <is>
          <t>PX_MID</t>
        </is>
      </c>
      <c r="SG3" s="9" t="inlineStr">
        <is>
          <t>PX_LAST</t>
        </is>
      </c>
      <c r="SH3" s="9" t="inlineStr">
        <is>
          <t>PX_SETTLE</t>
        </is>
      </c>
      <c r="SI3" s="9" t="inlineStr">
        <is>
          <t>PX_VOLUME</t>
        </is>
      </c>
      <c r="SJ3" s="9" t="inlineStr">
        <is>
          <t>OPEN_INT</t>
        </is>
      </c>
      <c r="SK3" s="9" t="inlineStr">
        <is>
          <t>IVOL_MID</t>
        </is>
      </c>
      <c r="SL3" s="9" t="inlineStr">
        <is>
          <t>IVOL_BID</t>
        </is>
      </c>
      <c r="SM3" s="9" t="inlineStr">
        <is>
          <t>IVOL_ASK</t>
        </is>
      </c>
      <c r="SN3" s="9" t="inlineStr">
        <is>
          <t>DELTA_MID</t>
        </is>
      </c>
      <c r="SO3" s="9" t="inlineStr">
        <is>
          <t>GAMMA_MID</t>
        </is>
      </c>
      <c r="SP3" s="9" t="inlineStr">
        <is>
          <t>VEGA_MID</t>
        </is>
      </c>
      <c r="SQ3" s="9" t="inlineStr">
        <is>
          <t>THETA_MID</t>
        </is>
      </c>
      <c r="SR3" s="9" t="inlineStr">
        <is>
          <t>OPT_UNDL_PX</t>
        </is>
      </c>
      <c r="ST3" s="9" t="inlineStr">
        <is>
          <t>Date</t>
        </is>
      </c>
      <c r="SU3" s="9" t="inlineStr">
        <is>
          <t>PX_BID</t>
        </is>
      </c>
      <c r="SV3" s="9" t="inlineStr">
        <is>
          <t>PX_ASK</t>
        </is>
      </c>
      <c r="SW3" s="9" t="inlineStr">
        <is>
          <t>PX_MID</t>
        </is>
      </c>
      <c r="SX3" s="9" t="inlineStr">
        <is>
          <t>PX_LAST</t>
        </is>
      </c>
      <c r="SY3" s="9" t="inlineStr">
        <is>
          <t>PX_SETTLE</t>
        </is>
      </c>
      <c r="SZ3" s="9" t="inlineStr">
        <is>
          <t>PX_VOLUME</t>
        </is>
      </c>
      <c r="TA3" s="9" t="inlineStr">
        <is>
          <t>OPEN_INT</t>
        </is>
      </c>
      <c r="TB3" s="9" t="inlineStr">
        <is>
          <t>IVOL_MID</t>
        </is>
      </c>
      <c r="TC3" s="9" t="inlineStr">
        <is>
          <t>IVOL_BID</t>
        </is>
      </c>
      <c r="TD3" s="9" t="inlineStr">
        <is>
          <t>IVOL_ASK</t>
        </is>
      </c>
      <c r="TE3" s="9" t="inlineStr">
        <is>
          <t>DELTA_MID</t>
        </is>
      </c>
      <c r="TF3" s="9" t="inlineStr">
        <is>
          <t>GAMMA_MID</t>
        </is>
      </c>
      <c r="TG3" s="9" t="inlineStr">
        <is>
          <t>VEGA_MID</t>
        </is>
      </c>
      <c r="TH3" s="9" t="inlineStr">
        <is>
          <t>THETA_MID</t>
        </is>
      </c>
      <c r="TI3" s="9" t="inlineStr">
        <is>
          <t>OPT_UNDL_PX</t>
        </is>
      </c>
      <c r="TK3" s="9" t="inlineStr">
        <is>
          <t>Date</t>
        </is>
      </c>
      <c r="TL3" s="9" t="inlineStr">
        <is>
          <t>PX_BID</t>
        </is>
      </c>
      <c r="TM3" s="9" t="inlineStr">
        <is>
          <t>PX_ASK</t>
        </is>
      </c>
      <c r="TN3" s="9" t="inlineStr">
        <is>
          <t>PX_MID</t>
        </is>
      </c>
      <c r="TO3" s="9" t="inlineStr">
        <is>
          <t>PX_LAST</t>
        </is>
      </c>
      <c r="TP3" s="9" t="inlineStr">
        <is>
          <t>PX_SETTLE</t>
        </is>
      </c>
      <c r="TQ3" s="9" t="inlineStr">
        <is>
          <t>PX_VOLUME</t>
        </is>
      </c>
      <c r="TR3" s="9" t="inlineStr">
        <is>
          <t>OPEN_INT</t>
        </is>
      </c>
      <c r="TS3" s="9" t="inlineStr">
        <is>
          <t>IVOL_MID</t>
        </is>
      </c>
      <c r="TT3" s="9" t="inlineStr">
        <is>
          <t>IVOL_BID</t>
        </is>
      </c>
      <c r="TU3" s="9" t="inlineStr">
        <is>
          <t>IVOL_ASK</t>
        </is>
      </c>
      <c r="TV3" s="9" t="inlineStr">
        <is>
          <t>DELTA_MID</t>
        </is>
      </c>
      <c r="TW3" s="9" t="inlineStr">
        <is>
          <t>GAMMA_MID</t>
        </is>
      </c>
      <c r="TX3" s="9" t="inlineStr">
        <is>
          <t>VEGA_MID</t>
        </is>
      </c>
      <c r="TY3" s="9" t="inlineStr">
        <is>
          <t>THETA_MID</t>
        </is>
      </c>
      <c r="TZ3" s="9" t="inlineStr">
        <is>
          <t>OPT_UNDL_PX</t>
        </is>
      </c>
      <c r="UB3" s="9" t="inlineStr">
        <is>
          <t>Date</t>
        </is>
      </c>
      <c r="UC3" s="9" t="inlineStr">
        <is>
          <t>PX_BID</t>
        </is>
      </c>
      <c r="UD3" s="9" t="inlineStr">
        <is>
          <t>PX_ASK</t>
        </is>
      </c>
      <c r="UE3" s="9" t="inlineStr">
        <is>
          <t>PX_MID</t>
        </is>
      </c>
      <c r="UF3" s="9" t="inlineStr">
        <is>
          <t>PX_LAST</t>
        </is>
      </c>
      <c r="UG3" s="9" t="inlineStr">
        <is>
          <t>PX_SETTLE</t>
        </is>
      </c>
      <c r="UH3" s="9" t="inlineStr">
        <is>
          <t>PX_VOLUME</t>
        </is>
      </c>
      <c r="UI3" s="9" t="inlineStr">
        <is>
          <t>OPEN_INT</t>
        </is>
      </c>
      <c r="UJ3" s="9" t="inlineStr">
        <is>
          <t>IVOL_MID</t>
        </is>
      </c>
      <c r="UK3" s="9" t="inlineStr">
        <is>
          <t>IVOL_BID</t>
        </is>
      </c>
      <c r="UL3" s="9" t="inlineStr">
        <is>
          <t>IVOL_ASK</t>
        </is>
      </c>
      <c r="UM3" s="9" t="inlineStr">
        <is>
          <t>DELTA_MID</t>
        </is>
      </c>
      <c r="UN3" s="9" t="inlineStr">
        <is>
          <t>GAMMA_MID</t>
        </is>
      </c>
      <c r="UO3" s="9" t="inlineStr">
        <is>
          <t>VEGA_MID</t>
        </is>
      </c>
      <c r="UP3" s="9" t="inlineStr">
        <is>
          <t>THETA_MID</t>
        </is>
      </c>
      <c r="UQ3" s="9" t="inlineStr">
        <is>
          <t>OPT_UNDL_PX</t>
        </is>
      </c>
      <c r="US3" s="9" t="inlineStr">
        <is>
          <t>Date</t>
        </is>
      </c>
      <c r="UT3" s="9" t="inlineStr">
        <is>
          <t>PX_BID</t>
        </is>
      </c>
      <c r="UU3" s="9" t="inlineStr">
        <is>
          <t>PX_ASK</t>
        </is>
      </c>
      <c r="UV3" s="9" t="inlineStr">
        <is>
          <t>PX_MID</t>
        </is>
      </c>
      <c r="UW3" s="9" t="inlineStr">
        <is>
          <t>PX_LAST</t>
        </is>
      </c>
      <c r="UX3" s="9" t="inlineStr">
        <is>
          <t>PX_SETTLE</t>
        </is>
      </c>
      <c r="UY3" s="9" t="inlineStr">
        <is>
          <t>PX_VOLUME</t>
        </is>
      </c>
      <c r="UZ3" s="9" t="inlineStr">
        <is>
          <t>OPEN_INT</t>
        </is>
      </c>
      <c r="VA3" s="9" t="inlineStr">
        <is>
          <t>IVOL_MID</t>
        </is>
      </c>
      <c r="VB3" s="9" t="inlineStr">
        <is>
          <t>IVOL_BID</t>
        </is>
      </c>
      <c r="VC3" s="9" t="inlineStr">
        <is>
          <t>IVOL_ASK</t>
        </is>
      </c>
      <c r="VD3" s="9" t="inlineStr">
        <is>
          <t>DELTA_MID</t>
        </is>
      </c>
      <c r="VE3" s="9" t="inlineStr">
        <is>
          <t>GAMMA_MID</t>
        </is>
      </c>
      <c r="VF3" s="9" t="inlineStr">
        <is>
          <t>VEGA_MID</t>
        </is>
      </c>
      <c r="VG3" s="9" t="inlineStr">
        <is>
          <t>THETA_MID</t>
        </is>
      </c>
      <c r="VH3" s="9" t="inlineStr">
        <is>
          <t>OPT_UNDL_PX</t>
        </is>
      </c>
    </row>
    <row r="4">
      <c r="A4" s="2" t="inlineStr">
        <is>
          <t>Year in ticker</t>
        </is>
      </c>
      <c r="B4" s="4">
        <f>IF(B2&lt;Settings!$B$5,TEXT(MOD(Settings!$B$3,100),"00"),TEXT(MOD(Settings!$B$3,10),"0"))</f>
        <v/>
      </c>
      <c r="D4" s="4">
        <f>BDH(D$1,E$3:S$3,$B$9,$B$10,"Dir=V","Dts=S","Sort=A","Days=T","Fill=B")</f>
        <v/>
      </c>
      <c r="U4" s="4">
        <f>BDH(U$1,V$3:AJ$3,$B$9,$B$10,"Dir=V","Dts=S","Sort=A","Days=T","Fill=B")</f>
        <v/>
      </c>
      <c r="AL4" s="4">
        <f>BDH(AL$1,AM$3:BA$3,$B$9,$B$10,"Dir=V","Dts=S","Sort=A","Days=T","Fill=B")</f>
        <v/>
      </c>
      <c r="BC4" s="4">
        <f>BDH(BC$1,BD$3:BR$3,$B$9,$B$10,"Dir=V","Dts=S","Sort=A","Days=T","Fill=B")</f>
        <v/>
      </c>
      <c r="BT4" s="4">
        <f>BDH(BT$1,BU$3:CI$3,$B$9,$B$10,"Dir=V","Dts=S","Sort=A","Days=T","Fill=B")</f>
        <v/>
      </c>
      <c r="CK4" s="4">
        <f>BDH(CK$1,CL$3:CZ$3,$B$9,$B$10,"Dir=V","Dts=S","Sort=A","Days=T","Fill=B")</f>
        <v/>
      </c>
      <c r="DB4" s="4">
        <f>BDH(DB$1,DC$3:DQ$3,$B$9,$B$10,"Dir=V","Dts=S","Sort=A","Days=T","Fill=B")</f>
        <v/>
      </c>
      <c r="DS4" s="4">
        <f>BDH(DS$1,DT$3:EH$3,$B$9,$B$10,"Dir=V","Dts=S","Sort=A","Days=T","Fill=B")</f>
        <v/>
      </c>
      <c r="EJ4" s="4">
        <f>BDH(EJ$1,EK$3:EY$3,$B$9,$B$10,"Dir=V","Dts=S","Sort=A","Days=T","Fill=B")</f>
        <v/>
      </c>
      <c r="FA4" s="4">
        <f>BDH(FA$1,FB$3:FP$3,$B$9,$B$10,"Dir=V","Dts=S","Sort=A","Days=T","Fill=B")</f>
        <v/>
      </c>
      <c r="FR4" s="4">
        <f>BDH(FR$1,FS$3:GG$3,$B$9,$B$10,"Dir=V","Dts=S","Sort=A","Days=T","Fill=B")</f>
        <v/>
      </c>
      <c r="GI4" s="4">
        <f>BDH(GI$1,GJ$3:GX$3,$B$9,$B$10,"Dir=V","Dts=S","Sort=A","Days=T","Fill=B")</f>
        <v/>
      </c>
      <c r="GZ4" s="4">
        <f>BDH(GZ$1,HA$3:HO$3,$B$9,$B$10,"Dir=V","Dts=S","Sort=A","Days=T","Fill=B")</f>
        <v/>
      </c>
      <c r="HQ4" s="4">
        <f>BDH(HQ$1,HR$3:IF$3,$B$9,$B$10,"Dir=V","Dts=S","Sort=A","Days=T","Fill=B")</f>
        <v/>
      </c>
      <c r="IH4" s="4">
        <f>BDH(IH$1,II$3:IW$3,$B$9,$B$10,"Dir=V","Dts=S","Sort=A","Days=T","Fill=B")</f>
        <v/>
      </c>
      <c r="IY4" s="4">
        <f>BDH(IY$1,IZ$3:JN$3,$B$9,$B$10,"Dir=V","Dts=S","Sort=A","Days=T","Fill=B")</f>
        <v/>
      </c>
      <c r="JP4" s="4">
        <f>BDH(JP$1,JQ$3:KE$3,$B$9,$B$10,"Dir=V","Dts=S","Sort=A","Days=T","Fill=B")</f>
        <v/>
      </c>
      <c r="KG4" s="4">
        <f>BDH(KG$1,KH$3:KV$3,$B$9,$B$10,"Dir=V","Dts=S","Sort=A","Days=T","Fill=B")</f>
        <v/>
      </c>
      <c r="KX4" s="4">
        <f>BDH(KX$1,KY$3:LM$3,$B$9,$B$10,"Dir=V","Dts=S","Sort=A","Days=T","Fill=B")</f>
        <v/>
      </c>
      <c r="LO4" s="4">
        <f>BDH(LO$1,LP$3:MD$3,$B$9,$B$10,"Dir=V","Dts=S","Sort=A","Days=T","Fill=B")</f>
        <v/>
      </c>
      <c r="MF4" s="4">
        <f>BDH(MF$1,MG$3:MU$3,$B$9,$B$10,"Dir=V","Dts=S","Sort=A","Days=T","Fill=B")</f>
        <v/>
      </c>
      <c r="MW4" s="4">
        <f>BDH(MW$1,MX$3:NL$3,$B$9,$B$10,"Dir=V","Dts=S","Sort=A","Days=T","Fill=B")</f>
        <v/>
      </c>
      <c r="NN4" s="4">
        <f>BDH(NN$1,NO$3:OC$3,$B$9,$B$10,"Dir=V","Dts=S","Sort=A","Days=T","Fill=B")</f>
        <v/>
      </c>
      <c r="OE4" s="4">
        <f>BDH(OE$1,OF$3:OT$3,$B$9,$B$10,"Dir=V","Dts=S","Sort=A","Days=T","Fill=B")</f>
        <v/>
      </c>
      <c r="OV4" s="4">
        <f>BDH(OV$1,OW$3:PK$3,$B$9,$B$10,"Dir=V","Dts=S","Sort=A","Days=T","Fill=B")</f>
        <v/>
      </c>
      <c r="PM4" s="4">
        <f>BDH(PM$1,PN$3:QB$3,$B$9,$B$10,"Dir=V","Dts=S","Sort=A","Days=T","Fill=B")</f>
        <v/>
      </c>
      <c r="QD4" s="4">
        <f>BDH(QD$1,QE$3:QS$3,$B$9,$B$10,"Dir=V","Dts=S","Sort=A","Days=T","Fill=B")</f>
        <v/>
      </c>
      <c r="QU4" s="4">
        <f>BDH(QU$1,QV$3:RJ$3,$B$9,$B$10,"Dir=V","Dts=S","Sort=A","Days=T","Fill=B")</f>
        <v/>
      </c>
      <c r="RL4" s="4">
        <f>BDH(RL$1,RM$3:SA$3,$B$9,$B$10,"Dir=V","Dts=S","Sort=A","Days=T","Fill=B")</f>
        <v/>
      </c>
      <c r="SC4" s="4">
        <f>BDH(SC$1,SD$3:SR$3,$B$9,$B$10,"Dir=V","Dts=S","Sort=A","Days=T","Fill=B")</f>
        <v/>
      </c>
      <c r="ST4" s="4">
        <f>BDH(ST$1,SU$3:TI$3,$B$9,$B$10,"Dir=V","Dts=S","Sort=A","Days=T","Fill=B")</f>
        <v/>
      </c>
      <c r="TK4" s="4">
        <f>BDH(TK$1,TL$3:TZ$3,$B$9,$B$10,"Dir=V","Dts=S","Sort=A","Days=T","Fill=B")</f>
        <v/>
      </c>
      <c r="UB4" s="4">
        <f>BDH(UB$1,UC$3:UQ$3,$B$9,$B$10,"Dir=V","Dts=S","Sort=A","Days=T","Fill=B")</f>
        <v/>
      </c>
      <c r="US4" s="4">
        <f>BDH(US$1,UT$3:VH$3,$B$9,$B$10,"Dir=V","Dts=S","Sort=A","Days=T","Fill=B")</f>
        <v/>
      </c>
    </row>
    <row r="5">
      <c r="A5" s="2" t="inlineStr">
        <is>
          <t>Futures ticker</t>
        </is>
      </c>
      <c r="B5" s="4">
        <f>"CL"&amp;MID("FGHJKMNQUVXZ",B1,1)&amp;B4&amp;" Comdty"</f>
        <v/>
      </c>
    </row>
    <row r="6">
      <c r="A6" s="2" t="inlineStr">
        <is>
          <t>Strike reference date</t>
        </is>
      </c>
      <c r="B6" s="8">
        <f>B3-45</f>
        <v/>
      </c>
    </row>
    <row r="7">
      <c r="A7" s="2" t="inlineStr">
        <is>
          <t>Futures price on that date</t>
        </is>
      </c>
      <c r="B7" s="10">
        <f>BDH(B5,"PX_LAST",B6,B6,"Days=A","Fill=P","Dts=H")</f>
        <v/>
      </c>
    </row>
    <row r="8">
      <c r="A8" s="2" t="inlineStr">
        <is>
          <t>ATM strike</t>
        </is>
      </c>
      <c r="B8" s="7">
        <f>ROUND(B7,0)</f>
        <v/>
      </c>
    </row>
    <row r="9">
      <c r="A9" s="2" t="inlineStr">
        <is>
          <t>History start</t>
        </is>
      </c>
      <c r="B9" s="8">
        <f>B3-100</f>
        <v/>
      </c>
    </row>
    <row r="10">
      <c r="A10" s="2" t="inlineStr">
        <is>
          <t>History end</t>
        </is>
      </c>
      <c r="B10" s="8">
        <f>B3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2026-10-13T23:28:47Z</dcterms:created>
  <dcterms:modified xmlns:dcterms="http://purl.org/dc/terms/" xmlns:xsi="http://www.w3.org/2001/XMLSchema-instance" xsi:type="dcterms:W3CDTF">2026-10-13T23:28:48Z</dcterms:modified>
</cp:coreProperties>
</file>