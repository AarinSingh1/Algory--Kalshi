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Futures" sheetId="2" state="visible" r:id="rId2"/>
    <sheet xmlns:r="http://schemas.openxmlformats.org/officeDocument/2006/relationships" name="Equities" sheetId="3" state="visible" r:id="rId3"/>
    <sheet xmlns:r="http://schemas.openxmlformats.org/officeDocument/2006/relationships" name="Equities Unadjusted" sheetId="4" state="visible" r:id="rId4"/>
    <sheet xmlns:r="http://schemas.openxmlformats.org/officeDocument/2006/relationships" name="Mac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>
      <c r="A1" s="1" t="inlineStr">
        <is>
          <t>Oil core: futures generics, oil ETFs and stocks, vol indices, rates (oil-core)</t>
        </is>
      </c>
    </row>
    <row r="3">
      <c r="A3" s="2" t="inlineStr">
        <is>
          <t>Start date</t>
        </is>
      </c>
      <c r="B3" s="3" t="n">
        <v>40179</v>
      </c>
      <c r="C3" s="4" t="inlineStr">
        <is>
          <t>First date of history</t>
        </is>
      </c>
    </row>
    <row r="4">
      <c r="A4" s="2" t="inlineStr">
        <is>
          <t>End date</t>
        </is>
      </c>
      <c r="B4" s="3" t="n"/>
      <c r="C4" s="4" t="inlineStr">
        <is>
          <t>Leave blank for today</t>
        </is>
      </c>
    </row>
    <row r="6">
      <c r="A6" s="2" t="inlineStr">
        <is>
          <t>Legend</t>
        </is>
      </c>
    </row>
    <row r="7">
      <c r="A7" s="5" t="inlineStr">
        <is>
          <t>Yellow cells with blue text</t>
        </is>
      </c>
      <c r="B7" s="4" t="inlineStr">
        <is>
          <t>inputs you may change; everything else is a formula</t>
        </is>
      </c>
    </row>
    <row r="9">
      <c r="A9" s="2" t="inlineStr">
        <is>
          <t>How to use</t>
        </is>
      </c>
    </row>
    <row r="10">
      <c r="A10" s="4" t="inlineStr">
        <is>
          <t>1. Open this file in Excel on the Bloomberg PC with the Terminal logged in. Click Enable Editing / Enable Content.</t>
        </is>
      </c>
    </row>
    <row r="11">
      <c r="A11" s="4" t="inlineStr">
        <is>
          <t>2. Wait until no cell says 'Requesting Data...'. If nothing loads: Bloomberg tab &gt; Refresh &gt; Refresh Workbook.</t>
        </is>
      </c>
    </row>
    <row r="12">
      <c r="A12" s="4" t="inlineStr">
        <is>
          <t>3. A cell reading '#N/A Invalid Security' or '#N/A Field Not Applicable' just means that item is unavailable.</t>
        </is>
      </c>
    </row>
    <row r="13">
      <c r="A13" s="4" t="inlineStr">
        <is>
          <t>4. File &gt; Save As, keep .xlsx, and add the date to the name. Upload the saved file to Claude.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1" customWidth="1" min="24" max="24"/>
    <col width="11" customWidth="1" min="25" max="25"/>
    <col width="10" customWidth="1" min="26" max="26"/>
    <col width="12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0" customWidth="1" min="35" max="35"/>
    <col width="12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0" customWidth="1" min="44" max="44"/>
    <col width="12" customWidth="1" min="46" max="46"/>
    <col width="10" customWidth="1" min="47" max="47"/>
    <col width="10" customWidth="1" min="48" max="48"/>
    <col width="10" customWidth="1" min="49" max="49"/>
    <col width="10" customWidth="1" min="50" max="50"/>
    <col width="11" customWidth="1" min="51" max="51"/>
    <col width="11" customWidth="1" min="52" max="52"/>
    <col width="10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1" customWidth="1" min="70" max="70"/>
    <col width="10" customWidth="1" min="71" max="71"/>
    <col width="12" customWidth="1" min="73" max="73"/>
    <col width="10" customWidth="1" min="74" max="74"/>
    <col width="10" customWidth="1" min="75" max="75"/>
    <col width="10" customWidth="1" min="76" max="76"/>
    <col width="10" customWidth="1" min="77" max="77"/>
    <col width="11" customWidth="1" min="78" max="78"/>
    <col width="11" customWidth="1" min="79" max="79"/>
    <col width="10" customWidth="1" min="80" max="80"/>
    <col width="12" customWidth="1" min="82" max="82"/>
    <col width="10" customWidth="1" min="83" max="83"/>
    <col width="10" customWidth="1" min="84" max="84"/>
    <col width="10" customWidth="1" min="85" max="85"/>
    <col width="10" customWidth="1" min="86" max="86"/>
    <col width="11" customWidth="1" min="87" max="87"/>
    <col width="11" customWidth="1" min="88" max="88"/>
    <col width="10" customWidth="1" min="89" max="89"/>
    <col width="12" customWidth="1" min="91" max="91"/>
    <col width="10" customWidth="1" min="92" max="92"/>
    <col width="10" customWidth="1" min="93" max="93"/>
    <col width="10" customWidth="1" min="94" max="94"/>
    <col width="10" customWidth="1" min="95" max="95"/>
    <col width="11" customWidth="1" min="96" max="96"/>
    <col width="11" customWidth="1" min="97" max="97"/>
    <col width="10" customWidth="1" min="98" max="98"/>
    <col width="12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1" customWidth="1" min="105" max="105"/>
    <col width="11" customWidth="1" min="106" max="106"/>
    <col width="10" customWidth="1" min="107" max="107"/>
    <col width="12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1" customWidth="1" min="114" max="114"/>
    <col width="11" customWidth="1" min="115" max="115"/>
    <col width="10" customWidth="1" min="116" max="116"/>
    <col width="12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1" customWidth="1" min="123" max="123"/>
    <col width="11" customWidth="1" min="124" max="124"/>
    <col width="10" customWidth="1" min="125" max="125"/>
    <col width="12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1" customWidth="1" min="132" max="132"/>
    <col width="11" customWidth="1" min="133" max="133"/>
    <col width="10" customWidth="1" min="134" max="134"/>
    <col width="12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1" customWidth="1" min="141" max="141"/>
    <col width="11" customWidth="1" min="142" max="142"/>
    <col width="10" customWidth="1" min="143" max="143"/>
    <col width="12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1" customWidth="1" min="150" max="150"/>
    <col width="11" customWidth="1" min="151" max="151"/>
    <col width="10" customWidth="1" min="152" max="152"/>
    <col width="12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1" customWidth="1" min="159" max="159"/>
    <col width="11" customWidth="1" min="160" max="160"/>
    <col width="10" customWidth="1" min="161" max="161"/>
    <col width="12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2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1" customWidth="1" min="177" max="177"/>
    <col width="11" customWidth="1" min="178" max="178"/>
    <col width="10" customWidth="1" min="179" max="179"/>
    <col width="12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1" customWidth="1" min="186" max="186"/>
    <col width="11" customWidth="1" min="187" max="187"/>
    <col width="10" customWidth="1" min="188" max="188"/>
    <col width="12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1" customWidth="1" min="195" max="195"/>
    <col width="11" customWidth="1" min="196" max="196"/>
    <col width="10" customWidth="1" min="197" max="197"/>
  </cols>
  <sheetData>
    <row r="1">
      <c r="A1" s="5" t="inlineStr">
        <is>
          <t>CL1 Comdty</t>
        </is>
      </c>
      <c r="J1" s="5" t="inlineStr">
        <is>
          <t>CL2 Comdty</t>
        </is>
      </c>
      <c r="S1" s="5" t="inlineStr">
        <is>
          <t>CL3 Comdty</t>
        </is>
      </c>
      <c r="AB1" s="5" t="inlineStr">
        <is>
          <t>CL4 Comdty</t>
        </is>
      </c>
      <c r="AK1" s="5" t="inlineStr">
        <is>
          <t>CL5 Comdty</t>
        </is>
      </c>
      <c r="AT1" s="5" t="inlineStr">
        <is>
          <t>CL6 Comdty</t>
        </is>
      </c>
      <c r="BC1" s="5" t="inlineStr">
        <is>
          <t>CL7 Comdty</t>
        </is>
      </c>
      <c r="BL1" s="5" t="inlineStr">
        <is>
          <t>CL8 Comdty</t>
        </is>
      </c>
      <c r="BU1" s="5" t="inlineStr">
        <is>
          <t>CL9 Comdty</t>
        </is>
      </c>
      <c r="CD1" s="5" t="inlineStr">
        <is>
          <t>CL10 Comdty</t>
        </is>
      </c>
      <c r="CM1" s="5" t="inlineStr">
        <is>
          <t>CL11 Comdty</t>
        </is>
      </c>
      <c r="CV1" s="5" t="inlineStr">
        <is>
          <t>CL12 Comdty</t>
        </is>
      </c>
      <c r="DE1" s="5" t="inlineStr">
        <is>
          <t>CO1 Comdty</t>
        </is>
      </c>
      <c r="DN1" s="5" t="inlineStr">
        <is>
          <t>CO2 Comdty</t>
        </is>
      </c>
      <c r="DW1" s="5" t="inlineStr">
        <is>
          <t>CO3 Comdty</t>
        </is>
      </c>
      <c r="EF1" s="5" t="inlineStr">
        <is>
          <t>CO4 Comdty</t>
        </is>
      </c>
      <c r="EO1" s="5" t="inlineStr">
        <is>
          <t>CO5 Comdty</t>
        </is>
      </c>
      <c r="EX1" s="5" t="inlineStr">
        <is>
          <t>CO6 Comdty</t>
        </is>
      </c>
      <c r="FG1" s="5" t="inlineStr">
        <is>
          <t>HO1 Comdty</t>
        </is>
      </c>
      <c r="FP1" s="5" t="inlineStr">
        <is>
          <t>XB1 Comdty</t>
        </is>
      </c>
      <c r="FY1" s="5" t="inlineStr">
        <is>
          <t>QM1 Comdty</t>
        </is>
      </c>
      <c r="GH1" s="5" t="inlineStr">
        <is>
          <t>NG1 Comdty</t>
        </is>
      </c>
    </row>
    <row r="2">
      <c r="A2" s="4" t="inlineStr">
        <is>
          <t>WTI crude, generic month 1</t>
        </is>
      </c>
      <c r="J2" s="4" t="inlineStr">
        <is>
          <t>WTI crude, generic month 2</t>
        </is>
      </c>
      <c r="S2" s="4" t="inlineStr">
        <is>
          <t>WTI crude, generic month 3</t>
        </is>
      </c>
      <c r="AB2" s="4" t="inlineStr">
        <is>
          <t>WTI crude, generic month 4</t>
        </is>
      </c>
      <c r="AK2" s="4" t="inlineStr">
        <is>
          <t>WTI crude, generic month 5</t>
        </is>
      </c>
      <c r="AT2" s="4" t="inlineStr">
        <is>
          <t>WTI crude, generic month 6</t>
        </is>
      </c>
      <c r="BC2" s="4" t="inlineStr">
        <is>
          <t>WTI crude, generic month 7</t>
        </is>
      </c>
      <c r="BL2" s="4" t="inlineStr">
        <is>
          <t>WTI crude, generic month 8</t>
        </is>
      </c>
      <c r="BU2" s="4" t="inlineStr">
        <is>
          <t>WTI crude, generic month 9</t>
        </is>
      </c>
      <c r="CD2" s="4" t="inlineStr">
        <is>
          <t>WTI crude, generic month 10</t>
        </is>
      </c>
      <c r="CM2" s="4" t="inlineStr">
        <is>
          <t>WTI crude, generic month 11</t>
        </is>
      </c>
      <c r="CV2" s="4" t="inlineStr">
        <is>
          <t>WTI crude, generic month 12</t>
        </is>
      </c>
      <c r="DE2" s="4" t="inlineStr">
        <is>
          <t>Brent crude, generic month 1</t>
        </is>
      </c>
      <c r="DN2" s="4" t="inlineStr">
        <is>
          <t>Brent crude, generic month 2</t>
        </is>
      </c>
      <c r="DW2" s="4" t="inlineStr">
        <is>
          <t>Brent crude, generic month 3</t>
        </is>
      </c>
      <c r="EF2" s="4" t="inlineStr">
        <is>
          <t>Brent crude, generic month 4</t>
        </is>
      </c>
      <c r="EO2" s="4" t="inlineStr">
        <is>
          <t>Brent crude, generic month 5</t>
        </is>
      </c>
      <c r="EX2" s="4" t="inlineStr">
        <is>
          <t>Brent crude, generic month 6</t>
        </is>
      </c>
      <c r="FG2" s="4" t="inlineStr">
        <is>
          <t>NY Harbor ULSD (heating oil), front</t>
        </is>
      </c>
      <c r="FP2" s="4" t="inlineStr">
        <is>
          <t>RBOB gasoline, front</t>
        </is>
      </c>
      <c r="FY2" s="4" t="inlineStr">
        <is>
          <t>E-mini WTI, front</t>
        </is>
      </c>
      <c r="GH2" s="4" t="inlineStr">
        <is>
          <t>Henry Hub natural gas, front</t>
        </is>
      </c>
    </row>
    <row r="3">
      <c r="A3" s="6" t="inlineStr">
        <is>
          <t>Date</t>
        </is>
      </c>
      <c r="B3" s="6" t="inlineStr">
        <is>
          <t>PX_OPEN</t>
        </is>
      </c>
      <c r="C3" s="6" t="inlineStr">
        <is>
          <t>PX_HIGH</t>
        </is>
      </c>
      <c r="D3" s="6" t="inlineStr">
        <is>
          <t>PX_LOW</t>
        </is>
      </c>
      <c r="E3" s="6" t="inlineStr">
        <is>
          <t>PX_LAST</t>
        </is>
      </c>
      <c r="F3" s="6" t="inlineStr">
        <is>
          <t>PX_SETTLE</t>
        </is>
      </c>
      <c r="G3" s="6" t="inlineStr">
        <is>
          <t>PX_VOLUME</t>
        </is>
      </c>
      <c r="H3" s="6" t="inlineStr">
        <is>
          <t>OPEN_INT</t>
        </is>
      </c>
      <c r="J3" s="6" t="inlineStr">
        <is>
          <t>Date</t>
        </is>
      </c>
      <c r="K3" s="6" t="inlineStr">
        <is>
          <t>PX_OPEN</t>
        </is>
      </c>
      <c r="L3" s="6" t="inlineStr">
        <is>
          <t>PX_HIGH</t>
        </is>
      </c>
      <c r="M3" s="6" t="inlineStr">
        <is>
          <t>PX_LOW</t>
        </is>
      </c>
      <c r="N3" s="6" t="inlineStr">
        <is>
          <t>PX_LAST</t>
        </is>
      </c>
      <c r="O3" s="6" t="inlineStr">
        <is>
          <t>PX_SETTLE</t>
        </is>
      </c>
      <c r="P3" s="6" t="inlineStr">
        <is>
          <t>PX_VOLUME</t>
        </is>
      </c>
      <c r="Q3" s="6" t="inlineStr">
        <is>
          <t>OPEN_INT</t>
        </is>
      </c>
      <c r="S3" s="6" t="inlineStr">
        <is>
          <t>Date</t>
        </is>
      </c>
      <c r="T3" s="6" t="inlineStr">
        <is>
          <t>PX_OPEN</t>
        </is>
      </c>
      <c r="U3" s="6" t="inlineStr">
        <is>
          <t>PX_HIGH</t>
        </is>
      </c>
      <c r="V3" s="6" t="inlineStr">
        <is>
          <t>PX_LOW</t>
        </is>
      </c>
      <c r="W3" s="6" t="inlineStr">
        <is>
          <t>PX_LAST</t>
        </is>
      </c>
      <c r="X3" s="6" t="inlineStr">
        <is>
          <t>PX_SETTLE</t>
        </is>
      </c>
      <c r="Y3" s="6" t="inlineStr">
        <is>
          <t>PX_VOLUME</t>
        </is>
      </c>
      <c r="Z3" s="6" t="inlineStr">
        <is>
          <t>OPEN_INT</t>
        </is>
      </c>
      <c r="AB3" s="6" t="inlineStr">
        <is>
          <t>Date</t>
        </is>
      </c>
      <c r="AC3" s="6" t="inlineStr">
        <is>
          <t>PX_OPEN</t>
        </is>
      </c>
      <c r="AD3" s="6" t="inlineStr">
        <is>
          <t>PX_HIGH</t>
        </is>
      </c>
      <c r="AE3" s="6" t="inlineStr">
        <is>
          <t>PX_LOW</t>
        </is>
      </c>
      <c r="AF3" s="6" t="inlineStr">
        <is>
          <t>PX_LAST</t>
        </is>
      </c>
      <c r="AG3" s="6" t="inlineStr">
        <is>
          <t>PX_SETTLE</t>
        </is>
      </c>
      <c r="AH3" s="6" t="inlineStr">
        <is>
          <t>PX_VOLUME</t>
        </is>
      </c>
      <c r="AI3" s="6" t="inlineStr">
        <is>
          <t>OPEN_INT</t>
        </is>
      </c>
      <c r="AK3" s="6" t="inlineStr">
        <is>
          <t>Date</t>
        </is>
      </c>
      <c r="AL3" s="6" t="inlineStr">
        <is>
          <t>PX_OPEN</t>
        </is>
      </c>
      <c r="AM3" s="6" t="inlineStr">
        <is>
          <t>PX_HIGH</t>
        </is>
      </c>
      <c r="AN3" s="6" t="inlineStr">
        <is>
          <t>PX_LOW</t>
        </is>
      </c>
      <c r="AO3" s="6" t="inlineStr">
        <is>
          <t>PX_LAST</t>
        </is>
      </c>
      <c r="AP3" s="6" t="inlineStr">
        <is>
          <t>PX_SETTLE</t>
        </is>
      </c>
      <c r="AQ3" s="6" t="inlineStr">
        <is>
          <t>PX_VOLUME</t>
        </is>
      </c>
      <c r="AR3" s="6" t="inlineStr">
        <is>
          <t>OPEN_INT</t>
        </is>
      </c>
      <c r="AT3" s="6" t="inlineStr">
        <is>
          <t>Date</t>
        </is>
      </c>
      <c r="AU3" s="6" t="inlineStr">
        <is>
          <t>PX_OPEN</t>
        </is>
      </c>
      <c r="AV3" s="6" t="inlineStr">
        <is>
          <t>PX_HIGH</t>
        </is>
      </c>
      <c r="AW3" s="6" t="inlineStr">
        <is>
          <t>PX_LOW</t>
        </is>
      </c>
      <c r="AX3" s="6" t="inlineStr">
        <is>
          <t>PX_LAST</t>
        </is>
      </c>
      <c r="AY3" s="6" t="inlineStr">
        <is>
          <t>PX_SETTLE</t>
        </is>
      </c>
      <c r="AZ3" s="6" t="inlineStr">
        <is>
          <t>PX_VOLUME</t>
        </is>
      </c>
      <c r="BA3" s="6" t="inlineStr">
        <is>
          <t>OPEN_INT</t>
        </is>
      </c>
      <c r="BC3" s="6" t="inlineStr">
        <is>
          <t>Date</t>
        </is>
      </c>
      <c r="BD3" s="6" t="inlineStr">
        <is>
          <t>PX_OPEN</t>
        </is>
      </c>
      <c r="BE3" s="6" t="inlineStr">
        <is>
          <t>PX_HIGH</t>
        </is>
      </c>
      <c r="BF3" s="6" t="inlineStr">
        <is>
          <t>PX_LOW</t>
        </is>
      </c>
      <c r="BG3" s="6" t="inlineStr">
        <is>
          <t>PX_LAST</t>
        </is>
      </c>
      <c r="BH3" s="6" t="inlineStr">
        <is>
          <t>PX_SETTLE</t>
        </is>
      </c>
      <c r="BI3" s="6" t="inlineStr">
        <is>
          <t>PX_VOLUME</t>
        </is>
      </c>
      <c r="BJ3" s="6" t="inlineStr">
        <is>
          <t>OPEN_INT</t>
        </is>
      </c>
      <c r="BL3" s="6" t="inlineStr">
        <is>
          <t>Date</t>
        </is>
      </c>
      <c r="BM3" s="6" t="inlineStr">
        <is>
          <t>PX_OPEN</t>
        </is>
      </c>
      <c r="BN3" s="6" t="inlineStr">
        <is>
          <t>PX_HIGH</t>
        </is>
      </c>
      <c r="BO3" s="6" t="inlineStr">
        <is>
          <t>PX_LOW</t>
        </is>
      </c>
      <c r="BP3" s="6" t="inlineStr">
        <is>
          <t>PX_LAST</t>
        </is>
      </c>
      <c r="BQ3" s="6" t="inlineStr">
        <is>
          <t>PX_SETTLE</t>
        </is>
      </c>
      <c r="BR3" s="6" t="inlineStr">
        <is>
          <t>PX_VOLUME</t>
        </is>
      </c>
      <c r="BS3" s="6" t="inlineStr">
        <is>
          <t>OPEN_INT</t>
        </is>
      </c>
      <c r="BU3" s="6" t="inlineStr">
        <is>
          <t>Date</t>
        </is>
      </c>
      <c r="BV3" s="6" t="inlineStr">
        <is>
          <t>PX_OPEN</t>
        </is>
      </c>
      <c r="BW3" s="6" t="inlineStr">
        <is>
          <t>PX_HIGH</t>
        </is>
      </c>
      <c r="BX3" s="6" t="inlineStr">
        <is>
          <t>PX_LOW</t>
        </is>
      </c>
      <c r="BY3" s="6" t="inlineStr">
        <is>
          <t>PX_LAST</t>
        </is>
      </c>
      <c r="BZ3" s="6" t="inlineStr">
        <is>
          <t>PX_SETTLE</t>
        </is>
      </c>
      <c r="CA3" s="6" t="inlineStr">
        <is>
          <t>PX_VOLUME</t>
        </is>
      </c>
      <c r="CB3" s="6" t="inlineStr">
        <is>
          <t>OPEN_INT</t>
        </is>
      </c>
      <c r="CD3" s="6" t="inlineStr">
        <is>
          <t>Date</t>
        </is>
      </c>
      <c r="CE3" s="6" t="inlineStr">
        <is>
          <t>PX_OPEN</t>
        </is>
      </c>
      <c r="CF3" s="6" t="inlineStr">
        <is>
          <t>PX_HIGH</t>
        </is>
      </c>
      <c r="CG3" s="6" t="inlineStr">
        <is>
          <t>PX_LOW</t>
        </is>
      </c>
      <c r="CH3" s="6" t="inlineStr">
        <is>
          <t>PX_LAST</t>
        </is>
      </c>
      <c r="CI3" s="6" t="inlineStr">
        <is>
          <t>PX_SETTLE</t>
        </is>
      </c>
      <c r="CJ3" s="6" t="inlineStr">
        <is>
          <t>PX_VOLUME</t>
        </is>
      </c>
      <c r="CK3" s="6" t="inlineStr">
        <is>
          <t>OPEN_INT</t>
        </is>
      </c>
      <c r="CM3" s="6" t="inlineStr">
        <is>
          <t>Date</t>
        </is>
      </c>
      <c r="CN3" s="6" t="inlineStr">
        <is>
          <t>PX_OPEN</t>
        </is>
      </c>
      <c r="CO3" s="6" t="inlineStr">
        <is>
          <t>PX_HIGH</t>
        </is>
      </c>
      <c r="CP3" s="6" t="inlineStr">
        <is>
          <t>PX_LOW</t>
        </is>
      </c>
      <c r="CQ3" s="6" t="inlineStr">
        <is>
          <t>PX_LAST</t>
        </is>
      </c>
      <c r="CR3" s="6" t="inlineStr">
        <is>
          <t>PX_SETTLE</t>
        </is>
      </c>
      <c r="CS3" s="6" t="inlineStr">
        <is>
          <t>PX_VOLUME</t>
        </is>
      </c>
      <c r="CT3" s="6" t="inlineStr">
        <is>
          <t>OPEN_INT</t>
        </is>
      </c>
      <c r="CV3" s="6" t="inlineStr">
        <is>
          <t>Date</t>
        </is>
      </c>
      <c r="CW3" s="6" t="inlineStr">
        <is>
          <t>PX_OPEN</t>
        </is>
      </c>
      <c r="CX3" s="6" t="inlineStr">
        <is>
          <t>PX_HIGH</t>
        </is>
      </c>
      <c r="CY3" s="6" t="inlineStr">
        <is>
          <t>PX_LOW</t>
        </is>
      </c>
      <c r="CZ3" s="6" t="inlineStr">
        <is>
          <t>PX_LAST</t>
        </is>
      </c>
      <c r="DA3" s="6" t="inlineStr">
        <is>
          <t>PX_SETTLE</t>
        </is>
      </c>
      <c r="DB3" s="6" t="inlineStr">
        <is>
          <t>PX_VOLUME</t>
        </is>
      </c>
      <c r="DC3" s="6" t="inlineStr">
        <is>
          <t>OPEN_INT</t>
        </is>
      </c>
      <c r="DE3" s="6" t="inlineStr">
        <is>
          <t>Date</t>
        </is>
      </c>
      <c r="DF3" s="6" t="inlineStr">
        <is>
          <t>PX_OPEN</t>
        </is>
      </c>
      <c r="DG3" s="6" t="inlineStr">
        <is>
          <t>PX_HIGH</t>
        </is>
      </c>
      <c r="DH3" s="6" t="inlineStr">
        <is>
          <t>PX_LOW</t>
        </is>
      </c>
      <c r="DI3" s="6" t="inlineStr">
        <is>
          <t>PX_LAST</t>
        </is>
      </c>
      <c r="DJ3" s="6" t="inlineStr">
        <is>
          <t>PX_SETTLE</t>
        </is>
      </c>
      <c r="DK3" s="6" t="inlineStr">
        <is>
          <t>PX_VOLUME</t>
        </is>
      </c>
      <c r="DL3" s="6" t="inlineStr">
        <is>
          <t>OPEN_INT</t>
        </is>
      </c>
      <c r="DN3" s="6" t="inlineStr">
        <is>
          <t>Date</t>
        </is>
      </c>
      <c r="DO3" s="6" t="inlineStr">
        <is>
          <t>PX_OPEN</t>
        </is>
      </c>
      <c r="DP3" s="6" t="inlineStr">
        <is>
          <t>PX_HIGH</t>
        </is>
      </c>
      <c r="DQ3" s="6" t="inlineStr">
        <is>
          <t>PX_LOW</t>
        </is>
      </c>
      <c r="DR3" s="6" t="inlineStr">
        <is>
          <t>PX_LAST</t>
        </is>
      </c>
      <c r="DS3" s="6" t="inlineStr">
        <is>
          <t>PX_SETTLE</t>
        </is>
      </c>
      <c r="DT3" s="6" t="inlineStr">
        <is>
          <t>PX_VOLUME</t>
        </is>
      </c>
      <c r="DU3" s="6" t="inlineStr">
        <is>
          <t>OPEN_INT</t>
        </is>
      </c>
      <c r="DW3" s="6" t="inlineStr">
        <is>
          <t>Date</t>
        </is>
      </c>
      <c r="DX3" s="6" t="inlineStr">
        <is>
          <t>PX_OPEN</t>
        </is>
      </c>
      <c r="DY3" s="6" t="inlineStr">
        <is>
          <t>PX_HIGH</t>
        </is>
      </c>
      <c r="DZ3" s="6" t="inlineStr">
        <is>
          <t>PX_LOW</t>
        </is>
      </c>
      <c r="EA3" s="6" t="inlineStr">
        <is>
          <t>PX_LAST</t>
        </is>
      </c>
      <c r="EB3" s="6" t="inlineStr">
        <is>
          <t>PX_SETTLE</t>
        </is>
      </c>
      <c r="EC3" s="6" t="inlineStr">
        <is>
          <t>PX_VOLUME</t>
        </is>
      </c>
      <c r="ED3" s="6" t="inlineStr">
        <is>
          <t>OPEN_INT</t>
        </is>
      </c>
      <c r="EF3" s="6" t="inlineStr">
        <is>
          <t>Date</t>
        </is>
      </c>
      <c r="EG3" s="6" t="inlineStr">
        <is>
          <t>PX_OPEN</t>
        </is>
      </c>
      <c r="EH3" s="6" t="inlineStr">
        <is>
          <t>PX_HIGH</t>
        </is>
      </c>
      <c r="EI3" s="6" t="inlineStr">
        <is>
          <t>PX_LOW</t>
        </is>
      </c>
      <c r="EJ3" s="6" t="inlineStr">
        <is>
          <t>PX_LAST</t>
        </is>
      </c>
      <c r="EK3" s="6" t="inlineStr">
        <is>
          <t>PX_SETTLE</t>
        </is>
      </c>
      <c r="EL3" s="6" t="inlineStr">
        <is>
          <t>PX_VOLUME</t>
        </is>
      </c>
      <c r="EM3" s="6" t="inlineStr">
        <is>
          <t>OPEN_INT</t>
        </is>
      </c>
      <c r="EO3" s="6" t="inlineStr">
        <is>
          <t>Date</t>
        </is>
      </c>
      <c r="EP3" s="6" t="inlineStr">
        <is>
          <t>PX_OPEN</t>
        </is>
      </c>
      <c r="EQ3" s="6" t="inlineStr">
        <is>
          <t>PX_HIGH</t>
        </is>
      </c>
      <c r="ER3" s="6" t="inlineStr">
        <is>
          <t>PX_LOW</t>
        </is>
      </c>
      <c r="ES3" s="6" t="inlineStr">
        <is>
          <t>PX_LAST</t>
        </is>
      </c>
      <c r="ET3" s="6" t="inlineStr">
        <is>
          <t>PX_SETTLE</t>
        </is>
      </c>
      <c r="EU3" s="6" t="inlineStr">
        <is>
          <t>PX_VOLUME</t>
        </is>
      </c>
      <c r="EV3" s="6" t="inlineStr">
        <is>
          <t>OPEN_INT</t>
        </is>
      </c>
      <c r="EX3" s="6" t="inlineStr">
        <is>
          <t>Date</t>
        </is>
      </c>
      <c r="EY3" s="6" t="inlineStr">
        <is>
          <t>PX_OPEN</t>
        </is>
      </c>
      <c r="EZ3" s="6" t="inlineStr">
        <is>
          <t>PX_HIGH</t>
        </is>
      </c>
      <c r="FA3" s="6" t="inlineStr">
        <is>
          <t>PX_LOW</t>
        </is>
      </c>
      <c r="FB3" s="6" t="inlineStr">
        <is>
          <t>PX_LAST</t>
        </is>
      </c>
      <c r="FC3" s="6" t="inlineStr">
        <is>
          <t>PX_SETTLE</t>
        </is>
      </c>
      <c r="FD3" s="6" t="inlineStr">
        <is>
          <t>PX_VOLUME</t>
        </is>
      </c>
      <c r="FE3" s="6" t="inlineStr">
        <is>
          <t>OPEN_INT</t>
        </is>
      </c>
      <c r="FG3" s="6" t="inlineStr">
        <is>
          <t>Date</t>
        </is>
      </c>
      <c r="FH3" s="6" t="inlineStr">
        <is>
          <t>PX_OPEN</t>
        </is>
      </c>
      <c r="FI3" s="6" t="inlineStr">
        <is>
          <t>PX_HIGH</t>
        </is>
      </c>
      <c r="FJ3" s="6" t="inlineStr">
        <is>
          <t>PX_LOW</t>
        </is>
      </c>
      <c r="FK3" s="6" t="inlineStr">
        <is>
          <t>PX_LAST</t>
        </is>
      </c>
      <c r="FL3" s="6" t="inlineStr">
        <is>
          <t>PX_SETTLE</t>
        </is>
      </c>
      <c r="FM3" s="6" t="inlineStr">
        <is>
          <t>PX_VOLUME</t>
        </is>
      </c>
      <c r="FN3" s="6" t="inlineStr">
        <is>
          <t>OPEN_INT</t>
        </is>
      </c>
      <c r="FP3" s="6" t="inlineStr">
        <is>
          <t>Date</t>
        </is>
      </c>
      <c r="FQ3" s="6" t="inlineStr">
        <is>
          <t>PX_OPEN</t>
        </is>
      </c>
      <c r="FR3" s="6" t="inlineStr">
        <is>
          <t>PX_HIGH</t>
        </is>
      </c>
      <c r="FS3" s="6" t="inlineStr">
        <is>
          <t>PX_LOW</t>
        </is>
      </c>
      <c r="FT3" s="6" t="inlineStr">
        <is>
          <t>PX_LAST</t>
        </is>
      </c>
      <c r="FU3" s="6" t="inlineStr">
        <is>
          <t>PX_SETTLE</t>
        </is>
      </c>
      <c r="FV3" s="6" t="inlineStr">
        <is>
          <t>PX_VOLUME</t>
        </is>
      </c>
      <c r="FW3" s="6" t="inlineStr">
        <is>
          <t>OPEN_INT</t>
        </is>
      </c>
      <c r="FY3" s="6" t="inlineStr">
        <is>
          <t>Date</t>
        </is>
      </c>
      <c r="FZ3" s="6" t="inlineStr">
        <is>
          <t>PX_OPEN</t>
        </is>
      </c>
      <c r="GA3" s="6" t="inlineStr">
        <is>
          <t>PX_HIGH</t>
        </is>
      </c>
      <c r="GB3" s="6" t="inlineStr">
        <is>
          <t>PX_LOW</t>
        </is>
      </c>
      <c r="GC3" s="6" t="inlineStr">
        <is>
          <t>PX_LAST</t>
        </is>
      </c>
      <c r="GD3" s="6" t="inlineStr">
        <is>
          <t>PX_SETTLE</t>
        </is>
      </c>
      <c r="GE3" s="6" t="inlineStr">
        <is>
          <t>PX_VOLUME</t>
        </is>
      </c>
      <c r="GF3" s="6" t="inlineStr">
        <is>
          <t>OPEN_INT</t>
        </is>
      </c>
      <c r="GH3" s="6" t="inlineStr">
        <is>
          <t>Date</t>
        </is>
      </c>
      <c r="GI3" s="6" t="inlineStr">
        <is>
          <t>PX_OPEN</t>
        </is>
      </c>
      <c r="GJ3" s="6" t="inlineStr">
        <is>
          <t>PX_HIGH</t>
        </is>
      </c>
      <c r="GK3" s="6" t="inlineStr">
        <is>
          <t>PX_LOW</t>
        </is>
      </c>
      <c r="GL3" s="6" t="inlineStr">
        <is>
          <t>PX_LAST</t>
        </is>
      </c>
      <c r="GM3" s="6" t="inlineStr">
        <is>
          <t>PX_SETTLE</t>
        </is>
      </c>
      <c r="GN3" s="6" t="inlineStr">
        <is>
          <t>PX_VOLUME</t>
        </is>
      </c>
      <c r="GO3" s="6" t="inlineStr">
        <is>
          <t>OPEN_INT</t>
        </is>
      </c>
    </row>
    <row r="4">
      <c r="A4" s="4">
        <f>BDH(A$1,B$3:H$3,Settings!$B$3,IF(Settings!$B$4="","",Settings!$B$4),"Dir=V","Dts=S","Sort=A","Days=T","Fill=B")</f>
        <v/>
      </c>
      <c r="J4" s="4">
        <f>BDH(J$1,K$3:Q$3,Settings!$B$3,IF(Settings!$B$4="","",Settings!$B$4),"Dir=V","Dts=S","Sort=A","Days=T","Fill=B")</f>
        <v/>
      </c>
      <c r="S4" s="4">
        <f>BDH(S$1,T$3:Z$3,Settings!$B$3,IF(Settings!$B$4="","",Settings!$B$4),"Dir=V","Dts=S","Sort=A","Days=T","Fill=B")</f>
        <v/>
      </c>
      <c r="AB4" s="4">
        <f>BDH(AB$1,AC$3:AI$3,Settings!$B$3,IF(Settings!$B$4="","",Settings!$B$4),"Dir=V","Dts=S","Sort=A","Days=T","Fill=B")</f>
        <v/>
      </c>
      <c r="AK4" s="4">
        <f>BDH(AK$1,AL$3:AR$3,Settings!$B$3,IF(Settings!$B$4="","",Settings!$B$4),"Dir=V","Dts=S","Sort=A","Days=T","Fill=B")</f>
        <v/>
      </c>
      <c r="AT4" s="4">
        <f>BDH(AT$1,AU$3:BA$3,Settings!$B$3,IF(Settings!$B$4="","",Settings!$B$4),"Dir=V","Dts=S","Sort=A","Days=T","Fill=B")</f>
        <v/>
      </c>
      <c r="BC4" s="4">
        <f>BDH(BC$1,BD$3:BJ$3,Settings!$B$3,IF(Settings!$B$4="","",Settings!$B$4),"Dir=V","Dts=S","Sort=A","Days=T","Fill=B")</f>
        <v/>
      </c>
      <c r="BL4" s="4">
        <f>BDH(BL$1,BM$3:BS$3,Settings!$B$3,IF(Settings!$B$4="","",Settings!$B$4),"Dir=V","Dts=S","Sort=A","Days=T","Fill=B")</f>
        <v/>
      </c>
      <c r="BU4" s="4">
        <f>BDH(BU$1,BV$3:CB$3,Settings!$B$3,IF(Settings!$B$4="","",Settings!$B$4),"Dir=V","Dts=S","Sort=A","Days=T","Fill=B")</f>
        <v/>
      </c>
      <c r="CD4" s="4">
        <f>BDH(CD$1,CE$3:CK$3,Settings!$B$3,IF(Settings!$B$4="","",Settings!$B$4),"Dir=V","Dts=S","Sort=A","Days=T","Fill=B")</f>
        <v/>
      </c>
      <c r="CM4" s="4">
        <f>BDH(CM$1,CN$3:CT$3,Settings!$B$3,IF(Settings!$B$4="","",Settings!$B$4),"Dir=V","Dts=S","Sort=A","Days=T","Fill=B")</f>
        <v/>
      </c>
      <c r="CV4" s="4">
        <f>BDH(CV$1,CW$3:DC$3,Settings!$B$3,IF(Settings!$B$4="","",Settings!$B$4),"Dir=V","Dts=S","Sort=A","Days=T","Fill=B")</f>
        <v/>
      </c>
      <c r="DE4" s="4">
        <f>BDH(DE$1,DF$3:DL$3,Settings!$B$3,IF(Settings!$B$4="","",Settings!$B$4),"Dir=V","Dts=S","Sort=A","Days=T","Fill=B")</f>
        <v/>
      </c>
      <c r="DN4" s="4">
        <f>BDH(DN$1,DO$3:DU$3,Settings!$B$3,IF(Settings!$B$4="","",Settings!$B$4),"Dir=V","Dts=S","Sort=A","Days=T","Fill=B")</f>
        <v/>
      </c>
      <c r="DW4" s="4">
        <f>BDH(DW$1,DX$3:ED$3,Settings!$B$3,IF(Settings!$B$4="","",Settings!$B$4),"Dir=V","Dts=S","Sort=A","Days=T","Fill=B")</f>
        <v/>
      </c>
      <c r="EF4" s="4">
        <f>BDH(EF$1,EG$3:EM$3,Settings!$B$3,IF(Settings!$B$4="","",Settings!$B$4),"Dir=V","Dts=S","Sort=A","Days=T","Fill=B")</f>
        <v/>
      </c>
      <c r="EO4" s="4">
        <f>BDH(EO$1,EP$3:EV$3,Settings!$B$3,IF(Settings!$B$4="","",Settings!$B$4),"Dir=V","Dts=S","Sort=A","Days=T","Fill=B")</f>
        <v/>
      </c>
      <c r="EX4" s="4">
        <f>BDH(EX$1,EY$3:FE$3,Settings!$B$3,IF(Settings!$B$4="","",Settings!$B$4),"Dir=V","Dts=S","Sort=A","Days=T","Fill=B")</f>
        <v/>
      </c>
      <c r="FG4" s="4">
        <f>BDH(FG$1,FH$3:FN$3,Settings!$B$3,IF(Settings!$B$4="","",Settings!$B$4),"Dir=V","Dts=S","Sort=A","Days=T","Fill=B")</f>
        <v/>
      </c>
      <c r="FP4" s="4">
        <f>BDH(FP$1,FQ$3:FW$3,Settings!$B$3,IF(Settings!$B$4="","",Settings!$B$4),"Dir=V","Dts=S","Sort=A","Days=T","Fill=B")</f>
        <v/>
      </c>
      <c r="FY4" s="4">
        <f>BDH(FY$1,FZ$3:GF$3,Settings!$B$3,IF(Settings!$B$4="","",Settings!$B$4),"Dir=V","Dts=S","Sort=A","Days=T","Fill=B")</f>
        <v/>
      </c>
      <c r="GH4" s="4">
        <f>BDH(GH$1,GI$3:GO$3,Settings!$B$3,IF(Settings!$B$4="","",Settings!$B$4),"Dir=V","Dts=S","Sort=A","Days=T","Fill=B")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12" customWidth="1" min="22" max="22"/>
    <col width="10" customWidth="1" min="23" max="23"/>
    <col width="10" customWidth="1" min="24" max="24"/>
    <col width="10" customWidth="1" min="25" max="25"/>
    <col width="10" customWidth="1" min="26" max="26"/>
    <col width="11" customWidth="1" min="27" max="27"/>
    <col width="12" customWidth="1" min="29" max="29"/>
    <col width="10" customWidth="1" min="30" max="30"/>
    <col width="10" customWidth="1" min="31" max="31"/>
    <col width="10" customWidth="1" min="32" max="32"/>
    <col width="10" customWidth="1" min="33" max="33"/>
    <col width="11" customWidth="1" min="34" max="34"/>
    <col width="12" customWidth="1" min="36" max="36"/>
    <col width="10" customWidth="1" min="37" max="37"/>
    <col width="10" customWidth="1" min="38" max="38"/>
    <col width="10" customWidth="1" min="39" max="39"/>
    <col width="10" customWidth="1" min="40" max="40"/>
    <col width="11" customWidth="1" min="41" max="41"/>
    <col width="12" customWidth="1" min="43" max="43"/>
    <col width="10" customWidth="1" min="44" max="44"/>
    <col width="10" customWidth="1" min="45" max="45"/>
    <col width="10" customWidth="1" min="46" max="46"/>
    <col width="10" customWidth="1" min="47" max="47"/>
    <col width="11" customWidth="1" min="48" max="48"/>
    <col width="12" customWidth="1" min="50" max="50"/>
    <col width="10" customWidth="1" min="51" max="51"/>
    <col width="10" customWidth="1" min="52" max="52"/>
    <col width="10" customWidth="1" min="53" max="53"/>
    <col width="10" customWidth="1" min="54" max="54"/>
    <col width="11" customWidth="1" min="55" max="55"/>
    <col width="12" customWidth="1" min="57" max="57"/>
    <col width="10" customWidth="1" min="58" max="58"/>
    <col width="10" customWidth="1" min="59" max="59"/>
    <col width="10" customWidth="1" min="60" max="60"/>
    <col width="10" customWidth="1" min="61" max="61"/>
    <col width="11" customWidth="1" min="62" max="62"/>
    <col width="12" customWidth="1" min="64" max="64"/>
    <col width="10" customWidth="1" min="65" max="65"/>
    <col width="10" customWidth="1" min="66" max="66"/>
    <col width="10" customWidth="1" min="67" max="67"/>
    <col width="10" customWidth="1" min="68" max="68"/>
    <col width="11" customWidth="1" min="69" max="69"/>
    <col width="12" customWidth="1" min="71" max="71"/>
    <col width="10" customWidth="1" min="72" max="72"/>
    <col width="10" customWidth="1" min="73" max="73"/>
    <col width="10" customWidth="1" min="74" max="74"/>
    <col width="10" customWidth="1" min="75" max="75"/>
    <col width="11" customWidth="1" min="76" max="76"/>
    <col width="12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2" customWidth="1" min="85" max="85"/>
    <col width="10" customWidth="1" min="86" max="86"/>
    <col width="10" customWidth="1" min="87" max="87"/>
    <col width="10" customWidth="1" min="88" max="88"/>
    <col width="10" customWidth="1" min="89" max="89"/>
    <col width="11" customWidth="1" min="90" max="90"/>
    <col width="12" customWidth="1" min="92" max="92"/>
    <col width="10" customWidth="1" min="93" max="93"/>
    <col width="10" customWidth="1" min="94" max="94"/>
    <col width="10" customWidth="1" min="95" max="95"/>
    <col width="10" customWidth="1" min="96" max="96"/>
    <col width="11" customWidth="1" min="97" max="97"/>
    <col width="12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1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2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1" customWidth="1" min="118" max="118"/>
    <col width="12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1" customWidth="1" min="125" max="125"/>
    <col width="12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1" customWidth="1" min="132" max="132"/>
    <col width="12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1" customWidth="1" min="139" max="139"/>
    <col width="12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1" customWidth="1" min="146" max="146"/>
    <col width="12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1" customWidth="1" min="153" max="153"/>
    <col width="12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1" customWidth="1" min="160" max="160"/>
    <col width="12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1" customWidth="1" min="167" max="167"/>
    <col width="12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1" customWidth="1" min="174" max="174"/>
  </cols>
  <sheetData>
    <row r="1">
      <c r="A1" s="5" t="inlineStr">
        <is>
          <t>USO US Equity</t>
        </is>
      </c>
      <c r="H1" s="5" t="inlineStr">
        <is>
          <t>BNO US Equity</t>
        </is>
      </c>
      <c r="O1" s="5" t="inlineStr">
        <is>
          <t>USL US Equity</t>
        </is>
      </c>
      <c r="V1" s="5" t="inlineStr">
        <is>
          <t>DBO US Equity</t>
        </is>
      </c>
      <c r="AC1" s="5" t="inlineStr">
        <is>
          <t>UCO US Equity</t>
        </is>
      </c>
      <c r="AJ1" s="5" t="inlineStr">
        <is>
          <t>SCO US Equity</t>
        </is>
      </c>
      <c r="AQ1" s="5" t="inlineStr">
        <is>
          <t>XLE US Equity</t>
        </is>
      </c>
      <c r="AX1" s="5" t="inlineStr">
        <is>
          <t>XOP US Equity</t>
        </is>
      </c>
      <c r="BE1" s="5" t="inlineStr">
        <is>
          <t>OIH US Equity</t>
        </is>
      </c>
      <c r="BL1" s="5" t="inlineStr">
        <is>
          <t>VDE US Equity</t>
        </is>
      </c>
      <c r="BS1" s="5" t="inlineStr">
        <is>
          <t>CRAK US Equity</t>
        </is>
      </c>
      <c r="BZ1" s="5" t="inlineStr">
        <is>
          <t>XOM US Equity</t>
        </is>
      </c>
      <c r="CG1" s="5" t="inlineStr">
        <is>
          <t>CVX US Equity</t>
        </is>
      </c>
      <c r="CN1" s="5" t="inlineStr">
        <is>
          <t>COP US Equity</t>
        </is>
      </c>
      <c r="CU1" s="5" t="inlineStr">
        <is>
          <t>OXY US Equity</t>
        </is>
      </c>
      <c r="DB1" s="5" t="inlineStr">
        <is>
          <t>EOG US Equity</t>
        </is>
      </c>
      <c r="DI1" s="5" t="inlineStr">
        <is>
          <t>DVN US Equity</t>
        </is>
      </c>
      <c r="DP1" s="5" t="inlineStr">
        <is>
          <t>FANG US Equity</t>
        </is>
      </c>
      <c r="DW1" s="5" t="inlineStr">
        <is>
          <t>APA US Equity</t>
        </is>
      </c>
      <c r="ED1" s="5" t="inlineStr">
        <is>
          <t>DAL US Equity</t>
        </is>
      </c>
      <c r="EK1" s="5" t="inlineStr">
        <is>
          <t>UAL US Equity</t>
        </is>
      </c>
      <c r="ER1" s="5" t="inlineStr">
        <is>
          <t>AAL US Equity</t>
        </is>
      </c>
      <c r="EY1" s="5" t="inlineStr">
        <is>
          <t>LUV US Equity</t>
        </is>
      </c>
      <c r="FF1" s="5" t="inlineStr">
        <is>
          <t>JETS US Equity</t>
        </is>
      </c>
      <c r="FM1" s="5" t="inlineStr">
        <is>
          <t>SPY US Equity</t>
        </is>
      </c>
    </row>
    <row r="2">
      <c r="A2" s="4" t="inlineStr">
        <is>
          <t>US Oil Fund (front WTI)</t>
        </is>
      </c>
      <c r="H2" s="4" t="inlineStr">
        <is>
          <t>US Brent Oil Fund</t>
        </is>
      </c>
      <c r="O2" s="4" t="inlineStr">
        <is>
          <t>US 12-Month Oil Fund</t>
        </is>
      </c>
      <c r="V2" s="4" t="inlineStr">
        <is>
          <t>Invesco DB Oil</t>
        </is>
      </c>
      <c r="AC2" s="4" t="inlineStr">
        <is>
          <t>ProShares 2x crude</t>
        </is>
      </c>
      <c r="AJ2" s="4" t="inlineStr">
        <is>
          <t>ProShares -2x crude</t>
        </is>
      </c>
      <c r="AQ2" s="4" t="inlineStr">
        <is>
          <t>Energy Select SPDR</t>
        </is>
      </c>
      <c r="AX2" s="4" t="inlineStr">
        <is>
          <t>S&amp;P Oil &amp; Gas E&amp;P ETF</t>
        </is>
      </c>
      <c r="BE2" s="4" t="inlineStr">
        <is>
          <t>Oil services ETF</t>
        </is>
      </c>
      <c r="BL2" s="4" t="inlineStr">
        <is>
          <t>Vanguard energy ETF</t>
        </is>
      </c>
      <c r="BS2" s="4" t="inlineStr">
        <is>
          <t>Oil refiners ETF</t>
        </is>
      </c>
      <c r="BZ2" s="4" t="inlineStr">
        <is>
          <t>ExxonMobil</t>
        </is>
      </c>
      <c r="CG2" s="4" t="inlineStr">
        <is>
          <t>Chevron</t>
        </is>
      </c>
      <c r="CN2" s="4" t="inlineStr">
        <is>
          <t>ConocoPhillips</t>
        </is>
      </c>
      <c r="CU2" s="4" t="inlineStr">
        <is>
          <t>Occidental</t>
        </is>
      </c>
      <c r="DB2" s="4" t="inlineStr">
        <is>
          <t>EOG Resources</t>
        </is>
      </c>
      <c r="DI2" s="4" t="inlineStr">
        <is>
          <t>Devon</t>
        </is>
      </c>
      <c r="DP2" s="4" t="inlineStr">
        <is>
          <t>Diamondback</t>
        </is>
      </c>
      <c r="DW2" s="4" t="inlineStr">
        <is>
          <t>APA Corp</t>
        </is>
      </c>
      <c r="ED2" s="4" t="inlineStr">
        <is>
          <t>Delta Air Lines</t>
        </is>
      </c>
      <c r="EK2" s="4" t="inlineStr">
        <is>
          <t>United Airlines</t>
        </is>
      </c>
      <c r="ER2" s="4" t="inlineStr">
        <is>
          <t>American Airlines</t>
        </is>
      </c>
      <c r="EY2" s="4" t="inlineStr">
        <is>
          <t>Southwest</t>
        </is>
      </c>
      <c r="FF2" s="4" t="inlineStr">
        <is>
          <t>Airlines ETF</t>
        </is>
      </c>
      <c r="FM2" s="4" t="inlineStr">
        <is>
          <t>S&amp;P 500 ETF</t>
        </is>
      </c>
    </row>
    <row r="3">
      <c r="A3" s="6" t="inlineStr">
        <is>
          <t>Date</t>
        </is>
      </c>
      <c r="B3" s="6" t="inlineStr">
        <is>
          <t>PX_OPEN</t>
        </is>
      </c>
      <c r="C3" s="6" t="inlineStr">
        <is>
          <t>PX_HIGH</t>
        </is>
      </c>
      <c r="D3" s="6" t="inlineStr">
        <is>
          <t>PX_LOW</t>
        </is>
      </c>
      <c r="E3" s="6" t="inlineStr">
        <is>
          <t>PX_LAST</t>
        </is>
      </c>
      <c r="F3" s="6" t="inlineStr">
        <is>
          <t>PX_VOLUME</t>
        </is>
      </c>
      <c r="H3" s="6" t="inlineStr">
        <is>
          <t>Date</t>
        </is>
      </c>
      <c r="I3" s="6" t="inlineStr">
        <is>
          <t>PX_OPEN</t>
        </is>
      </c>
      <c r="J3" s="6" t="inlineStr">
        <is>
          <t>PX_HIGH</t>
        </is>
      </c>
      <c r="K3" s="6" t="inlineStr">
        <is>
          <t>PX_LOW</t>
        </is>
      </c>
      <c r="L3" s="6" t="inlineStr">
        <is>
          <t>PX_LAST</t>
        </is>
      </c>
      <c r="M3" s="6" t="inlineStr">
        <is>
          <t>PX_VOLUME</t>
        </is>
      </c>
      <c r="O3" s="6" t="inlineStr">
        <is>
          <t>Date</t>
        </is>
      </c>
      <c r="P3" s="6" t="inlineStr">
        <is>
          <t>PX_OPEN</t>
        </is>
      </c>
      <c r="Q3" s="6" t="inlineStr">
        <is>
          <t>PX_HIGH</t>
        </is>
      </c>
      <c r="R3" s="6" t="inlineStr">
        <is>
          <t>PX_LOW</t>
        </is>
      </c>
      <c r="S3" s="6" t="inlineStr">
        <is>
          <t>PX_LAST</t>
        </is>
      </c>
      <c r="T3" s="6" t="inlineStr">
        <is>
          <t>PX_VOLUME</t>
        </is>
      </c>
      <c r="V3" s="6" t="inlineStr">
        <is>
          <t>Date</t>
        </is>
      </c>
      <c r="W3" s="6" t="inlineStr">
        <is>
          <t>PX_OPEN</t>
        </is>
      </c>
      <c r="X3" s="6" t="inlineStr">
        <is>
          <t>PX_HIGH</t>
        </is>
      </c>
      <c r="Y3" s="6" t="inlineStr">
        <is>
          <t>PX_LOW</t>
        </is>
      </c>
      <c r="Z3" s="6" t="inlineStr">
        <is>
          <t>PX_LAST</t>
        </is>
      </c>
      <c r="AA3" s="6" t="inlineStr">
        <is>
          <t>PX_VOLUME</t>
        </is>
      </c>
      <c r="AC3" s="6" t="inlineStr">
        <is>
          <t>Date</t>
        </is>
      </c>
      <c r="AD3" s="6" t="inlineStr">
        <is>
          <t>PX_OPEN</t>
        </is>
      </c>
      <c r="AE3" s="6" t="inlineStr">
        <is>
          <t>PX_HIGH</t>
        </is>
      </c>
      <c r="AF3" s="6" t="inlineStr">
        <is>
          <t>PX_LOW</t>
        </is>
      </c>
      <c r="AG3" s="6" t="inlineStr">
        <is>
          <t>PX_LAST</t>
        </is>
      </c>
      <c r="AH3" s="6" t="inlineStr">
        <is>
          <t>PX_VOLUME</t>
        </is>
      </c>
      <c r="AJ3" s="6" t="inlineStr">
        <is>
          <t>Date</t>
        </is>
      </c>
      <c r="AK3" s="6" t="inlineStr">
        <is>
          <t>PX_OPEN</t>
        </is>
      </c>
      <c r="AL3" s="6" t="inlineStr">
        <is>
          <t>PX_HIGH</t>
        </is>
      </c>
      <c r="AM3" s="6" t="inlineStr">
        <is>
          <t>PX_LOW</t>
        </is>
      </c>
      <c r="AN3" s="6" t="inlineStr">
        <is>
          <t>PX_LAST</t>
        </is>
      </c>
      <c r="AO3" s="6" t="inlineStr">
        <is>
          <t>PX_VOLUME</t>
        </is>
      </c>
      <c r="AQ3" s="6" t="inlineStr">
        <is>
          <t>Date</t>
        </is>
      </c>
      <c r="AR3" s="6" t="inlineStr">
        <is>
          <t>PX_OPEN</t>
        </is>
      </c>
      <c r="AS3" s="6" t="inlineStr">
        <is>
          <t>PX_HIGH</t>
        </is>
      </c>
      <c r="AT3" s="6" t="inlineStr">
        <is>
          <t>PX_LOW</t>
        </is>
      </c>
      <c r="AU3" s="6" t="inlineStr">
        <is>
          <t>PX_LAST</t>
        </is>
      </c>
      <c r="AV3" s="6" t="inlineStr">
        <is>
          <t>PX_VOLUME</t>
        </is>
      </c>
      <c r="AX3" s="6" t="inlineStr">
        <is>
          <t>Date</t>
        </is>
      </c>
      <c r="AY3" s="6" t="inlineStr">
        <is>
          <t>PX_OPEN</t>
        </is>
      </c>
      <c r="AZ3" s="6" t="inlineStr">
        <is>
          <t>PX_HIGH</t>
        </is>
      </c>
      <c r="BA3" s="6" t="inlineStr">
        <is>
          <t>PX_LOW</t>
        </is>
      </c>
      <c r="BB3" s="6" t="inlineStr">
        <is>
          <t>PX_LAST</t>
        </is>
      </c>
      <c r="BC3" s="6" t="inlineStr">
        <is>
          <t>PX_VOLUME</t>
        </is>
      </c>
      <c r="BE3" s="6" t="inlineStr">
        <is>
          <t>Date</t>
        </is>
      </c>
      <c r="BF3" s="6" t="inlineStr">
        <is>
          <t>PX_OPEN</t>
        </is>
      </c>
      <c r="BG3" s="6" t="inlineStr">
        <is>
          <t>PX_HIGH</t>
        </is>
      </c>
      <c r="BH3" s="6" t="inlineStr">
        <is>
          <t>PX_LOW</t>
        </is>
      </c>
      <c r="BI3" s="6" t="inlineStr">
        <is>
          <t>PX_LAST</t>
        </is>
      </c>
      <c r="BJ3" s="6" t="inlineStr">
        <is>
          <t>PX_VOLUME</t>
        </is>
      </c>
      <c r="BL3" s="6" t="inlineStr">
        <is>
          <t>Date</t>
        </is>
      </c>
      <c r="BM3" s="6" t="inlineStr">
        <is>
          <t>PX_OPEN</t>
        </is>
      </c>
      <c r="BN3" s="6" t="inlineStr">
        <is>
          <t>PX_HIGH</t>
        </is>
      </c>
      <c r="BO3" s="6" t="inlineStr">
        <is>
          <t>PX_LOW</t>
        </is>
      </c>
      <c r="BP3" s="6" t="inlineStr">
        <is>
          <t>PX_LAST</t>
        </is>
      </c>
      <c r="BQ3" s="6" t="inlineStr">
        <is>
          <t>PX_VOLUME</t>
        </is>
      </c>
      <c r="BS3" s="6" t="inlineStr">
        <is>
          <t>Date</t>
        </is>
      </c>
      <c r="BT3" s="6" t="inlineStr">
        <is>
          <t>PX_OPEN</t>
        </is>
      </c>
      <c r="BU3" s="6" t="inlineStr">
        <is>
          <t>PX_HIGH</t>
        </is>
      </c>
      <c r="BV3" s="6" t="inlineStr">
        <is>
          <t>PX_LOW</t>
        </is>
      </c>
      <c r="BW3" s="6" t="inlineStr">
        <is>
          <t>PX_LAST</t>
        </is>
      </c>
      <c r="BX3" s="6" t="inlineStr">
        <is>
          <t>PX_VOLUME</t>
        </is>
      </c>
      <c r="BZ3" s="6" t="inlineStr">
        <is>
          <t>Date</t>
        </is>
      </c>
      <c r="CA3" s="6" t="inlineStr">
        <is>
          <t>PX_OPEN</t>
        </is>
      </c>
      <c r="CB3" s="6" t="inlineStr">
        <is>
          <t>PX_HIGH</t>
        </is>
      </c>
      <c r="CC3" s="6" t="inlineStr">
        <is>
          <t>PX_LOW</t>
        </is>
      </c>
      <c r="CD3" s="6" t="inlineStr">
        <is>
          <t>PX_LAST</t>
        </is>
      </c>
      <c r="CE3" s="6" t="inlineStr">
        <is>
          <t>PX_VOLUME</t>
        </is>
      </c>
      <c r="CG3" s="6" t="inlineStr">
        <is>
          <t>Date</t>
        </is>
      </c>
      <c r="CH3" s="6" t="inlineStr">
        <is>
          <t>PX_OPEN</t>
        </is>
      </c>
      <c r="CI3" s="6" t="inlineStr">
        <is>
          <t>PX_HIGH</t>
        </is>
      </c>
      <c r="CJ3" s="6" t="inlineStr">
        <is>
          <t>PX_LOW</t>
        </is>
      </c>
      <c r="CK3" s="6" t="inlineStr">
        <is>
          <t>PX_LAST</t>
        </is>
      </c>
      <c r="CL3" s="6" t="inlineStr">
        <is>
          <t>PX_VOLUME</t>
        </is>
      </c>
      <c r="CN3" s="6" t="inlineStr">
        <is>
          <t>Date</t>
        </is>
      </c>
      <c r="CO3" s="6" t="inlineStr">
        <is>
          <t>PX_OPEN</t>
        </is>
      </c>
      <c r="CP3" s="6" t="inlineStr">
        <is>
          <t>PX_HIGH</t>
        </is>
      </c>
      <c r="CQ3" s="6" t="inlineStr">
        <is>
          <t>PX_LOW</t>
        </is>
      </c>
      <c r="CR3" s="6" t="inlineStr">
        <is>
          <t>PX_LAST</t>
        </is>
      </c>
      <c r="CS3" s="6" t="inlineStr">
        <is>
          <t>PX_VOLUME</t>
        </is>
      </c>
      <c r="CU3" s="6" t="inlineStr">
        <is>
          <t>Date</t>
        </is>
      </c>
      <c r="CV3" s="6" t="inlineStr">
        <is>
          <t>PX_OPEN</t>
        </is>
      </c>
      <c r="CW3" s="6" t="inlineStr">
        <is>
          <t>PX_HIGH</t>
        </is>
      </c>
      <c r="CX3" s="6" t="inlineStr">
        <is>
          <t>PX_LOW</t>
        </is>
      </c>
      <c r="CY3" s="6" t="inlineStr">
        <is>
          <t>PX_LAST</t>
        </is>
      </c>
      <c r="CZ3" s="6" t="inlineStr">
        <is>
          <t>PX_VOLUME</t>
        </is>
      </c>
      <c r="DB3" s="6" t="inlineStr">
        <is>
          <t>Date</t>
        </is>
      </c>
      <c r="DC3" s="6" t="inlineStr">
        <is>
          <t>PX_OPEN</t>
        </is>
      </c>
      <c r="DD3" s="6" t="inlineStr">
        <is>
          <t>PX_HIGH</t>
        </is>
      </c>
      <c r="DE3" s="6" t="inlineStr">
        <is>
          <t>PX_LOW</t>
        </is>
      </c>
      <c r="DF3" s="6" t="inlineStr">
        <is>
          <t>PX_LAST</t>
        </is>
      </c>
      <c r="DG3" s="6" t="inlineStr">
        <is>
          <t>PX_VOLUME</t>
        </is>
      </c>
      <c r="DI3" s="6" t="inlineStr">
        <is>
          <t>Date</t>
        </is>
      </c>
      <c r="DJ3" s="6" t="inlineStr">
        <is>
          <t>PX_OPEN</t>
        </is>
      </c>
      <c r="DK3" s="6" t="inlineStr">
        <is>
          <t>PX_HIGH</t>
        </is>
      </c>
      <c r="DL3" s="6" t="inlineStr">
        <is>
          <t>PX_LOW</t>
        </is>
      </c>
      <c r="DM3" s="6" t="inlineStr">
        <is>
          <t>PX_LAST</t>
        </is>
      </c>
      <c r="DN3" s="6" t="inlineStr">
        <is>
          <t>PX_VOLUME</t>
        </is>
      </c>
      <c r="DP3" s="6" t="inlineStr">
        <is>
          <t>Date</t>
        </is>
      </c>
      <c r="DQ3" s="6" t="inlineStr">
        <is>
          <t>PX_OPEN</t>
        </is>
      </c>
      <c r="DR3" s="6" t="inlineStr">
        <is>
          <t>PX_HIGH</t>
        </is>
      </c>
      <c r="DS3" s="6" t="inlineStr">
        <is>
          <t>PX_LOW</t>
        </is>
      </c>
      <c r="DT3" s="6" t="inlineStr">
        <is>
          <t>PX_LAST</t>
        </is>
      </c>
      <c r="DU3" s="6" t="inlineStr">
        <is>
          <t>PX_VOLUME</t>
        </is>
      </c>
      <c r="DW3" s="6" t="inlineStr">
        <is>
          <t>Date</t>
        </is>
      </c>
      <c r="DX3" s="6" t="inlineStr">
        <is>
          <t>PX_OPEN</t>
        </is>
      </c>
      <c r="DY3" s="6" t="inlineStr">
        <is>
          <t>PX_HIGH</t>
        </is>
      </c>
      <c r="DZ3" s="6" t="inlineStr">
        <is>
          <t>PX_LOW</t>
        </is>
      </c>
      <c r="EA3" s="6" t="inlineStr">
        <is>
          <t>PX_LAST</t>
        </is>
      </c>
      <c r="EB3" s="6" t="inlineStr">
        <is>
          <t>PX_VOLUME</t>
        </is>
      </c>
      <c r="ED3" s="6" t="inlineStr">
        <is>
          <t>Date</t>
        </is>
      </c>
      <c r="EE3" s="6" t="inlineStr">
        <is>
          <t>PX_OPEN</t>
        </is>
      </c>
      <c r="EF3" s="6" t="inlineStr">
        <is>
          <t>PX_HIGH</t>
        </is>
      </c>
      <c r="EG3" s="6" t="inlineStr">
        <is>
          <t>PX_LOW</t>
        </is>
      </c>
      <c r="EH3" s="6" t="inlineStr">
        <is>
          <t>PX_LAST</t>
        </is>
      </c>
      <c r="EI3" s="6" t="inlineStr">
        <is>
          <t>PX_VOLUME</t>
        </is>
      </c>
      <c r="EK3" s="6" t="inlineStr">
        <is>
          <t>Date</t>
        </is>
      </c>
      <c r="EL3" s="6" t="inlineStr">
        <is>
          <t>PX_OPEN</t>
        </is>
      </c>
      <c r="EM3" s="6" t="inlineStr">
        <is>
          <t>PX_HIGH</t>
        </is>
      </c>
      <c r="EN3" s="6" t="inlineStr">
        <is>
          <t>PX_LOW</t>
        </is>
      </c>
      <c r="EO3" s="6" t="inlineStr">
        <is>
          <t>PX_LAST</t>
        </is>
      </c>
      <c r="EP3" s="6" t="inlineStr">
        <is>
          <t>PX_VOLUME</t>
        </is>
      </c>
      <c r="ER3" s="6" t="inlineStr">
        <is>
          <t>Date</t>
        </is>
      </c>
      <c r="ES3" s="6" t="inlineStr">
        <is>
          <t>PX_OPEN</t>
        </is>
      </c>
      <c r="ET3" s="6" t="inlineStr">
        <is>
          <t>PX_HIGH</t>
        </is>
      </c>
      <c r="EU3" s="6" t="inlineStr">
        <is>
          <t>PX_LOW</t>
        </is>
      </c>
      <c r="EV3" s="6" t="inlineStr">
        <is>
          <t>PX_LAST</t>
        </is>
      </c>
      <c r="EW3" s="6" t="inlineStr">
        <is>
          <t>PX_VOLUME</t>
        </is>
      </c>
      <c r="EY3" s="6" t="inlineStr">
        <is>
          <t>Date</t>
        </is>
      </c>
      <c r="EZ3" s="6" t="inlineStr">
        <is>
          <t>PX_OPEN</t>
        </is>
      </c>
      <c r="FA3" s="6" t="inlineStr">
        <is>
          <t>PX_HIGH</t>
        </is>
      </c>
      <c r="FB3" s="6" t="inlineStr">
        <is>
          <t>PX_LOW</t>
        </is>
      </c>
      <c r="FC3" s="6" t="inlineStr">
        <is>
          <t>PX_LAST</t>
        </is>
      </c>
      <c r="FD3" s="6" t="inlineStr">
        <is>
          <t>PX_VOLUME</t>
        </is>
      </c>
      <c r="FF3" s="6" t="inlineStr">
        <is>
          <t>Date</t>
        </is>
      </c>
      <c r="FG3" s="6" t="inlineStr">
        <is>
          <t>PX_OPEN</t>
        </is>
      </c>
      <c r="FH3" s="6" t="inlineStr">
        <is>
          <t>PX_HIGH</t>
        </is>
      </c>
      <c r="FI3" s="6" t="inlineStr">
        <is>
          <t>PX_LOW</t>
        </is>
      </c>
      <c r="FJ3" s="6" t="inlineStr">
        <is>
          <t>PX_LAST</t>
        </is>
      </c>
      <c r="FK3" s="6" t="inlineStr">
        <is>
          <t>PX_VOLUME</t>
        </is>
      </c>
      <c r="FM3" s="6" t="inlineStr">
        <is>
          <t>Date</t>
        </is>
      </c>
      <c r="FN3" s="6" t="inlineStr">
        <is>
          <t>PX_OPEN</t>
        </is>
      </c>
      <c r="FO3" s="6" t="inlineStr">
        <is>
          <t>PX_HIGH</t>
        </is>
      </c>
      <c r="FP3" s="6" t="inlineStr">
        <is>
          <t>PX_LOW</t>
        </is>
      </c>
      <c r="FQ3" s="6" t="inlineStr">
        <is>
          <t>PX_LAST</t>
        </is>
      </c>
      <c r="FR3" s="6" t="inlineStr">
        <is>
          <t>PX_VOLUME</t>
        </is>
      </c>
    </row>
    <row r="4">
      <c r="A4" s="4">
        <f>BDH(A$1,B$3:F$3,Settings!$B$3,IF(Settings!$B$4="","",Settings!$B$4),"Dir=V","Dts=S","Sort=A","Days=T","Fill=B")</f>
        <v/>
      </c>
      <c r="H4" s="4">
        <f>BDH(H$1,I$3:M$3,Settings!$B$3,IF(Settings!$B$4="","",Settings!$B$4),"Dir=V","Dts=S","Sort=A","Days=T","Fill=B")</f>
        <v/>
      </c>
      <c r="O4" s="4">
        <f>BDH(O$1,P$3:T$3,Settings!$B$3,IF(Settings!$B$4="","",Settings!$B$4),"Dir=V","Dts=S","Sort=A","Days=T","Fill=B")</f>
        <v/>
      </c>
      <c r="V4" s="4">
        <f>BDH(V$1,W$3:AA$3,Settings!$B$3,IF(Settings!$B$4="","",Settings!$B$4),"Dir=V","Dts=S","Sort=A","Days=T","Fill=B")</f>
        <v/>
      </c>
      <c r="AC4" s="4">
        <f>BDH(AC$1,AD$3:AH$3,Settings!$B$3,IF(Settings!$B$4="","",Settings!$B$4),"Dir=V","Dts=S","Sort=A","Days=T","Fill=B")</f>
        <v/>
      </c>
      <c r="AJ4" s="4">
        <f>BDH(AJ$1,AK$3:AO$3,Settings!$B$3,IF(Settings!$B$4="","",Settings!$B$4),"Dir=V","Dts=S","Sort=A","Days=T","Fill=B")</f>
        <v/>
      </c>
      <c r="AQ4" s="4">
        <f>BDH(AQ$1,AR$3:AV$3,Settings!$B$3,IF(Settings!$B$4="","",Settings!$B$4),"Dir=V","Dts=S","Sort=A","Days=T","Fill=B")</f>
        <v/>
      </c>
      <c r="AX4" s="4">
        <f>BDH(AX$1,AY$3:BC$3,Settings!$B$3,IF(Settings!$B$4="","",Settings!$B$4),"Dir=V","Dts=S","Sort=A","Days=T","Fill=B")</f>
        <v/>
      </c>
      <c r="BE4" s="4">
        <f>BDH(BE$1,BF$3:BJ$3,Settings!$B$3,IF(Settings!$B$4="","",Settings!$B$4),"Dir=V","Dts=S","Sort=A","Days=T","Fill=B")</f>
        <v/>
      </c>
      <c r="BL4" s="4">
        <f>BDH(BL$1,BM$3:BQ$3,Settings!$B$3,IF(Settings!$B$4="","",Settings!$B$4),"Dir=V","Dts=S","Sort=A","Days=T","Fill=B")</f>
        <v/>
      </c>
      <c r="BS4" s="4">
        <f>BDH(BS$1,BT$3:BX$3,Settings!$B$3,IF(Settings!$B$4="","",Settings!$B$4),"Dir=V","Dts=S","Sort=A","Days=T","Fill=B")</f>
        <v/>
      </c>
      <c r="BZ4" s="4">
        <f>BDH(BZ$1,CA$3:CE$3,Settings!$B$3,IF(Settings!$B$4="","",Settings!$B$4),"Dir=V","Dts=S","Sort=A","Days=T","Fill=B")</f>
        <v/>
      </c>
      <c r="CG4" s="4">
        <f>BDH(CG$1,CH$3:CL$3,Settings!$B$3,IF(Settings!$B$4="","",Settings!$B$4),"Dir=V","Dts=S","Sort=A","Days=T","Fill=B")</f>
        <v/>
      </c>
      <c r="CN4" s="4">
        <f>BDH(CN$1,CO$3:CS$3,Settings!$B$3,IF(Settings!$B$4="","",Settings!$B$4),"Dir=V","Dts=S","Sort=A","Days=T","Fill=B")</f>
        <v/>
      </c>
      <c r="CU4" s="4">
        <f>BDH(CU$1,CV$3:CZ$3,Settings!$B$3,IF(Settings!$B$4="","",Settings!$B$4),"Dir=V","Dts=S","Sort=A","Days=T","Fill=B")</f>
        <v/>
      </c>
      <c r="DB4" s="4">
        <f>BDH(DB$1,DC$3:DG$3,Settings!$B$3,IF(Settings!$B$4="","",Settings!$B$4),"Dir=V","Dts=S","Sort=A","Days=T","Fill=B")</f>
        <v/>
      </c>
      <c r="DI4" s="4">
        <f>BDH(DI$1,DJ$3:DN$3,Settings!$B$3,IF(Settings!$B$4="","",Settings!$B$4),"Dir=V","Dts=S","Sort=A","Days=T","Fill=B")</f>
        <v/>
      </c>
      <c r="DP4" s="4">
        <f>BDH(DP$1,DQ$3:DU$3,Settings!$B$3,IF(Settings!$B$4="","",Settings!$B$4),"Dir=V","Dts=S","Sort=A","Days=T","Fill=B")</f>
        <v/>
      </c>
      <c r="DW4" s="4">
        <f>BDH(DW$1,DX$3:EB$3,Settings!$B$3,IF(Settings!$B$4="","",Settings!$B$4),"Dir=V","Dts=S","Sort=A","Days=T","Fill=B")</f>
        <v/>
      </c>
      <c r="ED4" s="4">
        <f>BDH(ED$1,EE$3:EI$3,Settings!$B$3,IF(Settings!$B$4="","",Settings!$B$4),"Dir=V","Dts=S","Sort=A","Days=T","Fill=B")</f>
        <v/>
      </c>
      <c r="EK4" s="4">
        <f>BDH(EK$1,EL$3:EP$3,Settings!$B$3,IF(Settings!$B$4="","",Settings!$B$4),"Dir=V","Dts=S","Sort=A","Days=T","Fill=B")</f>
        <v/>
      </c>
      <c r="ER4" s="4">
        <f>BDH(ER$1,ES$3:EW$3,Settings!$B$3,IF(Settings!$B$4="","",Settings!$B$4),"Dir=V","Dts=S","Sort=A","Days=T","Fill=B")</f>
        <v/>
      </c>
      <c r="EY4" s="4">
        <f>BDH(EY$1,EZ$3:FD$3,Settings!$B$3,IF(Settings!$B$4="","",Settings!$B$4),"Dir=V","Dts=S","Sort=A","Days=T","Fill=B")</f>
        <v/>
      </c>
      <c r="FF4" s="4">
        <f>BDH(FF$1,FG$3:FK$3,Settings!$B$3,IF(Settings!$B$4="","",Settings!$B$4),"Dir=V","Dts=S","Sort=A","Days=T","Fill=B")</f>
        <v/>
      </c>
      <c r="FM4" s="4">
        <f>BDH(FM$1,FN$3:FR$3,Settings!$B$3,IF(Settings!$B$4="","",Settings!$B$4),"Dir=V","Dts=S","Sort=A","Days=T","Fill=B")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4" max="4"/>
    <col width="10" customWidth="1" min="5" max="5"/>
    <col width="12" customWidth="1" min="7" max="7"/>
    <col width="10" customWidth="1" min="8" max="8"/>
    <col width="12" customWidth="1" min="10" max="10"/>
    <col width="10" customWidth="1" min="11" max="11"/>
    <col width="12" customWidth="1" min="13" max="13"/>
    <col width="10" customWidth="1" min="14" max="14"/>
    <col width="12" customWidth="1" min="16" max="16"/>
    <col width="10" customWidth="1" min="17" max="17"/>
    <col width="12" customWidth="1" min="19" max="19"/>
    <col width="10" customWidth="1" min="20" max="20"/>
    <col width="12" customWidth="1" min="22" max="22"/>
    <col width="10" customWidth="1" min="23" max="23"/>
    <col width="12" customWidth="1" min="25" max="25"/>
    <col width="10" customWidth="1" min="26" max="26"/>
    <col width="12" customWidth="1" min="28" max="28"/>
    <col width="10" customWidth="1" min="29" max="29"/>
    <col width="12" customWidth="1" min="31" max="31"/>
    <col width="10" customWidth="1" min="32" max="32"/>
    <col width="12" customWidth="1" min="34" max="34"/>
    <col width="10" customWidth="1" min="35" max="35"/>
    <col width="12" customWidth="1" min="37" max="37"/>
    <col width="10" customWidth="1" min="38" max="38"/>
    <col width="12" customWidth="1" min="40" max="40"/>
    <col width="10" customWidth="1" min="41" max="41"/>
    <col width="12" customWidth="1" min="43" max="43"/>
    <col width="10" customWidth="1" min="44" max="44"/>
    <col width="12" customWidth="1" min="46" max="46"/>
    <col width="10" customWidth="1" min="47" max="47"/>
    <col width="12" customWidth="1" min="49" max="49"/>
    <col width="10" customWidth="1" min="50" max="50"/>
    <col width="12" customWidth="1" min="52" max="52"/>
    <col width="10" customWidth="1" min="53" max="53"/>
    <col width="12" customWidth="1" min="55" max="55"/>
    <col width="10" customWidth="1" min="56" max="56"/>
    <col width="12" customWidth="1" min="58" max="58"/>
    <col width="10" customWidth="1" min="59" max="59"/>
    <col width="12" customWidth="1" min="61" max="61"/>
    <col width="10" customWidth="1" min="62" max="62"/>
    <col width="12" customWidth="1" min="64" max="64"/>
    <col width="10" customWidth="1" min="65" max="65"/>
    <col width="12" customWidth="1" min="67" max="67"/>
    <col width="10" customWidth="1" min="68" max="68"/>
    <col width="12" customWidth="1" min="70" max="70"/>
    <col width="10" customWidth="1" min="71" max="71"/>
    <col width="12" customWidth="1" min="73" max="73"/>
    <col width="10" customWidth="1" min="74" max="74"/>
  </cols>
  <sheetData>
    <row r="1">
      <c r="A1" s="5" t="inlineStr">
        <is>
          <t>USO US Equity</t>
        </is>
      </c>
      <c r="D1" s="5" t="inlineStr">
        <is>
          <t>BNO US Equity</t>
        </is>
      </c>
      <c r="G1" s="5" t="inlineStr">
        <is>
          <t>USL US Equity</t>
        </is>
      </c>
      <c r="J1" s="5" t="inlineStr">
        <is>
          <t>DBO US Equity</t>
        </is>
      </c>
      <c r="M1" s="5" t="inlineStr">
        <is>
          <t>UCO US Equity</t>
        </is>
      </c>
      <c r="P1" s="5" t="inlineStr">
        <is>
          <t>SCO US Equity</t>
        </is>
      </c>
      <c r="S1" s="5" t="inlineStr">
        <is>
          <t>XLE US Equity</t>
        </is>
      </c>
      <c r="V1" s="5" t="inlineStr">
        <is>
          <t>XOP US Equity</t>
        </is>
      </c>
      <c r="Y1" s="5" t="inlineStr">
        <is>
          <t>OIH US Equity</t>
        </is>
      </c>
      <c r="AB1" s="5" t="inlineStr">
        <is>
          <t>VDE US Equity</t>
        </is>
      </c>
      <c r="AE1" s="5" t="inlineStr">
        <is>
          <t>CRAK US Equity</t>
        </is>
      </c>
      <c r="AH1" s="5" t="inlineStr">
        <is>
          <t>XOM US Equity</t>
        </is>
      </c>
      <c r="AK1" s="5" t="inlineStr">
        <is>
          <t>CVX US Equity</t>
        </is>
      </c>
      <c r="AN1" s="5" t="inlineStr">
        <is>
          <t>COP US Equity</t>
        </is>
      </c>
      <c r="AQ1" s="5" t="inlineStr">
        <is>
          <t>OXY US Equity</t>
        </is>
      </c>
      <c r="AT1" s="5" t="inlineStr">
        <is>
          <t>EOG US Equity</t>
        </is>
      </c>
      <c r="AW1" s="5" t="inlineStr">
        <is>
          <t>DVN US Equity</t>
        </is>
      </c>
      <c r="AZ1" s="5" t="inlineStr">
        <is>
          <t>FANG US Equity</t>
        </is>
      </c>
      <c r="BC1" s="5" t="inlineStr">
        <is>
          <t>APA US Equity</t>
        </is>
      </c>
      <c r="BF1" s="5" t="inlineStr">
        <is>
          <t>DAL US Equity</t>
        </is>
      </c>
      <c r="BI1" s="5" t="inlineStr">
        <is>
          <t>UAL US Equity</t>
        </is>
      </c>
      <c r="BL1" s="5" t="inlineStr">
        <is>
          <t>AAL US Equity</t>
        </is>
      </c>
      <c r="BO1" s="5" t="inlineStr">
        <is>
          <t>LUV US Equity</t>
        </is>
      </c>
      <c r="BR1" s="5" t="inlineStr">
        <is>
          <t>JETS US Equity</t>
        </is>
      </c>
      <c r="BU1" s="5" t="inlineStr">
        <is>
          <t>SPY US Equity</t>
        </is>
      </c>
    </row>
    <row r="2">
      <c r="A2" s="4" t="inlineStr">
        <is>
          <t>US Oil Fund (front WTI) (unadjusted close)</t>
        </is>
      </c>
      <c r="D2" s="4" t="inlineStr">
        <is>
          <t>US Brent Oil Fund (unadjusted close)</t>
        </is>
      </c>
      <c r="G2" s="4" t="inlineStr">
        <is>
          <t>US 12-Month Oil Fund (unadjusted close)</t>
        </is>
      </c>
      <c r="J2" s="4" t="inlineStr">
        <is>
          <t>Invesco DB Oil (unadjusted close)</t>
        </is>
      </c>
      <c r="M2" s="4" t="inlineStr">
        <is>
          <t>ProShares 2x crude (unadjusted close)</t>
        </is>
      </c>
      <c r="P2" s="4" t="inlineStr">
        <is>
          <t>ProShares -2x crude (unadjusted close)</t>
        </is>
      </c>
      <c r="S2" s="4" t="inlineStr">
        <is>
          <t>Energy Select SPDR (unadjusted close)</t>
        </is>
      </c>
      <c r="V2" s="4" t="inlineStr">
        <is>
          <t>S&amp;P Oil &amp; Gas E&amp;P ETF (unadjusted close)</t>
        </is>
      </c>
      <c r="Y2" s="4" t="inlineStr">
        <is>
          <t>Oil services ETF (unadjusted close)</t>
        </is>
      </c>
      <c r="AB2" s="4" t="inlineStr">
        <is>
          <t>Vanguard energy ETF (unadjusted close)</t>
        </is>
      </c>
      <c r="AE2" s="4" t="inlineStr">
        <is>
          <t>Oil refiners ETF (unadjusted close)</t>
        </is>
      </c>
      <c r="AH2" s="4" t="inlineStr">
        <is>
          <t>ExxonMobil (unadjusted close)</t>
        </is>
      </c>
      <c r="AK2" s="4" t="inlineStr">
        <is>
          <t>Chevron (unadjusted close)</t>
        </is>
      </c>
      <c r="AN2" s="4" t="inlineStr">
        <is>
          <t>ConocoPhillips (unadjusted close)</t>
        </is>
      </c>
      <c r="AQ2" s="4" t="inlineStr">
        <is>
          <t>Occidental (unadjusted close)</t>
        </is>
      </c>
      <c r="AT2" s="4" t="inlineStr">
        <is>
          <t>EOG Resources (unadjusted close)</t>
        </is>
      </c>
      <c r="AW2" s="4" t="inlineStr">
        <is>
          <t>Devon (unadjusted close)</t>
        </is>
      </c>
      <c r="AZ2" s="4" t="inlineStr">
        <is>
          <t>Diamondback (unadjusted close)</t>
        </is>
      </c>
      <c r="BC2" s="4" t="inlineStr">
        <is>
          <t>APA Corp (unadjusted close)</t>
        </is>
      </c>
      <c r="BF2" s="4" t="inlineStr">
        <is>
          <t>Delta Air Lines (unadjusted close)</t>
        </is>
      </c>
      <c r="BI2" s="4" t="inlineStr">
        <is>
          <t>United Airlines (unadjusted close)</t>
        </is>
      </c>
      <c r="BL2" s="4" t="inlineStr">
        <is>
          <t>American Airlines (unadjusted close)</t>
        </is>
      </c>
      <c r="BO2" s="4" t="inlineStr">
        <is>
          <t>Southwest (unadjusted close)</t>
        </is>
      </c>
      <c r="BR2" s="4" t="inlineStr">
        <is>
          <t>Airlines ETF (unadjusted close)</t>
        </is>
      </c>
      <c r="BU2" s="4" t="inlineStr">
        <is>
          <t>S&amp;P 500 ETF (unadjusted close)</t>
        </is>
      </c>
    </row>
    <row r="3">
      <c r="A3" s="6" t="inlineStr">
        <is>
          <t>Date</t>
        </is>
      </c>
      <c r="B3" s="6" t="inlineStr">
        <is>
          <t>PX_LAST</t>
        </is>
      </c>
      <c r="D3" s="6" t="inlineStr">
        <is>
          <t>Date</t>
        </is>
      </c>
      <c r="E3" s="6" t="inlineStr">
        <is>
          <t>PX_LAST</t>
        </is>
      </c>
      <c r="G3" s="6" t="inlineStr">
        <is>
          <t>Date</t>
        </is>
      </c>
      <c r="H3" s="6" t="inlineStr">
        <is>
          <t>PX_LAST</t>
        </is>
      </c>
      <c r="J3" s="6" t="inlineStr">
        <is>
          <t>Date</t>
        </is>
      </c>
      <c r="K3" s="6" t="inlineStr">
        <is>
          <t>PX_LAST</t>
        </is>
      </c>
      <c r="M3" s="6" t="inlineStr">
        <is>
          <t>Date</t>
        </is>
      </c>
      <c r="N3" s="6" t="inlineStr">
        <is>
          <t>PX_LAST</t>
        </is>
      </c>
      <c r="P3" s="6" t="inlineStr">
        <is>
          <t>Date</t>
        </is>
      </c>
      <c r="Q3" s="6" t="inlineStr">
        <is>
          <t>PX_LAST</t>
        </is>
      </c>
      <c r="S3" s="6" t="inlineStr">
        <is>
          <t>Date</t>
        </is>
      </c>
      <c r="T3" s="6" t="inlineStr">
        <is>
          <t>PX_LAST</t>
        </is>
      </c>
      <c r="V3" s="6" t="inlineStr">
        <is>
          <t>Date</t>
        </is>
      </c>
      <c r="W3" s="6" t="inlineStr">
        <is>
          <t>PX_LAST</t>
        </is>
      </c>
      <c r="Y3" s="6" t="inlineStr">
        <is>
          <t>Date</t>
        </is>
      </c>
      <c r="Z3" s="6" t="inlineStr">
        <is>
          <t>PX_LAST</t>
        </is>
      </c>
      <c r="AB3" s="6" t="inlineStr">
        <is>
          <t>Date</t>
        </is>
      </c>
      <c r="AC3" s="6" t="inlineStr">
        <is>
          <t>PX_LAST</t>
        </is>
      </c>
      <c r="AE3" s="6" t="inlineStr">
        <is>
          <t>Date</t>
        </is>
      </c>
      <c r="AF3" s="6" t="inlineStr">
        <is>
          <t>PX_LAST</t>
        </is>
      </c>
      <c r="AH3" s="6" t="inlineStr">
        <is>
          <t>Date</t>
        </is>
      </c>
      <c r="AI3" s="6" t="inlineStr">
        <is>
          <t>PX_LAST</t>
        </is>
      </c>
      <c r="AK3" s="6" t="inlineStr">
        <is>
          <t>Date</t>
        </is>
      </c>
      <c r="AL3" s="6" t="inlineStr">
        <is>
          <t>PX_LAST</t>
        </is>
      </c>
      <c r="AN3" s="6" t="inlineStr">
        <is>
          <t>Date</t>
        </is>
      </c>
      <c r="AO3" s="6" t="inlineStr">
        <is>
          <t>PX_LAST</t>
        </is>
      </c>
      <c r="AQ3" s="6" t="inlineStr">
        <is>
          <t>Date</t>
        </is>
      </c>
      <c r="AR3" s="6" t="inlineStr">
        <is>
          <t>PX_LAST</t>
        </is>
      </c>
      <c r="AT3" s="6" t="inlineStr">
        <is>
          <t>Date</t>
        </is>
      </c>
      <c r="AU3" s="6" t="inlineStr">
        <is>
          <t>PX_LAST</t>
        </is>
      </c>
      <c r="AW3" s="6" t="inlineStr">
        <is>
          <t>Date</t>
        </is>
      </c>
      <c r="AX3" s="6" t="inlineStr">
        <is>
          <t>PX_LAST</t>
        </is>
      </c>
      <c r="AZ3" s="6" t="inlineStr">
        <is>
          <t>Date</t>
        </is>
      </c>
      <c r="BA3" s="6" t="inlineStr">
        <is>
          <t>PX_LAST</t>
        </is>
      </c>
      <c r="BC3" s="6" t="inlineStr">
        <is>
          <t>Date</t>
        </is>
      </c>
      <c r="BD3" s="6" t="inlineStr">
        <is>
          <t>PX_LAST</t>
        </is>
      </c>
      <c r="BF3" s="6" t="inlineStr">
        <is>
          <t>Date</t>
        </is>
      </c>
      <c r="BG3" s="6" t="inlineStr">
        <is>
          <t>PX_LAST</t>
        </is>
      </c>
      <c r="BI3" s="6" t="inlineStr">
        <is>
          <t>Date</t>
        </is>
      </c>
      <c r="BJ3" s="6" t="inlineStr">
        <is>
          <t>PX_LAST</t>
        </is>
      </c>
      <c r="BL3" s="6" t="inlineStr">
        <is>
          <t>Date</t>
        </is>
      </c>
      <c r="BM3" s="6" t="inlineStr">
        <is>
          <t>PX_LAST</t>
        </is>
      </c>
      <c r="BO3" s="6" t="inlineStr">
        <is>
          <t>Date</t>
        </is>
      </c>
      <c r="BP3" s="6" t="inlineStr">
        <is>
          <t>PX_LAST</t>
        </is>
      </c>
      <c r="BR3" s="6" t="inlineStr">
        <is>
          <t>Date</t>
        </is>
      </c>
      <c r="BS3" s="6" t="inlineStr">
        <is>
          <t>PX_LAST</t>
        </is>
      </c>
      <c r="BU3" s="6" t="inlineStr">
        <is>
          <t>Date</t>
        </is>
      </c>
      <c r="BV3" s="6" t="inlineStr">
        <is>
          <t>PX_LAST</t>
        </is>
      </c>
    </row>
    <row r="4">
      <c r="A4" s="4">
        <f>BDH(A$1,B$3:B$3,Settings!$B$3,IF(Settings!$B$4="","",Settings!$B$4),"Dir=V","Dts=S","Sort=A","Days=T","Fill=B","CshAdjNormal=N","CshAdjAbnormal=N","CapChg=N")</f>
        <v/>
      </c>
      <c r="D4" s="4">
        <f>BDH(D$1,E$3:E$3,Settings!$B$3,IF(Settings!$B$4="","",Settings!$B$4),"Dir=V","Dts=S","Sort=A","Days=T","Fill=B","CshAdjNormal=N","CshAdjAbnormal=N","CapChg=N")</f>
        <v/>
      </c>
      <c r="G4" s="4">
        <f>BDH(G$1,H$3:H$3,Settings!$B$3,IF(Settings!$B$4="","",Settings!$B$4),"Dir=V","Dts=S","Sort=A","Days=T","Fill=B","CshAdjNormal=N","CshAdjAbnormal=N","CapChg=N")</f>
        <v/>
      </c>
      <c r="J4" s="4">
        <f>BDH(J$1,K$3:K$3,Settings!$B$3,IF(Settings!$B$4="","",Settings!$B$4),"Dir=V","Dts=S","Sort=A","Days=T","Fill=B","CshAdjNormal=N","CshAdjAbnormal=N","CapChg=N")</f>
        <v/>
      </c>
      <c r="M4" s="4">
        <f>BDH(M$1,N$3:N$3,Settings!$B$3,IF(Settings!$B$4="","",Settings!$B$4),"Dir=V","Dts=S","Sort=A","Days=T","Fill=B","CshAdjNormal=N","CshAdjAbnormal=N","CapChg=N")</f>
        <v/>
      </c>
      <c r="P4" s="4">
        <f>BDH(P$1,Q$3:Q$3,Settings!$B$3,IF(Settings!$B$4="","",Settings!$B$4),"Dir=V","Dts=S","Sort=A","Days=T","Fill=B","CshAdjNormal=N","CshAdjAbnormal=N","CapChg=N")</f>
        <v/>
      </c>
      <c r="S4" s="4">
        <f>BDH(S$1,T$3:T$3,Settings!$B$3,IF(Settings!$B$4="","",Settings!$B$4),"Dir=V","Dts=S","Sort=A","Days=T","Fill=B","CshAdjNormal=N","CshAdjAbnormal=N","CapChg=N")</f>
        <v/>
      </c>
      <c r="V4" s="4">
        <f>BDH(V$1,W$3:W$3,Settings!$B$3,IF(Settings!$B$4="","",Settings!$B$4),"Dir=V","Dts=S","Sort=A","Days=T","Fill=B","CshAdjNormal=N","CshAdjAbnormal=N","CapChg=N")</f>
        <v/>
      </c>
      <c r="Y4" s="4">
        <f>BDH(Y$1,Z$3:Z$3,Settings!$B$3,IF(Settings!$B$4="","",Settings!$B$4),"Dir=V","Dts=S","Sort=A","Days=T","Fill=B","CshAdjNormal=N","CshAdjAbnormal=N","CapChg=N")</f>
        <v/>
      </c>
      <c r="AB4" s="4">
        <f>BDH(AB$1,AC$3:AC$3,Settings!$B$3,IF(Settings!$B$4="","",Settings!$B$4),"Dir=V","Dts=S","Sort=A","Days=T","Fill=B","CshAdjNormal=N","CshAdjAbnormal=N","CapChg=N")</f>
        <v/>
      </c>
      <c r="AE4" s="4">
        <f>BDH(AE$1,AF$3:AF$3,Settings!$B$3,IF(Settings!$B$4="","",Settings!$B$4),"Dir=V","Dts=S","Sort=A","Days=T","Fill=B","CshAdjNormal=N","CshAdjAbnormal=N","CapChg=N")</f>
        <v/>
      </c>
      <c r="AH4" s="4">
        <f>BDH(AH$1,AI$3:AI$3,Settings!$B$3,IF(Settings!$B$4="","",Settings!$B$4),"Dir=V","Dts=S","Sort=A","Days=T","Fill=B","CshAdjNormal=N","CshAdjAbnormal=N","CapChg=N")</f>
        <v/>
      </c>
      <c r="AK4" s="4">
        <f>BDH(AK$1,AL$3:AL$3,Settings!$B$3,IF(Settings!$B$4="","",Settings!$B$4),"Dir=V","Dts=S","Sort=A","Days=T","Fill=B","CshAdjNormal=N","CshAdjAbnormal=N","CapChg=N")</f>
        <v/>
      </c>
      <c r="AN4" s="4">
        <f>BDH(AN$1,AO$3:AO$3,Settings!$B$3,IF(Settings!$B$4="","",Settings!$B$4),"Dir=V","Dts=S","Sort=A","Days=T","Fill=B","CshAdjNormal=N","CshAdjAbnormal=N","CapChg=N")</f>
        <v/>
      </c>
      <c r="AQ4" s="4">
        <f>BDH(AQ$1,AR$3:AR$3,Settings!$B$3,IF(Settings!$B$4="","",Settings!$B$4),"Dir=V","Dts=S","Sort=A","Days=T","Fill=B","CshAdjNormal=N","CshAdjAbnormal=N","CapChg=N")</f>
        <v/>
      </c>
      <c r="AT4" s="4">
        <f>BDH(AT$1,AU$3:AU$3,Settings!$B$3,IF(Settings!$B$4="","",Settings!$B$4),"Dir=V","Dts=S","Sort=A","Days=T","Fill=B","CshAdjNormal=N","CshAdjAbnormal=N","CapChg=N")</f>
        <v/>
      </c>
      <c r="AW4" s="4">
        <f>BDH(AW$1,AX$3:AX$3,Settings!$B$3,IF(Settings!$B$4="","",Settings!$B$4),"Dir=V","Dts=S","Sort=A","Days=T","Fill=B","CshAdjNormal=N","CshAdjAbnormal=N","CapChg=N")</f>
        <v/>
      </c>
      <c r="AZ4" s="4">
        <f>BDH(AZ$1,BA$3:BA$3,Settings!$B$3,IF(Settings!$B$4="","",Settings!$B$4),"Dir=V","Dts=S","Sort=A","Days=T","Fill=B","CshAdjNormal=N","CshAdjAbnormal=N","CapChg=N")</f>
        <v/>
      </c>
      <c r="BC4" s="4">
        <f>BDH(BC$1,BD$3:BD$3,Settings!$B$3,IF(Settings!$B$4="","",Settings!$B$4),"Dir=V","Dts=S","Sort=A","Days=T","Fill=B","CshAdjNormal=N","CshAdjAbnormal=N","CapChg=N")</f>
        <v/>
      </c>
      <c r="BF4" s="4">
        <f>BDH(BF$1,BG$3:BG$3,Settings!$B$3,IF(Settings!$B$4="","",Settings!$B$4),"Dir=V","Dts=S","Sort=A","Days=T","Fill=B","CshAdjNormal=N","CshAdjAbnormal=N","CapChg=N")</f>
        <v/>
      </c>
      <c r="BI4" s="4">
        <f>BDH(BI$1,BJ$3:BJ$3,Settings!$B$3,IF(Settings!$B$4="","",Settings!$B$4),"Dir=V","Dts=S","Sort=A","Days=T","Fill=B","CshAdjNormal=N","CshAdjAbnormal=N","CapChg=N")</f>
        <v/>
      </c>
      <c r="BL4" s="4">
        <f>BDH(BL$1,BM$3:BM$3,Settings!$B$3,IF(Settings!$B$4="","",Settings!$B$4),"Dir=V","Dts=S","Sort=A","Days=T","Fill=B","CshAdjNormal=N","CshAdjAbnormal=N","CapChg=N")</f>
        <v/>
      </c>
      <c r="BO4" s="4">
        <f>BDH(BO$1,BP$3:BP$3,Settings!$B$3,IF(Settings!$B$4="","",Settings!$B$4),"Dir=V","Dts=S","Sort=A","Days=T","Fill=B","CshAdjNormal=N","CshAdjAbnormal=N","CapChg=N")</f>
        <v/>
      </c>
      <c r="BR4" s="4">
        <f>BDH(BR$1,BS$3:BS$3,Settings!$B$3,IF(Settings!$B$4="","",Settings!$B$4),"Dir=V","Dts=S","Sort=A","Days=T","Fill=B","CshAdjNormal=N","CshAdjAbnormal=N","CapChg=N")</f>
        <v/>
      </c>
      <c r="BU4" s="4">
        <f>BDH(BU$1,BV$3:BV$3,Settings!$B$3,IF(Settings!$B$4="","",Settings!$B$4),"Dir=V","Dts=S","Sort=A","Days=T","Fill=B","CshAdjNormal=N","CshAdjAbnormal=N","CapChg=N")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7" max="7"/>
    <col width="10" customWidth="1" min="8" max="8"/>
    <col width="12" customWidth="1" min="10" max="10"/>
    <col width="10" customWidth="1" min="11" max="11"/>
    <col width="12" customWidth="1" min="13" max="13"/>
    <col width="10" customWidth="1" min="14" max="14"/>
    <col width="12" customWidth="1" min="16" max="16"/>
    <col width="10" customWidth="1" min="17" max="17"/>
    <col width="12" customWidth="1" min="19" max="19"/>
    <col width="10" customWidth="1" min="20" max="20"/>
    <col width="12" customWidth="1" min="22" max="22"/>
    <col width="10" customWidth="1" min="23" max="23"/>
  </cols>
  <sheetData>
    <row r="1">
      <c r="A1" s="5" t="inlineStr">
        <is>
          <t>OVX Index</t>
        </is>
      </c>
      <c r="G1" s="5" t="inlineStr">
        <is>
          <t>VIX Index</t>
        </is>
      </c>
      <c r="J1" s="5" t="inlineStr">
        <is>
          <t>SPX Index</t>
        </is>
      </c>
      <c r="M1" s="5" t="inlineStr">
        <is>
          <t>USGG3M Index</t>
        </is>
      </c>
      <c r="P1" s="5" t="inlineStr">
        <is>
          <t>USGG1YR Index</t>
        </is>
      </c>
      <c r="S1" s="5" t="inlineStr">
        <is>
          <t>USGG2YR Index</t>
        </is>
      </c>
      <c r="V1" s="5" t="inlineStr">
        <is>
          <t>DXY Curncy</t>
        </is>
      </c>
    </row>
    <row r="2">
      <c r="A2" s="4" t="inlineStr">
        <is>
          <t>Cboe crude oil volatility index</t>
        </is>
      </c>
      <c r="G2" s="4" t="inlineStr">
        <is>
          <t>Cboe VIX</t>
        </is>
      </c>
      <c r="J2" s="4" t="inlineStr">
        <is>
          <t>S&amp;P 500</t>
        </is>
      </c>
      <c r="M2" s="4" t="inlineStr">
        <is>
          <t>US 3-month T-bill yield (risk-free rate)</t>
        </is>
      </c>
      <c r="P2" s="4" t="inlineStr">
        <is>
          <t>US 1-year Treasury yield</t>
        </is>
      </c>
      <c r="S2" s="4" t="inlineStr">
        <is>
          <t>US 2-year Treasury yield</t>
        </is>
      </c>
      <c r="V2" s="4" t="inlineStr">
        <is>
          <t>US dollar index</t>
        </is>
      </c>
    </row>
    <row r="3">
      <c r="A3" s="6" t="inlineStr">
        <is>
          <t>Date</t>
        </is>
      </c>
      <c r="B3" s="6" t="inlineStr">
        <is>
          <t>PX_OPEN</t>
        </is>
      </c>
      <c r="C3" s="6" t="inlineStr">
        <is>
          <t>PX_HIGH</t>
        </is>
      </c>
      <c r="D3" s="6" t="inlineStr">
        <is>
          <t>PX_LOW</t>
        </is>
      </c>
      <c r="E3" s="6" t="inlineStr">
        <is>
          <t>PX_LAST</t>
        </is>
      </c>
      <c r="G3" s="6" t="inlineStr">
        <is>
          <t>Date</t>
        </is>
      </c>
      <c r="H3" s="6" t="inlineStr">
        <is>
          <t>PX_LAST</t>
        </is>
      </c>
      <c r="J3" s="6" t="inlineStr">
        <is>
          <t>Date</t>
        </is>
      </c>
      <c r="K3" s="6" t="inlineStr">
        <is>
          <t>PX_LAST</t>
        </is>
      </c>
      <c r="M3" s="6" t="inlineStr">
        <is>
          <t>Date</t>
        </is>
      </c>
      <c r="N3" s="6" t="inlineStr">
        <is>
          <t>PX_LAST</t>
        </is>
      </c>
      <c r="P3" s="6" t="inlineStr">
        <is>
          <t>Date</t>
        </is>
      </c>
      <c r="Q3" s="6" t="inlineStr">
        <is>
          <t>PX_LAST</t>
        </is>
      </c>
      <c r="S3" s="6" t="inlineStr">
        <is>
          <t>Date</t>
        </is>
      </c>
      <c r="T3" s="6" t="inlineStr">
        <is>
          <t>PX_LAST</t>
        </is>
      </c>
      <c r="V3" s="6" t="inlineStr">
        <is>
          <t>Date</t>
        </is>
      </c>
      <c r="W3" s="6" t="inlineStr">
        <is>
          <t>PX_LAST</t>
        </is>
      </c>
    </row>
    <row r="4">
      <c r="A4" s="4">
        <f>BDH(A$1,B$3:E$3,Settings!$B$3,IF(Settings!$B$4="","",Settings!$B$4),"Dir=V","Dts=S","Sort=A","Days=T","Fill=B")</f>
        <v/>
      </c>
      <c r="G4" s="4">
        <f>BDH(G$1,H$3:H$3,Settings!$B$3,IF(Settings!$B$4="","",Settings!$B$4),"Dir=V","Dts=S","Sort=A","Days=T","Fill=B")</f>
        <v/>
      </c>
      <c r="J4" s="4">
        <f>BDH(J$1,K$3:K$3,Settings!$B$3,IF(Settings!$B$4="","",Settings!$B$4),"Dir=V","Dts=S","Sort=A","Days=T","Fill=B")</f>
        <v/>
      </c>
      <c r="M4" s="4">
        <f>BDH(M$1,N$3:N$3,Settings!$B$3,IF(Settings!$B$4="","",Settings!$B$4),"Dir=V","Dts=S","Sort=A","Days=T","Fill=B")</f>
        <v/>
      </c>
      <c r="P4" s="4">
        <f>BDH(P$1,Q$3:Q$3,Settings!$B$3,IF(Settings!$B$4="","",Settings!$B$4),"Dir=V","Dts=S","Sort=A","Days=T","Fill=B")</f>
        <v/>
      </c>
      <c r="S4" s="4">
        <f>BDH(S$1,T$3:T$3,Settings!$B$3,IF(Settings!$B$4="","",Settings!$B$4),"Dir=V","Dts=S","Sort=A","Days=T","Fill=B")</f>
        <v/>
      </c>
      <c r="V4" s="4">
        <f>BDH(V$1,W$3:W$3,Settings!$B$3,IF(Settings!$B$4="","",Settings!$B$4),"Dir=V","Dts=S","Sort=A","Days=T","Fill=B")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2026-10-13T23:28:47Z</dcterms:created>
  <dcterms:modified xmlns:dcterms="http://purl.org/dc/terms/" xmlns:xsi="http://www.w3.org/2001/XMLSchema-instance" xsi:type="dcterms:W3CDTF">2026-10-13T23:28:47Z</dcterms:modified>
</cp:coreProperties>
</file>