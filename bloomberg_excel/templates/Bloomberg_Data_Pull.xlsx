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ings" sheetId="1" state="visible" r:id="rId1"/>
    <sheet xmlns:r="http://schemas.openxmlformats.org/officeDocument/2006/relationships" name="Test" sheetId="2" state="visible" r:id="rId2"/>
    <sheet xmlns:r="http://schemas.openxmlformats.org/officeDocument/2006/relationships" name="Yen Core" sheetId="3" state="visible" r:id="rId3"/>
    <sheet xmlns:r="http://schemas.openxmlformats.org/officeDocument/2006/relationships" name="Yen Extra" sheetId="4" state="visible" r:id="rId4"/>
    <sheet xmlns:r="http://schemas.openxmlformats.org/officeDocument/2006/relationships" name="Oil Futures" sheetId="5" state="visible" r:id="rId5"/>
    <sheet xmlns:r="http://schemas.openxmlformats.org/officeDocument/2006/relationships" name="Oil Equities" sheetId="6" state="visible" r:id="rId6"/>
    <sheet xmlns:r="http://schemas.openxmlformats.org/officeDocument/2006/relationships" name="Oil Equities Unadj" sheetId="7" state="visible" r:id="rId7"/>
    <sheet xmlns:r="http://schemas.openxmlformats.org/officeDocument/2006/relationships" name="Macro" sheetId="8" state="visible" r:id="rId8"/>
    <sheet xmlns:r="http://schemas.openxmlformats.org/officeDocument/2006/relationships" name="Vol CL1" sheetId="9" state="visible" r:id="rId9"/>
    <sheet xmlns:r="http://schemas.openxmlformats.org/officeDocument/2006/relationships" name="Vol CL2" sheetId="10" state="visible" r:id="rId10"/>
    <sheet xmlns:r="http://schemas.openxmlformats.org/officeDocument/2006/relationships" name="Vol CO1" sheetId="11" state="visible" r:id="rId11"/>
    <sheet xmlns:r="http://schemas.openxmlformats.org/officeDocument/2006/relationships" name="Vol USO" sheetId="12" state="visible" r:id="rId12"/>
    <sheet xmlns:r="http://schemas.openxmlformats.org/officeDocument/2006/relationships" name="Vol BNO" sheetId="13" state="visible" r:id="rId13"/>
    <sheet xmlns:r="http://schemas.openxmlformats.org/officeDocument/2006/relationships" name="Vol XLE" sheetId="14" state="visible" r:id="rId14"/>
    <sheet xmlns:r="http://schemas.openxmlformats.org/officeDocument/2006/relationships" name="Vol XOP" sheetId="15" state="visible" r:id="rId15"/>
    <sheet xmlns:r="http://schemas.openxmlformats.org/officeDocument/2006/relationships" name="Vol OXY" sheetId="16" state="visible" r:id="rId16"/>
    <sheet xmlns:r="http://schemas.openxmlformats.org/officeDocument/2006/relationships" name="Vol XOM" sheetId="17" state="visible" r:id="rId17"/>
    <sheet xmlns:r="http://schemas.openxmlformats.org/officeDocument/2006/relationships" name="Vol DAL" sheetId="18" state="visible" r:id="rId18"/>
    <sheet xmlns:r="http://schemas.openxmlformats.org/officeDocument/2006/relationships" name="Vol JETS" sheetId="19" state="visible" r:id="rId19"/>
    <sheet xmlns:r="http://schemas.openxmlformats.org/officeDocument/2006/relationships" name="Vol SPY" sheetId="20" state="visible" r:id="rId20"/>
    <sheet xmlns:r="http://schemas.openxmlformats.org/officeDocument/2006/relationships" name="CL Fut 2016" sheetId="21" state="visible" r:id="rId21"/>
    <sheet xmlns:r="http://schemas.openxmlformats.org/officeDocument/2006/relationships" name="CL Fut 2017" sheetId="22" state="visible" r:id="rId22"/>
    <sheet xmlns:r="http://schemas.openxmlformats.org/officeDocument/2006/relationships" name="CL Fut 2018" sheetId="23" state="visible" r:id="rId23"/>
    <sheet xmlns:r="http://schemas.openxmlformats.org/officeDocument/2006/relationships" name="CL Fut 2019" sheetId="24" state="visible" r:id="rId24"/>
    <sheet xmlns:r="http://schemas.openxmlformats.org/officeDocument/2006/relationships" name="CL Fut 2020" sheetId="25" state="visible" r:id="rId25"/>
    <sheet xmlns:r="http://schemas.openxmlformats.org/officeDocument/2006/relationships" name="CL Fut 2021" sheetId="26" state="visible" r:id="rId26"/>
    <sheet xmlns:r="http://schemas.openxmlformats.org/officeDocument/2006/relationships" name="CL Fut 2022" sheetId="27" state="visible" r:id="rId27"/>
    <sheet xmlns:r="http://schemas.openxmlformats.org/officeDocument/2006/relationships" name="CL Fut 2023" sheetId="28" state="visible" r:id="rId28"/>
    <sheet xmlns:r="http://schemas.openxmlformats.org/officeDocument/2006/relationships" name="CL Fut 2024" sheetId="29" state="visible" r:id="rId29"/>
    <sheet xmlns:r="http://schemas.openxmlformats.org/officeDocument/2006/relationships" name="CL Fut 2025" sheetId="30" state="visible" r:id="rId30"/>
    <sheet xmlns:r="http://schemas.openxmlformats.org/officeDocument/2006/relationships" name="CL Fut 2026" sheetId="31" state="visible" r:id="rId31"/>
    <sheet xmlns:r="http://schemas.openxmlformats.org/officeDocument/2006/relationships" name="CL Fut 2027" sheetId="32" state="visible" r:id="rId32"/>
    <sheet xmlns:r="http://schemas.openxmlformats.org/officeDocument/2006/relationships" name="CL Fut 2028" sheetId="33" state="visible" r:id="rId33"/>
    <sheet xmlns:r="http://schemas.openxmlformats.org/officeDocument/2006/relationships" name="CL Fut 2029" sheetId="34" state="visible" r:id="rId34"/>
    <sheet xmlns:r="http://schemas.openxmlformats.org/officeDocument/2006/relationships" name="CO Fut 2016" sheetId="35" state="visible" r:id="rId35"/>
    <sheet xmlns:r="http://schemas.openxmlformats.org/officeDocument/2006/relationships" name="CO Fut 2017" sheetId="36" state="visible" r:id="rId36"/>
    <sheet xmlns:r="http://schemas.openxmlformats.org/officeDocument/2006/relationships" name="CO Fut 2018" sheetId="37" state="visible" r:id="rId37"/>
    <sheet xmlns:r="http://schemas.openxmlformats.org/officeDocument/2006/relationships" name="CO Fut 2019" sheetId="38" state="visible" r:id="rId38"/>
    <sheet xmlns:r="http://schemas.openxmlformats.org/officeDocument/2006/relationships" name="CO Fut 2020" sheetId="39" state="visible" r:id="rId39"/>
    <sheet xmlns:r="http://schemas.openxmlformats.org/officeDocument/2006/relationships" name="CO Fut 2021" sheetId="40" state="visible" r:id="rId40"/>
    <sheet xmlns:r="http://schemas.openxmlformats.org/officeDocument/2006/relationships" name="CO Fut 2022" sheetId="41" state="visible" r:id="rId41"/>
    <sheet xmlns:r="http://schemas.openxmlformats.org/officeDocument/2006/relationships" name="CO Fut 2023" sheetId="42" state="visible" r:id="rId42"/>
    <sheet xmlns:r="http://schemas.openxmlformats.org/officeDocument/2006/relationships" name="CO Fut 2024" sheetId="43" state="visible" r:id="rId43"/>
    <sheet xmlns:r="http://schemas.openxmlformats.org/officeDocument/2006/relationships" name="CO Fut 2025" sheetId="44" state="visible" r:id="rId44"/>
    <sheet xmlns:r="http://schemas.openxmlformats.org/officeDocument/2006/relationships" name="CO Fut 2026" sheetId="45" state="visible" r:id="rId45"/>
    <sheet xmlns:r="http://schemas.openxmlformats.org/officeDocument/2006/relationships" name="CO Fut 2027" sheetId="46" state="visible" r:id="rId46"/>
    <sheet xmlns:r="http://schemas.openxmlformats.org/officeDocument/2006/relationships" name="CO Fut 2028" sheetId="47" state="visible" r:id="rId47"/>
    <sheet xmlns:r="http://schemas.openxmlformats.org/officeDocument/2006/relationships" name="CO Fut 2029" sheetId="48" state="visible" r:id="rId48"/>
    <sheet xmlns:r="http://schemas.openxmlformats.org/officeDocument/2006/relationships" name="CL Opt Jan" sheetId="49" state="visible" r:id="rId49"/>
    <sheet xmlns:r="http://schemas.openxmlformats.org/officeDocument/2006/relationships" name="CL Opt Feb" sheetId="50" state="visible" r:id="rId50"/>
    <sheet xmlns:r="http://schemas.openxmlformats.org/officeDocument/2006/relationships" name="CL Opt Mar" sheetId="51" state="visible" r:id="rId51"/>
    <sheet xmlns:r="http://schemas.openxmlformats.org/officeDocument/2006/relationships" name="CL Opt Apr" sheetId="52" state="visible" r:id="rId52"/>
    <sheet xmlns:r="http://schemas.openxmlformats.org/officeDocument/2006/relationships" name="CL Opt May" sheetId="53" state="visible" r:id="rId53"/>
    <sheet xmlns:r="http://schemas.openxmlformats.org/officeDocument/2006/relationships" name="CL Opt Jun" sheetId="54" state="visible" r:id="rId54"/>
    <sheet xmlns:r="http://schemas.openxmlformats.org/officeDocument/2006/relationships" name="CL Opt Jul" sheetId="55" state="visible" r:id="rId55"/>
    <sheet xmlns:r="http://schemas.openxmlformats.org/officeDocument/2006/relationships" name="CL Opt Aug" sheetId="56" state="visible" r:id="rId56"/>
    <sheet xmlns:r="http://schemas.openxmlformats.org/officeDocument/2006/relationships" name="CL Opt Sep" sheetId="57" state="visible" r:id="rId57"/>
    <sheet xmlns:r="http://schemas.openxmlformats.org/officeDocument/2006/relationships" name="CL Opt Oct" sheetId="58" state="visible" r:id="rId58"/>
    <sheet xmlns:r="http://schemas.openxmlformats.org/officeDocument/2006/relationships" name="CL Opt Nov" sheetId="59" state="visible" r:id="rId59"/>
    <sheet xmlns:r="http://schemas.openxmlformats.org/officeDocument/2006/relationships" name="CL Opt Dec" sheetId="60" state="visible" r:id="rId60"/>
    <sheet xmlns:r="http://schemas.openxmlformats.org/officeDocument/2006/relationships" name="USO Opt Jan" sheetId="61" state="visible" r:id="rId61"/>
    <sheet xmlns:r="http://schemas.openxmlformats.org/officeDocument/2006/relationships" name="USO Opt Feb" sheetId="62" state="visible" r:id="rId62"/>
    <sheet xmlns:r="http://schemas.openxmlformats.org/officeDocument/2006/relationships" name="USO Opt Mar" sheetId="63" state="visible" r:id="rId63"/>
    <sheet xmlns:r="http://schemas.openxmlformats.org/officeDocument/2006/relationships" name="USO Opt Apr" sheetId="64" state="visible" r:id="rId64"/>
    <sheet xmlns:r="http://schemas.openxmlformats.org/officeDocument/2006/relationships" name="USO Opt May" sheetId="65" state="visible" r:id="rId65"/>
    <sheet xmlns:r="http://schemas.openxmlformats.org/officeDocument/2006/relationships" name="USO Opt Jun" sheetId="66" state="visible" r:id="rId66"/>
    <sheet xmlns:r="http://schemas.openxmlformats.org/officeDocument/2006/relationships" name="USO Opt Jul" sheetId="67" state="visible" r:id="rId67"/>
    <sheet xmlns:r="http://schemas.openxmlformats.org/officeDocument/2006/relationships" name="USO Opt Aug" sheetId="68" state="visible" r:id="rId68"/>
    <sheet xmlns:r="http://schemas.openxmlformats.org/officeDocument/2006/relationships" name="USO Opt Sep" sheetId="69" state="visible" r:id="rId69"/>
    <sheet xmlns:r="http://schemas.openxmlformats.org/officeDocument/2006/relationships" name="USO Opt Oct" sheetId="70" state="visible" r:id="rId70"/>
    <sheet xmlns:r="http://schemas.openxmlformats.org/officeDocument/2006/relationships" name="USO Opt Nov" sheetId="71" state="visible" r:id="rId71"/>
    <sheet xmlns:r="http://schemas.openxmlformats.org/officeDocument/2006/relationships" name="USO Opt Dec" sheetId="72" state="visible" r:id="rId72"/>
    <sheet xmlns:r="http://schemas.openxmlformats.org/officeDocument/2006/relationships" name="XLE Opt Jan" sheetId="73" state="visible" r:id="rId73"/>
    <sheet xmlns:r="http://schemas.openxmlformats.org/officeDocument/2006/relationships" name="XLE Opt Feb" sheetId="74" state="visible" r:id="rId74"/>
    <sheet xmlns:r="http://schemas.openxmlformats.org/officeDocument/2006/relationships" name="XLE Opt Mar" sheetId="75" state="visible" r:id="rId75"/>
    <sheet xmlns:r="http://schemas.openxmlformats.org/officeDocument/2006/relationships" name="XLE Opt Apr" sheetId="76" state="visible" r:id="rId76"/>
    <sheet xmlns:r="http://schemas.openxmlformats.org/officeDocument/2006/relationships" name="XLE Opt May" sheetId="77" state="visible" r:id="rId77"/>
    <sheet xmlns:r="http://schemas.openxmlformats.org/officeDocument/2006/relationships" name="XLE Opt Jun" sheetId="78" state="visible" r:id="rId78"/>
    <sheet xmlns:r="http://schemas.openxmlformats.org/officeDocument/2006/relationships" name="XLE Opt Jul" sheetId="79" state="visible" r:id="rId79"/>
    <sheet xmlns:r="http://schemas.openxmlformats.org/officeDocument/2006/relationships" name="XLE Opt Aug" sheetId="80" state="visible" r:id="rId80"/>
    <sheet xmlns:r="http://schemas.openxmlformats.org/officeDocument/2006/relationships" name="XLE Opt Sep" sheetId="81" state="visible" r:id="rId81"/>
    <sheet xmlns:r="http://schemas.openxmlformats.org/officeDocument/2006/relationships" name="XLE Opt Oct" sheetId="82" state="visible" r:id="rId82"/>
    <sheet xmlns:r="http://schemas.openxmlformats.org/officeDocument/2006/relationships" name="XLE Opt Nov" sheetId="83" state="visible" r:id="rId83"/>
    <sheet xmlns:r="http://schemas.openxmlformats.org/officeDocument/2006/relationships" name="XLE Opt Dec" sheetId="84" state="visible" r:id="rId84"/>
    <sheet xmlns:r="http://schemas.openxmlformats.org/officeDocument/2006/relationships" name="XOP Opt Jan" sheetId="85" state="visible" r:id="rId85"/>
    <sheet xmlns:r="http://schemas.openxmlformats.org/officeDocument/2006/relationships" name="XOP Opt Feb" sheetId="86" state="visible" r:id="rId86"/>
    <sheet xmlns:r="http://schemas.openxmlformats.org/officeDocument/2006/relationships" name="XOP Opt Mar" sheetId="87" state="visible" r:id="rId87"/>
    <sheet xmlns:r="http://schemas.openxmlformats.org/officeDocument/2006/relationships" name="XOP Opt Apr" sheetId="88" state="visible" r:id="rId88"/>
    <sheet xmlns:r="http://schemas.openxmlformats.org/officeDocument/2006/relationships" name="XOP Opt May" sheetId="89" state="visible" r:id="rId89"/>
    <sheet xmlns:r="http://schemas.openxmlformats.org/officeDocument/2006/relationships" name="XOP Opt Jun" sheetId="90" state="visible" r:id="rId90"/>
    <sheet xmlns:r="http://schemas.openxmlformats.org/officeDocument/2006/relationships" name="XOP Opt Jul" sheetId="91" state="visible" r:id="rId91"/>
    <sheet xmlns:r="http://schemas.openxmlformats.org/officeDocument/2006/relationships" name="XOP Opt Aug" sheetId="92" state="visible" r:id="rId92"/>
    <sheet xmlns:r="http://schemas.openxmlformats.org/officeDocument/2006/relationships" name="XOP Opt Sep" sheetId="93" state="visible" r:id="rId93"/>
    <sheet xmlns:r="http://schemas.openxmlformats.org/officeDocument/2006/relationships" name="XOP Opt Oct" sheetId="94" state="visible" r:id="rId94"/>
    <sheet xmlns:r="http://schemas.openxmlformats.org/officeDocument/2006/relationships" name="XOP Opt Nov" sheetId="95" state="visible" r:id="rId95"/>
    <sheet xmlns:r="http://schemas.openxmlformats.org/officeDocument/2006/relationships" name="XOP Opt Dec" sheetId="96" state="visible" r:id="rId96"/>
    <sheet xmlns:r="http://schemas.openxmlformats.org/officeDocument/2006/relationships" name="OXY Opt Jan" sheetId="97" state="visible" r:id="rId97"/>
    <sheet xmlns:r="http://schemas.openxmlformats.org/officeDocument/2006/relationships" name="OXY Opt Feb" sheetId="98" state="visible" r:id="rId98"/>
    <sheet xmlns:r="http://schemas.openxmlformats.org/officeDocument/2006/relationships" name="OXY Opt Mar" sheetId="99" state="visible" r:id="rId99"/>
    <sheet xmlns:r="http://schemas.openxmlformats.org/officeDocument/2006/relationships" name="OXY Opt Apr" sheetId="100" state="visible" r:id="rId100"/>
    <sheet xmlns:r="http://schemas.openxmlformats.org/officeDocument/2006/relationships" name="OXY Opt May" sheetId="101" state="visible" r:id="rId101"/>
    <sheet xmlns:r="http://schemas.openxmlformats.org/officeDocument/2006/relationships" name="OXY Opt Jun" sheetId="102" state="visible" r:id="rId102"/>
    <sheet xmlns:r="http://schemas.openxmlformats.org/officeDocument/2006/relationships" name="OXY Opt Jul" sheetId="103" state="visible" r:id="rId103"/>
    <sheet xmlns:r="http://schemas.openxmlformats.org/officeDocument/2006/relationships" name="OXY Opt Aug" sheetId="104" state="visible" r:id="rId104"/>
    <sheet xmlns:r="http://schemas.openxmlformats.org/officeDocument/2006/relationships" name="OXY Opt Sep" sheetId="105" state="visible" r:id="rId105"/>
    <sheet xmlns:r="http://schemas.openxmlformats.org/officeDocument/2006/relationships" name="OXY Opt Oct" sheetId="106" state="visible" r:id="rId106"/>
    <sheet xmlns:r="http://schemas.openxmlformats.org/officeDocument/2006/relationships" name="OXY Opt Nov" sheetId="107" state="visible" r:id="rId107"/>
    <sheet xmlns:r="http://schemas.openxmlformats.org/officeDocument/2006/relationships" name="OXY Opt Dec" sheetId="108" state="visible" r:id="rId108"/>
    <sheet xmlns:r="http://schemas.openxmlformats.org/officeDocument/2006/relationships" name="DAL Opt Jan" sheetId="109" state="visible" r:id="rId109"/>
    <sheet xmlns:r="http://schemas.openxmlformats.org/officeDocument/2006/relationships" name="DAL Opt Feb" sheetId="110" state="visible" r:id="rId110"/>
    <sheet xmlns:r="http://schemas.openxmlformats.org/officeDocument/2006/relationships" name="DAL Opt Mar" sheetId="111" state="visible" r:id="rId111"/>
    <sheet xmlns:r="http://schemas.openxmlformats.org/officeDocument/2006/relationships" name="DAL Opt Apr" sheetId="112" state="visible" r:id="rId112"/>
    <sheet xmlns:r="http://schemas.openxmlformats.org/officeDocument/2006/relationships" name="DAL Opt May" sheetId="113" state="visible" r:id="rId113"/>
    <sheet xmlns:r="http://schemas.openxmlformats.org/officeDocument/2006/relationships" name="DAL Opt Jun" sheetId="114" state="visible" r:id="rId114"/>
    <sheet xmlns:r="http://schemas.openxmlformats.org/officeDocument/2006/relationships" name="DAL Opt Jul" sheetId="115" state="visible" r:id="rId115"/>
    <sheet xmlns:r="http://schemas.openxmlformats.org/officeDocument/2006/relationships" name="DAL Opt Aug" sheetId="116" state="visible" r:id="rId116"/>
    <sheet xmlns:r="http://schemas.openxmlformats.org/officeDocument/2006/relationships" name="DAL Opt Sep" sheetId="117" state="visible" r:id="rId117"/>
    <sheet xmlns:r="http://schemas.openxmlformats.org/officeDocument/2006/relationships" name="DAL Opt Oct" sheetId="118" state="visible" r:id="rId118"/>
    <sheet xmlns:r="http://schemas.openxmlformats.org/officeDocument/2006/relationships" name="DAL Opt Nov" sheetId="119" state="visible" r:id="rId119"/>
    <sheet xmlns:r="http://schemas.openxmlformats.org/officeDocument/2006/relationships" name="DAL Opt Dec" sheetId="120" state="visible" r:id="rId120"/>
    <sheet xmlns:r="http://schemas.openxmlformats.org/officeDocument/2006/relationships" name="Intraday" sheetId="121" state="visible" r:id="rId12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"/>
  </numFmts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0"/>
    </font>
    <font>
      <name val="Arial"/>
      <color rgb="000000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3" fillId="2" borderId="0" pivotButton="0" quotePrefix="0" xfId="0"/>
    <xf numFmtId="0" fontId="4" fillId="0" borderId="0" pivotButton="0" quotePrefix="0" xfId="0"/>
    <xf numFmtId="0" fontId="2" fillId="3" borderId="0" pivotButton="0" quotePrefix="0" xfId="0"/>
    <xf numFmtId="0" fontId="3" fillId="2" borderId="0" pivotButton="0" quotePrefix="0" xfId="0"/>
    <xf numFmtId="1" fontId="3" fillId="2" borderId="0" pivotButton="0" quotePrefix="0" xfId="0"/>
    <xf numFmtId="164" fontId="4" fillId="0" borderId="0" pivotButton="0" quotePrefix="0" xfId="0"/>
    <xf numFmtId="1" fontId="4" fillId="0" borderId="0" pivotButton="0" quotePrefix="0" xfId="0"/>
    <xf numFmtId="2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worksheet" Target="/xl/worksheets/sheet107.xml" Id="rId107"/><Relationship Type="http://schemas.openxmlformats.org/officeDocument/2006/relationships/worksheet" Target="/xl/worksheets/sheet108.xml" Id="rId108"/><Relationship Type="http://schemas.openxmlformats.org/officeDocument/2006/relationships/worksheet" Target="/xl/worksheets/sheet109.xml" Id="rId109"/><Relationship Type="http://schemas.openxmlformats.org/officeDocument/2006/relationships/worksheet" Target="/xl/worksheets/sheet110.xml" Id="rId110"/><Relationship Type="http://schemas.openxmlformats.org/officeDocument/2006/relationships/worksheet" Target="/xl/worksheets/sheet111.xml" Id="rId111"/><Relationship Type="http://schemas.openxmlformats.org/officeDocument/2006/relationships/worksheet" Target="/xl/worksheets/sheet112.xml" Id="rId112"/><Relationship Type="http://schemas.openxmlformats.org/officeDocument/2006/relationships/worksheet" Target="/xl/worksheets/sheet113.xml" Id="rId113"/><Relationship Type="http://schemas.openxmlformats.org/officeDocument/2006/relationships/worksheet" Target="/xl/worksheets/sheet114.xml" Id="rId114"/><Relationship Type="http://schemas.openxmlformats.org/officeDocument/2006/relationships/worksheet" Target="/xl/worksheets/sheet115.xml" Id="rId115"/><Relationship Type="http://schemas.openxmlformats.org/officeDocument/2006/relationships/worksheet" Target="/xl/worksheets/sheet116.xml" Id="rId116"/><Relationship Type="http://schemas.openxmlformats.org/officeDocument/2006/relationships/worksheet" Target="/xl/worksheets/sheet117.xml" Id="rId117"/><Relationship Type="http://schemas.openxmlformats.org/officeDocument/2006/relationships/worksheet" Target="/xl/worksheets/sheet118.xml" Id="rId118"/><Relationship Type="http://schemas.openxmlformats.org/officeDocument/2006/relationships/worksheet" Target="/xl/worksheets/sheet119.xml" Id="rId119"/><Relationship Type="http://schemas.openxmlformats.org/officeDocument/2006/relationships/worksheet" Target="/xl/worksheets/sheet120.xml" Id="rId120"/><Relationship Type="http://schemas.openxmlformats.org/officeDocument/2006/relationships/worksheet" Target="/xl/worksheets/sheet121.xml" Id="rId121"/><Relationship Type="http://schemas.openxmlformats.org/officeDocument/2006/relationships/styles" Target="styles.xml" Id="rId122"/><Relationship Type="http://schemas.openxmlformats.org/officeDocument/2006/relationships/theme" Target="theme/theme1.xml" Id="rId1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12" customWidth="1" min="3" max="3"/>
    <col width="12" customWidth="1" min="4" max="4"/>
    <col width="7" customWidth="1" min="5" max="5"/>
    <col width="7" customWidth="1" min="6" max="6"/>
    <col width="80" customWidth="1" min="7" max="7"/>
  </cols>
  <sheetData>
    <row r="1">
      <c r="A1" s="1" t="inlineStr">
        <is>
          <t>Bloomberg data pull: yen and oil (same data as bbg_pull.py)</t>
        </is>
      </c>
    </row>
    <row r="3">
      <c r="A3" s="2" t="inlineStr">
        <is>
          <t>As-of date</t>
        </is>
      </c>
      <c r="B3" s="3" t="n">
        <v>46308</v>
      </c>
      <c r="C3" s="4" t="inlineStr">
        <is>
          <t>Set to today's date; decides expired vs live futures tickers</t>
        </is>
      </c>
    </row>
    <row r="5">
      <c r="A5" s="5" t="inlineStr">
        <is>
          <t>Section</t>
        </is>
      </c>
      <c r="B5" s="5" t="inlineStr">
        <is>
          <t>Load (Y/N)</t>
        </is>
      </c>
      <c r="C5" s="5" t="inlineStr">
        <is>
          <t>Start date</t>
        </is>
      </c>
      <c r="D5" s="5" t="inlineStr">
        <is>
          <t>End date</t>
        </is>
      </c>
      <c r="E5" s="5" t="inlineStr">
        <is>
          <t>Year</t>
        </is>
      </c>
      <c r="F5" s="5" t="inlineStr">
        <is>
          <t>Other</t>
        </is>
      </c>
      <c r="G5" s="5" t="inlineStr">
        <is>
          <t>Notes</t>
        </is>
      </c>
    </row>
    <row r="6">
      <c r="A6" s="2" t="inlineStr">
        <is>
          <t>Test</t>
        </is>
      </c>
      <c r="B6" s="6" t="inlineStr">
        <is>
          <t>Y</t>
        </is>
      </c>
      <c r="C6" s="3" t="n">
        <v>46294</v>
      </c>
      <c r="D6" s="3" t="n"/>
      <c r="E6" s="7" t="n"/>
      <c r="F6" s="7" t="n"/>
      <c r="G6" s="4" t="inlineStr">
        <is>
          <t>Switch on first. Test sheet: B1 shows a price and column D fills with ~2 weeks of prices</t>
        </is>
      </c>
    </row>
    <row r="7">
      <c r="A7" s="2" t="inlineStr">
        <is>
          <t>Yen</t>
        </is>
      </c>
      <c r="B7" s="6" t="inlineStr">
        <is>
          <t>N</t>
        </is>
      </c>
      <c r="C7" s="3" t="n">
        <v>40179</v>
      </c>
      <c r="D7" s="3" t="n"/>
      <c r="E7" s="7" t="n"/>
      <c r="F7" s="7" t="n"/>
      <c r="G7" s="4" t="inlineStr">
        <is>
          <t>Sheets: Yen Core, Yen Extra</t>
        </is>
      </c>
    </row>
    <row r="8">
      <c r="A8" s="2" t="inlineStr">
        <is>
          <t>Oil core</t>
        </is>
      </c>
      <c r="B8" s="6" t="inlineStr">
        <is>
          <t>N</t>
        </is>
      </c>
      <c r="C8" s="3" t="n">
        <v>40179</v>
      </c>
      <c r="D8" s="3" t="n"/>
      <c r="E8" s="7" t="n"/>
      <c r="F8" s="7" t="n"/>
      <c r="G8" s="4" t="inlineStr">
        <is>
          <t>Sheets: Oil Futures, Oil Equities, Oil Equities Unadj, Macro</t>
        </is>
      </c>
    </row>
    <row r="9">
      <c r="A9" s="2" t="inlineStr">
        <is>
          <t>Oil vol A</t>
        </is>
      </c>
      <c r="B9" s="6" t="inlineStr">
        <is>
          <t>N</t>
        </is>
      </c>
      <c r="C9" s="3" t="n">
        <v>42370</v>
      </c>
      <c r="D9" s="3" t="n"/>
      <c r="E9" s="7" t="n"/>
      <c r="F9" s="7" t="n"/>
      <c r="G9" s="4" t="inlineStr">
        <is>
          <t>Vol sheets for CL1, CL2, CO1, USO (large)</t>
        </is>
      </c>
    </row>
    <row r="10">
      <c r="A10" s="2" t="inlineStr">
        <is>
          <t>Oil vol B</t>
        </is>
      </c>
      <c r="B10" s="6" t="inlineStr">
        <is>
          <t>N</t>
        </is>
      </c>
      <c r="C10" s="3" t="n">
        <v>42370</v>
      </c>
      <c r="D10" s="3" t="n"/>
      <c r="E10" s="7" t="n"/>
      <c r="F10" s="7" t="n"/>
      <c r="G10" s="4" t="inlineStr">
        <is>
          <t>Vol sheets for BNO, XLE, XOP, OXY (large)</t>
        </is>
      </c>
    </row>
    <row r="11">
      <c r="A11" s="2" t="inlineStr">
        <is>
          <t>Oil vol C</t>
        </is>
      </c>
      <c r="B11" s="6" t="inlineStr">
        <is>
          <t>N</t>
        </is>
      </c>
      <c r="C11" s="3" t="n">
        <v>42370</v>
      </c>
      <c r="D11" s="3" t="n"/>
      <c r="E11" s="7" t="n"/>
      <c r="F11" s="7" t="n"/>
      <c r="G11" s="4" t="inlineStr">
        <is>
          <t>Vol sheets for XOM, DAL, JETS, SPY (large)</t>
        </is>
      </c>
    </row>
    <row r="12">
      <c r="A12" s="2" t="inlineStr">
        <is>
          <t>CL futures</t>
        </is>
      </c>
      <c r="B12" s="6" t="inlineStr">
        <is>
          <t>N</t>
        </is>
      </c>
      <c r="C12" s="3" t="n">
        <v>42370</v>
      </c>
      <c r="D12" s="3" t="n"/>
      <c r="E12" s="7" t="n"/>
      <c r="F12" s="7" t="n"/>
      <c r="G12" s="4" t="inlineStr">
        <is>
          <t>Every WTI contract 2016-2029, sheets CL Fut &lt;year&gt; (large)</t>
        </is>
      </c>
    </row>
    <row r="13">
      <c r="A13" s="2" t="inlineStr">
        <is>
          <t>CO futures</t>
        </is>
      </c>
      <c r="B13" s="6" t="inlineStr">
        <is>
          <t>N</t>
        </is>
      </c>
      <c r="C13" s="3" t="n">
        <v>42370</v>
      </c>
      <c r="D13" s="3" t="n"/>
      <c r="E13" s="7" t="n"/>
      <c r="F13" s="7" t="n"/>
      <c r="G13" s="4" t="inlineStr">
        <is>
          <t>Every Brent contract 2016-2029, sheets CO Fut &lt;year&gt; (large)</t>
        </is>
      </c>
    </row>
    <row r="14">
      <c r="A14" s="2" t="inlineStr">
        <is>
          <t>CL options</t>
        </is>
      </c>
      <c r="B14" s="6" t="inlineStr">
        <is>
          <t>N</t>
        </is>
      </c>
      <c r="C14" s="3" t="n"/>
      <c r="D14" s="3" t="n"/>
      <c r="E14" s="7" t="n">
        <v>2026</v>
      </c>
      <c r="F14" s="7" t="n">
        <v>1</v>
      </c>
      <c r="G14" s="4" t="inlineStr">
        <is>
          <t>Year = contract year. Other = strike format: 1 gives 'CLZ6C 70', 2 gives 'CLZ6C 70.00'</t>
        </is>
      </c>
    </row>
    <row r="15">
      <c r="A15" s="2" t="inlineStr">
        <is>
          <t>USO options</t>
        </is>
      </c>
      <c r="B15" s="6" t="inlineStr">
        <is>
          <t>N</t>
        </is>
      </c>
      <c r="C15" s="3" t="n"/>
      <c r="D15" s="3" t="n"/>
      <c r="E15" s="7" t="n">
        <v>2026</v>
      </c>
      <c r="F15" s="7" t="n"/>
      <c r="G15" s="4" t="inlineStr">
        <is>
          <t>Year = expiry year</t>
        </is>
      </c>
    </row>
    <row r="16">
      <c r="A16" s="2" t="inlineStr">
        <is>
          <t>XLE options</t>
        </is>
      </c>
      <c r="B16" s="6" t="inlineStr">
        <is>
          <t>N</t>
        </is>
      </c>
      <c r="C16" s="3" t="n"/>
      <c r="D16" s="3" t="n"/>
      <c r="E16" s="7" t="n">
        <v>2026</v>
      </c>
      <c r="F16" s="7" t="n"/>
      <c r="G16" s="4" t="inlineStr">
        <is>
          <t>Year = expiry year</t>
        </is>
      </c>
    </row>
    <row r="17">
      <c r="A17" s="2" t="inlineStr">
        <is>
          <t>XOP options</t>
        </is>
      </c>
      <c r="B17" s="6" t="inlineStr">
        <is>
          <t>N</t>
        </is>
      </c>
      <c r="C17" s="3" t="n"/>
      <c r="D17" s="3" t="n"/>
      <c r="E17" s="7" t="n">
        <v>2026</v>
      </c>
      <c r="F17" s="7" t="n"/>
      <c r="G17" s="4" t="inlineStr">
        <is>
          <t>Year = expiry year</t>
        </is>
      </c>
    </row>
    <row r="18">
      <c r="A18" s="2" t="inlineStr">
        <is>
          <t>OXY options</t>
        </is>
      </c>
      <c r="B18" s="6" t="inlineStr">
        <is>
          <t>N</t>
        </is>
      </c>
      <c r="C18" s="3" t="n"/>
      <c r="D18" s="3" t="n"/>
      <c r="E18" s="7" t="n">
        <v>2026</v>
      </c>
      <c r="F18" s="7" t="n"/>
      <c r="G18" s="4" t="inlineStr">
        <is>
          <t>Year = expiry year</t>
        </is>
      </c>
    </row>
    <row r="19">
      <c r="A19" s="2" t="inlineStr">
        <is>
          <t>DAL options</t>
        </is>
      </c>
      <c r="B19" s="6" t="inlineStr">
        <is>
          <t>N</t>
        </is>
      </c>
      <c r="C19" s="3" t="n"/>
      <c r="D19" s="3" t="n"/>
      <c r="E19" s="7" t="n">
        <v>2026</v>
      </c>
      <c r="F19" s="7" t="n"/>
      <c r="G19" s="4" t="inlineStr">
        <is>
          <t>Year = expiry year</t>
        </is>
      </c>
    </row>
    <row r="20">
      <c r="A20" s="2" t="inlineStr">
        <is>
          <t>Intraday</t>
        </is>
      </c>
      <c r="B20" s="6" t="inlineStr">
        <is>
          <t>N</t>
        </is>
      </c>
      <c r="C20" s="3" t="n">
        <v>46168</v>
      </c>
      <c r="D20" s="3" t="n">
        <v>46308</v>
      </c>
      <c r="E20" s="7" t="n"/>
      <c r="F20" s="7" t="n">
        <v>5</v>
      </c>
      <c r="G20" s="4" t="inlineStr">
        <is>
          <t>Other = bar size in minutes. Bloomberg keeps ~140 days, so keep Start within that</t>
        </is>
      </c>
    </row>
    <row r="21">
      <c r="A21" s="4" t="inlineStr">
        <is>
          <t>Blank End date = today.</t>
        </is>
      </c>
    </row>
    <row r="23">
      <c r="A23" s="2" t="inlineStr">
        <is>
          <t>Legend</t>
        </is>
      </c>
    </row>
    <row r="24">
      <c r="A24" s="6" t="inlineStr">
        <is>
          <t>Yellow cells, blue text</t>
        </is>
      </c>
      <c r="B24" s="4" t="inlineStr">
        <is>
          <t>inputs you may change; everything else is a formula</t>
        </is>
      </c>
    </row>
    <row r="26">
      <c r="A26" s="2" t="inlineStr">
        <is>
          <t>How to use</t>
        </is>
      </c>
    </row>
    <row r="27">
      <c r="A27" s="4" t="inlineStr">
        <is>
          <t>1. Open this file in Excel on the Bloomberg PC with the Terminal logged in. Click Enable Editing / Enable Content.</t>
        </is>
      </c>
    </row>
    <row r="28">
      <c r="A28" s="4" t="inlineStr">
        <is>
          <t>2. Only sections with Load = Y request data. Test starts as Y; check the Test sheet shows numbers.</t>
        </is>
      </c>
    </row>
    <row r="29">
      <c r="A29" s="4" t="inlineStr">
        <is>
          <t>3. Change Test to N and one other section to Y. Wait until no cell says 'Requesting Data...'.</t>
        </is>
      </c>
    </row>
    <row r="30">
      <c r="A30" s="4" t="inlineStr">
        <is>
          <t>4. File &gt; Save As .xlsx (save often). Then switch that section to N and the next to Y. Turning a section off clears its data, so Save As a new name per section, or keep each finished section on.</t>
        </is>
      </c>
    </row>
    <row r="31">
      <c r="A31" s="4" t="inlineStr">
        <is>
          <t>5. Options sections cover one Year at a time: set the Year, let it load, Save As, then change the Year (2018-2026).</t>
        </is>
      </c>
    </row>
    <row r="32">
      <c r="A32" s="4" t="inlineStr">
        <is>
          <t>6. '#N/A Invalid Security' or '#N/A Field Not Applicable' means that item isn't available; '#N/A Review' means Bloomberg is blocking downloads for this login (contact HELP HELP).</t>
        </is>
      </c>
    </row>
    <row r="33">
      <c r="A33" s="4" t="inlineStr">
        <is>
          <t>7. If nothing loads: Bloomberg tab &gt; Refresh &gt; Refresh Workbook. Upload saved files to Claude.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2" customWidth="1" min="4" max="4"/>
    <col width="10" customWidth="1" min="5" max="5"/>
  </cols>
  <sheetData>
    <row r="1">
      <c r="A1" s="2" t="inlineStr">
        <is>
          <t>Latest WTI price:</t>
        </is>
      </c>
      <c r="B1" s="4">
        <f>IF(Settings!$B$6="Y",BDP("CL1 Comdty","PX_LAST"),"")</f>
        <v/>
      </c>
      <c r="D1" s="2">
        <f>IF(Settings!$B$6="Y","CL1 Comdty","")</f>
        <v/>
      </c>
    </row>
    <row r="2">
      <c r="D2" s="4" t="inlineStr">
        <is>
          <t>WTI crude, front month</t>
        </is>
      </c>
    </row>
    <row r="3">
      <c r="D3" s="5" t="inlineStr">
        <is>
          <t>Date</t>
        </is>
      </c>
      <c r="E3" s="5" t="inlineStr">
        <is>
          <t>PX_LAST</t>
        </is>
      </c>
    </row>
    <row r="4">
      <c r="D4" s="4">
        <f>BDH(D$1,E$3:E$3,Settings!$C$6,IF(Settings!$D$6="","",Settings!$D$6),"Dir=V","Dts=S","Sort=A","Days=T","Fill=B")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2" customWidth="1" min="6" max="6"/>
    <col width="10" customWidth="1" min="7" max="7"/>
    <col width="12" customWidth="1" min="9" max="9"/>
    <col width="10" customWidth="1" min="10" max="10"/>
    <col width="10" customWidth="1" min="11" max="11"/>
    <col width="10" customWidth="1" min="12" max="12"/>
    <col width="12" customWidth="1" min="14" max="14"/>
    <col width="10" customWidth="1" min="15" max="15"/>
    <col width="12" customWidth="1" min="17" max="17"/>
    <col width="10" customWidth="1" min="18" max="18"/>
    <col width="12" customWidth="1" min="20" max="20"/>
    <col width="10" customWidth="1" min="21" max="21"/>
    <col width="12" customWidth="1" min="23" max="23"/>
    <col width="10" customWidth="1" min="24" max="24"/>
    <col width="12" customWidth="1" min="26" max="26"/>
    <col width="10" customWidth="1" min="27" max="27"/>
    <col width="12" customWidth="1" min="29" max="29"/>
    <col width="10" customWidth="1" min="30" max="30"/>
  </cols>
  <sheetData>
    <row r="1">
      <c r="A1" s="2">
        <f>IF(Settings!$B$7="Y","USDJPY Curncy","")</f>
        <v/>
      </c>
      <c r="F1" s="2">
        <f>IF(Settings!$B$7="Y","USDJPYV1W Curncy","")</f>
        <v/>
      </c>
      <c r="I1" s="2">
        <f>IF(Settings!$B$7="Y","USDJPYV1M Curncy","")</f>
        <v/>
      </c>
      <c r="N1" s="2">
        <f>IF(Settings!$B$7="Y","USDJPYV3M Curncy","")</f>
        <v/>
      </c>
      <c r="Q1" s="2">
        <f>IF(Settings!$B$7="Y","USDJPY25R1M Curncy","")</f>
        <v/>
      </c>
      <c r="T1" s="2">
        <f>IF(Settings!$B$7="Y","USDJPY25B1M Curncy","")</f>
        <v/>
      </c>
      <c r="W1" s="2">
        <f>IF(Settings!$B$7="Y","USDJPY10R1M Curncy","")</f>
        <v/>
      </c>
      <c r="Z1" s="2">
        <f>IF(Settings!$B$7="Y","USDJPY10B1M Curncy","")</f>
        <v/>
      </c>
      <c r="AC1" s="2">
        <f>IF(Settings!$B$7="Y","JPY1M Curncy","")</f>
        <v/>
      </c>
    </row>
    <row r="2">
      <c r="A2" s="4" t="inlineStr">
        <is>
          <t>USD/JPY spot</t>
        </is>
      </c>
      <c r="F2" s="4" t="inlineStr">
        <is>
          <t>1-week ATM implied vol</t>
        </is>
      </c>
      <c r="I2" s="4" t="inlineStr">
        <is>
          <t>1-month ATM implied vol</t>
        </is>
      </c>
      <c r="N2" s="4" t="inlineStr">
        <is>
          <t>3-month ATM implied vol</t>
        </is>
      </c>
      <c r="Q2" s="4" t="inlineStr">
        <is>
          <t>1-month 25-delta risk reversal</t>
        </is>
      </c>
      <c r="T2" s="4" t="inlineStr">
        <is>
          <t>1-month 25-delta butterfly</t>
        </is>
      </c>
      <c r="W2" s="4" t="inlineStr">
        <is>
          <t>1-month 10-delta risk reversal</t>
        </is>
      </c>
      <c r="Z2" s="4" t="inlineStr">
        <is>
          <t>1-month 10-delta butterfly</t>
        </is>
      </c>
      <c r="AC2" s="4" t="inlineStr">
        <is>
          <t>1-month forward points</t>
        </is>
      </c>
    </row>
    <row r="3">
      <c r="A3" s="5" t="inlineStr">
        <is>
          <t>Date</t>
        </is>
      </c>
      <c r="B3" s="5" t="inlineStr">
        <is>
          <t>PX_LAST</t>
        </is>
      </c>
      <c r="C3" s="5" t="inlineStr">
        <is>
          <t>PX_HIGH</t>
        </is>
      </c>
      <c r="D3" s="5" t="inlineStr">
        <is>
          <t>PX_LOW</t>
        </is>
      </c>
      <c r="F3" s="5" t="inlineStr">
        <is>
          <t>Date</t>
        </is>
      </c>
      <c r="G3" s="5" t="inlineStr">
        <is>
          <t>PX_LAST</t>
        </is>
      </c>
      <c r="I3" s="5" t="inlineStr">
        <is>
          <t>Date</t>
        </is>
      </c>
      <c r="J3" s="5" t="inlineStr">
        <is>
          <t>PX_LAST</t>
        </is>
      </c>
      <c r="K3" s="5" t="inlineStr">
        <is>
          <t>PX_BID</t>
        </is>
      </c>
      <c r="L3" s="5" t="inlineStr">
        <is>
          <t>PX_ASK</t>
        </is>
      </c>
      <c r="N3" s="5" t="inlineStr">
        <is>
          <t>Date</t>
        </is>
      </c>
      <c r="O3" s="5" t="inlineStr">
        <is>
          <t>PX_LAST</t>
        </is>
      </c>
      <c r="Q3" s="5" t="inlineStr">
        <is>
          <t>Date</t>
        </is>
      </c>
      <c r="R3" s="5" t="inlineStr">
        <is>
          <t>PX_LAST</t>
        </is>
      </c>
      <c r="T3" s="5" t="inlineStr">
        <is>
          <t>Date</t>
        </is>
      </c>
      <c r="U3" s="5" t="inlineStr">
        <is>
          <t>PX_LAST</t>
        </is>
      </c>
      <c r="W3" s="5" t="inlineStr">
        <is>
          <t>Date</t>
        </is>
      </c>
      <c r="X3" s="5" t="inlineStr">
        <is>
          <t>PX_LAST</t>
        </is>
      </c>
      <c r="Z3" s="5" t="inlineStr">
        <is>
          <t>Date</t>
        </is>
      </c>
      <c r="AA3" s="5" t="inlineStr">
        <is>
          <t>PX_LAST</t>
        </is>
      </c>
      <c r="AC3" s="5" t="inlineStr">
        <is>
          <t>Date</t>
        </is>
      </c>
      <c r="AD3" s="5" t="inlineStr">
        <is>
          <t>PX_LAST</t>
        </is>
      </c>
    </row>
    <row r="4">
      <c r="A4" s="4">
        <f>BDH(A$1,B$3:D$3,Settings!$C$7,IF(Settings!$D$7="","",Settings!$D$7),"Dir=V","Dts=S","Sort=A","Days=T","Fill=B")</f>
        <v/>
      </c>
      <c r="F4" s="4">
        <f>BDH(F$1,G$3:G$3,Settings!$C$7,IF(Settings!$D$7="","",Settings!$D$7),"Dir=V","Dts=S","Sort=A","Days=T","Fill=B")</f>
        <v/>
      </c>
      <c r="I4" s="4">
        <f>BDH(I$1,J$3:L$3,Settings!$C$7,IF(Settings!$D$7="","",Settings!$D$7),"Dir=V","Dts=S","Sort=A","Days=T","Fill=B")</f>
        <v/>
      </c>
      <c r="N4" s="4">
        <f>BDH(N$1,O$3:O$3,Settings!$C$7,IF(Settings!$D$7="","",Settings!$D$7),"Dir=V","Dts=S","Sort=A","Days=T","Fill=B")</f>
        <v/>
      </c>
      <c r="Q4" s="4">
        <f>BDH(Q$1,R$3:R$3,Settings!$C$7,IF(Settings!$D$7="","",Settings!$D$7),"Dir=V","Dts=S","Sort=A","Days=T","Fill=B")</f>
        <v/>
      </c>
      <c r="T4" s="4">
        <f>BDH(T$1,U$3:U$3,Settings!$C$7,IF(Settings!$D$7="","",Settings!$D$7),"Dir=V","Dts=S","Sort=A","Days=T","Fill=B")</f>
        <v/>
      </c>
      <c r="W4" s="4">
        <f>BDH(W$1,X$3:X$3,Settings!$C$7,IF(Settings!$D$7="","",Settings!$D$7),"Dir=V","Dts=S","Sort=A","Days=T","Fill=B")</f>
        <v/>
      </c>
      <c r="Z4" s="4">
        <f>BDH(Z$1,AA$3:AA$3,Settings!$C$7,IF(Settings!$D$7="","",Settings!$D$7),"Dir=V","Dts=S","Sort=A","Days=T","Fill=B")</f>
        <v/>
      </c>
      <c r="AC4" s="4">
        <f>BDH(AC$1,AD$3:AD$3,Settings!$C$7,IF(Settings!$D$7="","",Settings!$D$7),"Dir=V","Dts=S","Sort=A","Days=T","Fill=B")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4" max="4"/>
    <col width="10" customWidth="1" min="5" max="5"/>
    <col width="12" customWidth="1" min="7" max="7"/>
    <col width="10" customWidth="1" min="8" max="8"/>
    <col width="12" customWidth="1" min="10" max="10"/>
    <col width="10" customWidth="1" min="11" max="11"/>
    <col width="12" customWidth="1" min="13" max="13"/>
    <col width="10" customWidth="1" min="14" max="14"/>
    <col width="12" customWidth="1" min="16" max="16"/>
    <col width="10" customWidth="1" min="17" max="17"/>
    <col width="12" customWidth="1" min="19" max="19"/>
    <col width="10" customWidth="1" min="20" max="20"/>
    <col width="12" customWidth="1" min="22" max="22"/>
    <col width="10" customWidth="1" min="23" max="23"/>
    <col width="12" customWidth="1" min="25" max="25"/>
    <col width="10" customWidth="1" min="26" max="26"/>
    <col width="12" customWidth="1" min="28" max="28"/>
    <col width="10" customWidth="1" min="29" max="29"/>
    <col width="11" customWidth="1" min="30" max="30"/>
    <col width="10" customWidth="1" min="31" max="31"/>
    <col width="27" customWidth="1" min="32" max="32"/>
    <col width="12" customWidth="1" min="34" max="34"/>
    <col width="10" customWidth="1" min="35" max="35"/>
    <col width="10" customWidth="1" min="36" max="36"/>
    <col width="12" customWidth="1" min="38" max="38"/>
    <col width="10" customWidth="1" min="39" max="39"/>
    <col width="12" customWidth="1" min="41" max="41"/>
    <col width="10" customWidth="1" min="42" max="42"/>
    <col width="12" customWidth="1" min="44" max="44"/>
    <col width="10" customWidth="1" min="45" max="45"/>
    <col width="12" customWidth="1" min="47" max="47"/>
    <col width="10" customWidth="1" min="48" max="48"/>
    <col width="12" customWidth="1" min="50" max="50"/>
    <col width="10" customWidth="1" min="51" max="51"/>
    <col width="12" customWidth="1" min="53" max="53"/>
    <col width="10" customWidth="1" min="54" max="54"/>
    <col width="12" customWidth="1" min="56" max="56"/>
    <col width="10" customWidth="1" min="57" max="57"/>
    <col width="12" customWidth="1" min="59" max="59"/>
    <col width="10" customWidth="1" min="60" max="60"/>
  </cols>
  <sheetData>
    <row r="1">
      <c r="A1" s="2">
        <f>IF(Settings!$B$7="Y","USDJPYV2W Curncy","")</f>
        <v/>
      </c>
      <c r="D1" s="2">
        <f>IF(Settings!$B$7="Y","USDJPYV2M Curncy","")</f>
        <v/>
      </c>
      <c r="G1" s="2">
        <f>IF(Settings!$B$7="Y","USDJPYV6M Curncy","")</f>
        <v/>
      </c>
      <c r="J1" s="2">
        <f>IF(Settings!$B$7="Y","USDJPYV1Y Curncy","")</f>
        <v/>
      </c>
      <c r="M1" s="2">
        <f>IF(Settings!$B$7="Y","USDJPY25R1W Curncy","")</f>
        <v/>
      </c>
      <c r="P1" s="2">
        <f>IF(Settings!$B$7="Y","USDJPY25R3M Curncy","")</f>
        <v/>
      </c>
      <c r="S1" s="2">
        <f>IF(Settings!$B$7="Y","USDJPY25B3M Curncy","")</f>
        <v/>
      </c>
      <c r="V1" s="2">
        <f>IF(Settings!$B$7="Y","JPY1W Curncy","")</f>
        <v/>
      </c>
      <c r="Y1" s="2">
        <f>IF(Settings!$B$7="Y","JPY3M Curncy","")</f>
        <v/>
      </c>
      <c r="AB1" s="2">
        <f>IF(Settings!$B$7="Y","JY1 Curncy","")</f>
        <v/>
      </c>
      <c r="AH1" s="2">
        <f>IF(Settings!$B$7="Y","JY2 Curncy","")</f>
        <v/>
      </c>
      <c r="AL1" s="2">
        <f>IF(Settings!$B$7="Y","USGG2YR Index","")</f>
        <v/>
      </c>
      <c r="AO1" s="2">
        <f>IF(Settings!$B$7="Y","USGG10YR Index","")</f>
        <v/>
      </c>
      <c r="AR1" s="2">
        <f>IF(Settings!$B$7="Y","GTJPY2Y Govt","")</f>
        <v/>
      </c>
      <c r="AU1" s="2">
        <f>IF(Settings!$B$7="Y","GTJPY10Y Govt","")</f>
        <v/>
      </c>
      <c r="AX1" s="2">
        <f>IF(Settings!$B$7="Y","CL1 Comdty","")</f>
        <v/>
      </c>
      <c r="BA1" s="2">
        <f>IF(Settings!$B$7="Y","CO1 Comdty","")</f>
        <v/>
      </c>
      <c r="BD1" s="2">
        <f>IF(Settings!$B$7="Y","OVX Index","")</f>
        <v/>
      </c>
      <c r="BG1" s="2">
        <f>IF(Settings!$B$7="Y","VIX Index","")</f>
        <v/>
      </c>
    </row>
    <row r="2">
      <c r="A2" s="4" t="inlineStr">
        <is>
          <t>2-week ATM implied vol</t>
        </is>
      </c>
      <c r="D2" s="4" t="inlineStr">
        <is>
          <t>2-month ATM implied vol</t>
        </is>
      </c>
      <c r="G2" s="4" t="inlineStr">
        <is>
          <t>6-month ATM implied vol</t>
        </is>
      </c>
      <c r="J2" s="4" t="inlineStr">
        <is>
          <t>1-year ATM implied vol</t>
        </is>
      </c>
      <c r="M2" s="4" t="inlineStr">
        <is>
          <t>1-week 25-delta risk reversal</t>
        </is>
      </c>
      <c r="P2" s="4" t="inlineStr">
        <is>
          <t>3-month 25-delta risk reversal</t>
        </is>
      </c>
      <c r="S2" s="4" t="inlineStr">
        <is>
          <t>3-month 25-delta butterfly</t>
        </is>
      </c>
      <c r="V2" s="4" t="inlineStr">
        <is>
          <t>1-week forward points</t>
        </is>
      </c>
      <c r="Y2" s="4" t="inlineStr">
        <is>
          <t>3-month forward points</t>
        </is>
      </c>
      <c r="AB2" s="4" t="inlineStr">
        <is>
          <t>CME yen futures, front</t>
        </is>
      </c>
      <c r="AH2" s="4" t="inlineStr">
        <is>
          <t>CME yen futures, second</t>
        </is>
      </c>
      <c r="AL2" s="4" t="inlineStr">
        <is>
          <t>US 2-year Treasury yield</t>
        </is>
      </c>
      <c r="AO2" s="4" t="inlineStr">
        <is>
          <t>US 10-year Treasury yield</t>
        </is>
      </c>
      <c r="AR2" s="4" t="inlineStr">
        <is>
          <t>Japan 2-year JGB yield</t>
        </is>
      </c>
      <c r="AU2" s="4" t="inlineStr">
        <is>
          <t>Japan 10-year JGB yield</t>
        </is>
      </c>
      <c r="AX2" s="4" t="inlineStr">
        <is>
          <t>WTI crude, front month</t>
        </is>
      </c>
      <c r="BA2" s="4" t="inlineStr">
        <is>
          <t>Brent crude, front month</t>
        </is>
      </c>
      <c r="BD2" s="4" t="inlineStr">
        <is>
          <t>Cboe crude oil volatility index</t>
        </is>
      </c>
      <c r="BG2" s="4" t="inlineStr">
        <is>
          <t>Cboe VIX</t>
        </is>
      </c>
    </row>
    <row r="3">
      <c r="A3" s="5" t="inlineStr">
        <is>
          <t>Date</t>
        </is>
      </c>
      <c r="B3" s="5" t="inlineStr">
        <is>
          <t>PX_LAST</t>
        </is>
      </c>
      <c r="D3" s="5" t="inlineStr">
        <is>
          <t>Date</t>
        </is>
      </c>
      <c r="E3" s="5" t="inlineStr">
        <is>
          <t>PX_LAST</t>
        </is>
      </c>
      <c r="G3" s="5" t="inlineStr">
        <is>
          <t>Date</t>
        </is>
      </c>
      <c r="H3" s="5" t="inlineStr">
        <is>
          <t>PX_LAST</t>
        </is>
      </c>
      <c r="J3" s="5" t="inlineStr">
        <is>
          <t>Date</t>
        </is>
      </c>
      <c r="K3" s="5" t="inlineStr">
        <is>
          <t>PX_LAST</t>
        </is>
      </c>
      <c r="M3" s="5" t="inlineStr">
        <is>
          <t>Date</t>
        </is>
      </c>
      <c r="N3" s="5" t="inlineStr">
        <is>
          <t>PX_LAST</t>
        </is>
      </c>
      <c r="P3" s="5" t="inlineStr">
        <is>
          <t>Date</t>
        </is>
      </c>
      <c r="Q3" s="5" t="inlineStr">
        <is>
          <t>PX_LAST</t>
        </is>
      </c>
      <c r="S3" s="5" t="inlineStr">
        <is>
          <t>Date</t>
        </is>
      </c>
      <c r="T3" s="5" t="inlineStr">
        <is>
          <t>PX_LAST</t>
        </is>
      </c>
      <c r="V3" s="5" t="inlineStr">
        <is>
          <t>Date</t>
        </is>
      </c>
      <c r="W3" s="5" t="inlineStr">
        <is>
          <t>PX_LAST</t>
        </is>
      </c>
      <c r="Y3" s="5" t="inlineStr">
        <is>
          <t>Date</t>
        </is>
      </c>
      <c r="Z3" s="5" t="inlineStr">
        <is>
          <t>PX_LAST</t>
        </is>
      </c>
      <c r="AB3" s="5" t="inlineStr">
        <is>
          <t>Date</t>
        </is>
      </c>
      <c r="AC3" s="5" t="inlineStr">
        <is>
          <t>PX_LAST</t>
        </is>
      </c>
      <c r="AD3" s="5" t="inlineStr">
        <is>
          <t>PX_VOLUME</t>
        </is>
      </c>
      <c r="AE3" s="5" t="inlineStr">
        <is>
          <t>OPEN_INT</t>
        </is>
      </c>
      <c r="AF3" s="5" t="inlineStr">
        <is>
          <t>30DAY_IMPVOL_100.0%MNY_DF</t>
        </is>
      </c>
      <c r="AH3" s="5" t="inlineStr">
        <is>
          <t>Date</t>
        </is>
      </c>
      <c r="AI3" s="5" t="inlineStr">
        <is>
          <t>PX_LAST</t>
        </is>
      </c>
      <c r="AJ3" s="5" t="inlineStr">
        <is>
          <t>OPEN_INT</t>
        </is>
      </c>
      <c r="AL3" s="5" t="inlineStr">
        <is>
          <t>Date</t>
        </is>
      </c>
      <c r="AM3" s="5" t="inlineStr">
        <is>
          <t>PX_LAST</t>
        </is>
      </c>
      <c r="AO3" s="5" t="inlineStr">
        <is>
          <t>Date</t>
        </is>
      </c>
      <c r="AP3" s="5" t="inlineStr">
        <is>
          <t>PX_LAST</t>
        </is>
      </c>
      <c r="AR3" s="5" t="inlineStr">
        <is>
          <t>Date</t>
        </is>
      </c>
      <c r="AS3" s="5" t="inlineStr">
        <is>
          <t>PX_LAST</t>
        </is>
      </c>
      <c r="AU3" s="5" t="inlineStr">
        <is>
          <t>Date</t>
        </is>
      </c>
      <c r="AV3" s="5" t="inlineStr">
        <is>
          <t>PX_LAST</t>
        </is>
      </c>
      <c r="AX3" s="5" t="inlineStr">
        <is>
          <t>Date</t>
        </is>
      </c>
      <c r="AY3" s="5" t="inlineStr">
        <is>
          <t>PX_LAST</t>
        </is>
      </c>
      <c r="BA3" s="5" t="inlineStr">
        <is>
          <t>Date</t>
        </is>
      </c>
      <c r="BB3" s="5" t="inlineStr">
        <is>
          <t>PX_LAST</t>
        </is>
      </c>
      <c r="BD3" s="5" t="inlineStr">
        <is>
          <t>Date</t>
        </is>
      </c>
      <c r="BE3" s="5" t="inlineStr">
        <is>
          <t>PX_LAST</t>
        </is>
      </c>
      <c r="BG3" s="5" t="inlineStr">
        <is>
          <t>Date</t>
        </is>
      </c>
      <c r="BH3" s="5" t="inlineStr">
        <is>
          <t>PX_LAST</t>
        </is>
      </c>
    </row>
    <row r="4">
      <c r="A4" s="4">
        <f>BDH(A$1,B$3:B$3,Settings!$C$7,IF(Settings!$D$7="","",Settings!$D$7),"Dir=V","Dts=S","Sort=A","Days=T","Fill=B")</f>
        <v/>
      </c>
      <c r="D4" s="4">
        <f>BDH(D$1,E$3:E$3,Settings!$C$7,IF(Settings!$D$7="","",Settings!$D$7),"Dir=V","Dts=S","Sort=A","Days=T","Fill=B")</f>
        <v/>
      </c>
      <c r="G4" s="4">
        <f>BDH(G$1,H$3:H$3,Settings!$C$7,IF(Settings!$D$7="","",Settings!$D$7),"Dir=V","Dts=S","Sort=A","Days=T","Fill=B")</f>
        <v/>
      </c>
      <c r="J4" s="4">
        <f>BDH(J$1,K$3:K$3,Settings!$C$7,IF(Settings!$D$7="","",Settings!$D$7),"Dir=V","Dts=S","Sort=A","Days=T","Fill=B")</f>
        <v/>
      </c>
      <c r="M4" s="4">
        <f>BDH(M$1,N$3:N$3,Settings!$C$7,IF(Settings!$D$7="","",Settings!$D$7),"Dir=V","Dts=S","Sort=A","Days=T","Fill=B")</f>
        <v/>
      </c>
      <c r="P4" s="4">
        <f>BDH(P$1,Q$3:Q$3,Settings!$C$7,IF(Settings!$D$7="","",Settings!$D$7),"Dir=V","Dts=S","Sort=A","Days=T","Fill=B")</f>
        <v/>
      </c>
      <c r="S4" s="4">
        <f>BDH(S$1,T$3:T$3,Settings!$C$7,IF(Settings!$D$7="","",Settings!$D$7),"Dir=V","Dts=S","Sort=A","Days=T","Fill=B")</f>
        <v/>
      </c>
      <c r="V4" s="4">
        <f>BDH(V$1,W$3:W$3,Settings!$C$7,IF(Settings!$D$7="","",Settings!$D$7),"Dir=V","Dts=S","Sort=A","Days=T","Fill=B")</f>
        <v/>
      </c>
      <c r="Y4" s="4">
        <f>BDH(Y$1,Z$3:Z$3,Settings!$C$7,IF(Settings!$D$7="","",Settings!$D$7),"Dir=V","Dts=S","Sort=A","Days=T","Fill=B")</f>
        <v/>
      </c>
      <c r="AB4" s="4">
        <f>BDH(AB$1,AC$3:AF$3,Settings!$C$7,IF(Settings!$D$7="","",Settings!$D$7),"Dir=V","Dts=S","Sort=A","Days=T","Fill=B")</f>
        <v/>
      </c>
      <c r="AH4" s="4">
        <f>BDH(AH$1,AI$3:AJ$3,Settings!$C$7,IF(Settings!$D$7="","",Settings!$D$7),"Dir=V","Dts=S","Sort=A","Days=T","Fill=B")</f>
        <v/>
      </c>
      <c r="AL4" s="4">
        <f>BDH(AL$1,AM$3:AM$3,Settings!$C$7,IF(Settings!$D$7="","",Settings!$D$7),"Dir=V","Dts=S","Sort=A","Days=T","Fill=B")</f>
        <v/>
      </c>
      <c r="AO4" s="4">
        <f>BDH(AO$1,AP$3:AP$3,Settings!$C$7,IF(Settings!$D$7="","",Settings!$D$7),"Dir=V","Dts=S","Sort=A","Days=T","Fill=B")</f>
        <v/>
      </c>
      <c r="AR4" s="4">
        <f>BDH(AR$1,AS$3:AS$3,Settings!$C$7,IF(Settings!$D$7="","",Settings!$D$7),"Dir=V","Dts=S","Sort=A","Days=T","Fill=B")</f>
        <v/>
      </c>
      <c r="AU4" s="4">
        <f>BDH(AU$1,AV$3:AV$3,Settings!$C$7,IF(Settings!$D$7="","",Settings!$D$7),"Dir=V","Dts=S","Sort=A","Days=T","Fill=B")</f>
        <v/>
      </c>
      <c r="AX4" s="4">
        <f>BDH(AX$1,AY$3:AY$3,Settings!$C$7,IF(Settings!$D$7="","",Settings!$D$7),"Dir=V","Dts=S","Sort=A","Days=T","Fill=B")</f>
        <v/>
      </c>
      <c r="BA4" s="4">
        <f>BDH(BA$1,BB$3:BB$3,Settings!$C$7,IF(Settings!$D$7="","",Settings!$D$7),"Dir=V","Dts=S","Sort=A","Days=T","Fill=B")</f>
        <v/>
      </c>
      <c r="BD4" s="4">
        <f>BDH(BD$1,BE$3:BE$3,Settings!$C$7,IF(Settings!$D$7="","",Settings!$D$7),"Dir=V","Dts=S","Sort=A","Days=T","Fill=B")</f>
        <v/>
      </c>
      <c r="BG4" s="4">
        <f>BDH(BG$1,BH$3:BH$3,Settings!$C$7,IF(Settings!$D$7="","",Settings!$D$7),"Dir=V","Dts=S","Sort=A","Days=T","Fill=B")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O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1" customWidth="1" min="7" max="7"/>
    <col width="10" customWidth="1" min="8" max="8"/>
    <col width="12" customWidth="1" min="10" max="10"/>
    <col width="10" customWidth="1" min="11" max="11"/>
    <col width="10" customWidth="1" min="12" max="12"/>
    <col width="10" customWidth="1" min="13" max="13"/>
    <col width="10" customWidth="1" min="14" max="14"/>
    <col width="11" customWidth="1" min="15" max="15"/>
    <col width="11" customWidth="1" min="16" max="16"/>
    <col width="10" customWidth="1" min="17" max="17"/>
    <col width="12" customWidth="1" min="19" max="19"/>
    <col width="10" customWidth="1" min="20" max="20"/>
    <col width="10" customWidth="1" min="21" max="21"/>
    <col width="10" customWidth="1" min="22" max="22"/>
    <col width="10" customWidth="1" min="23" max="23"/>
    <col width="11" customWidth="1" min="24" max="24"/>
    <col width="11" customWidth="1" min="25" max="25"/>
    <col width="10" customWidth="1" min="26" max="26"/>
    <col width="12" customWidth="1" min="28" max="28"/>
    <col width="10" customWidth="1" min="29" max="29"/>
    <col width="10" customWidth="1" min="30" max="30"/>
    <col width="10" customWidth="1" min="31" max="31"/>
    <col width="10" customWidth="1" min="32" max="32"/>
    <col width="11" customWidth="1" min="33" max="33"/>
    <col width="11" customWidth="1" min="34" max="34"/>
    <col width="10" customWidth="1" min="35" max="35"/>
    <col width="12" customWidth="1" min="37" max="37"/>
    <col width="10" customWidth="1" min="38" max="38"/>
    <col width="10" customWidth="1" min="39" max="39"/>
    <col width="10" customWidth="1" min="40" max="40"/>
    <col width="10" customWidth="1" min="41" max="41"/>
    <col width="11" customWidth="1" min="42" max="42"/>
    <col width="11" customWidth="1" min="43" max="43"/>
    <col width="10" customWidth="1" min="44" max="44"/>
    <col width="12" customWidth="1" min="46" max="46"/>
    <col width="10" customWidth="1" min="47" max="47"/>
    <col width="10" customWidth="1" min="48" max="48"/>
    <col width="10" customWidth="1" min="49" max="49"/>
    <col width="10" customWidth="1" min="50" max="50"/>
    <col width="11" customWidth="1" min="51" max="51"/>
    <col width="11" customWidth="1" min="52" max="52"/>
    <col width="10" customWidth="1" min="53" max="53"/>
    <col width="12" customWidth="1" min="55" max="55"/>
    <col width="10" customWidth="1" min="56" max="56"/>
    <col width="10" customWidth="1" min="57" max="57"/>
    <col width="10" customWidth="1" min="58" max="58"/>
    <col width="10" customWidth="1" min="59" max="59"/>
    <col width="11" customWidth="1" min="60" max="60"/>
    <col width="11" customWidth="1" min="61" max="61"/>
    <col width="10" customWidth="1" min="62" max="62"/>
    <col width="12" customWidth="1" min="64" max="64"/>
    <col width="10" customWidth="1" min="65" max="65"/>
    <col width="10" customWidth="1" min="66" max="66"/>
    <col width="10" customWidth="1" min="67" max="67"/>
    <col width="10" customWidth="1" min="68" max="68"/>
    <col width="11" customWidth="1" min="69" max="69"/>
    <col width="11" customWidth="1" min="70" max="70"/>
    <col width="10" customWidth="1" min="71" max="71"/>
    <col width="12" customWidth="1" min="73" max="73"/>
    <col width="10" customWidth="1" min="74" max="74"/>
    <col width="10" customWidth="1" min="75" max="75"/>
    <col width="10" customWidth="1" min="76" max="76"/>
    <col width="10" customWidth="1" min="77" max="77"/>
    <col width="11" customWidth="1" min="78" max="78"/>
    <col width="11" customWidth="1" min="79" max="79"/>
    <col width="10" customWidth="1" min="80" max="80"/>
    <col width="12" customWidth="1" min="82" max="82"/>
    <col width="10" customWidth="1" min="83" max="83"/>
    <col width="10" customWidth="1" min="84" max="84"/>
    <col width="10" customWidth="1" min="85" max="85"/>
    <col width="10" customWidth="1" min="86" max="86"/>
    <col width="11" customWidth="1" min="87" max="87"/>
    <col width="11" customWidth="1" min="88" max="88"/>
    <col width="10" customWidth="1" min="89" max="89"/>
    <col width="12" customWidth="1" min="91" max="91"/>
    <col width="10" customWidth="1" min="92" max="92"/>
    <col width="10" customWidth="1" min="93" max="93"/>
    <col width="10" customWidth="1" min="94" max="94"/>
    <col width="10" customWidth="1" min="95" max="95"/>
    <col width="11" customWidth="1" min="96" max="96"/>
    <col width="11" customWidth="1" min="97" max="97"/>
    <col width="10" customWidth="1" min="98" max="98"/>
    <col width="12" customWidth="1" min="100" max="100"/>
    <col width="10" customWidth="1" min="101" max="101"/>
    <col width="10" customWidth="1" min="102" max="102"/>
    <col width="10" customWidth="1" min="103" max="103"/>
    <col width="10" customWidth="1" min="104" max="104"/>
    <col width="11" customWidth="1" min="105" max="105"/>
    <col width="11" customWidth="1" min="106" max="106"/>
    <col width="10" customWidth="1" min="107" max="107"/>
    <col width="12" customWidth="1" min="109" max="109"/>
    <col width="10" customWidth="1" min="110" max="110"/>
    <col width="10" customWidth="1" min="111" max="111"/>
    <col width="10" customWidth="1" min="112" max="112"/>
    <col width="10" customWidth="1" min="113" max="113"/>
    <col width="11" customWidth="1" min="114" max="114"/>
    <col width="11" customWidth="1" min="115" max="115"/>
    <col width="10" customWidth="1" min="116" max="116"/>
    <col width="12" customWidth="1" min="118" max="118"/>
    <col width="10" customWidth="1" min="119" max="119"/>
    <col width="10" customWidth="1" min="120" max="120"/>
    <col width="10" customWidth="1" min="121" max="121"/>
    <col width="10" customWidth="1" min="122" max="122"/>
    <col width="11" customWidth="1" min="123" max="123"/>
    <col width="11" customWidth="1" min="124" max="124"/>
    <col width="10" customWidth="1" min="125" max="125"/>
    <col width="12" customWidth="1" min="127" max="127"/>
    <col width="10" customWidth="1" min="128" max="128"/>
    <col width="10" customWidth="1" min="129" max="129"/>
    <col width="10" customWidth="1" min="130" max="130"/>
    <col width="10" customWidth="1" min="131" max="131"/>
    <col width="11" customWidth="1" min="132" max="132"/>
    <col width="11" customWidth="1" min="133" max="133"/>
    <col width="10" customWidth="1" min="134" max="134"/>
    <col width="12" customWidth="1" min="136" max="136"/>
    <col width="10" customWidth="1" min="137" max="137"/>
    <col width="10" customWidth="1" min="138" max="138"/>
    <col width="10" customWidth="1" min="139" max="139"/>
    <col width="10" customWidth="1" min="140" max="140"/>
    <col width="11" customWidth="1" min="141" max="141"/>
    <col width="11" customWidth="1" min="142" max="142"/>
    <col width="10" customWidth="1" min="143" max="143"/>
    <col width="12" customWidth="1" min="145" max="145"/>
    <col width="10" customWidth="1" min="146" max="146"/>
    <col width="10" customWidth="1" min="147" max="147"/>
    <col width="10" customWidth="1" min="148" max="148"/>
    <col width="10" customWidth="1" min="149" max="149"/>
    <col width="11" customWidth="1" min="150" max="150"/>
    <col width="11" customWidth="1" min="151" max="151"/>
    <col width="10" customWidth="1" min="152" max="152"/>
    <col width="12" customWidth="1" min="154" max="154"/>
    <col width="10" customWidth="1" min="155" max="155"/>
    <col width="10" customWidth="1" min="156" max="156"/>
    <col width="10" customWidth="1" min="157" max="157"/>
    <col width="10" customWidth="1" min="158" max="158"/>
    <col width="11" customWidth="1" min="159" max="159"/>
    <col width="11" customWidth="1" min="160" max="160"/>
    <col width="10" customWidth="1" min="161" max="161"/>
    <col width="12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1" customWidth="1" min="168" max="168"/>
    <col width="11" customWidth="1" min="169" max="169"/>
    <col width="10" customWidth="1" min="170" max="170"/>
    <col width="12" customWidth="1" min="172" max="172"/>
    <col width="10" customWidth="1" min="173" max="173"/>
    <col width="10" customWidth="1" min="174" max="174"/>
    <col width="10" customWidth="1" min="175" max="175"/>
    <col width="10" customWidth="1" min="176" max="176"/>
    <col width="11" customWidth="1" min="177" max="177"/>
    <col width="11" customWidth="1" min="178" max="178"/>
    <col width="10" customWidth="1" min="179" max="179"/>
    <col width="12" customWidth="1" min="181" max="181"/>
    <col width="10" customWidth="1" min="182" max="182"/>
    <col width="10" customWidth="1" min="183" max="183"/>
    <col width="10" customWidth="1" min="184" max="184"/>
    <col width="10" customWidth="1" min="185" max="185"/>
    <col width="11" customWidth="1" min="186" max="186"/>
    <col width="11" customWidth="1" min="187" max="187"/>
    <col width="10" customWidth="1" min="188" max="188"/>
    <col width="12" customWidth="1" min="190" max="190"/>
    <col width="10" customWidth="1" min="191" max="191"/>
    <col width="10" customWidth="1" min="192" max="192"/>
    <col width="10" customWidth="1" min="193" max="193"/>
    <col width="10" customWidth="1" min="194" max="194"/>
    <col width="11" customWidth="1" min="195" max="195"/>
    <col width="11" customWidth="1" min="196" max="196"/>
    <col width="10" customWidth="1" min="197" max="197"/>
  </cols>
  <sheetData>
    <row r="1">
      <c r="A1" s="2">
        <f>IF(Settings!$B$8="Y","CL1 Comdty","")</f>
        <v/>
      </c>
      <c r="J1" s="2">
        <f>IF(Settings!$B$8="Y","CL2 Comdty","")</f>
        <v/>
      </c>
      <c r="S1" s="2">
        <f>IF(Settings!$B$8="Y","CL3 Comdty","")</f>
        <v/>
      </c>
      <c r="AB1" s="2">
        <f>IF(Settings!$B$8="Y","CL4 Comdty","")</f>
        <v/>
      </c>
      <c r="AK1" s="2">
        <f>IF(Settings!$B$8="Y","CL5 Comdty","")</f>
        <v/>
      </c>
      <c r="AT1" s="2">
        <f>IF(Settings!$B$8="Y","CL6 Comdty","")</f>
        <v/>
      </c>
      <c r="BC1" s="2">
        <f>IF(Settings!$B$8="Y","CL7 Comdty","")</f>
        <v/>
      </c>
      <c r="BL1" s="2">
        <f>IF(Settings!$B$8="Y","CL8 Comdty","")</f>
        <v/>
      </c>
      <c r="BU1" s="2">
        <f>IF(Settings!$B$8="Y","CL9 Comdty","")</f>
        <v/>
      </c>
      <c r="CD1" s="2">
        <f>IF(Settings!$B$8="Y","CL10 Comdty","")</f>
        <v/>
      </c>
      <c r="CM1" s="2">
        <f>IF(Settings!$B$8="Y","CL11 Comdty","")</f>
        <v/>
      </c>
      <c r="CV1" s="2">
        <f>IF(Settings!$B$8="Y","CL12 Comdty","")</f>
        <v/>
      </c>
      <c r="DE1" s="2">
        <f>IF(Settings!$B$8="Y","CO1 Comdty","")</f>
        <v/>
      </c>
      <c r="DN1" s="2">
        <f>IF(Settings!$B$8="Y","CO2 Comdty","")</f>
        <v/>
      </c>
      <c r="DW1" s="2">
        <f>IF(Settings!$B$8="Y","CO3 Comdty","")</f>
        <v/>
      </c>
      <c r="EF1" s="2">
        <f>IF(Settings!$B$8="Y","CO4 Comdty","")</f>
        <v/>
      </c>
      <c r="EO1" s="2">
        <f>IF(Settings!$B$8="Y","CO5 Comdty","")</f>
        <v/>
      </c>
      <c r="EX1" s="2">
        <f>IF(Settings!$B$8="Y","CO6 Comdty","")</f>
        <v/>
      </c>
      <c r="FG1" s="2">
        <f>IF(Settings!$B$8="Y","HO1 Comdty","")</f>
        <v/>
      </c>
      <c r="FP1" s="2">
        <f>IF(Settings!$B$8="Y","XB1 Comdty","")</f>
        <v/>
      </c>
      <c r="FY1" s="2">
        <f>IF(Settings!$B$8="Y","QM1 Comdty","")</f>
        <v/>
      </c>
      <c r="GH1" s="2">
        <f>IF(Settings!$B$8="Y","NG1 Comdty","")</f>
        <v/>
      </c>
    </row>
    <row r="2">
      <c r="A2" s="4" t="inlineStr">
        <is>
          <t>WTI crude, generic month 1</t>
        </is>
      </c>
      <c r="J2" s="4" t="inlineStr">
        <is>
          <t>WTI crude, generic month 2</t>
        </is>
      </c>
      <c r="S2" s="4" t="inlineStr">
        <is>
          <t>WTI crude, generic month 3</t>
        </is>
      </c>
      <c r="AB2" s="4" t="inlineStr">
        <is>
          <t>WTI crude, generic month 4</t>
        </is>
      </c>
      <c r="AK2" s="4" t="inlineStr">
        <is>
          <t>WTI crude, generic month 5</t>
        </is>
      </c>
      <c r="AT2" s="4" t="inlineStr">
        <is>
          <t>WTI crude, generic month 6</t>
        </is>
      </c>
      <c r="BC2" s="4" t="inlineStr">
        <is>
          <t>WTI crude, generic month 7</t>
        </is>
      </c>
      <c r="BL2" s="4" t="inlineStr">
        <is>
          <t>WTI crude, generic month 8</t>
        </is>
      </c>
      <c r="BU2" s="4" t="inlineStr">
        <is>
          <t>WTI crude, generic month 9</t>
        </is>
      </c>
      <c r="CD2" s="4" t="inlineStr">
        <is>
          <t>WTI crude, generic month 10</t>
        </is>
      </c>
      <c r="CM2" s="4" t="inlineStr">
        <is>
          <t>WTI crude, generic month 11</t>
        </is>
      </c>
      <c r="CV2" s="4" t="inlineStr">
        <is>
          <t>WTI crude, generic month 12</t>
        </is>
      </c>
      <c r="DE2" s="4" t="inlineStr">
        <is>
          <t>Brent crude, generic month 1</t>
        </is>
      </c>
      <c r="DN2" s="4" t="inlineStr">
        <is>
          <t>Brent crude, generic month 2</t>
        </is>
      </c>
      <c r="DW2" s="4" t="inlineStr">
        <is>
          <t>Brent crude, generic month 3</t>
        </is>
      </c>
      <c r="EF2" s="4" t="inlineStr">
        <is>
          <t>Brent crude, generic month 4</t>
        </is>
      </c>
      <c r="EO2" s="4" t="inlineStr">
        <is>
          <t>Brent crude, generic month 5</t>
        </is>
      </c>
      <c r="EX2" s="4" t="inlineStr">
        <is>
          <t>Brent crude, generic month 6</t>
        </is>
      </c>
      <c r="FG2" s="4" t="inlineStr">
        <is>
          <t>NY Harbor ULSD (heating oil), front</t>
        </is>
      </c>
      <c r="FP2" s="4" t="inlineStr">
        <is>
          <t>RBOB gasoline, front</t>
        </is>
      </c>
      <c r="FY2" s="4" t="inlineStr">
        <is>
          <t>E-mini WTI, front</t>
        </is>
      </c>
      <c r="GH2" s="4" t="inlineStr">
        <is>
          <t>Henry Hub natural gas, front</t>
        </is>
      </c>
    </row>
    <row r="3">
      <c r="A3" s="5" t="inlineStr">
        <is>
          <t>Date</t>
        </is>
      </c>
      <c r="B3" s="5" t="inlineStr">
        <is>
          <t>PX_OPEN</t>
        </is>
      </c>
      <c r="C3" s="5" t="inlineStr">
        <is>
          <t>PX_HIGH</t>
        </is>
      </c>
      <c r="D3" s="5" t="inlineStr">
        <is>
          <t>PX_LOW</t>
        </is>
      </c>
      <c r="E3" s="5" t="inlineStr">
        <is>
          <t>PX_LAST</t>
        </is>
      </c>
      <c r="F3" s="5" t="inlineStr">
        <is>
          <t>PX_SETTLE</t>
        </is>
      </c>
      <c r="G3" s="5" t="inlineStr">
        <is>
          <t>PX_VOLUME</t>
        </is>
      </c>
      <c r="H3" s="5" t="inlineStr">
        <is>
          <t>OPEN_INT</t>
        </is>
      </c>
      <c r="J3" s="5" t="inlineStr">
        <is>
          <t>Date</t>
        </is>
      </c>
      <c r="K3" s="5" t="inlineStr">
        <is>
          <t>PX_OPEN</t>
        </is>
      </c>
      <c r="L3" s="5" t="inlineStr">
        <is>
          <t>PX_HIGH</t>
        </is>
      </c>
      <c r="M3" s="5" t="inlineStr">
        <is>
          <t>PX_LOW</t>
        </is>
      </c>
      <c r="N3" s="5" t="inlineStr">
        <is>
          <t>PX_LAST</t>
        </is>
      </c>
      <c r="O3" s="5" t="inlineStr">
        <is>
          <t>PX_SETTLE</t>
        </is>
      </c>
      <c r="P3" s="5" t="inlineStr">
        <is>
          <t>PX_VOLUME</t>
        </is>
      </c>
      <c r="Q3" s="5" t="inlineStr">
        <is>
          <t>OPEN_INT</t>
        </is>
      </c>
      <c r="S3" s="5" t="inlineStr">
        <is>
          <t>Date</t>
        </is>
      </c>
      <c r="T3" s="5" t="inlineStr">
        <is>
          <t>PX_OPEN</t>
        </is>
      </c>
      <c r="U3" s="5" t="inlineStr">
        <is>
          <t>PX_HIGH</t>
        </is>
      </c>
      <c r="V3" s="5" t="inlineStr">
        <is>
          <t>PX_LOW</t>
        </is>
      </c>
      <c r="W3" s="5" t="inlineStr">
        <is>
          <t>PX_LAST</t>
        </is>
      </c>
      <c r="X3" s="5" t="inlineStr">
        <is>
          <t>PX_SETTLE</t>
        </is>
      </c>
      <c r="Y3" s="5" t="inlineStr">
        <is>
          <t>PX_VOLUME</t>
        </is>
      </c>
      <c r="Z3" s="5" t="inlineStr">
        <is>
          <t>OPEN_INT</t>
        </is>
      </c>
      <c r="AB3" s="5" t="inlineStr">
        <is>
          <t>Date</t>
        </is>
      </c>
      <c r="AC3" s="5" t="inlineStr">
        <is>
          <t>PX_OPEN</t>
        </is>
      </c>
      <c r="AD3" s="5" t="inlineStr">
        <is>
          <t>PX_HIGH</t>
        </is>
      </c>
      <c r="AE3" s="5" t="inlineStr">
        <is>
          <t>PX_LOW</t>
        </is>
      </c>
      <c r="AF3" s="5" t="inlineStr">
        <is>
          <t>PX_LAST</t>
        </is>
      </c>
      <c r="AG3" s="5" t="inlineStr">
        <is>
          <t>PX_SETTLE</t>
        </is>
      </c>
      <c r="AH3" s="5" t="inlineStr">
        <is>
          <t>PX_VOLUME</t>
        </is>
      </c>
      <c r="AI3" s="5" t="inlineStr">
        <is>
          <t>OPEN_INT</t>
        </is>
      </c>
      <c r="AK3" s="5" t="inlineStr">
        <is>
          <t>Date</t>
        </is>
      </c>
      <c r="AL3" s="5" t="inlineStr">
        <is>
          <t>PX_OPEN</t>
        </is>
      </c>
      <c r="AM3" s="5" t="inlineStr">
        <is>
          <t>PX_HIGH</t>
        </is>
      </c>
      <c r="AN3" s="5" t="inlineStr">
        <is>
          <t>PX_LOW</t>
        </is>
      </c>
      <c r="AO3" s="5" t="inlineStr">
        <is>
          <t>PX_LAST</t>
        </is>
      </c>
      <c r="AP3" s="5" t="inlineStr">
        <is>
          <t>PX_SETTLE</t>
        </is>
      </c>
      <c r="AQ3" s="5" t="inlineStr">
        <is>
          <t>PX_VOLUME</t>
        </is>
      </c>
      <c r="AR3" s="5" t="inlineStr">
        <is>
          <t>OPEN_INT</t>
        </is>
      </c>
      <c r="AT3" s="5" t="inlineStr">
        <is>
          <t>Date</t>
        </is>
      </c>
      <c r="AU3" s="5" t="inlineStr">
        <is>
          <t>PX_OPEN</t>
        </is>
      </c>
      <c r="AV3" s="5" t="inlineStr">
        <is>
          <t>PX_HIGH</t>
        </is>
      </c>
      <c r="AW3" s="5" t="inlineStr">
        <is>
          <t>PX_LOW</t>
        </is>
      </c>
      <c r="AX3" s="5" t="inlineStr">
        <is>
          <t>PX_LAST</t>
        </is>
      </c>
      <c r="AY3" s="5" t="inlineStr">
        <is>
          <t>PX_SETTLE</t>
        </is>
      </c>
      <c r="AZ3" s="5" t="inlineStr">
        <is>
          <t>PX_VOLUME</t>
        </is>
      </c>
      <c r="BA3" s="5" t="inlineStr">
        <is>
          <t>OPEN_INT</t>
        </is>
      </c>
      <c r="BC3" s="5" t="inlineStr">
        <is>
          <t>Date</t>
        </is>
      </c>
      <c r="BD3" s="5" t="inlineStr">
        <is>
          <t>PX_OPEN</t>
        </is>
      </c>
      <c r="BE3" s="5" t="inlineStr">
        <is>
          <t>PX_HIGH</t>
        </is>
      </c>
      <c r="BF3" s="5" t="inlineStr">
        <is>
          <t>PX_LOW</t>
        </is>
      </c>
      <c r="BG3" s="5" t="inlineStr">
        <is>
          <t>PX_LAST</t>
        </is>
      </c>
      <c r="BH3" s="5" t="inlineStr">
        <is>
          <t>PX_SETTLE</t>
        </is>
      </c>
      <c r="BI3" s="5" t="inlineStr">
        <is>
          <t>PX_VOLUME</t>
        </is>
      </c>
      <c r="BJ3" s="5" t="inlineStr">
        <is>
          <t>OPEN_INT</t>
        </is>
      </c>
      <c r="BL3" s="5" t="inlineStr">
        <is>
          <t>Date</t>
        </is>
      </c>
      <c r="BM3" s="5" t="inlineStr">
        <is>
          <t>PX_OPEN</t>
        </is>
      </c>
      <c r="BN3" s="5" t="inlineStr">
        <is>
          <t>PX_HIGH</t>
        </is>
      </c>
      <c r="BO3" s="5" t="inlineStr">
        <is>
          <t>PX_LOW</t>
        </is>
      </c>
      <c r="BP3" s="5" t="inlineStr">
        <is>
          <t>PX_LAST</t>
        </is>
      </c>
      <c r="BQ3" s="5" t="inlineStr">
        <is>
          <t>PX_SETTLE</t>
        </is>
      </c>
      <c r="BR3" s="5" t="inlineStr">
        <is>
          <t>PX_VOLUME</t>
        </is>
      </c>
      <c r="BS3" s="5" t="inlineStr">
        <is>
          <t>OPEN_INT</t>
        </is>
      </c>
      <c r="BU3" s="5" t="inlineStr">
        <is>
          <t>Date</t>
        </is>
      </c>
      <c r="BV3" s="5" t="inlineStr">
        <is>
          <t>PX_OPEN</t>
        </is>
      </c>
      <c r="BW3" s="5" t="inlineStr">
        <is>
          <t>PX_HIGH</t>
        </is>
      </c>
      <c r="BX3" s="5" t="inlineStr">
        <is>
          <t>PX_LOW</t>
        </is>
      </c>
      <c r="BY3" s="5" t="inlineStr">
        <is>
          <t>PX_LAST</t>
        </is>
      </c>
      <c r="BZ3" s="5" t="inlineStr">
        <is>
          <t>PX_SETTLE</t>
        </is>
      </c>
      <c r="CA3" s="5" t="inlineStr">
        <is>
          <t>PX_VOLUME</t>
        </is>
      </c>
      <c r="CB3" s="5" t="inlineStr">
        <is>
          <t>OPEN_INT</t>
        </is>
      </c>
      <c r="CD3" s="5" t="inlineStr">
        <is>
          <t>Date</t>
        </is>
      </c>
      <c r="CE3" s="5" t="inlineStr">
        <is>
          <t>PX_OPEN</t>
        </is>
      </c>
      <c r="CF3" s="5" t="inlineStr">
        <is>
          <t>PX_HIGH</t>
        </is>
      </c>
      <c r="CG3" s="5" t="inlineStr">
        <is>
          <t>PX_LOW</t>
        </is>
      </c>
      <c r="CH3" s="5" t="inlineStr">
        <is>
          <t>PX_LAST</t>
        </is>
      </c>
      <c r="CI3" s="5" t="inlineStr">
        <is>
          <t>PX_SETTLE</t>
        </is>
      </c>
      <c r="CJ3" s="5" t="inlineStr">
        <is>
          <t>PX_VOLUME</t>
        </is>
      </c>
      <c r="CK3" s="5" t="inlineStr">
        <is>
          <t>OPEN_INT</t>
        </is>
      </c>
      <c r="CM3" s="5" t="inlineStr">
        <is>
          <t>Date</t>
        </is>
      </c>
      <c r="CN3" s="5" t="inlineStr">
        <is>
          <t>PX_OPEN</t>
        </is>
      </c>
      <c r="CO3" s="5" t="inlineStr">
        <is>
          <t>PX_HIGH</t>
        </is>
      </c>
      <c r="CP3" s="5" t="inlineStr">
        <is>
          <t>PX_LOW</t>
        </is>
      </c>
      <c r="CQ3" s="5" t="inlineStr">
        <is>
          <t>PX_LAST</t>
        </is>
      </c>
      <c r="CR3" s="5" t="inlineStr">
        <is>
          <t>PX_SETTLE</t>
        </is>
      </c>
      <c r="CS3" s="5" t="inlineStr">
        <is>
          <t>PX_VOLUME</t>
        </is>
      </c>
      <c r="CT3" s="5" t="inlineStr">
        <is>
          <t>OPEN_INT</t>
        </is>
      </c>
      <c r="CV3" s="5" t="inlineStr">
        <is>
          <t>Date</t>
        </is>
      </c>
      <c r="CW3" s="5" t="inlineStr">
        <is>
          <t>PX_OPEN</t>
        </is>
      </c>
      <c r="CX3" s="5" t="inlineStr">
        <is>
          <t>PX_HIGH</t>
        </is>
      </c>
      <c r="CY3" s="5" t="inlineStr">
        <is>
          <t>PX_LOW</t>
        </is>
      </c>
      <c r="CZ3" s="5" t="inlineStr">
        <is>
          <t>PX_LAST</t>
        </is>
      </c>
      <c r="DA3" s="5" t="inlineStr">
        <is>
          <t>PX_SETTLE</t>
        </is>
      </c>
      <c r="DB3" s="5" t="inlineStr">
        <is>
          <t>PX_VOLUME</t>
        </is>
      </c>
      <c r="DC3" s="5" t="inlineStr">
        <is>
          <t>OPEN_INT</t>
        </is>
      </c>
      <c r="DE3" s="5" t="inlineStr">
        <is>
          <t>Date</t>
        </is>
      </c>
      <c r="DF3" s="5" t="inlineStr">
        <is>
          <t>PX_OPEN</t>
        </is>
      </c>
      <c r="DG3" s="5" t="inlineStr">
        <is>
          <t>PX_HIGH</t>
        </is>
      </c>
      <c r="DH3" s="5" t="inlineStr">
        <is>
          <t>PX_LOW</t>
        </is>
      </c>
      <c r="DI3" s="5" t="inlineStr">
        <is>
          <t>PX_LAST</t>
        </is>
      </c>
      <c r="DJ3" s="5" t="inlineStr">
        <is>
          <t>PX_SETTLE</t>
        </is>
      </c>
      <c r="DK3" s="5" t="inlineStr">
        <is>
          <t>PX_VOLUME</t>
        </is>
      </c>
      <c r="DL3" s="5" t="inlineStr">
        <is>
          <t>OPEN_INT</t>
        </is>
      </c>
      <c r="DN3" s="5" t="inlineStr">
        <is>
          <t>Date</t>
        </is>
      </c>
      <c r="DO3" s="5" t="inlineStr">
        <is>
          <t>PX_OPEN</t>
        </is>
      </c>
      <c r="DP3" s="5" t="inlineStr">
        <is>
          <t>PX_HIGH</t>
        </is>
      </c>
      <c r="DQ3" s="5" t="inlineStr">
        <is>
          <t>PX_LOW</t>
        </is>
      </c>
      <c r="DR3" s="5" t="inlineStr">
        <is>
          <t>PX_LAST</t>
        </is>
      </c>
      <c r="DS3" s="5" t="inlineStr">
        <is>
          <t>PX_SETTLE</t>
        </is>
      </c>
      <c r="DT3" s="5" t="inlineStr">
        <is>
          <t>PX_VOLUME</t>
        </is>
      </c>
      <c r="DU3" s="5" t="inlineStr">
        <is>
          <t>OPEN_INT</t>
        </is>
      </c>
      <c r="DW3" s="5" t="inlineStr">
        <is>
          <t>Date</t>
        </is>
      </c>
      <c r="DX3" s="5" t="inlineStr">
        <is>
          <t>PX_OPEN</t>
        </is>
      </c>
      <c r="DY3" s="5" t="inlineStr">
        <is>
          <t>PX_HIGH</t>
        </is>
      </c>
      <c r="DZ3" s="5" t="inlineStr">
        <is>
          <t>PX_LOW</t>
        </is>
      </c>
      <c r="EA3" s="5" t="inlineStr">
        <is>
          <t>PX_LAST</t>
        </is>
      </c>
      <c r="EB3" s="5" t="inlineStr">
        <is>
          <t>PX_SETTLE</t>
        </is>
      </c>
      <c r="EC3" s="5" t="inlineStr">
        <is>
          <t>PX_VOLUME</t>
        </is>
      </c>
      <c r="ED3" s="5" t="inlineStr">
        <is>
          <t>OPEN_INT</t>
        </is>
      </c>
      <c r="EF3" s="5" t="inlineStr">
        <is>
          <t>Date</t>
        </is>
      </c>
      <c r="EG3" s="5" t="inlineStr">
        <is>
          <t>PX_OPEN</t>
        </is>
      </c>
      <c r="EH3" s="5" t="inlineStr">
        <is>
          <t>PX_HIGH</t>
        </is>
      </c>
      <c r="EI3" s="5" t="inlineStr">
        <is>
          <t>PX_LOW</t>
        </is>
      </c>
      <c r="EJ3" s="5" t="inlineStr">
        <is>
          <t>PX_LAST</t>
        </is>
      </c>
      <c r="EK3" s="5" t="inlineStr">
        <is>
          <t>PX_SETTLE</t>
        </is>
      </c>
      <c r="EL3" s="5" t="inlineStr">
        <is>
          <t>PX_VOLUME</t>
        </is>
      </c>
      <c r="EM3" s="5" t="inlineStr">
        <is>
          <t>OPEN_INT</t>
        </is>
      </c>
      <c r="EO3" s="5" t="inlineStr">
        <is>
          <t>Date</t>
        </is>
      </c>
      <c r="EP3" s="5" t="inlineStr">
        <is>
          <t>PX_OPEN</t>
        </is>
      </c>
      <c r="EQ3" s="5" t="inlineStr">
        <is>
          <t>PX_HIGH</t>
        </is>
      </c>
      <c r="ER3" s="5" t="inlineStr">
        <is>
          <t>PX_LOW</t>
        </is>
      </c>
      <c r="ES3" s="5" t="inlineStr">
        <is>
          <t>PX_LAST</t>
        </is>
      </c>
      <c r="ET3" s="5" t="inlineStr">
        <is>
          <t>PX_SETTLE</t>
        </is>
      </c>
      <c r="EU3" s="5" t="inlineStr">
        <is>
          <t>PX_VOLUME</t>
        </is>
      </c>
      <c r="EV3" s="5" t="inlineStr">
        <is>
          <t>OPEN_INT</t>
        </is>
      </c>
      <c r="EX3" s="5" t="inlineStr">
        <is>
          <t>Date</t>
        </is>
      </c>
      <c r="EY3" s="5" t="inlineStr">
        <is>
          <t>PX_OPEN</t>
        </is>
      </c>
      <c r="EZ3" s="5" t="inlineStr">
        <is>
          <t>PX_HIGH</t>
        </is>
      </c>
      <c r="FA3" s="5" t="inlineStr">
        <is>
          <t>PX_LOW</t>
        </is>
      </c>
      <c r="FB3" s="5" t="inlineStr">
        <is>
          <t>PX_LAST</t>
        </is>
      </c>
      <c r="FC3" s="5" t="inlineStr">
        <is>
          <t>PX_SETTLE</t>
        </is>
      </c>
      <c r="FD3" s="5" t="inlineStr">
        <is>
          <t>PX_VOLUME</t>
        </is>
      </c>
      <c r="FE3" s="5" t="inlineStr">
        <is>
          <t>OPEN_INT</t>
        </is>
      </c>
      <c r="FG3" s="5" t="inlineStr">
        <is>
          <t>Date</t>
        </is>
      </c>
      <c r="FH3" s="5" t="inlineStr">
        <is>
          <t>PX_OPEN</t>
        </is>
      </c>
      <c r="FI3" s="5" t="inlineStr">
        <is>
          <t>PX_HIGH</t>
        </is>
      </c>
      <c r="FJ3" s="5" t="inlineStr">
        <is>
          <t>PX_LOW</t>
        </is>
      </c>
      <c r="FK3" s="5" t="inlineStr">
        <is>
          <t>PX_LAST</t>
        </is>
      </c>
      <c r="FL3" s="5" t="inlineStr">
        <is>
          <t>PX_SETTLE</t>
        </is>
      </c>
      <c r="FM3" s="5" t="inlineStr">
        <is>
          <t>PX_VOLUME</t>
        </is>
      </c>
      <c r="FN3" s="5" t="inlineStr">
        <is>
          <t>OPEN_INT</t>
        </is>
      </c>
      <c r="FP3" s="5" t="inlineStr">
        <is>
          <t>Date</t>
        </is>
      </c>
      <c r="FQ3" s="5" t="inlineStr">
        <is>
          <t>PX_OPEN</t>
        </is>
      </c>
      <c r="FR3" s="5" t="inlineStr">
        <is>
          <t>PX_HIGH</t>
        </is>
      </c>
      <c r="FS3" s="5" t="inlineStr">
        <is>
          <t>PX_LOW</t>
        </is>
      </c>
      <c r="FT3" s="5" t="inlineStr">
        <is>
          <t>PX_LAST</t>
        </is>
      </c>
      <c r="FU3" s="5" t="inlineStr">
        <is>
          <t>PX_SETTLE</t>
        </is>
      </c>
      <c r="FV3" s="5" t="inlineStr">
        <is>
          <t>PX_VOLUME</t>
        </is>
      </c>
      <c r="FW3" s="5" t="inlineStr">
        <is>
          <t>OPEN_INT</t>
        </is>
      </c>
      <c r="FY3" s="5" t="inlineStr">
        <is>
          <t>Date</t>
        </is>
      </c>
      <c r="FZ3" s="5" t="inlineStr">
        <is>
          <t>PX_OPEN</t>
        </is>
      </c>
      <c r="GA3" s="5" t="inlineStr">
        <is>
          <t>PX_HIGH</t>
        </is>
      </c>
      <c r="GB3" s="5" t="inlineStr">
        <is>
          <t>PX_LOW</t>
        </is>
      </c>
      <c r="GC3" s="5" t="inlineStr">
        <is>
          <t>PX_LAST</t>
        </is>
      </c>
      <c r="GD3" s="5" t="inlineStr">
        <is>
          <t>PX_SETTLE</t>
        </is>
      </c>
      <c r="GE3" s="5" t="inlineStr">
        <is>
          <t>PX_VOLUME</t>
        </is>
      </c>
      <c r="GF3" s="5" t="inlineStr">
        <is>
          <t>OPEN_INT</t>
        </is>
      </c>
      <c r="GH3" s="5" t="inlineStr">
        <is>
          <t>Date</t>
        </is>
      </c>
      <c r="GI3" s="5" t="inlineStr">
        <is>
          <t>PX_OPEN</t>
        </is>
      </c>
      <c r="GJ3" s="5" t="inlineStr">
        <is>
          <t>PX_HIGH</t>
        </is>
      </c>
      <c r="GK3" s="5" t="inlineStr">
        <is>
          <t>PX_LOW</t>
        </is>
      </c>
      <c r="GL3" s="5" t="inlineStr">
        <is>
          <t>PX_LAST</t>
        </is>
      </c>
      <c r="GM3" s="5" t="inlineStr">
        <is>
          <t>PX_SETTLE</t>
        </is>
      </c>
      <c r="GN3" s="5" t="inlineStr">
        <is>
          <t>PX_VOLUME</t>
        </is>
      </c>
      <c r="GO3" s="5" t="inlineStr">
        <is>
          <t>OPEN_INT</t>
        </is>
      </c>
    </row>
    <row r="4">
      <c r="A4" s="4">
        <f>BDH(A$1,B$3:H$3,Settings!$C$8,IF(Settings!$D$8="","",Settings!$D$8),"Dir=V","Dts=S","Sort=A","Days=T","Fill=B")</f>
        <v/>
      </c>
      <c r="J4" s="4">
        <f>BDH(J$1,K$3:Q$3,Settings!$C$8,IF(Settings!$D$8="","",Settings!$D$8),"Dir=V","Dts=S","Sort=A","Days=T","Fill=B")</f>
        <v/>
      </c>
      <c r="S4" s="4">
        <f>BDH(S$1,T$3:Z$3,Settings!$C$8,IF(Settings!$D$8="","",Settings!$D$8),"Dir=V","Dts=S","Sort=A","Days=T","Fill=B")</f>
        <v/>
      </c>
      <c r="AB4" s="4">
        <f>BDH(AB$1,AC$3:AI$3,Settings!$C$8,IF(Settings!$D$8="","",Settings!$D$8),"Dir=V","Dts=S","Sort=A","Days=T","Fill=B")</f>
        <v/>
      </c>
      <c r="AK4" s="4">
        <f>BDH(AK$1,AL$3:AR$3,Settings!$C$8,IF(Settings!$D$8="","",Settings!$D$8),"Dir=V","Dts=S","Sort=A","Days=T","Fill=B")</f>
        <v/>
      </c>
      <c r="AT4" s="4">
        <f>BDH(AT$1,AU$3:BA$3,Settings!$C$8,IF(Settings!$D$8="","",Settings!$D$8),"Dir=V","Dts=S","Sort=A","Days=T","Fill=B")</f>
        <v/>
      </c>
      <c r="BC4" s="4">
        <f>BDH(BC$1,BD$3:BJ$3,Settings!$C$8,IF(Settings!$D$8="","",Settings!$D$8),"Dir=V","Dts=S","Sort=A","Days=T","Fill=B")</f>
        <v/>
      </c>
      <c r="BL4" s="4">
        <f>BDH(BL$1,BM$3:BS$3,Settings!$C$8,IF(Settings!$D$8="","",Settings!$D$8),"Dir=V","Dts=S","Sort=A","Days=T","Fill=B")</f>
        <v/>
      </c>
      <c r="BU4" s="4">
        <f>BDH(BU$1,BV$3:CB$3,Settings!$C$8,IF(Settings!$D$8="","",Settings!$D$8),"Dir=V","Dts=S","Sort=A","Days=T","Fill=B")</f>
        <v/>
      </c>
      <c r="CD4" s="4">
        <f>BDH(CD$1,CE$3:CK$3,Settings!$C$8,IF(Settings!$D$8="","",Settings!$D$8),"Dir=V","Dts=S","Sort=A","Days=T","Fill=B")</f>
        <v/>
      </c>
      <c r="CM4" s="4">
        <f>BDH(CM$1,CN$3:CT$3,Settings!$C$8,IF(Settings!$D$8="","",Settings!$D$8),"Dir=V","Dts=S","Sort=A","Days=T","Fill=B")</f>
        <v/>
      </c>
      <c r="CV4" s="4">
        <f>BDH(CV$1,CW$3:DC$3,Settings!$C$8,IF(Settings!$D$8="","",Settings!$D$8),"Dir=V","Dts=S","Sort=A","Days=T","Fill=B")</f>
        <v/>
      </c>
      <c r="DE4" s="4">
        <f>BDH(DE$1,DF$3:DL$3,Settings!$C$8,IF(Settings!$D$8="","",Settings!$D$8),"Dir=V","Dts=S","Sort=A","Days=T","Fill=B")</f>
        <v/>
      </c>
      <c r="DN4" s="4">
        <f>BDH(DN$1,DO$3:DU$3,Settings!$C$8,IF(Settings!$D$8="","",Settings!$D$8),"Dir=V","Dts=S","Sort=A","Days=T","Fill=B")</f>
        <v/>
      </c>
      <c r="DW4" s="4">
        <f>BDH(DW$1,DX$3:ED$3,Settings!$C$8,IF(Settings!$D$8="","",Settings!$D$8),"Dir=V","Dts=S","Sort=A","Days=T","Fill=B")</f>
        <v/>
      </c>
      <c r="EF4" s="4">
        <f>BDH(EF$1,EG$3:EM$3,Settings!$C$8,IF(Settings!$D$8="","",Settings!$D$8),"Dir=V","Dts=S","Sort=A","Days=T","Fill=B")</f>
        <v/>
      </c>
      <c r="EO4" s="4">
        <f>BDH(EO$1,EP$3:EV$3,Settings!$C$8,IF(Settings!$D$8="","",Settings!$D$8),"Dir=V","Dts=S","Sort=A","Days=T","Fill=B")</f>
        <v/>
      </c>
      <c r="EX4" s="4">
        <f>BDH(EX$1,EY$3:FE$3,Settings!$C$8,IF(Settings!$D$8="","",Settings!$D$8),"Dir=V","Dts=S","Sort=A","Days=T","Fill=B")</f>
        <v/>
      </c>
      <c r="FG4" s="4">
        <f>BDH(FG$1,FH$3:FN$3,Settings!$C$8,IF(Settings!$D$8="","",Settings!$D$8),"Dir=V","Dts=S","Sort=A","Days=T","Fill=B")</f>
        <v/>
      </c>
      <c r="FP4" s="4">
        <f>BDH(FP$1,FQ$3:FW$3,Settings!$C$8,IF(Settings!$D$8="","",Settings!$D$8),"Dir=V","Dts=S","Sort=A","Days=T","Fill=B")</f>
        <v/>
      </c>
      <c r="FY4" s="4">
        <f>BDH(FY$1,FZ$3:GF$3,Settings!$C$8,IF(Settings!$D$8="","",Settings!$D$8),"Dir=V","Dts=S","Sort=A","Days=T","Fill=B")</f>
        <v/>
      </c>
      <c r="GH4" s="4">
        <f>BDH(GH$1,GI$3:GO$3,Settings!$C$8,IF(Settings!$D$8="","",Settings!$D$8),"Dir=V","Dts=S","Sort=A","Days=T","Fill=B")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R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2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2" customWidth="1" min="15" max="15"/>
    <col width="10" customWidth="1" min="16" max="16"/>
    <col width="10" customWidth="1" min="17" max="17"/>
    <col width="10" customWidth="1" min="18" max="18"/>
    <col width="10" customWidth="1" min="19" max="19"/>
    <col width="11" customWidth="1" min="20" max="20"/>
    <col width="12" customWidth="1" min="22" max="22"/>
    <col width="10" customWidth="1" min="23" max="23"/>
    <col width="10" customWidth="1" min="24" max="24"/>
    <col width="10" customWidth="1" min="25" max="25"/>
    <col width="10" customWidth="1" min="26" max="26"/>
    <col width="11" customWidth="1" min="27" max="27"/>
    <col width="12" customWidth="1" min="29" max="29"/>
    <col width="10" customWidth="1" min="30" max="30"/>
    <col width="10" customWidth="1" min="31" max="31"/>
    <col width="10" customWidth="1" min="32" max="32"/>
    <col width="10" customWidth="1" min="33" max="33"/>
    <col width="11" customWidth="1" min="34" max="34"/>
    <col width="12" customWidth="1" min="36" max="36"/>
    <col width="10" customWidth="1" min="37" max="37"/>
    <col width="10" customWidth="1" min="38" max="38"/>
    <col width="10" customWidth="1" min="39" max="39"/>
    <col width="10" customWidth="1" min="40" max="40"/>
    <col width="11" customWidth="1" min="41" max="41"/>
    <col width="12" customWidth="1" min="43" max="43"/>
    <col width="10" customWidth="1" min="44" max="44"/>
    <col width="10" customWidth="1" min="45" max="45"/>
    <col width="10" customWidth="1" min="46" max="46"/>
    <col width="10" customWidth="1" min="47" max="47"/>
    <col width="11" customWidth="1" min="48" max="48"/>
    <col width="12" customWidth="1" min="50" max="50"/>
    <col width="10" customWidth="1" min="51" max="51"/>
    <col width="10" customWidth="1" min="52" max="52"/>
    <col width="10" customWidth="1" min="53" max="53"/>
    <col width="10" customWidth="1" min="54" max="54"/>
    <col width="11" customWidth="1" min="55" max="55"/>
    <col width="12" customWidth="1" min="57" max="57"/>
    <col width="10" customWidth="1" min="58" max="58"/>
    <col width="10" customWidth="1" min="59" max="59"/>
    <col width="10" customWidth="1" min="60" max="60"/>
    <col width="10" customWidth="1" min="61" max="61"/>
    <col width="11" customWidth="1" min="62" max="62"/>
    <col width="12" customWidth="1" min="64" max="64"/>
    <col width="10" customWidth="1" min="65" max="65"/>
    <col width="10" customWidth="1" min="66" max="66"/>
    <col width="10" customWidth="1" min="67" max="67"/>
    <col width="10" customWidth="1" min="68" max="68"/>
    <col width="11" customWidth="1" min="69" max="69"/>
    <col width="12" customWidth="1" min="71" max="71"/>
    <col width="10" customWidth="1" min="72" max="72"/>
    <col width="10" customWidth="1" min="73" max="73"/>
    <col width="10" customWidth="1" min="74" max="74"/>
    <col width="10" customWidth="1" min="75" max="75"/>
    <col width="11" customWidth="1" min="76" max="76"/>
    <col width="12" customWidth="1" min="78" max="78"/>
    <col width="10" customWidth="1" min="79" max="79"/>
    <col width="10" customWidth="1" min="80" max="80"/>
    <col width="10" customWidth="1" min="81" max="81"/>
    <col width="10" customWidth="1" min="82" max="82"/>
    <col width="11" customWidth="1" min="83" max="83"/>
    <col width="12" customWidth="1" min="85" max="85"/>
    <col width="10" customWidth="1" min="86" max="86"/>
    <col width="10" customWidth="1" min="87" max="87"/>
    <col width="10" customWidth="1" min="88" max="88"/>
    <col width="10" customWidth="1" min="89" max="89"/>
    <col width="11" customWidth="1" min="90" max="90"/>
    <col width="12" customWidth="1" min="92" max="92"/>
    <col width="10" customWidth="1" min="93" max="93"/>
    <col width="10" customWidth="1" min="94" max="94"/>
    <col width="10" customWidth="1" min="95" max="95"/>
    <col width="10" customWidth="1" min="96" max="96"/>
    <col width="11" customWidth="1" min="97" max="97"/>
    <col width="12" customWidth="1" min="99" max="99"/>
    <col width="10" customWidth="1" min="100" max="100"/>
    <col width="10" customWidth="1" min="101" max="101"/>
    <col width="10" customWidth="1" min="102" max="102"/>
    <col width="10" customWidth="1" min="103" max="103"/>
    <col width="11" customWidth="1" min="104" max="104"/>
    <col width="12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1" customWidth="1" min="111" max="111"/>
    <col width="12" customWidth="1" min="113" max="113"/>
    <col width="10" customWidth="1" min="114" max="114"/>
    <col width="10" customWidth="1" min="115" max="115"/>
    <col width="10" customWidth="1" min="116" max="116"/>
    <col width="10" customWidth="1" min="117" max="117"/>
    <col width="11" customWidth="1" min="118" max="118"/>
    <col width="12" customWidth="1" min="120" max="120"/>
    <col width="10" customWidth="1" min="121" max="121"/>
    <col width="10" customWidth="1" min="122" max="122"/>
    <col width="10" customWidth="1" min="123" max="123"/>
    <col width="10" customWidth="1" min="124" max="124"/>
    <col width="11" customWidth="1" min="125" max="125"/>
    <col width="12" customWidth="1" min="127" max="127"/>
    <col width="10" customWidth="1" min="128" max="128"/>
    <col width="10" customWidth="1" min="129" max="129"/>
    <col width="10" customWidth="1" min="130" max="130"/>
    <col width="10" customWidth="1" min="131" max="131"/>
    <col width="11" customWidth="1" min="132" max="132"/>
    <col width="12" customWidth="1" min="134" max="134"/>
    <col width="10" customWidth="1" min="135" max="135"/>
    <col width="10" customWidth="1" min="136" max="136"/>
    <col width="10" customWidth="1" min="137" max="137"/>
    <col width="10" customWidth="1" min="138" max="138"/>
    <col width="11" customWidth="1" min="139" max="139"/>
    <col width="12" customWidth="1" min="141" max="141"/>
    <col width="10" customWidth="1" min="142" max="142"/>
    <col width="10" customWidth="1" min="143" max="143"/>
    <col width="10" customWidth="1" min="144" max="144"/>
    <col width="10" customWidth="1" min="145" max="145"/>
    <col width="11" customWidth="1" min="146" max="146"/>
    <col width="12" customWidth="1" min="148" max="148"/>
    <col width="10" customWidth="1" min="149" max="149"/>
    <col width="10" customWidth="1" min="150" max="150"/>
    <col width="10" customWidth="1" min="151" max="151"/>
    <col width="10" customWidth="1" min="152" max="152"/>
    <col width="11" customWidth="1" min="153" max="153"/>
    <col width="12" customWidth="1" min="155" max="155"/>
    <col width="10" customWidth="1" min="156" max="156"/>
    <col width="10" customWidth="1" min="157" max="157"/>
    <col width="10" customWidth="1" min="158" max="158"/>
    <col width="10" customWidth="1" min="159" max="159"/>
    <col width="11" customWidth="1" min="160" max="160"/>
    <col width="12" customWidth="1" min="162" max="162"/>
    <col width="10" customWidth="1" min="163" max="163"/>
    <col width="10" customWidth="1" min="164" max="164"/>
    <col width="10" customWidth="1" min="165" max="165"/>
    <col width="10" customWidth="1" min="166" max="166"/>
    <col width="11" customWidth="1" min="167" max="167"/>
    <col width="12" customWidth="1" min="169" max="169"/>
    <col width="10" customWidth="1" min="170" max="170"/>
    <col width="10" customWidth="1" min="171" max="171"/>
    <col width="10" customWidth="1" min="172" max="172"/>
    <col width="10" customWidth="1" min="173" max="173"/>
    <col width="11" customWidth="1" min="174" max="174"/>
  </cols>
  <sheetData>
    <row r="1">
      <c r="A1" s="2">
        <f>IF(Settings!$B$8="Y","USO US Equity","")</f>
        <v/>
      </c>
      <c r="H1" s="2">
        <f>IF(Settings!$B$8="Y","BNO US Equity","")</f>
        <v/>
      </c>
      <c r="O1" s="2">
        <f>IF(Settings!$B$8="Y","USL US Equity","")</f>
        <v/>
      </c>
      <c r="V1" s="2">
        <f>IF(Settings!$B$8="Y","DBO US Equity","")</f>
        <v/>
      </c>
      <c r="AC1" s="2">
        <f>IF(Settings!$B$8="Y","UCO US Equity","")</f>
        <v/>
      </c>
      <c r="AJ1" s="2">
        <f>IF(Settings!$B$8="Y","SCO US Equity","")</f>
        <v/>
      </c>
      <c r="AQ1" s="2">
        <f>IF(Settings!$B$8="Y","XLE US Equity","")</f>
        <v/>
      </c>
      <c r="AX1" s="2">
        <f>IF(Settings!$B$8="Y","XOP US Equity","")</f>
        <v/>
      </c>
      <c r="BE1" s="2">
        <f>IF(Settings!$B$8="Y","OIH US Equity","")</f>
        <v/>
      </c>
      <c r="BL1" s="2">
        <f>IF(Settings!$B$8="Y","VDE US Equity","")</f>
        <v/>
      </c>
      <c r="BS1" s="2">
        <f>IF(Settings!$B$8="Y","CRAK US Equity","")</f>
        <v/>
      </c>
      <c r="BZ1" s="2">
        <f>IF(Settings!$B$8="Y","XOM US Equity","")</f>
        <v/>
      </c>
      <c r="CG1" s="2">
        <f>IF(Settings!$B$8="Y","CVX US Equity","")</f>
        <v/>
      </c>
      <c r="CN1" s="2">
        <f>IF(Settings!$B$8="Y","COP US Equity","")</f>
        <v/>
      </c>
      <c r="CU1" s="2">
        <f>IF(Settings!$B$8="Y","OXY US Equity","")</f>
        <v/>
      </c>
      <c r="DB1" s="2">
        <f>IF(Settings!$B$8="Y","EOG US Equity","")</f>
        <v/>
      </c>
      <c r="DI1" s="2">
        <f>IF(Settings!$B$8="Y","DVN US Equity","")</f>
        <v/>
      </c>
      <c r="DP1" s="2">
        <f>IF(Settings!$B$8="Y","FANG US Equity","")</f>
        <v/>
      </c>
      <c r="DW1" s="2">
        <f>IF(Settings!$B$8="Y","APA US Equity","")</f>
        <v/>
      </c>
      <c r="ED1" s="2">
        <f>IF(Settings!$B$8="Y","DAL US Equity","")</f>
        <v/>
      </c>
      <c r="EK1" s="2">
        <f>IF(Settings!$B$8="Y","UAL US Equity","")</f>
        <v/>
      </c>
      <c r="ER1" s="2">
        <f>IF(Settings!$B$8="Y","AAL US Equity","")</f>
        <v/>
      </c>
      <c r="EY1" s="2">
        <f>IF(Settings!$B$8="Y","LUV US Equity","")</f>
        <v/>
      </c>
      <c r="FF1" s="2">
        <f>IF(Settings!$B$8="Y","JETS US Equity","")</f>
        <v/>
      </c>
      <c r="FM1" s="2">
        <f>IF(Settings!$B$8="Y","SPY US Equity","")</f>
        <v/>
      </c>
    </row>
    <row r="2">
      <c r="A2" s="4" t="inlineStr">
        <is>
          <t>US Oil Fund (front WTI)</t>
        </is>
      </c>
      <c r="H2" s="4" t="inlineStr">
        <is>
          <t>US Brent Oil Fund</t>
        </is>
      </c>
      <c r="O2" s="4" t="inlineStr">
        <is>
          <t>US 12-Month Oil Fund</t>
        </is>
      </c>
      <c r="V2" s="4" t="inlineStr">
        <is>
          <t>Invesco DB Oil</t>
        </is>
      </c>
      <c r="AC2" s="4" t="inlineStr">
        <is>
          <t>ProShares 2x crude</t>
        </is>
      </c>
      <c r="AJ2" s="4" t="inlineStr">
        <is>
          <t>ProShares -2x crude</t>
        </is>
      </c>
      <c r="AQ2" s="4" t="inlineStr">
        <is>
          <t>Energy Select SPDR</t>
        </is>
      </c>
      <c r="AX2" s="4" t="inlineStr">
        <is>
          <t>S&amp;P Oil &amp; Gas E&amp;P ETF</t>
        </is>
      </c>
      <c r="BE2" s="4" t="inlineStr">
        <is>
          <t>Oil services ETF</t>
        </is>
      </c>
      <c r="BL2" s="4" t="inlineStr">
        <is>
          <t>Vanguard energy ETF</t>
        </is>
      </c>
      <c r="BS2" s="4" t="inlineStr">
        <is>
          <t>Oil refiners ETF</t>
        </is>
      </c>
      <c r="BZ2" s="4" t="inlineStr">
        <is>
          <t>ExxonMobil</t>
        </is>
      </c>
      <c r="CG2" s="4" t="inlineStr">
        <is>
          <t>Chevron</t>
        </is>
      </c>
      <c r="CN2" s="4" t="inlineStr">
        <is>
          <t>ConocoPhillips</t>
        </is>
      </c>
      <c r="CU2" s="4" t="inlineStr">
        <is>
          <t>Occidental</t>
        </is>
      </c>
      <c r="DB2" s="4" t="inlineStr">
        <is>
          <t>EOG Resources</t>
        </is>
      </c>
      <c r="DI2" s="4" t="inlineStr">
        <is>
          <t>Devon</t>
        </is>
      </c>
      <c r="DP2" s="4" t="inlineStr">
        <is>
          <t>Diamondback</t>
        </is>
      </c>
      <c r="DW2" s="4" t="inlineStr">
        <is>
          <t>APA Corp</t>
        </is>
      </c>
      <c r="ED2" s="4" t="inlineStr">
        <is>
          <t>Delta Air Lines</t>
        </is>
      </c>
      <c r="EK2" s="4" t="inlineStr">
        <is>
          <t>United Airlines</t>
        </is>
      </c>
      <c r="ER2" s="4" t="inlineStr">
        <is>
          <t>American Airlines</t>
        </is>
      </c>
      <c r="EY2" s="4" t="inlineStr">
        <is>
          <t>Southwest</t>
        </is>
      </c>
      <c r="FF2" s="4" t="inlineStr">
        <is>
          <t>Airlines ETF</t>
        </is>
      </c>
      <c r="FM2" s="4" t="inlineStr">
        <is>
          <t>S&amp;P 500 ETF</t>
        </is>
      </c>
    </row>
    <row r="3">
      <c r="A3" s="5" t="inlineStr">
        <is>
          <t>Date</t>
        </is>
      </c>
      <c r="B3" s="5" t="inlineStr">
        <is>
          <t>PX_OPEN</t>
        </is>
      </c>
      <c r="C3" s="5" t="inlineStr">
        <is>
          <t>PX_HIGH</t>
        </is>
      </c>
      <c r="D3" s="5" t="inlineStr">
        <is>
          <t>PX_LOW</t>
        </is>
      </c>
      <c r="E3" s="5" t="inlineStr">
        <is>
          <t>PX_LAST</t>
        </is>
      </c>
      <c r="F3" s="5" t="inlineStr">
        <is>
          <t>PX_VOLUME</t>
        </is>
      </c>
      <c r="H3" s="5" t="inlineStr">
        <is>
          <t>Date</t>
        </is>
      </c>
      <c r="I3" s="5" t="inlineStr">
        <is>
          <t>PX_OPEN</t>
        </is>
      </c>
      <c r="J3" s="5" t="inlineStr">
        <is>
          <t>PX_HIGH</t>
        </is>
      </c>
      <c r="K3" s="5" t="inlineStr">
        <is>
          <t>PX_LOW</t>
        </is>
      </c>
      <c r="L3" s="5" t="inlineStr">
        <is>
          <t>PX_LAST</t>
        </is>
      </c>
      <c r="M3" s="5" t="inlineStr">
        <is>
          <t>PX_VOLUME</t>
        </is>
      </c>
      <c r="O3" s="5" t="inlineStr">
        <is>
          <t>Date</t>
        </is>
      </c>
      <c r="P3" s="5" t="inlineStr">
        <is>
          <t>PX_OPEN</t>
        </is>
      </c>
      <c r="Q3" s="5" t="inlineStr">
        <is>
          <t>PX_HIGH</t>
        </is>
      </c>
      <c r="R3" s="5" t="inlineStr">
        <is>
          <t>PX_LOW</t>
        </is>
      </c>
      <c r="S3" s="5" t="inlineStr">
        <is>
          <t>PX_LAST</t>
        </is>
      </c>
      <c r="T3" s="5" t="inlineStr">
        <is>
          <t>PX_VOLUME</t>
        </is>
      </c>
      <c r="V3" s="5" t="inlineStr">
        <is>
          <t>Date</t>
        </is>
      </c>
      <c r="W3" s="5" t="inlineStr">
        <is>
          <t>PX_OPEN</t>
        </is>
      </c>
      <c r="X3" s="5" t="inlineStr">
        <is>
          <t>PX_HIGH</t>
        </is>
      </c>
      <c r="Y3" s="5" t="inlineStr">
        <is>
          <t>PX_LOW</t>
        </is>
      </c>
      <c r="Z3" s="5" t="inlineStr">
        <is>
          <t>PX_LAST</t>
        </is>
      </c>
      <c r="AA3" s="5" t="inlineStr">
        <is>
          <t>PX_VOLUME</t>
        </is>
      </c>
      <c r="AC3" s="5" t="inlineStr">
        <is>
          <t>Date</t>
        </is>
      </c>
      <c r="AD3" s="5" t="inlineStr">
        <is>
          <t>PX_OPEN</t>
        </is>
      </c>
      <c r="AE3" s="5" t="inlineStr">
        <is>
          <t>PX_HIGH</t>
        </is>
      </c>
      <c r="AF3" s="5" t="inlineStr">
        <is>
          <t>PX_LOW</t>
        </is>
      </c>
      <c r="AG3" s="5" t="inlineStr">
        <is>
          <t>PX_LAST</t>
        </is>
      </c>
      <c r="AH3" s="5" t="inlineStr">
        <is>
          <t>PX_VOLUME</t>
        </is>
      </c>
      <c r="AJ3" s="5" t="inlineStr">
        <is>
          <t>Date</t>
        </is>
      </c>
      <c r="AK3" s="5" t="inlineStr">
        <is>
          <t>PX_OPEN</t>
        </is>
      </c>
      <c r="AL3" s="5" t="inlineStr">
        <is>
          <t>PX_HIGH</t>
        </is>
      </c>
      <c r="AM3" s="5" t="inlineStr">
        <is>
          <t>PX_LOW</t>
        </is>
      </c>
      <c r="AN3" s="5" t="inlineStr">
        <is>
          <t>PX_LAST</t>
        </is>
      </c>
      <c r="AO3" s="5" t="inlineStr">
        <is>
          <t>PX_VOLUME</t>
        </is>
      </c>
      <c r="AQ3" s="5" t="inlineStr">
        <is>
          <t>Date</t>
        </is>
      </c>
      <c r="AR3" s="5" t="inlineStr">
        <is>
          <t>PX_OPEN</t>
        </is>
      </c>
      <c r="AS3" s="5" t="inlineStr">
        <is>
          <t>PX_HIGH</t>
        </is>
      </c>
      <c r="AT3" s="5" t="inlineStr">
        <is>
          <t>PX_LOW</t>
        </is>
      </c>
      <c r="AU3" s="5" t="inlineStr">
        <is>
          <t>PX_LAST</t>
        </is>
      </c>
      <c r="AV3" s="5" t="inlineStr">
        <is>
          <t>PX_VOLUME</t>
        </is>
      </c>
      <c r="AX3" s="5" t="inlineStr">
        <is>
          <t>Date</t>
        </is>
      </c>
      <c r="AY3" s="5" t="inlineStr">
        <is>
          <t>PX_OPEN</t>
        </is>
      </c>
      <c r="AZ3" s="5" t="inlineStr">
        <is>
          <t>PX_HIGH</t>
        </is>
      </c>
      <c r="BA3" s="5" t="inlineStr">
        <is>
          <t>PX_LOW</t>
        </is>
      </c>
      <c r="BB3" s="5" t="inlineStr">
        <is>
          <t>PX_LAST</t>
        </is>
      </c>
      <c r="BC3" s="5" t="inlineStr">
        <is>
          <t>PX_VOLUME</t>
        </is>
      </c>
      <c r="BE3" s="5" t="inlineStr">
        <is>
          <t>Date</t>
        </is>
      </c>
      <c r="BF3" s="5" t="inlineStr">
        <is>
          <t>PX_OPEN</t>
        </is>
      </c>
      <c r="BG3" s="5" t="inlineStr">
        <is>
          <t>PX_HIGH</t>
        </is>
      </c>
      <c r="BH3" s="5" t="inlineStr">
        <is>
          <t>PX_LOW</t>
        </is>
      </c>
      <c r="BI3" s="5" t="inlineStr">
        <is>
          <t>PX_LAST</t>
        </is>
      </c>
      <c r="BJ3" s="5" t="inlineStr">
        <is>
          <t>PX_VOLUME</t>
        </is>
      </c>
      <c r="BL3" s="5" t="inlineStr">
        <is>
          <t>Date</t>
        </is>
      </c>
      <c r="BM3" s="5" t="inlineStr">
        <is>
          <t>PX_OPEN</t>
        </is>
      </c>
      <c r="BN3" s="5" t="inlineStr">
        <is>
          <t>PX_HIGH</t>
        </is>
      </c>
      <c r="BO3" s="5" t="inlineStr">
        <is>
          <t>PX_LOW</t>
        </is>
      </c>
      <c r="BP3" s="5" t="inlineStr">
        <is>
          <t>PX_LAST</t>
        </is>
      </c>
      <c r="BQ3" s="5" t="inlineStr">
        <is>
          <t>PX_VOLUME</t>
        </is>
      </c>
      <c r="BS3" s="5" t="inlineStr">
        <is>
          <t>Date</t>
        </is>
      </c>
      <c r="BT3" s="5" t="inlineStr">
        <is>
          <t>PX_OPEN</t>
        </is>
      </c>
      <c r="BU3" s="5" t="inlineStr">
        <is>
          <t>PX_HIGH</t>
        </is>
      </c>
      <c r="BV3" s="5" t="inlineStr">
        <is>
          <t>PX_LOW</t>
        </is>
      </c>
      <c r="BW3" s="5" t="inlineStr">
        <is>
          <t>PX_LAST</t>
        </is>
      </c>
      <c r="BX3" s="5" t="inlineStr">
        <is>
          <t>PX_VOLUME</t>
        </is>
      </c>
      <c r="BZ3" s="5" t="inlineStr">
        <is>
          <t>Date</t>
        </is>
      </c>
      <c r="CA3" s="5" t="inlineStr">
        <is>
          <t>PX_OPEN</t>
        </is>
      </c>
      <c r="CB3" s="5" t="inlineStr">
        <is>
          <t>PX_HIGH</t>
        </is>
      </c>
      <c r="CC3" s="5" t="inlineStr">
        <is>
          <t>PX_LOW</t>
        </is>
      </c>
      <c r="CD3" s="5" t="inlineStr">
        <is>
          <t>PX_LAST</t>
        </is>
      </c>
      <c r="CE3" s="5" t="inlineStr">
        <is>
          <t>PX_VOLUME</t>
        </is>
      </c>
      <c r="CG3" s="5" t="inlineStr">
        <is>
          <t>Date</t>
        </is>
      </c>
      <c r="CH3" s="5" t="inlineStr">
        <is>
          <t>PX_OPEN</t>
        </is>
      </c>
      <c r="CI3" s="5" t="inlineStr">
        <is>
          <t>PX_HIGH</t>
        </is>
      </c>
      <c r="CJ3" s="5" t="inlineStr">
        <is>
          <t>PX_LOW</t>
        </is>
      </c>
      <c r="CK3" s="5" t="inlineStr">
        <is>
          <t>PX_LAST</t>
        </is>
      </c>
      <c r="CL3" s="5" t="inlineStr">
        <is>
          <t>PX_VOLUME</t>
        </is>
      </c>
      <c r="CN3" s="5" t="inlineStr">
        <is>
          <t>Date</t>
        </is>
      </c>
      <c r="CO3" s="5" t="inlineStr">
        <is>
          <t>PX_OPEN</t>
        </is>
      </c>
      <c r="CP3" s="5" t="inlineStr">
        <is>
          <t>PX_HIGH</t>
        </is>
      </c>
      <c r="CQ3" s="5" t="inlineStr">
        <is>
          <t>PX_LOW</t>
        </is>
      </c>
      <c r="CR3" s="5" t="inlineStr">
        <is>
          <t>PX_LAST</t>
        </is>
      </c>
      <c r="CS3" s="5" t="inlineStr">
        <is>
          <t>PX_VOLUME</t>
        </is>
      </c>
      <c r="CU3" s="5" t="inlineStr">
        <is>
          <t>Date</t>
        </is>
      </c>
      <c r="CV3" s="5" t="inlineStr">
        <is>
          <t>PX_OPEN</t>
        </is>
      </c>
      <c r="CW3" s="5" t="inlineStr">
        <is>
          <t>PX_HIGH</t>
        </is>
      </c>
      <c r="CX3" s="5" t="inlineStr">
        <is>
          <t>PX_LOW</t>
        </is>
      </c>
      <c r="CY3" s="5" t="inlineStr">
        <is>
          <t>PX_LAST</t>
        </is>
      </c>
      <c r="CZ3" s="5" t="inlineStr">
        <is>
          <t>PX_VOLUME</t>
        </is>
      </c>
      <c r="DB3" s="5" t="inlineStr">
        <is>
          <t>Date</t>
        </is>
      </c>
      <c r="DC3" s="5" t="inlineStr">
        <is>
          <t>PX_OPEN</t>
        </is>
      </c>
      <c r="DD3" s="5" t="inlineStr">
        <is>
          <t>PX_HIGH</t>
        </is>
      </c>
      <c r="DE3" s="5" t="inlineStr">
        <is>
          <t>PX_LOW</t>
        </is>
      </c>
      <c r="DF3" s="5" t="inlineStr">
        <is>
          <t>PX_LAST</t>
        </is>
      </c>
      <c r="DG3" s="5" t="inlineStr">
        <is>
          <t>PX_VOLUME</t>
        </is>
      </c>
      <c r="DI3" s="5" t="inlineStr">
        <is>
          <t>Date</t>
        </is>
      </c>
      <c r="DJ3" s="5" t="inlineStr">
        <is>
          <t>PX_OPEN</t>
        </is>
      </c>
      <c r="DK3" s="5" t="inlineStr">
        <is>
          <t>PX_HIGH</t>
        </is>
      </c>
      <c r="DL3" s="5" t="inlineStr">
        <is>
          <t>PX_LOW</t>
        </is>
      </c>
      <c r="DM3" s="5" t="inlineStr">
        <is>
          <t>PX_LAST</t>
        </is>
      </c>
      <c r="DN3" s="5" t="inlineStr">
        <is>
          <t>PX_VOLUME</t>
        </is>
      </c>
      <c r="DP3" s="5" t="inlineStr">
        <is>
          <t>Date</t>
        </is>
      </c>
      <c r="DQ3" s="5" t="inlineStr">
        <is>
          <t>PX_OPEN</t>
        </is>
      </c>
      <c r="DR3" s="5" t="inlineStr">
        <is>
          <t>PX_HIGH</t>
        </is>
      </c>
      <c r="DS3" s="5" t="inlineStr">
        <is>
          <t>PX_LOW</t>
        </is>
      </c>
      <c r="DT3" s="5" t="inlineStr">
        <is>
          <t>PX_LAST</t>
        </is>
      </c>
      <c r="DU3" s="5" t="inlineStr">
        <is>
          <t>PX_VOLUME</t>
        </is>
      </c>
      <c r="DW3" s="5" t="inlineStr">
        <is>
          <t>Date</t>
        </is>
      </c>
      <c r="DX3" s="5" t="inlineStr">
        <is>
          <t>PX_OPEN</t>
        </is>
      </c>
      <c r="DY3" s="5" t="inlineStr">
        <is>
          <t>PX_HIGH</t>
        </is>
      </c>
      <c r="DZ3" s="5" t="inlineStr">
        <is>
          <t>PX_LOW</t>
        </is>
      </c>
      <c r="EA3" s="5" t="inlineStr">
        <is>
          <t>PX_LAST</t>
        </is>
      </c>
      <c r="EB3" s="5" t="inlineStr">
        <is>
          <t>PX_VOLUME</t>
        </is>
      </c>
      <c r="ED3" s="5" t="inlineStr">
        <is>
          <t>Date</t>
        </is>
      </c>
      <c r="EE3" s="5" t="inlineStr">
        <is>
          <t>PX_OPEN</t>
        </is>
      </c>
      <c r="EF3" s="5" t="inlineStr">
        <is>
          <t>PX_HIGH</t>
        </is>
      </c>
      <c r="EG3" s="5" t="inlineStr">
        <is>
          <t>PX_LOW</t>
        </is>
      </c>
      <c r="EH3" s="5" t="inlineStr">
        <is>
          <t>PX_LAST</t>
        </is>
      </c>
      <c r="EI3" s="5" t="inlineStr">
        <is>
          <t>PX_VOLUME</t>
        </is>
      </c>
      <c r="EK3" s="5" t="inlineStr">
        <is>
          <t>Date</t>
        </is>
      </c>
      <c r="EL3" s="5" t="inlineStr">
        <is>
          <t>PX_OPEN</t>
        </is>
      </c>
      <c r="EM3" s="5" t="inlineStr">
        <is>
          <t>PX_HIGH</t>
        </is>
      </c>
      <c r="EN3" s="5" t="inlineStr">
        <is>
          <t>PX_LOW</t>
        </is>
      </c>
      <c r="EO3" s="5" t="inlineStr">
        <is>
          <t>PX_LAST</t>
        </is>
      </c>
      <c r="EP3" s="5" t="inlineStr">
        <is>
          <t>PX_VOLUME</t>
        </is>
      </c>
      <c r="ER3" s="5" t="inlineStr">
        <is>
          <t>Date</t>
        </is>
      </c>
      <c r="ES3" s="5" t="inlineStr">
        <is>
          <t>PX_OPEN</t>
        </is>
      </c>
      <c r="ET3" s="5" t="inlineStr">
        <is>
          <t>PX_HIGH</t>
        </is>
      </c>
      <c r="EU3" s="5" t="inlineStr">
        <is>
          <t>PX_LOW</t>
        </is>
      </c>
      <c r="EV3" s="5" t="inlineStr">
        <is>
          <t>PX_LAST</t>
        </is>
      </c>
      <c r="EW3" s="5" t="inlineStr">
        <is>
          <t>PX_VOLUME</t>
        </is>
      </c>
      <c r="EY3" s="5" t="inlineStr">
        <is>
          <t>Date</t>
        </is>
      </c>
      <c r="EZ3" s="5" t="inlineStr">
        <is>
          <t>PX_OPEN</t>
        </is>
      </c>
      <c r="FA3" s="5" t="inlineStr">
        <is>
          <t>PX_HIGH</t>
        </is>
      </c>
      <c r="FB3" s="5" t="inlineStr">
        <is>
          <t>PX_LOW</t>
        </is>
      </c>
      <c r="FC3" s="5" t="inlineStr">
        <is>
          <t>PX_LAST</t>
        </is>
      </c>
      <c r="FD3" s="5" t="inlineStr">
        <is>
          <t>PX_VOLUME</t>
        </is>
      </c>
      <c r="FF3" s="5" t="inlineStr">
        <is>
          <t>Date</t>
        </is>
      </c>
      <c r="FG3" s="5" t="inlineStr">
        <is>
          <t>PX_OPEN</t>
        </is>
      </c>
      <c r="FH3" s="5" t="inlineStr">
        <is>
          <t>PX_HIGH</t>
        </is>
      </c>
      <c r="FI3" s="5" t="inlineStr">
        <is>
          <t>PX_LOW</t>
        </is>
      </c>
      <c r="FJ3" s="5" t="inlineStr">
        <is>
          <t>PX_LAST</t>
        </is>
      </c>
      <c r="FK3" s="5" t="inlineStr">
        <is>
          <t>PX_VOLUME</t>
        </is>
      </c>
      <c r="FM3" s="5" t="inlineStr">
        <is>
          <t>Date</t>
        </is>
      </c>
      <c r="FN3" s="5" t="inlineStr">
        <is>
          <t>PX_OPEN</t>
        </is>
      </c>
      <c r="FO3" s="5" t="inlineStr">
        <is>
          <t>PX_HIGH</t>
        </is>
      </c>
      <c r="FP3" s="5" t="inlineStr">
        <is>
          <t>PX_LOW</t>
        </is>
      </c>
      <c r="FQ3" s="5" t="inlineStr">
        <is>
          <t>PX_LAST</t>
        </is>
      </c>
      <c r="FR3" s="5" t="inlineStr">
        <is>
          <t>PX_VOLUME</t>
        </is>
      </c>
    </row>
    <row r="4">
      <c r="A4" s="4">
        <f>BDH(A$1,B$3:F$3,Settings!$C$8,IF(Settings!$D$8="","",Settings!$D$8),"Dir=V","Dts=S","Sort=A","Days=T","Fill=B")</f>
        <v/>
      </c>
      <c r="H4" s="4">
        <f>BDH(H$1,I$3:M$3,Settings!$C$8,IF(Settings!$D$8="","",Settings!$D$8),"Dir=V","Dts=S","Sort=A","Days=T","Fill=B")</f>
        <v/>
      </c>
      <c r="O4" s="4">
        <f>BDH(O$1,P$3:T$3,Settings!$C$8,IF(Settings!$D$8="","",Settings!$D$8),"Dir=V","Dts=S","Sort=A","Days=T","Fill=B")</f>
        <v/>
      </c>
      <c r="V4" s="4">
        <f>BDH(V$1,W$3:AA$3,Settings!$C$8,IF(Settings!$D$8="","",Settings!$D$8),"Dir=V","Dts=S","Sort=A","Days=T","Fill=B")</f>
        <v/>
      </c>
      <c r="AC4" s="4">
        <f>BDH(AC$1,AD$3:AH$3,Settings!$C$8,IF(Settings!$D$8="","",Settings!$D$8),"Dir=V","Dts=S","Sort=A","Days=T","Fill=B")</f>
        <v/>
      </c>
      <c r="AJ4" s="4">
        <f>BDH(AJ$1,AK$3:AO$3,Settings!$C$8,IF(Settings!$D$8="","",Settings!$D$8),"Dir=V","Dts=S","Sort=A","Days=T","Fill=B")</f>
        <v/>
      </c>
      <c r="AQ4" s="4">
        <f>BDH(AQ$1,AR$3:AV$3,Settings!$C$8,IF(Settings!$D$8="","",Settings!$D$8),"Dir=V","Dts=S","Sort=A","Days=T","Fill=B")</f>
        <v/>
      </c>
      <c r="AX4" s="4">
        <f>BDH(AX$1,AY$3:BC$3,Settings!$C$8,IF(Settings!$D$8="","",Settings!$D$8),"Dir=V","Dts=S","Sort=A","Days=T","Fill=B")</f>
        <v/>
      </c>
      <c r="BE4" s="4">
        <f>BDH(BE$1,BF$3:BJ$3,Settings!$C$8,IF(Settings!$D$8="","",Settings!$D$8),"Dir=V","Dts=S","Sort=A","Days=T","Fill=B")</f>
        <v/>
      </c>
      <c r="BL4" s="4">
        <f>BDH(BL$1,BM$3:BQ$3,Settings!$C$8,IF(Settings!$D$8="","",Settings!$D$8),"Dir=V","Dts=S","Sort=A","Days=T","Fill=B")</f>
        <v/>
      </c>
      <c r="BS4" s="4">
        <f>BDH(BS$1,BT$3:BX$3,Settings!$C$8,IF(Settings!$D$8="","",Settings!$D$8),"Dir=V","Dts=S","Sort=A","Days=T","Fill=B")</f>
        <v/>
      </c>
      <c r="BZ4" s="4">
        <f>BDH(BZ$1,CA$3:CE$3,Settings!$C$8,IF(Settings!$D$8="","",Settings!$D$8),"Dir=V","Dts=S","Sort=A","Days=T","Fill=B")</f>
        <v/>
      </c>
      <c r="CG4" s="4">
        <f>BDH(CG$1,CH$3:CL$3,Settings!$C$8,IF(Settings!$D$8="","",Settings!$D$8),"Dir=V","Dts=S","Sort=A","Days=T","Fill=B")</f>
        <v/>
      </c>
      <c r="CN4" s="4">
        <f>BDH(CN$1,CO$3:CS$3,Settings!$C$8,IF(Settings!$D$8="","",Settings!$D$8),"Dir=V","Dts=S","Sort=A","Days=T","Fill=B")</f>
        <v/>
      </c>
      <c r="CU4" s="4">
        <f>BDH(CU$1,CV$3:CZ$3,Settings!$C$8,IF(Settings!$D$8="","",Settings!$D$8),"Dir=V","Dts=S","Sort=A","Days=T","Fill=B")</f>
        <v/>
      </c>
      <c r="DB4" s="4">
        <f>BDH(DB$1,DC$3:DG$3,Settings!$C$8,IF(Settings!$D$8="","",Settings!$D$8),"Dir=V","Dts=S","Sort=A","Days=T","Fill=B")</f>
        <v/>
      </c>
      <c r="DI4" s="4">
        <f>BDH(DI$1,DJ$3:DN$3,Settings!$C$8,IF(Settings!$D$8="","",Settings!$D$8),"Dir=V","Dts=S","Sort=A","Days=T","Fill=B")</f>
        <v/>
      </c>
      <c r="DP4" s="4">
        <f>BDH(DP$1,DQ$3:DU$3,Settings!$C$8,IF(Settings!$D$8="","",Settings!$D$8),"Dir=V","Dts=S","Sort=A","Days=T","Fill=B")</f>
        <v/>
      </c>
      <c r="DW4" s="4">
        <f>BDH(DW$1,DX$3:EB$3,Settings!$C$8,IF(Settings!$D$8="","",Settings!$D$8),"Dir=V","Dts=S","Sort=A","Days=T","Fill=B")</f>
        <v/>
      </c>
      <c r="ED4" s="4">
        <f>BDH(ED$1,EE$3:EI$3,Settings!$C$8,IF(Settings!$D$8="","",Settings!$D$8),"Dir=V","Dts=S","Sort=A","Days=T","Fill=B")</f>
        <v/>
      </c>
      <c r="EK4" s="4">
        <f>BDH(EK$1,EL$3:EP$3,Settings!$C$8,IF(Settings!$D$8="","",Settings!$D$8),"Dir=V","Dts=S","Sort=A","Days=T","Fill=B")</f>
        <v/>
      </c>
      <c r="ER4" s="4">
        <f>BDH(ER$1,ES$3:EW$3,Settings!$C$8,IF(Settings!$D$8="","",Settings!$D$8),"Dir=V","Dts=S","Sort=A","Days=T","Fill=B")</f>
        <v/>
      </c>
      <c r="EY4" s="4">
        <f>BDH(EY$1,EZ$3:FD$3,Settings!$C$8,IF(Settings!$D$8="","",Settings!$D$8),"Dir=V","Dts=S","Sort=A","Days=T","Fill=B")</f>
        <v/>
      </c>
      <c r="FF4" s="4">
        <f>BDH(FF$1,FG$3:FK$3,Settings!$C$8,IF(Settings!$D$8="","",Settings!$D$8),"Dir=V","Dts=S","Sort=A","Days=T","Fill=B")</f>
        <v/>
      </c>
      <c r="FM4" s="4">
        <f>BDH(FM$1,FN$3:FR$3,Settings!$C$8,IF(Settings!$D$8="","",Settings!$D$8),"Dir=V","Dts=S","Sort=A","Days=T","Fill=B")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V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4" max="4"/>
    <col width="10" customWidth="1" min="5" max="5"/>
    <col width="12" customWidth="1" min="7" max="7"/>
    <col width="10" customWidth="1" min="8" max="8"/>
    <col width="12" customWidth="1" min="10" max="10"/>
    <col width="10" customWidth="1" min="11" max="11"/>
    <col width="12" customWidth="1" min="13" max="13"/>
    <col width="10" customWidth="1" min="14" max="14"/>
    <col width="12" customWidth="1" min="16" max="16"/>
    <col width="10" customWidth="1" min="17" max="17"/>
    <col width="12" customWidth="1" min="19" max="19"/>
    <col width="10" customWidth="1" min="20" max="20"/>
    <col width="12" customWidth="1" min="22" max="22"/>
    <col width="10" customWidth="1" min="23" max="23"/>
    <col width="12" customWidth="1" min="25" max="25"/>
    <col width="10" customWidth="1" min="26" max="26"/>
    <col width="12" customWidth="1" min="28" max="28"/>
    <col width="10" customWidth="1" min="29" max="29"/>
    <col width="12" customWidth="1" min="31" max="31"/>
    <col width="10" customWidth="1" min="32" max="32"/>
    <col width="12" customWidth="1" min="34" max="34"/>
    <col width="10" customWidth="1" min="35" max="35"/>
    <col width="12" customWidth="1" min="37" max="37"/>
    <col width="10" customWidth="1" min="38" max="38"/>
    <col width="12" customWidth="1" min="40" max="40"/>
    <col width="10" customWidth="1" min="41" max="41"/>
    <col width="12" customWidth="1" min="43" max="43"/>
    <col width="10" customWidth="1" min="44" max="44"/>
    <col width="12" customWidth="1" min="46" max="46"/>
    <col width="10" customWidth="1" min="47" max="47"/>
    <col width="12" customWidth="1" min="49" max="49"/>
    <col width="10" customWidth="1" min="50" max="50"/>
    <col width="12" customWidth="1" min="52" max="52"/>
    <col width="10" customWidth="1" min="53" max="53"/>
    <col width="12" customWidth="1" min="55" max="55"/>
    <col width="10" customWidth="1" min="56" max="56"/>
    <col width="12" customWidth="1" min="58" max="58"/>
    <col width="10" customWidth="1" min="59" max="59"/>
    <col width="12" customWidth="1" min="61" max="61"/>
    <col width="10" customWidth="1" min="62" max="62"/>
    <col width="12" customWidth="1" min="64" max="64"/>
    <col width="10" customWidth="1" min="65" max="65"/>
    <col width="12" customWidth="1" min="67" max="67"/>
    <col width="10" customWidth="1" min="68" max="68"/>
    <col width="12" customWidth="1" min="70" max="70"/>
    <col width="10" customWidth="1" min="71" max="71"/>
    <col width="12" customWidth="1" min="73" max="73"/>
    <col width="10" customWidth="1" min="74" max="74"/>
  </cols>
  <sheetData>
    <row r="1">
      <c r="A1" s="2">
        <f>IF(Settings!$B$8="Y","USO US Equity","")</f>
        <v/>
      </c>
      <c r="D1" s="2">
        <f>IF(Settings!$B$8="Y","BNO US Equity","")</f>
        <v/>
      </c>
      <c r="G1" s="2">
        <f>IF(Settings!$B$8="Y","USL US Equity","")</f>
        <v/>
      </c>
      <c r="J1" s="2">
        <f>IF(Settings!$B$8="Y","DBO US Equity","")</f>
        <v/>
      </c>
      <c r="M1" s="2">
        <f>IF(Settings!$B$8="Y","UCO US Equity","")</f>
        <v/>
      </c>
      <c r="P1" s="2">
        <f>IF(Settings!$B$8="Y","SCO US Equity","")</f>
        <v/>
      </c>
      <c r="S1" s="2">
        <f>IF(Settings!$B$8="Y","XLE US Equity","")</f>
        <v/>
      </c>
      <c r="V1" s="2">
        <f>IF(Settings!$B$8="Y","XOP US Equity","")</f>
        <v/>
      </c>
      <c r="Y1" s="2">
        <f>IF(Settings!$B$8="Y","OIH US Equity","")</f>
        <v/>
      </c>
      <c r="AB1" s="2">
        <f>IF(Settings!$B$8="Y","VDE US Equity","")</f>
        <v/>
      </c>
      <c r="AE1" s="2">
        <f>IF(Settings!$B$8="Y","CRAK US Equity","")</f>
        <v/>
      </c>
      <c r="AH1" s="2">
        <f>IF(Settings!$B$8="Y","XOM US Equity","")</f>
        <v/>
      </c>
      <c r="AK1" s="2">
        <f>IF(Settings!$B$8="Y","CVX US Equity","")</f>
        <v/>
      </c>
      <c r="AN1" s="2">
        <f>IF(Settings!$B$8="Y","COP US Equity","")</f>
        <v/>
      </c>
      <c r="AQ1" s="2">
        <f>IF(Settings!$B$8="Y","OXY US Equity","")</f>
        <v/>
      </c>
      <c r="AT1" s="2">
        <f>IF(Settings!$B$8="Y","EOG US Equity","")</f>
        <v/>
      </c>
      <c r="AW1" s="2">
        <f>IF(Settings!$B$8="Y","DVN US Equity","")</f>
        <v/>
      </c>
      <c r="AZ1" s="2">
        <f>IF(Settings!$B$8="Y","FANG US Equity","")</f>
        <v/>
      </c>
      <c r="BC1" s="2">
        <f>IF(Settings!$B$8="Y","APA US Equity","")</f>
        <v/>
      </c>
      <c r="BF1" s="2">
        <f>IF(Settings!$B$8="Y","DAL US Equity","")</f>
        <v/>
      </c>
      <c r="BI1" s="2">
        <f>IF(Settings!$B$8="Y","UAL US Equity","")</f>
        <v/>
      </c>
      <c r="BL1" s="2">
        <f>IF(Settings!$B$8="Y","AAL US Equity","")</f>
        <v/>
      </c>
      <c r="BO1" s="2">
        <f>IF(Settings!$B$8="Y","LUV US Equity","")</f>
        <v/>
      </c>
      <c r="BR1" s="2">
        <f>IF(Settings!$B$8="Y","JETS US Equity","")</f>
        <v/>
      </c>
      <c r="BU1" s="2">
        <f>IF(Settings!$B$8="Y","SPY US Equity","")</f>
        <v/>
      </c>
    </row>
    <row r="2">
      <c r="A2" s="4" t="inlineStr">
        <is>
          <t>US Oil Fund (front WTI) (unadjusted close)</t>
        </is>
      </c>
      <c r="D2" s="4" t="inlineStr">
        <is>
          <t>US Brent Oil Fund (unadjusted close)</t>
        </is>
      </c>
      <c r="G2" s="4" t="inlineStr">
        <is>
          <t>US 12-Month Oil Fund (unadjusted close)</t>
        </is>
      </c>
      <c r="J2" s="4" t="inlineStr">
        <is>
          <t>Invesco DB Oil (unadjusted close)</t>
        </is>
      </c>
      <c r="M2" s="4" t="inlineStr">
        <is>
          <t>ProShares 2x crude (unadjusted close)</t>
        </is>
      </c>
      <c r="P2" s="4" t="inlineStr">
        <is>
          <t>ProShares -2x crude (unadjusted close)</t>
        </is>
      </c>
      <c r="S2" s="4" t="inlineStr">
        <is>
          <t>Energy Select SPDR (unadjusted close)</t>
        </is>
      </c>
      <c r="V2" s="4" t="inlineStr">
        <is>
          <t>S&amp;P Oil &amp; Gas E&amp;P ETF (unadjusted close)</t>
        </is>
      </c>
      <c r="Y2" s="4" t="inlineStr">
        <is>
          <t>Oil services ETF (unadjusted close)</t>
        </is>
      </c>
      <c r="AB2" s="4" t="inlineStr">
        <is>
          <t>Vanguard energy ETF (unadjusted close)</t>
        </is>
      </c>
      <c r="AE2" s="4" t="inlineStr">
        <is>
          <t>Oil refiners ETF (unadjusted close)</t>
        </is>
      </c>
      <c r="AH2" s="4" t="inlineStr">
        <is>
          <t>ExxonMobil (unadjusted close)</t>
        </is>
      </c>
      <c r="AK2" s="4" t="inlineStr">
        <is>
          <t>Chevron (unadjusted close)</t>
        </is>
      </c>
      <c r="AN2" s="4" t="inlineStr">
        <is>
          <t>ConocoPhillips (unadjusted close)</t>
        </is>
      </c>
      <c r="AQ2" s="4" t="inlineStr">
        <is>
          <t>Occidental (unadjusted close)</t>
        </is>
      </c>
      <c r="AT2" s="4" t="inlineStr">
        <is>
          <t>EOG Resources (unadjusted close)</t>
        </is>
      </c>
      <c r="AW2" s="4" t="inlineStr">
        <is>
          <t>Devon (unadjusted close)</t>
        </is>
      </c>
      <c r="AZ2" s="4" t="inlineStr">
        <is>
          <t>Diamondback (unadjusted close)</t>
        </is>
      </c>
      <c r="BC2" s="4" t="inlineStr">
        <is>
          <t>APA Corp (unadjusted close)</t>
        </is>
      </c>
      <c r="BF2" s="4" t="inlineStr">
        <is>
          <t>Delta Air Lines (unadjusted close)</t>
        </is>
      </c>
      <c r="BI2" s="4" t="inlineStr">
        <is>
          <t>United Airlines (unadjusted close)</t>
        </is>
      </c>
      <c r="BL2" s="4" t="inlineStr">
        <is>
          <t>American Airlines (unadjusted close)</t>
        </is>
      </c>
      <c r="BO2" s="4" t="inlineStr">
        <is>
          <t>Southwest (unadjusted close)</t>
        </is>
      </c>
      <c r="BR2" s="4" t="inlineStr">
        <is>
          <t>Airlines ETF (unadjusted close)</t>
        </is>
      </c>
      <c r="BU2" s="4" t="inlineStr">
        <is>
          <t>S&amp;P 500 ETF (unadjusted close)</t>
        </is>
      </c>
    </row>
    <row r="3">
      <c r="A3" s="5" t="inlineStr">
        <is>
          <t>Date</t>
        </is>
      </c>
      <c r="B3" s="5" t="inlineStr">
        <is>
          <t>PX_LAST</t>
        </is>
      </c>
      <c r="D3" s="5" t="inlineStr">
        <is>
          <t>Date</t>
        </is>
      </c>
      <c r="E3" s="5" t="inlineStr">
        <is>
          <t>PX_LAST</t>
        </is>
      </c>
      <c r="G3" s="5" t="inlineStr">
        <is>
          <t>Date</t>
        </is>
      </c>
      <c r="H3" s="5" t="inlineStr">
        <is>
          <t>PX_LAST</t>
        </is>
      </c>
      <c r="J3" s="5" t="inlineStr">
        <is>
          <t>Date</t>
        </is>
      </c>
      <c r="K3" s="5" t="inlineStr">
        <is>
          <t>PX_LAST</t>
        </is>
      </c>
      <c r="M3" s="5" t="inlineStr">
        <is>
          <t>Date</t>
        </is>
      </c>
      <c r="N3" s="5" t="inlineStr">
        <is>
          <t>PX_LAST</t>
        </is>
      </c>
      <c r="P3" s="5" t="inlineStr">
        <is>
          <t>Date</t>
        </is>
      </c>
      <c r="Q3" s="5" t="inlineStr">
        <is>
          <t>PX_LAST</t>
        </is>
      </c>
      <c r="S3" s="5" t="inlineStr">
        <is>
          <t>Date</t>
        </is>
      </c>
      <c r="T3" s="5" t="inlineStr">
        <is>
          <t>PX_LAST</t>
        </is>
      </c>
      <c r="V3" s="5" t="inlineStr">
        <is>
          <t>Date</t>
        </is>
      </c>
      <c r="W3" s="5" t="inlineStr">
        <is>
          <t>PX_LAST</t>
        </is>
      </c>
      <c r="Y3" s="5" t="inlineStr">
        <is>
          <t>Date</t>
        </is>
      </c>
      <c r="Z3" s="5" t="inlineStr">
        <is>
          <t>PX_LAST</t>
        </is>
      </c>
      <c r="AB3" s="5" t="inlineStr">
        <is>
          <t>Date</t>
        </is>
      </c>
      <c r="AC3" s="5" t="inlineStr">
        <is>
          <t>PX_LAST</t>
        </is>
      </c>
      <c r="AE3" s="5" t="inlineStr">
        <is>
          <t>Date</t>
        </is>
      </c>
      <c r="AF3" s="5" t="inlineStr">
        <is>
          <t>PX_LAST</t>
        </is>
      </c>
      <c r="AH3" s="5" t="inlineStr">
        <is>
          <t>Date</t>
        </is>
      </c>
      <c r="AI3" s="5" t="inlineStr">
        <is>
          <t>PX_LAST</t>
        </is>
      </c>
      <c r="AK3" s="5" t="inlineStr">
        <is>
          <t>Date</t>
        </is>
      </c>
      <c r="AL3" s="5" t="inlineStr">
        <is>
          <t>PX_LAST</t>
        </is>
      </c>
      <c r="AN3" s="5" t="inlineStr">
        <is>
          <t>Date</t>
        </is>
      </c>
      <c r="AO3" s="5" t="inlineStr">
        <is>
          <t>PX_LAST</t>
        </is>
      </c>
      <c r="AQ3" s="5" t="inlineStr">
        <is>
          <t>Date</t>
        </is>
      </c>
      <c r="AR3" s="5" t="inlineStr">
        <is>
          <t>PX_LAST</t>
        </is>
      </c>
      <c r="AT3" s="5" t="inlineStr">
        <is>
          <t>Date</t>
        </is>
      </c>
      <c r="AU3" s="5" t="inlineStr">
        <is>
          <t>PX_LAST</t>
        </is>
      </c>
      <c r="AW3" s="5" t="inlineStr">
        <is>
          <t>Date</t>
        </is>
      </c>
      <c r="AX3" s="5" t="inlineStr">
        <is>
          <t>PX_LAST</t>
        </is>
      </c>
      <c r="AZ3" s="5" t="inlineStr">
        <is>
          <t>Date</t>
        </is>
      </c>
      <c r="BA3" s="5" t="inlineStr">
        <is>
          <t>PX_LAST</t>
        </is>
      </c>
      <c r="BC3" s="5" t="inlineStr">
        <is>
          <t>Date</t>
        </is>
      </c>
      <c r="BD3" s="5" t="inlineStr">
        <is>
          <t>PX_LAST</t>
        </is>
      </c>
      <c r="BF3" s="5" t="inlineStr">
        <is>
          <t>Date</t>
        </is>
      </c>
      <c r="BG3" s="5" t="inlineStr">
        <is>
          <t>PX_LAST</t>
        </is>
      </c>
      <c r="BI3" s="5" t="inlineStr">
        <is>
          <t>Date</t>
        </is>
      </c>
      <c r="BJ3" s="5" t="inlineStr">
        <is>
          <t>PX_LAST</t>
        </is>
      </c>
      <c r="BL3" s="5" t="inlineStr">
        <is>
          <t>Date</t>
        </is>
      </c>
      <c r="BM3" s="5" t="inlineStr">
        <is>
          <t>PX_LAST</t>
        </is>
      </c>
      <c r="BO3" s="5" t="inlineStr">
        <is>
          <t>Date</t>
        </is>
      </c>
      <c r="BP3" s="5" t="inlineStr">
        <is>
          <t>PX_LAST</t>
        </is>
      </c>
      <c r="BR3" s="5" t="inlineStr">
        <is>
          <t>Date</t>
        </is>
      </c>
      <c r="BS3" s="5" t="inlineStr">
        <is>
          <t>PX_LAST</t>
        </is>
      </c>
      <c r="BU3" s="5" t="inlineStr">
        <is>
          <t>Date</t>
        </is>
      </c>
      <c r="BV3" s="5" t="inlineStr">
        <is>
          <t>PX_LAST</t>
        </is>
      </c>
    </row>
    <row r="4">
      <c r="A4" s="4">
        <f>BDH(A$1,B$3:B$3,Settings!$C$8,IF(Settings!$D$8="","",Settings!$D$8),"Dir=V","Dts=S","Sort=A","Days=T","Fill=B","CshAdjNormal=N","CshAdjAbnormal=N","CapChg=N")</f>
        <v/>
      </c>
      <c r="D4" s="4">
        <f>BDH(D$1,E$3:E$3,Settings!$C$8,IF(Settings!$D$8="","",Settings!$D$8),"Dir=V","Dts=S","Sort=A","Days=T","Fill=B","CshAdjNormal=N","CshAdjAbnormal=N","CapChg=N")</f>
        <v/>
      </c>
      <c r="G4" s="4">
        <f>BDH(G$1,H$3:H$3,Settings!$C$8,IF(Settings!$D$8="","",Settings!$D$8),"Dir=V","Dts=S","Sort=A","Days=T","Fill=B","CshAdjNormal=N","CshAdjAbnormal=N","CapChg=N")</f>
        <v/>
      </c>
      <c r="J4" s="4">
        <f>BDH(J$1,K$3:K$3,Settings!$C$8,IF(Settings!$D$8="","",Settings!$D$8),"Dir=V","Dts=S","Sort=A","Days=T","Fill=B","CshAdjNormal=N","CshAdjAbnormal=N","CapChg=N")</f>
        <v/>
      </c>
      <c r="M4" s="4">
        <f>BDH(M$1,N$3:N$3,Settings!$C$8,IF(Settings!$D$8="","",Settings!$D$8),"Dir=V","Dts=S","Sort=A","Days=T","Fill=B","CshAdjNormal=N","CshAdjAbnormal=N","CapChg=N")</f>
        <v/>
      </c>
      <c r="P4" s="4">
        <f>BDH(P$1,Q$3:Q$3,Settings!$C$8,IF(Settings!$D$8="","",Settings!$D$8),"Dir=V","Dts=S","Sort=A","Days=T","Fill=B","CshAdjNormal=N","CshAdjAbnormal=N","CapChg=N")</f>
        <v/>
      </c>
      <c r="S4" s="4">
        <f>BDH(S$1,T$3:T$3,Settings!$C$8,IF(Settings!$D$8="","",Settings!$D$8),"Dir=V","Dts=S","Sort=A","Days=T","Fill=B","CshAdjNormal=N","CshAdjAbnormal=N","CapChg=N")</f>
        <v/>
      </c>
      <c r="V4" s="4">
        <f>BDH(V$1,W$3:W$3,Settings!$C$8,IF(Settings!$D$8="","",Settings!$D$8),"Dir=V","Dts=S","Sort=A","Days=T","Fill=B","CshAdjNormal=N","CshAdjAbnormal=N","CapChg=N")</f>
        <v/>
      </c>
      <c r="Y4" s="4">
        <f>BDH(Y$1,Z$3:Z$3,Settings!$C$8,IF(Settings!$D$8="","",Settings!$D$8),"Dir=V","Dts=S","Sort=A","Days=T","Fill=B","CshAdjNormal=N","CshAdjAbnormal=N","CapChg=N")</f>
        <v/>
      </c>
      <c r="AB4" s="4">
        <f>BDH(AB$1,AC$3:AC$3,Settings!$C$8,IF(Settings!$D$8="","",Settings!$D$8),"Dir=V","Dts=S","Sort=A","Days=T","Fill=B","CshAdjNormal=N","CshAdjAbnormal=N","CapChg=N")</f>
        <v/>
      </c>
      <c r="AE4" s="4">
        <f>BDH(AE$1,AF$3:AF$3,Settings!$C$8,IF(Settings!$D$8="","",Settings!$D$8),"Dir=V","Dts=S","Sort=A","Days=T","Fill=B","CshAdjNormal=N","CshAdjAbnormal=N","CapChg=N")</f>
        <v/>
      </c>
      <c r="AH4" s="4">
        <f>BDH(AH$1,AI$3:AI$3,Settings!$C$8,IF(Settings!$D$8="","",Settings!$D$8),"Dir=V","Dts=S","Sort=A","Days=T","Fill=B","CshAdjNormal=N","CshAdjAbnormal=N","CapChg=N")</f>
        <v/>
      </c>
      <c r="AK4" s="4">
        <f>BDH(AK$1,AL$3:AL$3,Settings!$C$8,IF(Settings!$D$8="","",Settings!$D$8),"Dir=V","Dts=S","Sort=A","Days=T","Fill=B","CshAdjNormal=N","CshAdjAbnormal=N","CapChg=N")</f>
        <v/>
      </c>
      <c r="AN4" s="4">
        <f>BDH(AN$1,AO$3:AO$3,Settings!$C$8,IF(Settings!$D$8="","",Settings!$D$8),"Dir=V","Dts=S","Sort=A","Days=T","Fill=B","CshAdjNormal=N","CshAdjAbnormal=N","CapChg=N")</f>
        <v/>
      </c>
      <c r="AQ4" s="4">
        <f>BDH(AQ$1,AR$3:AR$3,Settings!$C$8,IF(Settings!$D$8="","",Settings!$D$8),"Dir=V","Dts=S","Sort=A","Days=T","Fill=B","CshAdjNormal=N","CshAdjAbnormal=N","CapChg=N")</f>
        <v/>
      </c>
      <c r="AT4" s="4">
        <f>BDH(AT$1,AU$3:AU$3,Settings!$C$8,IF(Settings!$D$8="","",Settings!$D$8),"Dir=V","Dts=S","Sort=A","Days=T","Fill=B","CshAdjNormal=N","CshAdjAbnormal=N","CapChg=N")</f>
        <v/>
      </c>
      <c r="AW4" s="4">
        <f>BDH(AW$1,AX$3:AX$3,Settings!$C$8,IF(Settings!$D$8="","",Settings!$D$8),"Dir=V","Dts=S","Sort=A","Days=T","Fill=B","CshAdjNormal=N","CshAdjAbnormal=N","CapChg=N")</f>
        <v/>
      </c>
      <c r="AZ4" s="4">
        <f>BDH(AZ$1,BA$3:BA$3,Settings!$C$8,IF(Settings!$D$8="","",Settings!$D$8),"Dir=V","Dts=S","Sort=A","Days=T","Fill=B","CshAdjNormal=N","CshAdjAbnormal=N","CapChg=N")</f>
        <v/>
      </c>
      <c r="BC4" s="4">
        <f>BDH(BC$1,BD$3:BD$3,Settings!$C$8,IF(Settings!$D$8="","",Settings!$D$8),"Dir=V","Dts=S","Sort=A","Days=T","Fill=B","CshAdjNormal=N","CshAdjAbnormal=N","CapChg=N")</f>
        <v/>
      </c>
      <c r="BF4" s="4">
        <f>BDH(BF$1,BG$3:BG$3,Settings!$C$8,IF(Settings!$D$8="","",Settings!$D$8),"Dir=V","Dts=S","Sort=A","Days=T","Fill=B","CshAdjNormal=N","CshAdjAbnormal=N","CapChg=N")</f>
        <v/>
      </c>
      <c r="BI4" s="4">
        <f>BDH(BI$1,BJ$3:BJ$3,Settings!$C$8,IF(Settings!$D$8="","",Settings!$D$8),"Dir=V","Dts=S","Sort=A","Days=T","Fill=B","CshAdjNormal=N","CshAdjAbnormal=N","CapChg=N")</f>
        <v/>
      </c>
      <c r="BL4" s="4">
        <f>BDH(BL$1,BM$3:BM$3,Settings!$C$8,IF(Settings!$D$8="","",Settings!$D$8),"Dir=V","Dts=S","Sort=A","Days=T","Fill=B","CshAdjNormal=N","CshAdjAbnormal=N","CapChg=N")</f>
        <v/>
      </c>
      <c r="BO4" s="4">
        <f>BDH(BO$1,BP$3:BP$3,Settings!$C$8,IF(Settings!$D$8="","",Settings!$D$8),"Dir=V","Dts=S","Sort=A","Days=T","Fill=B","CshAdjNormal=N","CshAdjAbnormal=N","CapChg=N")</f>
        <v/>
      </c>
      <c r="BR4" s="4">
        <f>BDH(BR$1,BS$3:BS$3,Settings!$C$8,IF(Settings!$D$8="","",Settings!$D$8),"Dir=V","Dts=S","Sort=A","Days=T","Fill=B","CshAdjNormal=N","CshAdjAbnormal=N","CapChg=N")</f>
        <v/>
      </c>
      <c r="BU4" s="4">
        <f>BDH(BU$1,BV$3:BV$3,Settings!$C$8,IF(Settings!$D$8="","",Settings!$D$8),"Dir=V","Dts=S","Sort=A","Days=T","Fill=B","CshAdjNormal=N","CshAdjAbnormal=N","CapChg=N")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2" customWidth="1" min="7" max="7"/>
    <col width="10" customWidth="1" min="8" max="8"/>
    <col width="12" customWidth="1" min="10" max="10"/>
    <col width="10" customWidth="1" min="11" max="11"/>
    <col width="12" customWidth="1" min="13" max="13"/>
    <col width="10" customWidth="1" min="14" max="14"/>
    <col width="12" customWidth="1" min="16" max="16"/>
    <col width="10" customWidth="1" min="17" max="17"/>
    <col width="12" customWidth="1" min="19" max="19"/>
    <col width="10" customWidth="1" min="20" max="20"/>
    <col width="12" customWidth="1" min="22" max="22"/>
    <col width="10" customWidth="1" min="23" max="23"/>
  </cols>
  <sheetData>
    <row r="1">
      <c r="A1" s="2">
        <f>IF(Settings!$B$8="Y","OVX Index","")</f>
        <v/>
      </c>
      <c r="G1" s="2">
        <f>IF(Settings!$B$8="Y","VIX Index","")</f>
        <v/>
      </c>
      <c r="J1" s="2">
        <f>IF(Settings!$B$8="Y","SPX Index","")</f>
        <v/>
      </c>
      <c r="M1" s="2">
        <f>IF(Settings!$B$8="Y","USGG3M Index","")</f>
        <v/>
      </c>
      <c r="P1" s="2">
        <f>IF(Settings!$B$8="Y","USGG1YR Index","")</f>
        <v/>
      </c>
      <c r="S1" s="2">
        <f>IF(Settings!$B$8="Y","USGG2YR Index","")</f>
        <v/>
      </c>
      <c r="V1" s="2">
        <f>IF(Settings!$B$8="Y","DXY Curncy","")</f>
        <v/>
      </c>
    </row>
    <row r="2">
      <c r="A2" s="4" t="inlineStr">
        <is>
          <t>Cboe crude oil volatility index</t>
        </is>
      </c>
      <c r="G2" s="4" t="inlineStr">
        <is>
          <t>Cboe VIX</t>
        </is>
      </c>
      <c r="J2" s="4" t="inlineStr">
        <is>
          <t>S&amp;P 500</t>
        </is>
      </c>
      <c r="M2" s="4" t="inlineStr">
        <is>
          <t>US 3-month T-bill yield (risk-free rate)</t>
        </is>
      </c>
      <c r="P2" s="4" t="inlineStr">
        <is>
          <t>US 1-year Treasury yield</t>
        </is>
      </c>
      <c r="S2" s="4" t="inlineStr">
        <is>
          <t>US 2-year Treasury yield</t>
        </is>
      </c>
      <c r="V2" s="4" t="inlineStr">
        <is>
          <t>US dollar index</t>
        </is>
      </c>
    </row>
    <row r="3">
      <c r="A3" s="5" t="inlineStr">
        <is>
          <t>Date</t>
        </is>
      </c>
      <c r="B3" s="5" t="inlineStr">
        <is>
          <t>PX_OPEN</t>
        </is>
      </c>
      <c r="C3" s="5" t="inlineStr">
        <is>
          <t>PX_HIGH</t>
        </is>
      </c>
      <c r="D3" s="5" t="inlineStr">
        <is>
          <t>PX_LOW</t>
        </is>
      </c>
      <c r="E3" s="5" t="inlineStr">
        <is>
          <t>PX_LAST</t>
        </is>
      </c>
      <c r="G3" s="5" t="inlineStr">
        <is>
          <t>Date</t>
        </is>
      </c>
      <c r="H3" s="5" t="inlineStr">
        <is>
          <t>PX_LAST</t>
        </is>
      </c>
      <c r="J3" s="5" t="inlineStr">
        <is>
          <t>Date</t>
        </is>
      </c>
      <c r="K3" s="5" t="inlineStr">
        <is>
          <t>PX_LAST</t>
        </is>
      </c>
      <c r="M3" s="5" t="inlineStr">
        <is>
          <t>Date</t>
        </is>
      </c>
      <c r="N3" s="5" t="inlineStr">
        <is>
          <t>PX_LAST</t>
        </is>
      </c>
      <c r="P3" s="5" t="inlineStr">
        <is>
          <t>Date</t>
        </is>
      </c>
      <c r="Q3" s="5" t="inlineStr">
        <is>
          <t>PX_LAST</t>
        </is>
      </c>
      <c r="S3" s="5" t="inlineStr">
        <is>
          <t>Date</t>
        </is>
      </c>
      <c r="T3" s="5" t="inlineStr">
        <is>
          <t>PX_LAST</t>
        </is>
      </c>
      <c r="V3" s="5" t="inlineStr">
        <is>
          <t>Date</t>
        </is>
      </c>
      <c r="W3" s="5" t="inlineStr">
        <is>
          <t>PX_LAST</t>
        </is>
      </c>
    </row>
    <row r="4">
      <c r="A4" s="4">
        <f>BDH(A$1,B$3:E$3,Settings!$C$8,IF(Settings!$D$8="","",Settings!$D$8),"Dir=V","Dts=S","Sort=A","Days=T","Fill=B")</f>
        <v/>
      </c>
      <c r="G4" s="4">
        <f>BDH(G$1,H$3:H$3,Settings!$C$8,IF(Settings!$D$8="","",Settings!$D$8),"Dir=V","Dts=S","Sort=A","Days=T","Fill=B")</f>
        <v/>
      </c>
      <c r="J4" s="4">
        <f>BDH(J$1,K$3:K$3,Settings!$C$8,IF(Settings!$D$8="","",Settings!$D$8),"Dir=V","Dts=S","Sort=A","Days=T","Fill=B")</f>
        <v/>
      </c>
      <c r="M4" s="4">
        <f>BDH(M$1,N$3:N$3,Settings!$C$8,IF(Settings!$D$8="","",Settings!$D$8),"Dir=V","Dts=S","Sort=A","Days=T","Fill=B")</f>
        <v/>
      </c>
      <c r="P4" s="4">
        <f>BDH(P$1,Q$3:Q$3,Settings!$C$8,IF(Settings!$D$8="","",Settings!$D$8),"Dir=V","Dts=S","Sort=A","Days=T","Fill=B")</f>
        <v/>
      </c>
      <c r="S4" s="4">
        <f>BDH(S$1,T$3:T$3,Settings!$C$8,IF(Settings!$D$8="","",Settings!$D$8),"Dir=V","Dts=S","Sort=A","Days=T","Fill=B")</f>
        <v/>
      </c>
      <c r="V4" s="4">
        <f>BDH(V$1,W$3:W$3,Settings!$C$8,IF(Settings!$D$8="","",Settings!$D$8),"Dir=V","Dts=S","Sort=A","Days=T","Fill=B")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27" customWidth="1" min="4" max="4"/>
    <col width="27" customWidth="1" min="5" max="5"/>
    <col width="27" customWidth="1" min="6" max="6"/>
    <col width="26" customWidth="1" min="7" max="7"/>
    <col width="26" customWidth="1" min="8" max="8"/>
    <col width="27" customWidth="1" min="9" max="9"/>
    <col width="27" customWidth="1" min="10" max="10"/>
    <col width="27" customWidth="1" min="11" max="11"/>
    <col width="25" customWidth="1" min="12" max="12"/>
    <col width="25" customWidth="1" min="13" max="13"/>
    <col width="26" customWidth="1" min="14" max="14"/>
    <col width="26" customWidth="1" min="15" max="15"/>
    <col width="26" customWidth="1" min="16" max="16"/>
    <col width="25" customWidth="1" min="17" max="17"/>
    <col width="25" customWidth="1" min="18" max="18"/>
    <col width="26" customWidth="1" min="19" max="19"/>
    <col width="26" customWidth="1" min="20" max="20"/>
    <col width="26" customWidth="1" min="21" max="21"/>
    <col width="28" customWidth="1" min="22" max="22"/>
    <col width="28" customWidth="1" min="23" max="23"/>
    <col width="28" customWidth="1" min="24" max="24"/>
    <col width="28" customWidth="1" min="25" max="25"/>
    <col width="12" customWidth="1" min="27" max="27"/>
    <col width="28" customWidth="1" min="28" max="28"/>
    <col width="28" customWidth="1" min="29" max="29"/>
    <col width="28" customWidth="1" min="30" max="30"/>
    <col width="28" customWidth="1" min="31" max="31"/>
    <col width="28" customWidth="1" min="32" max="32"/>
    <col width="28" customWidth="1" min="33" max="33"/>
    <col width="28" customWidth="1" min="34" max="34"/>
    <col width="28" customWidth="1" min="35" max="35"/>
    <col width="28" customWidth="1" min="36" max="36"/>
    <col width="28" customWidth="1" min="37" max="37"/>
    <col width="28" customWidth="1" min="38" max="38"/>
    <col width="28" customWidth="1" min="39" max="39"/>
    <col width="28" customWidth="1" min="40" max="40"/>
    <col width="28" customWidth="1" min="41" max="41"/>
    <col width="19" customWidth="1" min="42" max="42"/>
    <col width="18" customWidth="1" min="43" max="43"/>
    <col width="16" customWidth="1" min="44" max="44"/>
    <col width="16" customWidth="1" min="45" max="45"/>
    <col width="16" customWidth="1" min="46" max="46"/>
    <col width="28" customWidth="1" min="47" max="47"/>
    <col width="21" customWidth="1" min="48" max="48"/>
    <col width="20" customWidth="1" min="49" max="49"/>
    <col width="19" customWidth="1" min="50" max="50"/>
    <col width="18" customWidth="1" min="51" max="51"/>
  </cols>
  <sheetData>
    <row r="1">
      <c r="A1" s="2">
        <f>IF(Settings!$B$9="Y","CL1 Comdty","")</f>
        <v/>
      </c>
      <c r="AA1" s="2">
        <f>IF(Settings!$B$9="Y","CL1 Comdty","")</f>
        <v/>
      </c>
    </row>
    <row r="2">
      <c r="A2" s="4" t="inlineStr">
        <is>
          <t>implied-vol surface (moneyness)</t>
        </is>
      </c>
      <c r="AA2" s="4" t="inlineStr">
        <is>
          <t>implied-vol surface (delta, realized, volume)</t>
        </is>
      </c>
    </row>
    <row r="3">
      <c r="A3" s="5" t="inlineStr">
        <is>
          <t>Date</t>
        </is>
      </c>
      <c r="B3" s="5" t="inlineStr">
        <is>
          <t>30DAY_IMPVOL_90.0%MNY_DF</t>
        </is>
      </c>
      <c r="C3" s="5" t="inlineStr">
        <is>
          <t>30DAY_IMPVOL_95.0%MNY_DF</t>
        </is>
      </c>
      <c r="D3" s="5" t="inlineStr">
        <is>
          <t>30DAY_IMPVOL_100.0%MNY_DF</t>
        </is>
      </c>
      <c r="E3" s="5" t="inlineStr">
        <is>
          <t>30DAY_IMPVOL_105.0%MNY_DF</t>
        </is>
      </c>
      <c r="F3" s="5" t="inlineStr">
        <is>
          <t>30DAY_IMPVOL_110.0%MNY_DF</t>
        </is>
      </c>
      <c r="G3" s="5" t="inlineStr">
        <is>
          <t>60DAY_IMPVOL_90.0%MNY_DF</t>
        </is>
      </c>
      <c r="H3" s="5" t="inlineStr">
        <is>
          <t>60DAY_IMPVOL_95.0%MNY_DF</t>
        </is>
      </c>
      <c r="I3" s="5" t="inlineStr">
        <is>
          <t>60DAY_IMPVOL_100.0%MNY_DF</t>
        </is>
      </c>
      <c r="J3" s="5" t="inlineStr">
        <is>
          <t>60DAY_IMPVOL_105.0%MNY_DF</t>
        </is>
      </c>
      <c r="K3" s="5" t="inlineStr">
        <is>
          <t>60DAY_IMPVOL_110.0%MNY_DF</t>
        </is>
      </c>
      <c r="L3" s="5" t="inlineStr">
        <is>
          <t>3MTH_IMPVOL_90.0%MNY_DF</t>
        </is>
      </c>
      <c r="M3" s="5" t="inlineStr">
        <is>
          <t>3MTH_IMPVOL_95.0%MNY_DF</t>
        </is>
      </c>
      <c r="N3" s="5" t="inlineStr">
        <is>
          <t>3MTH_IMPVOL_100.0%MNY_DF</t>
        </is>
      </c>
      <c r="O3" s="5" t="inlineStr">
        <is>
          <t>3MTH_IMPVOL_105.0%MNY_DF</t>
        </is>
      </c>
      <c r="P3" s="5" t="inlineStr">
        <is>
          <t>3MTH_IMPVOL_110.0%MNY_DF</t>
        </is>
      </c>
      <c r="Q3" s="5" t="inlineStr">
        <is>
          <t>6MTH_IMPVOL_90.0%MNY_DF</t>
        </is>
      </c>
      <c r="R3" s="5" t="inlineStr">
        <is>
          <t>6MTH_IMPVOL_95.0%MNY_DF</t>
        </is>
      </c>
      <c r="S3" s="5" t="inlineStr">
        <is>
          <t>6MTH_IMPVOL_100.0%MNY_DF</t>
        </is>
      </c>
      <c r="T3" s="5" t="inlineStr">
        <is>
          <t>6MTH_IMPVOL_105.0%MNY_DF</t>
        </is>
      </c>
      <c r="U3" s="5" t="inlineStr">
        <is>
          <t>6MTH_IMPVOL_110.0%MNY_DF</t>
        </is>
      </c>
      <c r="V3" s="5" t="inlineStr">
        <is>
          <t>1M_CALL_IMP_VOL_10DELTA_DFLT</t>
        </is>
      </c>
      <c r="W3" s="5" t="inlineStr">
        <is>
          <t>1M_CALL_IMP_VOL_25DELTA_DFLT</t>
        </is>
      </c>
      <c r="X3" s="5" t="inlineStr">
        <is>
          <t>1M_CALL_IMP_VOL_50DELTA_DFLT</t>
        </is>
      </c>
      <c r="Y3" s="5" t="inlineStr">
        <is>
          <t>1M_PUT_IMP_VOL_10DELTA_DFLT</t>
        </is>
      </c>
      <c r="AA3" s="5" t="inlineStr">
        <is>
          <t>Date</t>
        </is>
      </c>
      <c r="AB3" s="5" t="inlineStr">
        <is>
          <t>1M_PUT_IMP_VOL_25DELTA_DFLT</t>
        </is>
      </c>
      <c r="AC3" s="5" t="inlineStr">
        <is>
          <t>1M_PUT_IMP_VOL_50DELTA_DFLT</t>
        </is>
      </c>
      <c r="AD3" s="5" t="inlineStr">
        <is>
          <t>2M_CALL_IMP_VOL_10DELTA_DFLT</t>
        </is>
      </c>
      <c r="AE3" s="5" t="inlineStr">
        <is>
          <t>2M_CALL_IMP_VOL_25DELTA_DFLT</t>
        </is>
      </c>
      <c r="AF3" s="5" t="inlineStr">
        <is>
          <t>2M_CALL_IMP_VOL_50DELTA_DFLT</t>
        </is>
      </c>
      <c r="AG3" s="5" t="inlineStr">
        <is>
          <t>2M_PUT_IMP_VOL_10DELTA_DFLT</t>
        </is>
      </c>
      <c r="AH3" s="5" t="inlineStr">
        <is>
          <t>2M_PUT_IMP_VOL_25DELTA_DFLT</t>
        </is>
      </c>
      <c r="AI3" s="5" t="inlineStr">
        <is>
          <t>2M_PUT_IMP_VOL_50DELTA_DFLT</t>
        </is>
      </c>
      <c r="AJ3" s="5" t="inlineStr">
        <is>
          <t>3M_CALL_IMP_VOL_10DELTA_DFLT</t>
        </is>
      </c>
      <c r="AK3" s="5" t="inlineStr">
        <is>
          <t>3M_CALL_IMP_VOL_25DELTA_DFLT</t>
        </is>
      </c>
      <c r="AL3" s="5" t="inlineStr">
        <is>
          <t>3M_CALL_IMP_VOL_50DELTA_DFLT</t>
        </is>
      </c>
      <c r="AM3" s="5" t="inlineStr">
        <is>
          <t>3M_PUT_IMP_VOL_10DELTA_DFLT</t>
        </is>
      </c>
      <c r="AN3" s="5" t="inlineStr">
        <is>
          <t>3M_PUT_IMP_VOL_25DELTA_DFLT</t>
        </is>
      </c>
      <c r="AO3" s="5" t="inlineStr">
        <is>
          <t>3M_PUT_IMP_VOL_50DELTA_DFLT</t>
        </is>
      </c>
      <c r="AP3" s="5" t="inlineStr">
        <is>
          <t>HIST_CALL_IMP_VOL</t>
        </is>
      </c>
      <c r="AQ3" s="5" t="inlineStr">
        <is>
          <t>HIST_PUT_IMP_VOL</t>
        </is>
      </c>
      <c r="AR3" s="5" t="inlineStr">
        <is>
          <t>VOLATILITY_10D</t>
        </is>
      </c>
      <c r="AS3" s="5" t="inlineStr">
        <is>
          <t>VOLATILITY_30D</t>
        </is>
      </c>
      <c r="AT3" s="5" t="inlineStr">
        <is>
          <t>VOLATILITY_90D</t>
        </is>
      </c>
      <c r="AU3" s="5" t="inlineStr">
        <is>
          <t>PUT_CALL_VOLUME_RATIO_CUR_DAY</t>
        </is>
      </c>
      <c r="AV3" s="5" t="inlineStr">
        <is>
          <t>OPEN_INT_TOTAL_CALL</t>
        </is>
      </c>
      <c r="AW3" s="5" t="inlineStr">
        <is>
          <t>OPEN_INT_TOTAL_PUT</t>
        </is>
      </c>
      <c r="AX3" s="5" t="inlineStr">
        <is>
          <t>VOLUME_TOTAL_CALL</t>
        </is>
      </c>
      <c r="AY3" s="5" t="inlineStr">
        <is>
          <t>VOLUME_TOTAL_PUT</t>
        </is>
      </c>
    </row>
    <row r="4">
      <c r="A4" s="4">
        <f>BDH(A$1,B$3:Y$3,Settings!$C$9,IF(Settings!$D$9="","",Settings!$D$9),"Dir=V","Dts=S","Sort=A","Days=T","Fill=B")</f>
        <v/>
      </c>
      <c r="AA4" s="4">
        <f>BDH(AA$1,AB$3:AY$3,Settings!$C$9,IF(Settings!$D$9="","",Settings!$D$9),"Dir=V","Dts=S","Sort=A","Days=T","Fill=B")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27" customWidth="1" min="4" max="4"/>
    <col width="27" customWidth="1" min="5" max="5"/>
    <col width="27" customWidth="1" min="6" max="6"/>
    <col width="26" customWidth="1" min="7" max="7"/>
    <col width="26" customWidth="1" min="8" max="8"/>
    <col width="27" customWidth="1" min="9" max="9"/>
    <col width="27" customWidth="1" min="10" max="10"/>
    <col width="27" customWidth="1" min="11" max="11"/>
    <col width="25" customWidth="1" min="12" max="12"/>
    <col width="25" customWidth="1" min="13" max="13"/>
    <col width="26" customWidth="1" min="14" max="14"/>
    <col width="26" customWidth="1" min="15" max="15"/>
    <col width="26" customWidth="1" min="16" max="16"/>
    <col width="25" customWidth="1" min="17" max="17"/>
    <col width="25" customWidth="1" min="18" max="18"/>
    <col width="26" customWidth="1" min="19" max="19"/>
    <col width="26" customWidth="1" min="20" max="20"/>
    <col width="26" customWidth="1" min="21" max="21"/>
    <col width="28" customWidth="1" min="22" max="22"/>
    <col width="28" customWidth="1" min="23" max="23"/>
    <col width="28" customWidth="1" min="24" max="24"/>
    <col width="28" customWidth="1" min="25" max="25"/>
    <col width="12" customWidth="1" min="27" max="27"/>
    <col width="28" customWidth="1" min="28" max="28"/>
    <col width="28" customWidth="1" min="29" max="29"/>
    <col width="28" customWidth="1" min="30" max="30"/>
    <col width="28" customWidth="1" min="31" max="31"/>
    <col width="28" customWidth="1" min="32" max="32"/>
    <col width="28" customWidth="1" min="33" max="33"/>
    <col width="28" customWidth="1" min="34" max="34"/>
    <col width="28" customWidth="1" min="35" max="35"/>
    <col width="28" customWidth="1" min="36" max="36"/>
    <col width="28" customWidth="1" min="37" max="37"/>
    <col width="28" customWidth="1" min="38" max="38"/>
    <col width="28" customWidth="1" min="39" max="39"/>
    <col width="28" customWidth="1" min="40" max="40"/>
    <col width="28" customWidth="1" min="41" max="41"/>
    <col width="19" customWidth="1" min="42" max="42"/>
    <col width="18" customWidth="1" min="43" max="43"/>
    <col width="16" customWidth="1" min="44" max="44"/>
    <col width="16" customWidth="1" min="45" max="45"/>
    <col width="16" customWidth="1" min="46" max="46"/>
    <col width="28" customWidth="1" min="47" max="47"/>
    <col width="21" customWidth="1" min="48" max="48"/>
    <col width="20" customWidth="1" min="49" max="49"/>
    <col width="19" customWidth="1" min="50" max="50"/>
    <col width="18" customWidth="1" min="51" max="51"/>
  </cols>
  <sheetData>
    <row r="1">
      <c r="A1" s="2">
        <f>IF(Settings!$B$9="Y","CL2 Comdty","")</f>
        <v/>
      </c>
      <c r="AA1" s="2">
        <f>IF(Settings!$B$9="Y","CL2 Comdty","")</f>
        <v/>
      </c>
    </row>
    <row r="2">
      <c r="A2" s="4" t="inlineStr">
        <is>
          <t>implied-vol surface (moneyness)</t>
        </is>
      </c>
      <c r="AA2" s="4" t="inlineStr">
        <is>
          <t>implied-vol surface (delta, realized, volume)</t>
        </is>
      </c>
    </row>
    <row r="3">
      <c r="A3" s="5" t="inlineStr">
        <is>
          <t>Date</t>
        </is>
      </c>
      <c r="B3" s="5" t="inlineStr">
        <is>
          <t>30DAY_IMPVOL_90.0%MNY_DF</t>
        </is>
      </c>
      <c r="C3" s="5" t="inlineStr">
        <is>
          <t>30DAY_IMPVOL_95.0%MNY_DF</t>
        </is>
      </c>
      <c r="D3" s="5" t="inlineStr">
        <is>
          <t>30DAY_IMPVOL_100.0%MNY_DF</t>
        </is>
      </c>
      <c r="E3" s="5" t="inlineStr">
        <is>
          <t>30DAY_IMPVOL_105.0%MNY_DF</t>
        </is>
      </c>
      <c r="F3" s="5" t="inlineStr">
        <is>
          <t>30DAY_IMPVOL_110.0%MNY_DF</t>
        </is>
      </c>
      <c r="G3" s="5" t="inlineStr">
        <is>
          <t>60DAY_IMPVOL_90.0%MNY_DF</t>
        </is>
      </c>
      <c r="H3" s="5" t="inlineStr">
        <is>
          <t>60DAY_IMPVOL_95.0%MNY_DF</t>
        </is>
      </c>
      <c r="I3" s="5" t="inlineStr">
        <is>
          <t>60DAY_IMPVOL_100.0%MNY_DF</t>
        </is>
      </c>
      <c r="J3" s="5" t="inlineStr">
        <is>
          <t>60DAY_IMPVOL_105.0%MNY_DF</t>
        </is>
      </c>
      <c r="K3" s="5" t="inlineStr">
        <is>
          <t>60DAY_IMPVOL_110.0%MNY_DF</t>
        </is>
      </c>
      <c r="L3" s="5" t="inlineStr">
        <is>
          <t>3MTH_IMPVOL_90.0%MNY_DF</t>
        </is>
      </c>
      <c r="M3" s="5" t="inlineStr">
        <is>
          <t>3MTH_IMPVOL_95.0%MNY_DF</t>
        </is>
      </c>
      <c r="N3" s="5" t="inlineStr">
        <is>
          <t>3MTH_IMPVOL_100.0%MNY_DF</t>
        </is>
      </c>
      <c r="O3" s="5" t="inlineStr">
        <is>
          <t>3MTH_IMPVOL_105.0%MNY_DF</t>
        </is>
      </c>
      <c r="P3" s="5" t="inlineStr">
        <is>
          <t>3MTH_IMPVOL_110.0%MNY_DF</t>
        </is>
      </c>
      <c r="Q3" s="5" t="inlineStr">
        <is>
          <t>6MTH_IMPVOL_90.0%MNY_DF</t>
        </is>
      </c>
      <c r="R3" s="5" t="inlineStr">
        <is>
          <t>6MTH_IMPVOL_95.0%MNY_DF</t>
        </is>
      </c>
      <c r="S3" s="5" t="inlineStr">
        <is>
          <t>6MTH_IMPVOL_100.0%MNY_DF</t>
        </is>
      </c>
      <c r="T3" s="5" t="inlineStr">
        <is>
          <t>6MTH_IMPVOL_105.0%MNY_DF</t>
        </is>
      </c>
      <c r="U3" s="5" t="inlineStr">
        <is>
          <t>6MTH_IMPVOL_110.0%MNY_DF</t>
        </is>
      </c>
      <c r="V3" s="5" t="inlineStr">
        <is>
          <t>1M_CALL_IMP_VOL_10DELTA_DFLT</t>
        </is>
      </c>
      <c r="W3" s="5" t="inlineStr">
        <is>
          <t>1M_CALL_IMP_VOL_25DELTA_DFLT</t>
        </is>
      </c>
      <c r="X3" s="5" t="inlineStr">
        <is>
          <t>1M_CALL_IMP_VOL_50DELTA_DFLT</t>
        </is>
      </c>
      <c r="Y3" s="5" t="inlineStr">
        <is>
          <t>1M_PUT_IMP_VOL_10DELTA_DFLT</t>
        </is>
      </c>
      <c r="AA3" s="5" t="inlineStr">
        <is>
          <t>Date</t>
        </is>
      </c>
      <c r="AB3" s="5" t="inlineStr">
        <is>
          <t>1M_PUT_IMP_VOL_25DELTA_DFLT</t>
        </is>
      </c>
      <c r="AC3" s="5" t="inlineStr">
        <is>
          <t>1M_PUT_IMP_VOL_50DELTA_DFLT</t>
        </is>
      </c>
      <c r="AD3" s="5" t="inlineStr">
        <is>
          <t>2M_CALL_IMP_VOL_10DELTA_DFLT</t>
        </is>
      </c>
      <c r="AE3" s="5" t="inlineStr">
        <is>
          <t>2M_CALL_IMP_VOL_25DELTA_DFLT</t>
        </is>
      </c>
      <c r="AF3" s="5" t="inlineStr">
        <is>
          <t>2M_CALL_IMP_VOL_50DELTA_DFLT</t>
        </is>
      </c>
      <c r="AG3" s="5" t="inlineStr">
        <is>
          <t>2M_PUT_IMP_VOL_10DELTA_DFLT</t>
        </is>
      </c>
      <c r="AH3" s="5" t="inlineStr">
        <is>
          <t>2M_PUT_IMP_VOL_25DELTA_DFLT</t>
        </is>
      </c>
      <c r="AI3" s="5" t="inlineStr">
        <is>
          <t>2M_PUT_IMP_VOL_50DELTA_DFLT</t>
        </is>
      </c>
      <c r="AJ3" s="5" t="inlineStr">
        <is>
          <t>3M_CALL_IMP_VOL_10DELTA_DFLT</t>
        </is>
      </c>
      <c r="AK3" s="5" t="inlineStr">
        <is>
          <t>3M_CALL_IMP_VOL_25DELTA_DFLT</t>
        </is>
      </c>
      <c r="AL3" s="5" t="inlineStr">
        <is>
          <t>3M_CALL_IMP_VOL_50DELTA_DFLT</t>
        </is>
      </c>
      <c r="AM3" s="5" t="inlineStr">
        <is>
          <t>3M_PUT_IMP_VOL_10DELTA_DFLT</t>
        </is>
      </c>
      <c r="AN3" s="5" t="inlineStr">
        <is>
          <t>3M_PUT_IMP_VOL_25DELTA_DFLT</t>
        </is>
      </c>
      <c r="AO3" s="5" t="inlineStr">
        <is>
          <t>3M_PUT_IMP_VOL_50DELTA_DFLT</t>
        </is>
      </c>
      <c r="AP3" s="5" t="inlineStr">
        <is>
          <t>HIST_CALL_IMP_VOL</t>
        </is>
      </c>
      <c r="AQ3" s="5" t="inlineStr">
        <is>
          <t>HIST_PUT_IMP_VOL</t>
        </is>
      </c>
      <c r="AR3" s="5" t="inlineStr">
        <is>
          <t>VOLATILITY_10D</t>
        </is>
      </c>
      <c r="AS3" s="5" t="inlineStr">
        <is>
          <t>VOLATILITY_30D</t>
        </is>
      </c>
      <c r="AT3" s="5" t="inlineStr">
        <is>
          <t>VOLATILITY_90D</t>
        </is>
      </c>
      <c r="AU3" s="5" t="inlineStr">
        <is>
          <t>PUT_CALL_VOLUME_RATIO_CUR_DAY</t>
        </is>
      </c>
      <c r="AV3" s="5" t="inlineStr">
        <is>
          <t>OPEN_INT_TOTAL_CALL</t>
        </is>
      </c>
      <c r="AW3" s="5" t="inlineStr">
        <is>
          <t>OPEN_INT_TOTAL_PUT</t>
        </is>
      </c>
      <c r="AX3" s="5" t="inlineStr">
        <is>
          <t>VOLUME_TOTAL_CALL</t>
        </is>
      </c>
      <c r="AY3" s="5" t="inlineStr">
        <is>
          <t>VOLUME_TOTAL_PUT</t>
        </is>
      </c>
    </row>
    <row r="4">
      <c r="A4" s="4">
        <f>BDH(A$1,B$3:Y$3,Settings!$C$9,IF(Settings!$D$9="","",Settings!$D$9),"Dir=V","Dts=S","Sort=A","Days=T","Fill=B")</f>
        <v/>
      </c>
      <c r="AA4" s="4">
        <f>BDH(AA$1,AB$3:AY$3,Settings!$C$9,IF(Settings!$D$9="","",Settings!$D$9),"Dir=V","Dts=S","Sort=A","Days=T","Fill=B")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27" customWidth="1" min="4" max="4"/>
    <col width="27" customWidth="1" min="5" max="5"/>
    <col width="27" customWidth="1" min="6" max="6"/>
    <col width="26" customWidth="1" min="7" max="7"/>
    <col width="26" customWidth="1" min="8" max="8"/>
    <col width="27" customWidth="1" min="9" max="9"/>
    <col width="27" customWidth="1" min="10" max="10"/>
    <col width="27" customWidth="1" min="11" max="11"/>
    <col width="25" customWidth="1" min="12" max="12"/>
    <col width="25" customWidth="1" min="13" max="13"/>
    <col width="26" customWidth="1" min="14" max="14"/>
    <col width="26" customWidth="1" min="15" max="15"/>
    <col width="26" customWidth="1" min="16" max="16"/>
    <col width="25" customWidth="1" min="17" max="17"/>
    <col width="25" customWidth="1" min="18" max="18"/>
    <col width="26" customWidth="1" min="19" max="19"/>
    <col width="26" customWidth="1" min="20" max="20"/>
    <col width="26" customWidth="1" min="21" max="21"/>
    <col width="28" customWidth="1" min="22" max="22"/>
    <col width="28" customWidth="1" min="23" max="23"/>
    <col width="28" customWidth="1" min="24" max="24"/>
    <col width="28" customWidth="1" min="25" max="25"/>
    <col width="12" customWidth="1" min="27" max="27"/>
    <col width="28" customWidth="1" min="28" max="28"/>
    <col width="28" customWidth="1" min="29" max="29"/>
    <col width="28" customWidth="1" min="30" max="30"/>
    <col width="28" customWidth="1" min="31" max="31"/>
    <col width="28" customWidth="1" min="32" max="32"/>
    <col width="28" customWidth="1" min="33" max="33"/>
    <col width="28" customWidth="1" min="34" max="34"/>
    <col width="28" customWidth="1" min="35" max="35"/>
    <col width="28" customWidth="1" min="36" max="36"/>
    <col width="28" customWidth="1" min="37" max="37"/>
    <col width="28" customWidth="1" min="38" max="38"/>
    <col width="28" customWidth="1" min="39" max="39"/>
    <col width="28" customWidth="1" min="40" max="40"/>
    <col width="28" customWidth="1" min="41" max="41"/>
    <col width="19" customWidth="1" min="42" max="42"/>
    <col width="18" customWidth="1" min="43" max="43"/>
    <col width="16" customWidth="1" min="44" max="44"/>
    <col width="16" customWidth="1" min="45" max="45"/>
    <col width="16" customWidth="1" min="46" max="46"/>
    <col width="28" customWidth="1" min="47" max="47"/>
    <col width="21" customWidth="1" min="48" max="48"/>
    <col width="20" customWidth="1" min="49" max="49"/>
    <col width="19" customWidth="1" min="50" max="50"/>
    <col width="18" customWidth="1" min="51" max="51"/>
  </cols>
  <sheetData>
    <row r="1">
      <c r="A1" s="2">
        <f>IF(Settings!$B$9="Y","CO1 Comdty","")</f>
        <v/>
      </c>
      <c r="AA1" s="2">
        <f>IF(Settings!$B$9="Y","CO1 Comdty","")</f>
        <v/>
      </c>
    </row>
    <row r="2">
      <c r="A2" s="4" t="inlineStr">
        <is>
          <t>implied-vol surface (moneyness)</t>
        </is>
      </c>
      <c r="AA2" s="4" t="inlineStr">
        <is>
          <t>implied-vol surface (delta, realized, volume)</t>
        </is>
      </c>
    </row>
    <row r="3">
      <c r="A3" s="5" t="inlineStr">
        <is>
          <t>Date</t>
        </is>
      </c>
      <c r="B3" s="5" t="inlineStr">
        <is>
          <t>30DAY_IMPVOL_90.0%MNY_DF</t>
        </is>
      </c>
      <c r="C3" s="5" t="inlineStr">
        <is>
          <t>30DAY_IMPVOL_95.0%MNY_DF</t>
        </is>
      </c>
      <c r="D3" s="5" t="inlineStr">
        <is>
          <t>30DAY_IMPVOL_100.0%MNY_DF</t>
        </is>
      </c>
      <c r="E3" s="5" t="inlineStr">
        <is>
          <t>30DAY_IMPVOL_105.0%MNY_DF</t>
        </is>
      </c>
      <c r="F3" s="5" t="inlineStr">
        <is>
          <t>30DAY_IMPVOL_110.0%MNY_DF</t>
        </is>
      </c>
      <c r="G3" s="5" t="inlineStr">
        <is>
          <t>60DAY_IMPVOL_90.0%MNY_DF</t>
        </is>
      </c>
      <c r="H3" s="5" t="inlineStr">
        <is>
          <t>60DAY_IMPVOL_95.0%MNY_DF</t>
        </is>
      </c>
      <c r="I3" s="5" t="inlineStr">
        <is>
          <t>60DAY_IMPVOL_100.0%MNY_DF</t>
        </is>
      </c>
      <c r="J3" s="5" t="inlineStr">
        <is>
          <t>60DAY_IMPVOL_105.0%MNY_DF</t>
        </is>
      </c>
      <c r="K3" s="5" t="inlineStr">
        <is>
          <t>60DAY_IMPVOL_110.0%MNY_DF</t>
        </is>
      </c>
      <c r="L3" s="5" t="inlineStr">
        <is>
          <t>3MTH_IMPVOL_90.0%MNY_DF</t>
        </is>
      </c>
      <c r="M3" s="5" t="inlineStr">
        <is>
          <t>3MTH_IMPVOL_95.0%MNY_DF</t>
        </is>
      </c>
      <c r="N3" s="5" t="inlineStr">
        <is>
          <t>3MTH_IMPVOL_100.0%MNY_DF</t>
        </is>
      </c>
      <c r="O3" s="5" t="inlineStr">
        <is>
          <t>3MTH_IMPVOL_105.0%MNY_DF</t>
        </is>
      </c>
      <c r="P3" s="5" t="inlineStr">
        <is>
          <t>3MTH_IMPVOL_110.0%MNY_DF</t>
        </is>
      </c>
      <c r="Q3" s="5" t="inlineStr">
        <is>
          <t>6MTH_IMPVOL_90.0%MNY_DF</t>
        </is>
      </c>
      <c r="R3" s="5" t="inlineStr">
        <is>
          <t>6MTH_IMPVOL_95.0%MNY_DF</t>
        </is>
      </c>
      <c r="S3" s="5" t="inlineStr">
        <is>
          <t>6MTH_IMPVOL_100.0%MNY_DF</t>
        </is>
      </c>
      <c r="T3" s="5" t="inlineStr">
        <is>
          <t>6MTH_IMPVOL_105.0%MNY_DF</t>
        </is>
      </c>
      <c r="U3" s="5" t="inlineStr">
        <is>
          <t>6MTH_IMPVOL_110.0%MNY_DF</t>
        </is>
      </c>
      <c r="V3" s="5" t="inlineStr">
        <is>
          <t>1M_CALL_IMP_VOL_10DELTA_DFLT</t>
        </is>
      </c>
      <c r="W3" s="5" t="inlineStr">
        <is>
          <t>1M_CALL_IMP_VOL_25DELTA_DFLT</t>
        </is>
      </c>
      <c r="X3" s="5" t="inlineStr">
        <is>
          <t>1M_CALL_IMP_VOL_50DELTA_DFLT</t>
        </is>
      </c>
      <c r="Y3" s="5" t="inlineStr">
        <is>
          <t>1M_PUT_IMP_VOL_10DELTA_DFLT</t>
        </is>
      </c>
      <c r="AA3" s="5" t="inlineStr">
        <is>
          <t>Date</t>
        </is>
      </c>
      <c r="AB3" s="5" t="inlineStr">
        <is>
          <t>1M_PUT_IMP_VOL_25DELTA_DFLT</t>
        </is>
      </c>
      <c r="AC3" s="5" t="inlineStr">
        <is>
          <t>1M_PUT_IMP_VOL_50DELTA_DFLT</t>
        </is>
      </c>
      <c r="AD3" s="5" t="inlineStr">
        <is>
          <t>2M_CALL_IMP_VOL_10DELTA_DFLT</t>
        </is>
      </c>
      <c r="AE3" s="5" t="inlineStr">
        <is>
          <t>2M_CALL_IMP_VOL_25DELTA_DFLT</t>
        </is>
      </c>
      <c r="AF3" s="5" t="inlineStr">
        <is>
          <t>2M_CALL_IMP_VOL_50DELTA_DFLT</t>
        </is>
      </c>
      <c r="AG3" s="5" t="inlineStr">
        <is>
          <t>2M_PUT_IMP_VOL_10DELTA_DFLT</t>
        </is>
      </c>
      <c r="AH3" s="5" t="inlineStr">
        <is>
          <t>2M_PUT_IMP_VOL_25DELTA_DFLT</t>
        </is>
      </c>
      <c r="AI3" s="5" t="inlineStr">
        <is>
          <t>2M_PUT_IMP_VOL_50DELTA_DFLT</t>
        </is>
      </c>
      <c r="AJ3" s="5" t="inlineStr">
        <is>
          <t>3M_CALL_IMP_VOL_10DELTA_DFLT</t>
        </is>
      </c>
      <c r="AK3" s="5" t="inlineStr">
        <is>
          <t>3M_CALL_IMP_VOL_25DELTA_DFLT</t>
        </is>
      </c>
      <c r="AL3" s="5" t="inlineStr">
        <is>
          <t>3M_CALL_IMP_VOL_50DELTA_DFLT</t>
        </is>
      </c>
      <c r="AM3" s="5" t="inlineStr">
        <is>
          <t>3M_PUT_IMP_VOL_10DELTA_DFLT</t>
        </is>
      </c>
      <c r="AN3" s="5" t="inlineStr">
        <is>
          <t>3M_PUT_IMP_VOL_25DELTA_DFLT</t>
        </is>
      </c>
      <c r="AO3" s="5" t="inlineStr">
        <is>
          <t>3M_PUT_IMP_VOL_50DELTA_DFLT</t>
        </is>
      </c>
      <c r="AP3" s="5" t="inlineStr">
        <is>
          <t>HIST_CALL_IMP_VOL</t>
        </is>
      </c>
      <c r="AQ3" s="5" t="inlineStr">
        <is>
          <t>HIST_PUT_IMP_VOL</t>
        </is>
      </c>
      <c r="AR3" s="5" t="inlineStr">
        <is>
          <t>VOLATILITY_10D</t>
        </is>
      </c>
      <c r="AS3" s="5" t="inlineStr">
        <is>
          <t>VOLATILITY_30D</t>
        </is>
      </c>
      <c r="AT3" s="5" t="inlineStr">
        <is>
          <t>VOLATILITY_90D</t>
        </is>
      </c>
      <c r="AU3" s="5" t="inlineStr">
        <is>
          <t>PUT_CALL_VOLUME_RATIO_CUR_DAY</t>
        </is>
      </c>
      <c r="AV3" s="5" t="inlineStr">
        <is>
          <t>OPEN_INT_TOTAL_CALL</t>
        </is>
      </c>
      <c r="AW3" s="5" t="inlineStr">
        <is>
          <t>OPEN_INT_TOTAL_PUT</t>
        </is>
      </c>
      <c r="AX3" s="5" t="inlineStr">
        <is>
          <t>VOLUME_TOTAL_CALL</t>
        </is>
      </c>
      <c r="AY3" s="5" t="inlineStr">
        <is>
          <t>VOLUME_TOTAL_PUT</t>
        </is>
      </c>
    </row>
    <row r="4">
      <c r="A4" s="4">
        <f>BDH(A$1,B$3:Y$3,Settings!$C$9,IF(Settings!$D$9="","",Settings!$D$9),"Dir=V","Dts=S","Sort=A","Days=T","Fill=B")</f>
        <v/>
      </c>
      <c r="AA4" s="4">
        <f>BDH(AA$1,AB$3:AY$3,Settings!$C$9,IF(Settings!$D$9="","",Settings!$D$9),"Dir=V","Dts=S","Sort=A","Days=T","Fill=B")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27" customWidth="1" min="4" max="4"/>
    <col width="27" customWidth="1" min="5" max="5"/>
    <col width="27" customWidth="1" min="6" max="6"/>
    <col width="26" customWidth="1" min="7" max="7"/>
    <col width="26" customWidth="1" min="8" max="8"/>
    <col width="27" customWidth="1" min="9" max="9"/>
    <col width="27" customWidth="1" min="10" max="10"/>
    <col width="27" customWidth="1" min="11" max="11"/>
    <col width="25" customWidth="1" min="12" max="12"/>
    <col width="25" customWidth="1" min="13" max="13"/>
    <col width="26" customWidth="1" min="14" max="14"/>
    <col width="26" customWidth="1" min="15" max="15"/>
    <col width="26" customWidth="1" min="16" max="16"/>
    <col width="25" customWidth="1" min="17" max="17"/>
    <col width="25" customWidth="1" min="18" max="18"/>
    <col width="26" customWidth="1" min="19" max="19"/>
    <col width="26" customWidth="1" min="20" max="20"/>
    <col width="26" customWidth="1" min="21" max="21"/>
    <col width="28" customWidth="1" min="22" max="22"/>
    <col width="28" customWidth="1" min="23" max="23"/>
    <col width="28" customWidth="1" min="24" max="24"/>
    <col width="28" customWidth="1" min="25" max="25"/>
    <col width="12" customWidth="1" min="27" max="27"/>
    <col width="28" customWidth="1" min="28" max="28"/>
    <col width="28" customWidth="1" min="29" max="29"/>
    <col width="28" customWidth="1" min="30" max="30"/>
    <col width="28" customWidth="1" min="31" max="31"/>
    <col width="28" customWidth="1" min="32" max="32"/>
    <col width="28" customWidth="1" min="33" max="33"/>
    <col width="28" customWidth="1" min="34" max="34"/>
    <col width="28" customWidth="1" min="35" max="35"/>
    <col width="28" customWidth="1" min="36" max="36"/>
    <col width="28" customWidth="1" min="37" max="37"/>
    <col width="28" customWidth="1" min="38" max="38"/>
    <col width="28" customWidth="1" min="39" max="39"/>
    <col width="28" customWidth="1" min="40" max="40"/>
    <col width="28" customWidth="1" min="41" max="41"/>
    <col width="19" customWidth="1" min="42" max="42"/>
    <col width="18" customWidth="1" min="43" max="43"/>
    <col width="16" customWidth="1" min="44" max="44"/>
    <col width="16" customWidth="1" min="45" max="45"/>
    <col width="16" customWidth="1" min="46" max="46"/>
    <col width="28" customWidth="1" min="47" max="47"/>
    <col width="21" customWidth="1" min="48" max="48"/>
    <col width="20" customWidth="1" min="49" max="49"/>
    <col width="19" customWidth="1" min="50" max="50"/>
    <col width="18" customWidth="1" min="51" max="51"/>
  </cols>
  <sheetData>
    <row r="1">
      <c r="A1" s="2">
        <f>IF(Settings!$B$9="Y","USO US Equity","")</f>
        <v/>
      </c>
      <c r="AA1" s="2">
        <f>IF(Settings!$B$9="Y","USO US Equity","")</f>
        <v/>
      </c>
    </row>
    <row r="2">
      <c r="A2" s="4" t="inlineStr">
        <is>
          <t>implied-vol surface (moneyness)</t>
        </is>
      </c>
      <c r="AA2" s="4" t="inlineStr">
        <is>
          <t>implied-vol surface (delta, realized, volume)</t>
        </is>
      </c>
    </row>
    <row r="3">
      <c r="A3" s="5" t="inlineStr">
        <is>
          <t>Date</t>
        </is>
      </c>
      <c r="B3" s="5" t="inlineStr">
        <is>
          <t>30DAY_IMPVOL_90.0%MNY_DF</t>
        </is>
      </c>
      <c r="C3" s="5" t="inlineStr">
        <is>
          <t>30DAY_IMPVOL_95.0%MNY_DF</t>
        </is>
      </c>
      <c r="D3" s="5" t="inlineStr">
        <is>
          <t>30DAY_IMPVOL_100.0%MNY_DF</t>
        </is>
      </c>
      <c r="E3" s="5" t="inlineStr">
        <is>
          <t>30DAY_IMPVOL_105.0%MNY_DF</t>
        </is>
      </c>
      <c r="F3" s="5" t="inlineStr">
        <is>
          <t>30DAY_IMPVOL_110.0%MNY_DF</t>
        </is>
      </c>
      <c r="G3" s="5" t="inlineStr">
        <is>
          <t>60DAY_IMPVOL_90.0%MNY_DF</t>
        </is>
      </c>
      <c r="H3" s="5" t="inlineStr">
        <is>
          <t>60DAY_IMPVOL_95.0%MNY_DF</t>
        </is>
      </c>
      <c r="I3" s="5" t="inlineStr">
        <is>
          <t>60DAY_IMPVOL_100.0%MNY_DF</t>
        </is>
      </c>
      <c r="J3" s="5" t="inlineStr">
        <is>
          <t>60DAY_IMPVOL_105.0%MNY_DF</t>
        </is>
      </c>
      <c r="K3" s="5" t="inlineStr">
        <is>
          <t>60DAY_IMPVOL_110.0%MNY_DF</t>
        </is>
      </c>
      <c r="L3" s="5" t="inlineStr">
        <is>
          <t>3MTH_IMPVOL_90.0%MNY_DF</t>
        </is>
      </c>
      <c r="M3" s="5" t="inlineStr">
        <is>
          <t>3MTH_IMPVOL_95.0%MNY_DF</t>
        </is>
      </c>
      <c r="N3" s="5" t="inlineStr">
        <is>
          <t>3MTH_IMPVOL_100.0%MNY_DF</t>
        </is>
      </c>
      <c r="O3" s="5" t="inlineStr">
        <is>
          <t>3MTH_IMPVOL_105.0%MNY_DF</t>
        </is>
      </c>
      <c r="P3" s="5" t="inlineStr">
        <is>
          <t>3MTH_IMPVOL_110.0%MNY_DF</t>
        </is>
      </c>
      <c r="Q3" s="5" t="inlineStr">
        <is>
          <t>6MTH_IMPVOL_90.0%MNY_DF</t>
        </is>
      </c>
      <c r="R3" s="5" t="inlineStr">
        <is>
          <t>6MTH_IMPVOL_95.0%MNY_DF</t>
        </is>
      </c>
      <c r="S3" s="5" t="inlineStr">
        <is>
          <t>6MTH_IMPVOL_100.0%MNY_DF</t>
        </is>
      </c>
      <c r="T3" s="5" t="inlineStr">
        <is>
          <t>6MTH_IMPVOL_105.0%MNY_DF</t>
        </is>
      </c>
      <c r="U3" s="5" t="inlineStr">
        <is>
          <t>6MTH_IMPVOL_110.0%MNY_DF</t>
        </is>
      </c>
      <c r="V3" s="5" t="inlineStr">
        <is>
          <t>1M_CALL_IMP_VOL_10DELTA_DFLT</t>
        </is>
      </c>
      <c r="W3" s="5" t="inlineStr">
        <is>
          <t>1M_CALL_IMP_VOL_25DELTA_DFLT</t>
        </is>
      </c>
      <c r="X3" s="5" t="inlineStr">
        <is>
          <t>1M_CALL_IMP_VOL_50DELTA_DFLT</t>
        </is>
      </c>
      <c r="Y3" s="5" t="inlineStr">
        <is>
          <t>1M_PUT_IMP_VOL_10DELTA_DFLT</t>
        </is>
      </c>
      <c r="AA3" s="5" t="inlineStr">
        <is>
          <t>Date</t>
        </is>
      </c>
      <c r="AB3" s="5" t="inlineStr">
        <is>
          <t>1M_PUT_IMP_VOL_25DELTA_DFLT</t>
        </is>
      </c>
      <c r="AC3" s="5" t="inlineStr">
        <is>
          <t>1M_PUT_IMP_VOL_50DELTA_DFLT</t>
        </is>
      </c>
      <c r="AD3" s="5" t="inlineStr">
        <is>
          <t>2M_CALL_IMP_VOL_10DELTA_DFLT</t>
        </is>
      </c>
      <c r="AE3" s="5" t="inlineStr">
        <is>
          <t>2M_CALL_IMP_VOL_25DELTA_DFLT</t>
        </is>
      </c>
      <c r="AF3" s="5" t="inlineStr">
        <is>
          <t>2M_CALL_IMP_VOL_50DELTA_DFLT</t>
        </is>
      </c>
      <c r="AG3" s="5" t="inlineStr">
        <is>
          <t>2M_PUT_IMP_VOL_10DELTA_DFLT</t>
        </is>
      </c>
      <c r="AH3" s="5" t="inlineStr">
        <is>
          <t>2M_PUT_IMP_VOL_25DELTA_DFLT</t>
        </is>
      </c>
      <c r="AI3" s="5" t="inlineStr">
        <is>
          <t>2M_PUT_IMP_VOL_50DELTA_DFLT</t>
        </is>
      </c>
      <c r="AJ3" s="5" t="inlineStr">
        <is>
          <t>3M_CALL_IMP_VOL_10DELTA_DFLT</t>
        </is>
      </c>
      <c r="AK3" s="5" t="inlineStr">
        <is>
          <t>3M_CALL_IMP_VOL_25DELTA_DFLT</t>
        </is>
      </c>
      <c r="AL3" s="5" t="inlineStr">
        <is>
          <t>3M_CALL_IMP_VOL_50DELTA_DFLT</t>
        </is>
      </c>
      <c r="AM3" s="5" t="inlineStr">
        <is>
          <t>3M_PUT_IMP_VOL_10DELTA_DFLT</t>
        </is>
      </c>
      <c r="AN3" s="5" t="inlineStr">
        <is>
          <t>3M_PUT_IMP_VOL_25DELTA_DFLT</t>
        </is>
      </c>
      <c r="AO3" s="5" t="inlineStr">
        <is>
          <t>3M_PUT_IMP_VOL_50DELTA_DFLT</t>
        </is>
      </c>
      <c r="AP3" s="5" t="inlineStr">
        <is>
          <t>HIST_CALL_IMP_VOL</t>
        </is>
      </c>
      <c r="AQ3" s="5" t="inlineStr">
        <is>
          <t>HIST_PUT_IMP_VOL</t>
        </is>
      </c>
      <c r="AR3" s="5" t="inlineStr">
        <is>
          <t>VOLATILITY_10D</t>
        </is>
      </c>
      <c r="AS3" s="5" t="inlineStr">
        <is>
          <t>VOLATILITY_30D</t>
        </is>
      </c>
      <c r="AT3" s="5" t="inlineStr">
        <is>
          <t>VOLATILITY_90D</t>
        </is>
      </c>
      <c r="AU3" s="5" t="inlineStr">
        <is>
          <t>PUT_CALL_VOLUME_RATIO_CUR_DAY</t>
        </is>
      </c>
      <c r="AV3" s="5" t="inlineStr">
        <is>
          <t>OPEN_INT_TOTAL_CALL</t>
        </is>
      </c>
      <c r="AW3" s="5" t="inlineStr">
        <is>
          <t>OPEN_INT_TOTAL_PUT</t>
        </is>
      </c>
      <c r="AX3" s="5" t="inlineStr">
        <is>
          <t>VOLUME_TOTAL_CALL</t>
        </is>
      </c>
      <c r="AY3" s="5" t="inlineStr">
        <is>
          <t>VOLUME_TOTAL_PUT</t>
        </is>
      </c>
    </row>
    <row r="4">
      <c r="A4" s="4">
        <f>BDH(A$1,B$3:Y$3,Settings!$C$9,IF(Settings!$D$9="","",Settings!$D$9),"Dir=V","Dts=S","Sort=A","Days=T","Fill=B")</f>
        <v/>
      </c>
      <c r="AA4" s="4">
        <f>BDH(AA$1,AB$3:AY$3,Settings!$C$9,IF(Settings!$D$9="","",Settings!$D$9),"Dir=V","Dts=S","Sort=A","Days=T","Fill=B")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27" customWidth="1" min="4" max="4"/>
    <col width="27" customWidth="1" min="5" max="5"/>
    <col width="27" customWidth="1" min="6" max="6"/>
    <col width="26" customWidth="1" min="7" max="7"/>
    <col width="26" customWidth="1" min="8" max="8"/>
    <col width="27" customWidth="1" min="9" max="9"/>
    <col width="27" customWidth="1" min="10" max="10"/>
    <col width="27" customWidth="1" min="11" max="11"/>
    <col width="25" customWidth="1" min="12" max="12"/>
    <col width="25" customWidth="1" min="13" max="13"/>
    <col width="26" customWidth="1" min="14" max="14"/>
    <col width="26" customWidth="1" min="15" max="15"/>
    <col width="26" customWidth="1" min="16" max="16"/>
    <col width="25" customWidth="1" min="17" max="17"/>
    <col width="25" customWidth="1" min="18" max="18"/>
    <col width="26" customWidth="1" min="19" max="19"/>
    <col width="26" customWidth="1" min="20" max="20"/>
    <col width="26" customWidth="1" min="21" max="21"/>
    <col width="28" customWidth="1" min="22" max="22"/>
    <col width="28" customWidth="1" min="23" max="23"/>
    <col width="28" customWidth="1" min="24" max="24"/>
    <col width="28" customWidth="1" min="25" max="25"/>
    <col width="12" customWidth="1" min="27" max="27"/>
    <col width="28" customWidth="1" min="28" max="28"/>
    <col width="28" customWidth="1" min="29" max="29"/>
    <col width="28" customWidth="1" min="30" max="30"/>
    <col width="28" customWidth="1" min="31" max="31"/>
    <col width="28" customWidth="1" min="32" max="32"/>
    <col width="28" customWidth="1" min="33" max="33"/>
    <col width="28" customWidth="1" min="34" max="34"/>
    <col width="28" customWidth="1" min="35" max="35"/>
    <col width="28" customWidth="1" min="36" max="36"/>
    <col width="28" customWidth="1" min="37" max="37"/>
    <col width="28" customWidth="1" min="38" max="38"/>
    <col width="28" customWidth="1" min="39" max="39"/>
    <col width="28" customWidth="1" min="40" max="40"/>
    <col width="28" customWidth="1" min="41" max="41"/>
    <col width="19" customWidth="1" min="42" max="42"/>
    <col width="18" customWidth="1" min="43" max="43"/>
    <col width="16" customWidth="1" min="44" max="44"/>
    <col width="16" customWidth="1" min="45" max="45"/>
    <col width="16" customWidth="1" min="46" max="46"/>
    <col width="28" customWidth="1" min="47" max="47"/>
    <col width="21" customWidth="1" min="48" max="48"/>
    <col width="20" customWidth="1" min="49" max="49"/>
    <col width="19" customWidth="1" min="50" max="50"/>
    <col width="18" customWidth="1" min="51" max="51"/>
  </cols>
  <sheetData>
    <row r="1">
      <c r="A1" s="2">
        <f>IF(Settings!$B$10="Y","BNO US Equity","")</f>
        <v/>
      </c>
      <c r="AA1" s="2">
        <f>IF(Settings!$B$10="Y","BNO US Equity","")</f>
        <v/>
      </c>
    </row>
    <row r="2">
      <c r="A2" s="4" t="inlineStr">
        <is>
          <t>implied-vol surface (moneyness)</t>
        </is>
      </c>
      <c r="AA2" s="4" t="inlineStr">
        <is>
          <t>implied-vol surface (delta, realized, volume)</t>
        </is>
      </c>
    </row>
    <row r="3">
      <c r="A3" s="5" t="inlineStr">
        <is>
          <t>Date</t>
        </is>
      </c>
      <c r="B3" s="5" t="inlineStr">
        <is>
          <t>30DAY_IMPVOL_90.0%MNY_DF</t>
        </is>
      </c>
      <c r="C3" s="5" t="inlineStr">
        <is>
          <t>30DAY_IMPVOL_95.0%MNY_DF</t>
        </is>
      </c>
      <c r="D3" s="5" t="inlineStr">
        <is>
          <t>30DAY_IMPVOL_100.0%MNY_DF</t>
        </is>
      </c>
      <c r="E3" s="5" t="inlineStr">
        <is>
          <t>30DAY_IMPVOL_105.0%MNY_DF</t>
        </is>
      </c>
      <c r="F3" s="5" t="inlineStr">
        <is>
          <t>30DAY_IMPVOL_110.0%MNY_DF</t>
        </is>
      </c>
      <c r="G3" s="5" t="inlineStr">
        <is>
          <t>60DAY_IMPVOL_90.0%MNY_DF</t>
        </is>
      </c>
      <c r="H3" s="5" t="inlineStr">
        <is>
          <t>60DAY_IMPVOL_95.0%MNY_DF</t>
        </is>
      </c>
      <c r="I3" s="5" t="inlineStr">
        <is>
          <t>60DAY_IMPVOL_100.0%MNY_DF</t>
        </is>
      </c>
      <c r="J3" s="5" t="inlineStr">
        <is>
          <t>60DAY_IMPVOL_105.0%MNY_DF</t>
        </is>
      </c>
      <c r="K3" s="5" t="inlineStr">
        <is>
          <t>60DAY_IMPVOL_110.0%MNY_DF</t>
        </is>
      </c>
      <c r="L3" s="5" t="inlineStr">
        <is>
          <t>3MTH_IMPVOL_90.0%MNY_DF</t>
        </is>
      </c>
      <c r="M3" s="5" t="inlineStr">
        <is>
          <t>3MTH_IMPVOL_95.0%MNY_DF</t>
        </is>
      </c>
      <c r="N3" s="5" t="inlineStr">
        <is>
          <t>3MTH_IMPVOL_100.0%MNY_DF</t>
        </is>
      </c>
      <c r="O3" s="5" t="inlineStr">
        <is>
          <t>3MTH_IMPVOL_105.0%MNY_DF</t>
        </is>
      </c>
      <c r="P3" s="5" t="inlineStr">
        <is>
          <t>3MTH_IMPVOL_110.0%MNY_DF</t>
        </is>
      </c>
      <c r="Q3" s="5" t="inlineStr">
        <is>
          <t>6MTH_IMPVOL_90.0%MNY_DF</t>
        </is>
      </c>
      <c r="R3" s="5" t="inlineStr">
        <is>
          <t>6MTH_IMPVOL_95.0%MNY_DF</t>
        </is>
      </c>
      <c r="S3" s="5" t="inlineStr">
        <is>
          <t>6MTH_IMPVOL_100.0%MNY_DF</t>
        </is>
      </c>
      <c r="T3" s="5" t="inlineStr">
        <is>
          <t>6MTH_IMPVOL_105.0%MNY_DF</t>
        </is>
      </c>
      <c r="U3" s="5" t="inlineStr">
        <is>
          <t>6MTH_IMPVOL_110.0%MNY_DF</t>
        </is>
      </c>
      <c r="V3" s="5" t="inlineStr">
        <is>
          <t>1M_CALL_IMP_VOL_10DELTA_DFLT</t>
        </is>
      </c>
      <c r="W3" s="5" t="inlineStr">
        <is>
          <t>1M_CALL_IMP_VOL_25DELTA_DFLT</t>
        </is>
      </c>
      <c r="X3" s="5" t="inlineStr">
        <is>
          <t>1M_CALL_IMP_VOL_50DELTA_DFLT</t>
        </is>
      </c>
      <c r="Y3" s="5" t="inlineStr">
        <is>
          <t>1M_PUT_IMP_VOL_10DELTA_DFLT</t>
        </is>
      </c>
      <c r="AA3" s="5" t="inlineStr">
        <is>
          <t>Date</t>
        </is>
      </c>
      <c r="AB3" s="5" t="inlineStr">
        <is>
          <t>1M_PUT_IMP_VOL_25DELTA_DFLT</t>
        </is>
      </c>
      <c r="AC3" s="5" t="inlineStr">
        <is>
          <t>1M_PUT_IMP_VOL_50DELTA_DFLT</t>
        </is>
      </c>
      <c r="AD3" s="5" t="inlineStr">
        <is>
          <t>2M_CALL_IMP_VOL_10DELTA_DFLT</t>
        </is>
      </c>
      <c r="AE3" s="5" t="inlineStr">
        <is>
          <t>2M_CALL_IMP_VOL_25DELTA_DFLT</t>
        </is>
      </c>
      <c r="AF3" s="5" t="inlineStr">
        <is>
          <t>2M_CALL_IMP_VOL_50DELTA_DFLT</t>
        </is>
      </c>
      <c r="AG3" s="5" t="inlineStr">
        <is>
          <t>2M_PUT_IMP_VOL_10DELTA_DFLT</t>
        </is>
      </c>
      <c r="AH3" s="5" t="inlineStr">
        <is>
          <t>2M_PUT_IMP_VOL_25DELTA_DFLT</t>
        </is>
      </c>
      <c r="AI3" s="5" t="inlineStr">
        <is>
          <t>2M_PUT_IMP_VOL_50DELTA_DFLT</t>
        </is>
      </c>
      <c r="AJ3" s="5" t="inlineStr">
        <is>
          <t>3M_CALL_IMP_VOL_10DELTA_DFLT</t>
        </is>
      </c>
      <c r="AK3" s="5" t="inlineStr">
        <is>
          <t>3M_CALL_IMP_VOL_25DELTA_DFLT</t>
        </is>
      </c>
      <c r="AL3" s="5" t="inlineStr">
        <is>
          <t>3M_CALL_IMP_VOL_50DELTA_DFLT</t>
        </is>
      </c>
      <c r="AM3" s="5" t="inlineStr">
        <is>
          <t>3M_PUT_IMP_VOL_10DELTA_DFLT</t>
        </is>
      </c>
      <c r="AN3" s="5" t="inlineStr">
        <is>
          <t>3M_PUT_IMP_VOL_25DELTA_DFLT</t>
        </is>
      </c>
      <c r="AO3" s="5" t="inlineStr">
        <is>
          <t>3M_PUT_IMP_VOL_50DELTA_DFLT</t>
        </is>
      </c>
      <c r="AP3" s="5" t="inlineStr">
        <is>
          <t>HIST_CALL_IMP_VOL</t>
        </is>
      </c>
      <c r="AQ3" s="5" t="inlineStr">
        <is>
          <t>HIST_PUT_IMP_VOL</t>
        </is>
      </c>
      <c r="AR3" s="5" t="inlineStr">
        <is>
          <t>VOLATILITY_10D</t>
        </is>
      </c>
      <c r="AS3" s="5" t="inlineStr">
        <is>
          <t>VOLATILITY_30D</t>
        </is>
      </c>
      <c r="AT3" s="5" t="inlineStr">
        <is>
          <t>VOLATILITY_90D</t>
        </is>
      </c>
      <c r="AU3" s="5" t="inlineStr">
        <is>
          <t>PUT_CALL_VOLUME_RATIO_CUR_DAY</t>
        </is>
      </c>
      <c r="AV3" s="5" t="inlineStr">
        <is>
          <t>OPEN_INT_TOTAL_CALL</t>
        </is>
      </c>
      <c r="AW3" s="5" t="inlineStr">
        <is>
          <t>OPEN_INT_TOTAL_PUT</t>
        </is>
      </c>
      <c r="AX3" s="5" t="inlineStr">
        <is>
          <t>VOLUME_TOTAL_CALL</t>
        </is>
      </c>
      <c r="AY3" s="5" t="inlineStr">
        <is>
          <t>VOLUME_TOTAL_PUT</t>
        </is>
      </c>
    </row>
    <row r="4">
      <c r="A4" s="4">
        <f>BDH(A$1,B$3:Y$3,Settings!$C$10,IF(Settings!$D$10="","",Settings!$D$10),"Dir=V","Dts=S","Sort=A","Days=T","Fill=B")</f>
        <v/>
      </c>
      <c r="AA4" s="4">
        <f>BDH(AA$1,AB$3:AY$3,Settings!$C$10,IF(Settings!$D$10="","",Settings!$D$10),"Dir=V","Dts=S","Sort=A","Days=T","Fill=B")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27" customWidth="1" min="4" max="4"/>
    <col width="27" customWidth="1" min="5" max="5"/>
    <col width="27" customWidth="1" min="6" max="6"/>
    <col width="26" customWidth="1" min="7" max="7"/>
    <col width="26" customWidth="1" min="8" max="8"/>
    <col width="27" customWidth="1" min="9" max="9"/>
    <col width="27" customWidth="1" min="10" max="10"/>
    <col width="27" customWidth="1" min="11" max="11"/>
    <col width="25" customWidth="1" min="12" max="12"/>
    <col width="25" customWidth="1" min="13" max="13"/>
    <col width="26" customWidth="1" min="14" max="14"/>
    <col width="26" customWidth="1" min="15" max="15"/>
    <col width="26" customWidth="1" min="16" max="16"/>
    <col width="25" customWidth="1" min="17" max="17"/>
    <col width="25" customWidth="1" min="18" max="18"/>
    <col width="26" customWidth="1" min="19" max="19"/>
    <col width="26" customWidth="1" min="20" max="20"/>
    <col width="26" customWidth="1" min="21" max="21"/>
    <col width="28" customWidth="1" min="22" max="22"/>
    <col width="28" customWidth="1" min="23" max="23"/>
    <col width="28" customWidth="1" min="24" max="24"/>
    <col width="28" customWidth="1" min="25" max="25"/>
    <col width="12" customWidth="1" min="27" max="27"/>
    <col width="28" customWidth="1" min="28" max="28"/>
    <col width="28" customWidth="1" min="29" max="29"/>
    <col width="28" customWidth="1" min="30" max="30"/>
    <col width="28" customWidth="1" min="31" max="31"/>
    <col width="28" customWidth="1" min="32" max="32"/>
    <col width="28" customWidth="1" min="33" max="33"/>
    <col width="28" customWidth="1" min="34" max="34"/>
    <col width="28" customWidth="1" min="35" max="35"/>
    <col width="28" customWidth="1" min="36" max="36"/>
    <col width="28" customWidth="1" min="37" max="37"/>
    <col width="28" customWidth="1" min="38" max="38"/>
    <col width="28" customWidth="1" min="39" max="39"/>
    <col width="28" customWidth="1" min="40" max="40"/>
    <col width="28" customWidth="1" min="41" max="41"/>
    <col width="19" customWidth="1" min="42" max="42"/>
    <col width="18" customWidth="1" min="43" max="43"/>
    <col width="16" customWidth="1" min="44" max="44"/>
    <col width="16" customWidth="1" min="45" max="45"/>
    <col width="16" customWidth="1" min="46" max="46"/>
    <col width="28" customWidth="1" min="47" max="47"/>
    <col width="21" customWidth="1" min="48" max="48"/>
    <col width="20" customWidth="1" min="49" max="49"/>
    <col width="19" customWidth="1" min="50" max="50"/>
    <col width="18" customWidth="1" min="51" max="51"/>
  </cols>
  <sheetData>
    <row r="1">
      <c r="A1" s="2">
        <f>IF(Settings!$B$10="Y","XLE US Equity","")</f>
        <v/>
      </c>
      <c r="AA1" s="2">
        <f>IF(Settings!$B$10="Y","XLE US Equity","")</f>
        <v/>
      </c>
    </row>
    <row r="2">
      <c r="A2" s="4" t="inlineStr">
        <is>
          <t>implied-vol surface (moneyness)</t>
        </is>
      </c>
      <c r="AA2" s="4" t="inlineStr">
        <is>
          <t>implied-vol surface (delta, realized, volume)</t>
        </is>
      </c>
    </row>
    <row r="3">
      <c r="A3" s="5" t="inlineStr">
        <is>
          <t>Date</t>
        </is>
      </c>
      <c r="B3" s="5" t="inlineStr">
        <is>
          <t>30DAY_IMPVOL_90.0%MNY_DF</t>
        </is>
      </c>
      <c r="C3" s="5" t="inlineStr">
        <is>
          <t>30DAY_IMPVOL_95.0%MNY_DF</t>
        </is>
      </c>
      <c r="D3" s="5" t="inlineStr">
        <is>
          <t>30DAY_IMPVOL_100.0%MNY_DF</t>
        </is>
      </c>
      <c r="E3" s="5" t="inlineStr">
        <is>
          <t>30DAY_IMPVOL_105.0%MNY_DF</t>
        </is>
      </c>
      <c r="F3" s="5" t="inlineStr">
        <is>
          <t>30DAY_IMPVOL_110.0%MNY_DF</t>
        </is>
      </c>
      <c r="G3" s="5" t="inlineStr">
        <is>
          <t>60DAY_IMPVOL_90.0%MNY_DF</t>
        </is>
      </c>
      <c r="H3" s="5" t="inlineStr">
        <is>
          <t>60DAY_IMPVOL_95.0%MNY_DF</t>
        </is>
      </c>
      <c r="I3" s="5" t="inlineStr">
        <is>
          <t>60DAY_IMPVOL_100.0%MNY_DF</t>
        </is>
      </c>
      <c r="J3" s="5" t="inlineStr">
        <is>
          <t>60DAY_IMPVOL_105.0%MNY_DF</t>
        </is>
      </c>
      <c r="K3" s="5" t="inlineStr">
        <is>
          <t>60DAY_IMPVOL_110.0%MNY_DF</t>
        </is>
      </c>
      <c r="L3" s="5" t="inlineStr">
        <is>
          <t>3MTH_IMPVOL_90.0%MNY_DF</t>
        </is>
      </c>
      <c r="M3" s="5" t="inlineStr">
        <is>
          <t>3MTH_IMPVOL_95.0%MNY_DF</t>
        </is>
      </c>
      <c r="N3" s="5" t="inlineStr">
        <is>
          <t>3MTH_IMPVOL_100.0%MNY_DF</t>
        </is>
      </c>
      <c r="O3" s="5" t="inlineStr">
        <is>
          <t>3MTH_IMPVOL_105.0%MNY_DF</t>
        </is>
      </c>
      <c r="P3" s="5" t="inlineStr">
        <is>
          <t>3MTH_IMPVOL_110.0%MNY_DF</t>
        </is>
      </c>
      <c r="Q3" s="5" t="inlineStr">
        <is>
          <t>6MTH_IMPVOL_90.0%MNY_DF</t>
        </is>
      </c>
      <c r="R3" s="5" t="inlineStr">
        <is>
          <t>6MTH_IMPVOL_95.0%MNY_DF</t>
        </is>
      </c>
      <c r="S3" s="5" t="inlineStr">
        <is>
          <t>6MTH_IMPVOL_100.0%MNY_DF</t>
        </is>
      </c>
      <c r="T3" s="5" t="inlineStr">
        <is>
          <t>6MTH_IMPVOL_105.0%MNY_DF</t>
        </is>
      </c>
      <c r="U3" s="5" t="inlineStr">
        <is>
          <t>6MTH_IMPVOL_110.0%MNY_DF</t>
        </is>
      </c>
      <c r="V3" s="5" t="inlineStr">
        <is>
          <t>1M_CALL_IMP_VOL_10DELTA_DFLT</t>
        </is>
      </c>
      <c r="W3" s="5" t="inlineStr">
        <is>
          <t>1M_CALL_IMP_VOL_25DELTA_DFLT</t>
        </is>
      </c>
      <c r="X3" s="5" t="inlineStr">
        <is>
          <t>1M_CALL_IMP_VOL_50DELTA_DFLT</t>
        </is>
      </c>
      <c r="Y3" s="5" t="inlineStr">
        <is>
          <t>1M_PUT_IMP_VOL_10DELTA_DFLT</t>
        </is>
      </c>
      <c r="AA3" s="5" t="inlineStr">
        <is>
          <t>Date</t>
        </is>
      </c>
      <c r="AB3" s="5" t="inlineStr">
        <is>
          <t>1M_PUT_IMP_VOL_25DELTA_DFLT</t>
        </is>
      </c>
      <c r="AC3" s="5" t="inlineStr">
        <is>
          <t>1M_PUT_IMP_VOL_50DELTA_DFLT</t>
        </is>
      </c>
      <c r="AD3" s="5" t="inlineStr">
        <is>
          <t>2M_CALL_IMP_VOL_10DELTA_DFLT</t>
        </is>
      </c>
      <c r="AE3" s="5" t="inlineStr">
        <is>
          <t>2M_CALL_IMP_VOL_25DELTA_DFLT</t>
        </is>
      </c>
      <c r="AF3" s="5" t="inlineStr">
        <is>
          <t>2M_CALL_IMP_VOL_50DELTA_DFLT</t>
        </is>
      </c>
      <c r="AG3" s="5" t="inlineStr">
        <is>
          <t>2M_PUT_IMP_VOL_10DELTA_DFLT</t>
        </is>
      </c>
      <c r="AH3" s="5" t="inlineStr">
        <is>
          <t>2M_PUT_IMP_VOL_25DELTA_DFLT</t>
        </is>
      </c>
      <c r="AI3" s="5" t="inlineStr">
        <is>
          <t>2M_PUT_IMP_VOL_50DELTA_DFLT</t>
        </is>
      </c>
      <c r="AJ3" s="5" t="inlineStr">
        <is>
          <t>3M_CALL_IMP_VOL_10DELTA_DFLT</t>
        </is>
      </c>
      <c r="AK3" s="5" t="inlineStr">
        <is>
          <t>3M_CALL_IMP_VOL_25DELTA_DFLT</t>
        </is>
      </c>
      <c r="AL3" s="5" t="inlineStr">
        <is>
          <t>3M_CALL_IMP_VOL_50DELTA_DFLT</t>
        </is>
      </c>
      <c r="AM3" s="5" t="inlineStr">
        <is>
          <t>3M_PUT_IMP_VOL_10DELTA_DFLT</t>
        </is>
      </c>
      <c r="AN3" s="5" t="inlineStr">
        <is>
          <t>3M_PUT_IMP_VOL_25DELTA_DFLT</t>
        </is>
      </c>
      <c r="AO3" s="5" t="inlineStr">
        <is>
          <t>3M_PUT_IMP_VOL_50DELTA_DFLT</t>
        </is>
      </c>
      <c r="AP3" s="5" t="inlineStr">
        <is>
          <t>HIST_CALL_IMP_VOL</t>
        </is>
      </c>
      <c r="AQ3" s="5" t="inlineStr">
        <is>
          <t>HIST_PUT_IMP_VOL</t>
        </is>
      </c>
      <c r="AR3" s="5" t="inlineStr">
        <is>
          <t>VOLATILITY_10D</t>
        </is>
      </c>
      <c r="AS3" s="5" t="inlineStr">
        <is>
          <t>VOLATILITY_30D</t>
        </is>
      </c>
      <c r="AT3" s="5" t="inlineStr">
        <is>
          <t>VOLATILITY_90D</t>
        </is>
      </c>
      <c r="AU3" s="5" t="inlineStr">
        <is>
          <t>PUT_CALL_VOLUME_RATIO_CUR_DAY</t>
        </is>
      </c>
      <c r="AV3" s="5" t="inlineStr">
        <is>
          <t>OPEN_INT_TOTAL_CALL</t>
        </is>
      </c>
      <c r="AW3" s="5" t="inlineStr">
        <is>
          <t>OPEN_INT_TOTAL_PUT</t>
        </is>
      </c>
      <c r="AX3" s="5" t="inlineStr">
        <is>
          <t>VOLUME_TOTAL_CALL</t>
        </is>
      </c>
      <c r="AY3" s="5" t="inlineStr">
        <is>
          <t>VOLUME_TOTAL_PUT</t>
        </is>
      </c>
    </row>
    <row r="4">
      <c r="A4" s="4">
        <f>BDH(A$1,B$3:Y$3,Settings!$C$10,IF(Settings!$D$10="","",Settings!$D$10),"Dir=V","Dts=S","Sort=A","Days=T","Fill=B")</f>
        <v/>
      </c>
      <c r="AA4" s="4">
        <f>BDH(AA$1,AB$3:AY$3,Settings!$C$10,IF(Settings!$D$10="","",Settings!$D$10),"Dir=V","Dts=S","Sort=A","Days=T","Fill=B")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27" customWidth="1" min="4" max="4"/>
    <col width="27" customWidth="1" min="5" max="5"/>
    <col width="27" customWidth="1" min="6" max="6"/>
    <col width="26" customWidth="1" min="7" max="7"/>
    <col width="26" customWidth="1" min="8" max="8"/>
    <col width="27" customWidth="1" min="9" max="9"/>
    <col width="27" customWidth="1" min="10" max="10"/>
    <col width="27" customWidth="1" min="11" max="11"/>
    <col width="25" customWidth="1" min="12" max="12"/>
    <col width="25" customWidth="1" min="13" max="13"/>
    <col width="26" customWidth="1" min="14" max="14"/>
    <col width="26" customWidth="1" min="15" max="15"/>
    <col width="26" customWidth="1" min="16" max="16"/>
    <col width="25" customWidth="1" min="17" max="17"/>
    <col width="25" customWidth="1" min="18" max="18"/>
    <col width="26" customWidth="1" min="19" max="19"/>
    <col width="26" customWidth="1" min="20" max="20"/>
    <col width="26" customWidth="1" min="21" max="21"/>
    <col width="28" customWidth="1" min="22" max="22"/>
    <col width="28" customWidth="1" min="23" max="23"/>
    <col width="28" customWidth="1" min="24" max="24"/>
    <col width="28" customWidth="1" min="25" max="25"/>
    <col width="12" customWidth="1" min="27" max="27"/>
    <col width="28" customWidth="1" min="28" max="28"/>
    <col width="28" customWidth="1" min="29" max="29"/>
    <col width="28" customWidth="1" min="30" max="30"/>
    <col width="28" customWidth="1" min="31" max="31"/>
    <col width="28" customWidth="1" min="32" max="32"/>
    <col width="28" customWidth="1" min="33" max="33"/>
    <col width="28" customWidth="1" min="34" max="34"/>
    <col width="28" customWidth="1" min="35" max="35"/>
    <col width="28" customWidth="1" min="36" max="36"/>
    <col width="28" customWidth="1" min="37" max="37"/>
    <col width="28" customWidth="1" min="38" max="38"/>
    <col width="28" customWidth="1" min="39" max="39"/>
    <col width="28" customWidth="1" min="40" max="40"/>
    <col width="28" customWidth="1" min="41" max="41"/>
    <col width="19" customWidth="1" min="42" max="42"/>
    <col width="18" customWidth="1" min="43" max="43"/>
    <col width="16" customWidth="1" min="44" max="44"/>
    <col width="16" customWidth="1" min="45" max="45"/>
    <col width="16" customWidth="1" min="46" max="46"/>
    <col width="28" customWidth="1" min="47" max="47"/>
    <col width="21" customWidth="1" min="48" max="48"/>
    <col width="20" customWidth="1" min="49" max="49"/>
    <col width="19" customWidth="1" min="50" max="50"/>
    <col width="18" customWidth="1" min="51" max="51"/>
  </cols>
  <sheetData>
    <row r="1">
      <c r="A1" s="2">
        <f>IF(Settings!$B$10="Y","XOP US Equity","")</f>
        <v/>
      </c>
      <c r="AA1" s="2">
        <f>IF(Settings!$B$10="Y","XOP US Equity","")</f>
        <v/>
      </c>
    </row>
    <row r="2">
      <c r="A2" s="4" t="inlineStr">
        <is>
          <t>implied-vol surface (moneyness)</t>
        </is>
      </c>
      <c r="AA2" s="4" t="inlineStr">
        <is>
          <t>implied-vol surface (delta, realized, volume)</t>
        </is>
      </c>
    </row>
    <row r="3">
      <c r="A3" s="5" t="inlineStr">
        <is>
          <t>Date</t>
        </is>
      </c>
      <c r="B3" s="5" t="inlineStr">
        <is>
          <t>30DAY_IMPVOL_90.0%MNY_DF</t>
        </is>
      </c>
      <c r="C3" s="5" t="inlineStr">
        <is>
          <t>30DAY_IMPVOL_95.0%MNY_DF</t>
        </is>
      </c>
      <c r="D3" s="5" t="inlineStr">
        <is>
          <t>30DAY_IMPVOL_100.0%MNY_DF</t>
        </is>
      </c>
      <c r="E3" s="5" t="inlineStr">
        <is>
          <t>30DAY_IMPVOL_105.0%MNY_DF</t>
        </is>
      </c>
      <c r="F3" s="5" t="inlineStr">
        <is>
          <t>30DAY_IMPVOL_110.0%MNY_DF</t>
        </is>
      </c>
      <c r="G3" s="5" t="inlineStr">
        <is>
          <t>60DAY_IMPVOL_90.0%MNY_DF</t>
        </is>
      </c>
      <c r="H3" s="5" t="inlineStr">
        <is>
          <t>60DAY_IMPVOL_95.0%MNY_DF</t>
        </is>
      </c>
      <c r="I3" s="5" t="inlineStr">
        <is>
          <t>60DAY_IMPVOL_100.0%MNY_DF</t>
        </is>
      </c>
      <c r="J3" s="5" t="inlineStr">
        <is>
          <t>60DAY_IMPVOL_105.0%MNY_DF</t>
        </is>
      </c>
      <c r="K3" s="5" t="inlineStr">
        <is>
          <t>60DAY_IMPVOL_110.0%MNY_DF</t>
        </is>
      </c>
      <c r="L3" s="5" t="inlineStr">
        <is>
          <t>3MTH_IMPVOL_90.0%MNY_DF</t>
        </is>
      </c>
      <c r="M3" s="5" t="inlineStr">
        <is>
          <t>3MTH_IMPVOL_95.0%MNY_DF</t>
        </is>
      </c>
      <c r="N3" s="5" t="inlineStr">
        <is>
          <t>3MTH_IMPVOL_100.0%MNY_DF</t>
        </is>
      </c>
      <c r="O3" s="5" t="inlineStr">
        <is>
          <t>3MTH_IMPVOL_105.0%MNY_DF</t>
        </is>
      </c>
      <c r="P3" s="5" t="inlineStr">
        <is>
          <t>3MTH_IMPVOL_110.0%MNY_DF</t>
        </is>
      </c>
      <c r="Q3" s="5" t="inlineStr">
        <is>
          <t>6MTH_IMPVOL_90.0%MNY_DF</t>
        </is>
      </c>
      <c r="R3" s="5" t="inlineStr">
        <is>
          <t>6MTH_IMPVOL_95.0%MNY_DF</t>
        </is>
      </c>
      <c r="S3" s="5" t="inlineStr">
        <is>
          <t>6MTH_IMPVOL_100.0%MNY_DF</t>
        </is>
      </c>
      <c r="T3" s="5" t="inlineStr">
        <is>
          <t>6MTH_IMPVOL_105.0%MNY_DF</t>
        </is>
      </c>
      <c r="U3" s="5" t="inlineStr">
        <is>
          <t>6MTH_IMPVOL_110.0%MNY_DF</t>
        </is>
      </c>
      <c r="V3" s="5" t="inlineStr">
        <is>
          <t>1M_CALL_IMP_VOL_10DELTA_DFLT</t>
        </is>
      </c>
      <c r="W3" s="5" t="inlineStr">
        <is>
          <t>1M_CALL_IMP_VOL_25DELTA_DFLT</t>
        </is>
      </c>
      <c r="X3" s="5" t="inlineStr">
        <is>
          <t>1M_CALL_IMP_VOL_50DELTA_DFLT</t>
        </is>
      </c>
      <c r="Y3" s="5" t="inlineStr">
        <is>
          <t>1M_PUT_IMP_VOL_10DELTA_DFLT</t>
        </is>
      </c>
      <c r="AA3" s="5" t="inlineStr">
        <is>
          <t>Date</t>
        </is>
      </c>
      <c r="AB3" s="5" t="inlineStr">
        <is>
          <t>1M_PUT_IMP_VOL_25DELTA_DFLT</t>
        </is>
      </c>
      <c r="AC3" s="5" t="inlineStr">
        <is>
          <t>1M_PUT_IMP_VOL_50DELTA_DFLT</t>
        </is>
      </c>
      <c r="AD3" s="5" t="inlineStr">
        <is>
          <t>2M_CALL_IMP_VOL_10DELTA_DFLT</t>
        </is>
      </c>
      <c r="AE3" s="5" t="inlineStr">
        <is>
          <t>2M_CALL_IMP_VOL_25DELTA_DFLT</t>
        </is>
      </c>
      <c r="AF3" s="5" t="inlineStr">
        <is>
          <t>2M_CALL_IMP_VOL_50DELTA_DFLT</t>
        </is>
      </c>
      <c r="AG3" s="5" t="inlineStr">
        <is>
          <t>2M_PUT_IMP_VOL_10DELTA_DFLT</t>
        </is>
      </c>
      <c r="AH3" s="5" t="inlineStr">
        <is>
          <t>2M_PUT_IMP_VOL_25DELTA_DFLT</t>
        </is>
      </c>
      <c r="AI3" s="5" t="inlineStr">
        <is>
          <t>2M_PUT_IMP_VOL_50DELTA_DFLT</t>
        </is>
      </c>
      <c r="AJ3" s="5" t="inlineStr">
        <is>
          <t>3M_CALL_IMP_VOL_10DELTA_DFLT</t>
        </is>
      </c>
      <c r="AK3" s="5" t="inlineStr">
        <is>
          <t>3M_CALL_IMP_VOL_25DELTA_DFLT</t>
        </is>
      </c>
      <c r="AL3" s="5" t="inlineStr">
        <is>
          <t>3M_CALL_IMP_VOL_50DELTA_DFLT</t>
        </is>
      </c>
      <c r="AM3" s="5" t="inlineStr">
        <is>
          <t>3M_PUT_IMP_VOL_10DELTA_DFLT</t>
        </is>
      </c>
      <c r="AN3" s="5" t="inlineStr">
        <is>
          <t>3M_PUT_IMP_VOL_25DELTA_DFLT</t>
        </is>
      </c>
      <c r="AO3" s="5" t="inlineStr">
        <is>
          <t>3M_PUT_IMP_VOL_50DELTA_DFLT</t>
        </is>
      </c>
      <c r="AP3" s="5" t="inlineStr">
        <is>
          <t>HIST_CALL_IMP_VOL</t>
        </is>
      </c>
      <c r="AQ3" s="5" t="inlineStr">
        <is>
          <t>HIST_PUT_IMP_VOL</t>
        </is>
      </c>
      <c r="AR3" s="5" t="inlineStr">
        <is>
          <t>VOLATILITY_10D</t>
        </is>
      </c>
      <c r="AS3" s="5" t="inlineStr">
        <is>
          <t>VOLATILITY_30D</t>
        </is>
      </c>
      <c r="AT3" s="5" t="inlineStr">
        <is>
          <t>VOLATILITY_90D</t>
        </is>
      </c>
      <c r="AU3" s="5" t="inlineStr">
        <is>
          <t>PUT_CALL_VOLUME_RATIO_CUR_DAY</t>
        </is>
      </c>
      <c r="AV3" s="5" t="inlineStr">
        <is>
          <t>OPEN_INT_TOTAL_CALL</t>
        </is>
      </c>
      <c r="AW3" s="5" t="inlineStr">
        <is>
          <t>OPEN_INT_TOTAL_PUT</t>
        </is>
      </c>
      <c r="AX3" s="5" t="inlineStr">
        <is>
          <t>VOLUME_TOTAL_CALL</t>
        </is>
      </c>
      <c r="AY3" s="5" t="inlineStr">
        <is>
          <t>VOLUME_TOTAL_PUT</t>
        </is>
      </c>
    </row>
    <row r="4">
      <c r="A4" s="4">
        <f>BDH(A$1,B$3:Y$3,Settings!$C$10,IF(Settings!$D$10="","",Settings!$D$10),"Dir=V","Dts=S","Sort=A","Days=T","Fill=B")</f>
        <v/>
      </c>
      <c r="AA4" s="4">
        <f>BDH(AA$1,AB$3:AY$3,Settings!$C$10,IF(Settings!$D$10="","",Settings!$D$10),"Dir=V","Dts=S","Sort=A","Days=T","Fill=B")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27" customWidth="1" min="4" max="4"/>
    <col width="27" customWidth="1" min="5" max="5"/>
    <col width="27" customWidth="1" min="6" max="6"/>
    <col width="26" customWidth="1" min="7" max="7"/>
    <col width="26" customWidth="1" min="8" max="8"/>
    <col width="27" customWidth="1" min="9" max="9"/>
    <col width="27" customWidth="1" min="10" max="10"/>
    <col width="27" customWidth="1" min="11" max="11"/>
    <col width="25" customWidth="1" min="12" max="12"/>
    <col width="25" customWidth="1" min="13" max="13"/>
    <col width="26" customWidth="1" min="14" max="14"/>
    <col width="26" customWidth="1" min="15" max="15"/>
    <col width="26" customWidth="1" min="16" max="16"/>
    <col width="25" customWidth="1" min="17" max="17"/>
    <col width="25" customWidth="1" min="18" max="18"/>
    <col width="26" customWidth="1" min="19" max="19"/>
    <col width="26" customWidth="1" min="20" max="20"/>
    <col width="26" customWidth="1" min="21" max="21"/>
    <col width="28" customWidth="1" min="22" max="22"/>
    <col width="28" customWidth="1" min="23" max="23"/>
    <col width="28" customWidth="1" min="24" max="24"/>
    <col width="28" customWidth="1" min="25" max="25"/>
    <col width="12" customWidth="1" min="27" max="27"/>
    <col width="28" customWidth="1" min="28" max="28"/>
    <col width="28" customWidth="1" min="29" max="29"/>
    <col width="28" customWidth="1" min="30" max="30"/>
    <col width="28" customWidth="1" min="31" max="31"/>
    <col width="28" customWidth="1" min="32" max="32"/>
    <col width="28" customWidth="1" min="33" max="33"/>
    <col width="28" customWidth="1" min="34" max="34"/>
    <col width="28" customWidth="1" min="35" max="35"/>
    <col width="28" customWidth="1" min="36" max="36"/>
    <col width="28" customWidth="1" min="37" max="37"/>
    <col width="28" customWidth="1" min="38" max="38"/>
    <col width="28" customWidth="1" min="39" max="39"/>
    <col width="28" customWidth="1" min="40" max="40"/>
    <col width="28" customWidth="1" min="41" max="41"/>
    <col width="19" customWidth="1" min="42" max="42"/>
    <col width="18" customWidth="1" min="43" max="43"/>
    <col width="16" customWidth="1" min="44" max="44"/>
    <col width="16" customWidth="1" min="45" max="45"/>
    <col width="16" customWidth="1" min="46" max="46"/>
    <col width="28" customWidth="1" min="47" max="47"/>
    <col width="21" customWidth="1" min="48" max="48"/>
    <col width="20" customWidth="1" min="49" max="49"/>
    <col width="19" customWidth="1" min="50" max="50"/>
    <col width="18" customWidth="1" min="51" max="51"/>
  </cols>
  <sheetData>
    <row r="1">
      <c r="A1" s="2">
        <f>IF(Settings!$B$10="Y","OXY US Equity","")</f>
        <v/>
      </c>
      <c r="AA1" s="2">
        <f>IF(Settings!$B$10="Y","OXY US Equity","")</f>
        <v/>
      </c>
    </row>
    <row r="2">
      <c r="A2" s="4" t="inlineStr">
        <is>
          <t>implied-vol surface (moneyness)</t>
        </is>
      </c>
      <c r="AA2" s="4" t="inlineStr">
        <is>
          <t>implied-vol surface (delta, realized, volume)</t>
        </is>
      </c>
    </row>
    <row r="3">
      <c r="A3" s="5" t="inlineStr">
        <is>
          <t>Date</t>
        </is>
      </c>
      <c r="B3" s="5" t="inlineStr">
        <is>
          <t>30DAY_IMPVOL_90.0%MNY_DF</t>
        </is>
      </c>
      <c r="C3" s="5" t="inlineStr">
        <is>
          <t>30DAY_IMPVOL_95.0%MNY_DF</t>
        </is>
      </c>
      <c r="D3" s="5" t="inlineStr">
        <is>
          <t>30DAY_IMPVOL_100.0%MNY_DF</t>
        </is>
      </c>
      <c r="E3" s="5" t="inlineStr">
        <is>
          <t>30DAY_IMPVOL_105.0%MNY_DF</t>
        </is>
      </c>
      <c r="F3" s="5" t="inlineStr">
        <is>
          <t>30DAY_IMPVOL_110.0%MNY_DF</t>
        </is>
      </c>
      <c r="G3" s="5" t="inlineStr">
        <is>
          <t>60DAY_IMPVOL_90.0%MNY_DF</t>
        </is>
      </c>
      <c r="H3" s="5" t="inlineStr">
        <is>
          <t>60DAY_IMPVOL_95.0%MNY_DF</t>
        </is>
      </c>
      <c r="I3" s="5" t="inlineStr">
        <is>
          <t>60DAY_IMPVOL_100.0%MNY_DF</t>
        </is>
      </c>
      <c r="J3" s="5" t="inlineStr">
        <is>
          <t>60DAY_IMPVOL_105.0%MNY_DF</t>
        </is>
      </c>
      <c r="K3" s="5" t="inlineStr">
        <is>
          <t>60DAY_IMPVOL_110.0%MNY_DF</t>
        </is>
      </c>
      <c r="L3" s="5" t="inlineStr">
        <is>
          <t>3MTH_IMPVOL_90.0%MNY_DF</t>
        </is>
      </c>
      <c r="M3" s="5" t="inlineStr">
        <is>
          <t>3MTH_IMPVOL_95.0%MNY_DF</t>
        </is>
      </c>
      <c r="N3" s="5" t="inlineStr">
        <is>
          <t>3MTH_IMPVOL_100.0%MNY_DF</t>
        </is>
      </c>
      <c r="O3" s="5" t="inlineStr">
        <is>
          <t>3MTH_IMPVOL_105.0%MNY_DF</t>
        </is>
      </c>
      <c r="P3" s="5" t="inlineStr">
        <is>
          <t>3MTH_IMPVOL_110.0%MNY_DF</t>
        </is>
      </c>
      <c r="Q3" s="5" t="inlineStr">
        <is>
          <t>6MTH_IMPVOL_90.0%MNY_DF</t>
        </is>
      </c>
      <c r="R3" s="5" t="inlineStr">
        <is>
          <t>6MTH_IMPVOL_95.0%MNY_DF</t>
        </is>
      </c>
      <c r="S3" s="5" t="inlineStr">
        <is>
          <t>6MTH_IMPVOL_100.0%MNY_DF</t>
        </is>
      </c>
      <c r="T3" s="5" t="inlineStr">
        <is>
          <t>6MTH_IMPVOL_105.0%MNY_DF</t>
        </is>
      </c>
      <c r="U3" s="5" t="inlineStr">
        <is>
          <t>6MTH_IMPVOL_110.0%MNY_DF</t>
        </is>
      </c>
      <c r="V3" s="5" t="inlineStr">
        <is>
          <t>1M_CALL_IMP_VOL_10DELTA_DFLT</t>
        </is>
      </c>
      <c r="W3" s="5" t="inlineStr">
        <is>
          <t>1M_CALL_IMP_VOL_25DELTA_DFLT</t>
        </is>
      </c>
      <c r="X3" s="5" t="inlineStr">
        <is>
          <t>1M_CALL_IMP_VOL_50DELTA_DFLT</t>
        </is>
      </c>
      <c r="Y3" s="5" t="inlineStr">
        <is>
          <t>1M_PUT_IMP_VOL_10DELTA_DFLT</t>
        </is>
      </c>
      <c r="AA3" s="5" t="inlineStr">
        <is>
          <t>Date</t>
        </is>
      </c>
      <c r="AB3" s="5" t="inlineStr">
        <is>
          <t>1M_PUT_IMP_VOL_25DELTA_DFLT</t>
        </is>
      </c>
      <c r="AC3" s="5" t="inlineStr">
        <is>
          <t>1M_PUT_IMP_VOL_50DELTA_DFLT</t>
        </is>
      </c>
      <c r="AD3" s="5" t="inlineStr">
        <is>
          <t>2M_CALL_IMP_VOL_10DELTA_DFLT</t>
        </is>
      </c>
      <c r="AE3" s="5" t="inlineStr">
        <is>
          <t>2M_CALL_IMP_VOL_25DELTA_DFLT</t>
        </is>
      </c>
      <c r="AF3" s="5" t="inlineStr">
        <is>
          <t>2M_CALL_IMP_VOL_50DELTA_DFLT</t>
        </is>
      </c>
      <c r="AG3" s="5" t="inlineStr">
        <is>
          <t>2M_PUT_IMP_VOL_10DELTA_DFLT</t>
        </is>
      </c>
      <c r="AH3" s="5" t="inlineStr">
        <is>
          <t>2M_PUT_IMP_VOL_25DELTA_DFLT</t>
        </is>
      </c>
      <c r="AI3" s="5" t="inlineStr">
        <is>
          <t>2M_PUT_IMP_VOL_50DELTA_DFLT</t>
        </is>
      </c>
      <c r="AJ3" s="5" t="inlineStr">
        <is>
          <t>3M_CALL_IMP_VOL_10DELTA_DFLT</t>
        </is>
      </c>
      <c r="AK3" s="5" t="inlineStr">
        <is>
          <t>3M_CALL_IMP_VOL_25DELTA_DFLT</t>
        </is>
      </c>
      <c r="AL3" s="5" t="inlineStr">
        <is>
          <t>3M_CALL_IMP_VOL_50DELTA_DFLT</t>
        </is>
      </c>
      <c r="AM3" s="5" t="inlineStr">
        <is>
          <t>3M_PUT_IMP_VOL_10DELTA_DFLT</t>
        </is>
      </c>
      <c r="AN3" s="5" t="inlineStr">
        <is>
          <t>3M_PUT_IMP_VOL_25DELTA_DFLT</t>
        </is>
      </c>
      <c r="AO3" s="5" t="inlineStr">
        <is>
          <t>3M_PUT_IMP_VOL_50DELTA_DFLT</t>
        </is>
      </c>
      <c r="AP3" s="5" t="inlineStr">
        <is>
          <t>HIST_CALL_IMP_VOL</t>
        </is>
      </c>
      <c r="AQ3" s="5" t="inlineStr">
        <is>
          <t>HIST_PUT_IMP_VOL</t>
        </is>
      </c>
      <c r="AR3" s="5" t="inlineStr">
        <is>
          <t>VOLATILITY_10D</t>
        </is>
      </c>
      <c r="AS3" s="5" t="inlineStr">
        <is>
          <t>VOLATILITY_30D</t>
        </is>
      </c>
      <c r="AT3" s="5" t="inlineStr">
        <is>
          <t>VOLATILITY_90D</t>
        </is>
      </c>
      <c r="AU3" s="5" t="inlineStr">
        <is>
          <t>PUT_CALL_VOLUME_RATIO_CUR_DAY</t>
        </is>
      </c>
      <c r="AV3" s="5" t="inlineStr">
        <is>
          <t>OPEN_INT_TOTAL_CALL</t>
        </is>
      </c>
      <c r="AW3" s="5" t="inlineStr">
        <is>
          <t>OPEN_INT_TOTAL_PUT</t>
        </is>
      </c>
      <c r="AX3" s="5" t="inlineStr">
        <is>
          <t>VOLUME_TOTAL_CALL</t>
        </is>
      </c>
      <c r="AY3" s="5" t="inlineStr">
        <is>
          <t>VOLUME_TOTAL_PUT</t>
        </is>
      </c>
    </row>
    <row r="4">
      <c r="A4" s="4">
        <f>BDH(A$1,B$3:Y$3,Settings!$C$10,IF(Settings!$D$10="","",Settings!$D$10),"Dir=V","Dts=S","Sort=A","Days=T","Fill=B")</f>
        <v/>
      </c>
      <c r="AA4" s="4">
        <f>BDH(AA$1,AB$3:AY$3,Settings!$C$10,IF(Settings!$D$10="","",Settings!$D$10),"Dir=V","Dts=S","Sort=A","Days=T","Fill=B")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27" customWidth="1" min="4" max="4"/>
    <col width="27" customWidth="1" min="5" max="5"/>
    <col width="27" customWidth="1" min="6" max="6"/>
    <col width="26" customWidth="1" min="7" max="7"/>
    <col width="26" customWidth="1" min="8" max="8"/>
    <col width="27" customWidth="1" min="9" max="9"/>
    <col width="27" customWidth="1" min="10" max="10"/>
    <col width="27" customWidth="1" min="11" max="11"/>
    <col width="25" customWidth="1" min="12" max="12"/>
    <col width="25" customWidth="1" min="13" max="13"/>
    <col width="26" customWidth="1" min="14" max="14"/>
    <col width="26" customWidth="1" min="15" max="15"/>
    <col width="26" customWidth="1" min="16" max="16"/>
    <col width="25" customWidth="1" min="17" max="17"/>
    <col width="25" customWidth="1" min="18" max="18"/>
    <col width="26" customWidth="1" min="19" max="19"/>
    <col width="26" customWidth="1" min="20" max="20"/>
    <col width="26" customWidth="1" min="21" max="21"/>
    <col width="28" customWidth="1" min="22" max="22"/>
    <col width="28" customWidth="1" min="23" max="23"/>
    <col width="28" customWidth="1" min="24" max="24"/>
    <col width="28" customWidth="1" min="25" max="25"/>
    <col width="12" customWidth="1" min="27" max="27"/>
    <col width="28" customWidth="1" min="28" max="28"/>
    <col width="28" customWidth="1" min="29" max="29"/>
    <col width="28" customWidth="1" min="30" max="30"/>
    <col width="28" customWidth="1" min="31" max="31"/>
    <col width="28" customWidth="1" min="32" max="32"/>
    <col width="28" customWidth="1" min="33" max="33"/>
    <col width="28" customWidth="1" min="34" max="34"/>
    <col width="28" customWidth="1" min="35" max="35"/>
    <col width="28" customWidth="1" min="36" max="36"/>
    <col width="28" customWidth="1" min="37" max="37"/>
    <col width="28" customWidth="1" min="38" max="38"/>
    <col width="28" customWidth="1" min="39" max="39"/>
    <col width="28" customWidth="1" min="40" max="40"/>
    <col width="28" customWidth="1" min="41" max="41"/>
    <col width="19" customWidth="1" min="42" max="42"/>
    <col width="18" customWidth="1" min="43" max="43"/>
    <col width="16" customWidth="1" min="44" max="44"/>
    <col width="16" customWidth="1" min="45" max="45"/>
    <col width="16" customWidth="1" min="46" max="46"/>
    <col width="28" customWidth="1" min="47" max="47"/>
    <col width="21" customWidth="1" min="48" max="48"/>
    <col width="20" customWidth="1" min="49" max="49"/>
    <col width="19" customWidth="1" min="50" max="50"/>
    <col width="18" customWidth="1" min="51" max="51"/>
  </cols>
  <sheetData>
    <row r="1">
      <c r="A1" s="2">
        <f>IF(Settings!$B$11="Y","XOM US Equity","")</f>
        <v/>
      </c>
      <c r="AA1" s="2">
        <f>IF(Settings!$B$11="Y","XOM US Equity","")</f>
        <v/>
      </c>
    </row>
    <row r="2">
      <c r="A2" s="4" t="inlineStr">
        <is>
          <t>implied-vol surface (moneyness)</t>
        </is>
      </c>
      <c r="AA2" s="4" t="inlineStr">
        <is>
          <t>implied-vol surface (delta, realized, volume)</t>
        </is>
      </c>
    </row>
    <row r="3">
      <c r="A3" s="5" t="inlineStr">
        <is>
          <t>Date</t>
        </is>
      </c>
      <c r="B3" s="5" t="inlineStr">
        <is>
          <t>30DAY_IMPVOL_90.0%MNY_DF</t>
        </is>
      </c>
      <c r="C3" s="5" t="inlineStr">
        <is>
          <t>30DAY_IMPVOL_95.0%MNY_DF</t>
        </is>
      </c>
      <c r="D3" s="5" t="inlineStr">
        <is>
          <t>30DAY_IMPVOL_100.0%MNY_DF</t>
        </is>
      </c>
      <c r="E3" s="5" t="inlineStr">
        <is>
          <t>30DAY_IMPVOL_105.0%MNY_DF</t>
        </is>
      </c>
      <c r="F3" s="5" t="inlineStr">
        <is>
          <t>30DAY_IMPVOL_110.0%MNY_DF</t>
        </is>
      </c>
      <c r="G3" s="5" t="inlineStr">
        <is>
          <t>60DAY_IMPVOL_90.0%MNY_DF</t>
        </is>
      </c>
      <c r="H3" s="5" t="inlineStr">
        <is>
          <t>60DAY_IMPVOL_95.0%MNY_DF</t>
        </is>
      </c>
      <c r="I3" s="5" t="inlineStr">
        <is>
          <t>60DAY_IMPVOL_100.0%MNY_DF</t>
        </is>
      </c>
      <c r="J3" s="5" t="inlineStr">
        <is>
          <t>60DAY_IMPVOL_105.0%MNY_DF</t>
        </is>
      </c>
      <c r="K3" s="5" t="inlineStr">
        <is>
          <t>60DAY_IMPVOL_110.0%MNY_DF</t>
        </is>
      </c>
      <c r="L3" s="5" t="inlineStr">
        <is>
          <t>3MTH_IMPVOL_90.0%MNY_DF</t>
        </is>
      </c>
      <c r="M3" s="5" t="inlineStr">
        <is>
          <t>3MTH_IMPVOL_95.0%MNY_DF</t>
        </is>
      </c>
      <c r="N3" s="5" t="inlineStr">
        <is>
          <t>3MTH_IMPVOL_100.0%MNY_DF</t>
        </is>
      </c>
      <c r="O3" s="5" t="inlineStr">
        <is>
          <t>3MTH_IMPVOL_105.0%MNY_DF</t>
        </is>
      </c>
      <c r="P3" s="5" t="inlineStr">
        <is>
          <t>3MTH_IMPVOL_110.0%MNY_DF</t>
        </is>
      </c>
      <c r="Q3" s="5" t="inlineStr">
        <is>
          <t>6MTH_IMPVOL_90.0%MNY_DF</t>
        </is>
      </c>
      <c r="R3" s="5" t="inlineStr">
        <is>
          <t>6MTH_IMPVOL_95.0%MNY_DF</t>
        </is>
      </c>
      <c r="S3" s="5" t="inlineStr">
        <is>
          <t>6MTH_IMPVOL_100.0%MNY_DF</t>
        </is>
      </c>
      <c r="T3" s="5" t="inlineStr">
        <is>
          <t>6MTH_IMPVOL_105.0%MNY_DF</t>
        </is>
      </c>
      <c r="U3" s="5" t="inlineStr">
        <is>
          <t>6MTH_IMPVOL_110.0%MNY_DF</t>
        </is>
      </c>
      <c r="V3" s="5" t="inlineStr">
        <is>
          <t>1M_CALL_IMP_VOL_10DELTA_DFLT</t>
        </is>
      </c>
      <c r="W3" s="5" t="inlineStr">
        <is>
          <t>1M_CALL_IMP_VOL_25DELTA_DFLT</t>
        </is>
      </c>
      <c r="X3" s="5" t="inlineStr">
        <is>
          <t>1M_CALL_IMP_VOL_50DELTA_DFLT</t>
        </is>
      </c>
      <c r="Y3" s="5" t="inlineStr">
        <is>
          <t>1M_PUT_IMP_VOL_10DELTA_DFLT</t>
        </is>
      </c>
      <c r="AA3" s="5" t="inlineStr">
        <is>
          <t>Date</t>
        </is>
      </c>
      <c r="AB3" s="5" t="inlineStr">
        <is>
          <t>1M_PUT_IMP_VOL_25DELTA_DFLT</t>
        </is>
      </c>
      <c r="AC3" s="5" t="inlineStr">
        <is>
          <t>1M_PUT_IMP_VOL_50DELTA_DFLT</t>
        </is>
      </c>
      <c r="AD3" s="5" t="inlineStr">
        <is>
          <t>2M_CALL_IMP_VOL_10DELTA_DFLT</t>
        </is>
      </c>
      <c r="AE3" s="5" t="inlineStr">
        <is>
          <t>2M_CALL_IMP_VOL_25DELTA_DFLT</t>
        </is>
      </c>
      <c r="AF3" s="5" t="inlineStr">
        <is>
          <t>2M_CALL_IMP_VOL_50DELTA_DFLT</t>
        </is>
      </c>
      <c r="AG3" s="5" t="inlineStr">
        <is>
          <t>2M_PUT_IMP_VOL_10DELTA_DFLT</t>
        </is>
      </c>
      <c r="AH3" s="5" t="inlineStr">
        <is>
          <t>2M_PUT_IMP_VOL_25DELTA_DFLT</t>
        </is>
      </c>
      <c r="AI3" s="5" t="inlineStr">
        <is>
          <t>2M_PUT_IMP_VOL_50DELTA_DFLT</t>
        </is>
      </c>
      <c r="AJ3" s="5" t="inlineStr">
        <is>
          <t>3M_CALL_IMP_VOL_10DELTA_DFLT</t>
        </is>
      </c>
      <c r="AK3" s="5" t="inlineStr">
        <is>
          <t>3M_CALL_IMP_VOL_25DELTA_DFLT</t>
        </is>
      </c>
      <c r="AL3" s="5" t="inlineStr">
        <is>
          <t>3M_CALL_IMP_VOL_50DELTA_DFLT</t>
        </is>
      </c>
      <c r="AM3" s="5" t="inlineStr">
        <is>
          <t>3M_PUT_IMP_VOL_10DELTA_DFLT</t>
        </is>
      </c>
      <c r="AN3" s="5" t="inlineStr">
        <is>
          <t>3M_PUT_IMP_VOL_25DELTA_DFLT</t>
        </is>
      </c>
      <c r="AO3" s="5" t="inlineStr">
        <is>
          <t>3M_PUT_IMP_VOL_50DELTA_DFLT</t>
        </is>
      </c>
      <c r="AP3" s="5" t="inlineStr">
        <is>
          <t>HIST_CALL_IMP_VOL</t>
        </is>
      </c>
      <c r="AQ3" s="5" t="inlineStr">
        <is>
          <t>HIST_PUT_IMP_VOL</t>
        </is>
      </c>
      <c r="AR3" s="5" t="inlineStr">
        <is>
          <t>VOLATILITY_10D</t>
        </is>
      </c>
      <c r="AS3" s="5" t="inlineStr">
        <is>
          <t>VOLATILITY_30D</t>
        </is>
      </c>
      <c r="AT3" s="5" t="inlineStr">
        <is>
          <t>VOLATILITY_90D</t>
        </is>
      </c>
      <c r="AU3" s="5" t="inlineStr">
        <is>
          <t>PUT_CALL_VOLUME_RATIO_CUR_DAY</t>
        </is>
      </c>
      <c r="AV3" s="5" t="inlineStr">
        <is>
          <t>OPEN_INT_TOTAL_CALL</t>
        </is>
      </c>
      <c r="AW3" s="5" t="inlineStr">
        <is>
          <t>OPEN_INT_TOTAL_PUT</t>
        </is>
      </c>
      <c r="AX3" s="5" t="inlineStr">
        <is>
          <t>VOLUME_TOTAL_CALL</t>
        </is>
      </c>
      <c r="AY3" s="5" t="inlineStr">
        <is>
          <t>VOLUME_TOTAL_PUT</t>
        </is>
      </c>
    </row>
    <row r="4">
      <c r="A4" s="4">
        <f>BDH(A$1,B$3:Y$3,Settings!$C$11,IF(Settings!$D$11="","",Settings!$D$11),"Dir=V","Dts=S","Sort=A","Days=T","Fill=B")</f>
        <v/>
      </c>
      <c r="AA4" s="4">
        <f>BDH(AA$1,AB$3:AY$3,Settings!$C$11,IF(Settings!$D$11="","",Settings!$D$11),"Dir=V","Dts=S","Sort=A","Days=T","Fill=B")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27" customWidth="1" min="4" max="4"/>
    <col width="27" customWidth="1" min="5" max="5"/>
    <col width="27" customWidth="1" min="6" max="6"/>
    <col width="26" customWidth="1" min="7" max="7"/>
    <col width="26" customWidth="1" min="8" max="8"/>
    <col width="27" customWidth="1" min="9" max="9"/>
    <col width="27" customWidth="1" min="10" max="10"/>
    <col width="27" customWidth="1" min="11" max="11"/>
    <col width="25" customWidth="1" min="12" max="12"/>
    <col width="25" customWidth="1" min="13" max="13"/>
    <col width="26" customWidth="1" min="14" max="14"/>
    <col width="26" customWidth="1" min="15" max="15"/>
    <col width="26" customWidth="1" min="16" max="16"/>
    <col width="25" customWidth="1" min="17" max="17"/>
    <col width="25" customWidth="1" min="18" max="18"/>
    <col width="26" customWidth="1" min="19" max="19"/>
    <col width="26" customWidth="1" min="20" max="20"/>
    <col width="26" customWidth="1" min="21" max="21"/>
    <col width="28" customWidth="1" min="22" max="22"/>
    <col width="28" customWidth="1" min="23" max="23"/>
    <col width="28" customWidth="1" min="24" max="24"/>
    <col width="28" customWidth="1" min="25" max="25"/>
    <col width="12" customWidth="1" min="27" max="27"/>
    <col width="28" customWidth="1" min="28" max="28"/>
    <col width="28" customWidth="1" min="29" max="29"/>
    <col width="28" customWidth="1" min="30" max="30"/>
    <col width="28" customWidth="1" min="31" max="31"/>
    <col width="28" customWidth="1" min="32" max="32"/>
    <col width="28" customWidth="1" min="33" max="33"/>
    <col width="28" customWidth="1" min="34" max="34"/>
    <col width="28" customWidth="1" min="35" max="35"/>
    <col width="28" customWidth="1" min="36" max="36"/>
    <col width="28" customWidth="1" min="37" max="37"/>
    <col width="28" customWidth="1" min="38" max="38"/>
    <col width="28" customWidth="1" min="39" max="39"/>
    <col width="28" customWidth="1" min="40" max="40"/>
    <col width="28" customWidth="1" min="41" max="41"/>
    <col width="19" customWidth="1" min="42" max="42"/>
    <col width="18" customWidth="1" min="43" max="43"/>
    <col width="16" customWidth="1" min="44" max="44"/>
    <col width="16" customWidth="1" min="45" max="45"/>
    <col width="16" customWidth="1" min="46" max="46"/>
    <col width="28" customWidth="1" min="47" max="47"/>
    <col width="21" customWidth="1" min="48" max="48"/>
    <col width="20" customWidth="1" min="49" max="49"/>
    <col width="19" customWidth="1" min="50" max="50"/>
    <col width="18" customWidth="1" min="51" max="51"/>
  </cols>
  <sheetData>
    <row r="1">
      <c r="A1" s="2">
        <f>IF(Settings!$B$11="Y","DAL US Equity","")</f>
        <v/>
      </c>
      <c r="AA1" s="2">
        <f>IF(Settings!$B$11="Y","DAL US Equity","")</f>
        <v/>
      </c>
    </row>
    <row r="2">
      <c r="A2" s="4" t="inlineStr">
        <is>
          <t>implied-vol surface (moneyness)</t>
        </is>
      </c>
      <c r="AA2" s="4" t="inlineStr">
        <is>
          <t>implied-vol surface (delta, realized, volume)</t>
        </is>
      </c>
    </row>
    <row r="3">
      <c r="A3" s="5" t="inlineStr">
        <is>
          <t>Date</t>
        </is>
      </c>
      <c r="B3" s="5" t="inlineStr">
        <is>
          <t>30DAY_IMPVOL_90.0%MNY_DF</t>
        </is>
      </c>
      <c r="C3" s="5" t="inlineStr">
        <is>
          <t>30DAY_IMPVOL_95.0%MNY_DF</t>
        </is>
      </c>
      <c r="D3" s="5" t="inlineStr">
        <is>
          <t>30DAY_IMPVOL_100.0%MNY_DF</t>
        </is>
      </c>
      <c r="E3" s="5" t="inlineStr">
        <is>
          <t>30DAY_IMPVOL_105.0%MNY_DF</t>
        </is>
      </c>
      <c r="F3" s="5" t="inlineStr">
        <is>
          <t>30DAY_IMPVOL_110.0%MNY_DF</t>
        </is>
      </c>
      <c r="G3" s="5" t="inlineStr">
        <is>
          <t>60DAY_IMPVOL_90.0%MNY_DF</t>
        </is>
      </c>
      <c r="H3" s="5" t="inlineStr">
        <is>
          <t>60DAY_IMPVOL_95.0%MNY_DF</t>
        </is>
      </c>
      <c r="I3" s="5" t="inlineStr">
        <is>
          <t>60DAY_IMPVOL_100.0%MNY_DF</t>
        </is>
      </c>
      <c r="J3" s="5" t="inlineStr">
        <is>
          <t>60DAY_IMPVOL_105.0%MNY_DF</t>
        </is>
      </c>
      <c r="K3" s="5" t="inlineStr">
        <is>
          <t>60DAY_IMPVOL_110.0%MNY_DF</t>
        </is>
      </c>
      <c r="L3" s="5" t="inlineStr">
        <is>
          <t>3MTH_IMPVOL_90.0%MNY_DF</t>
        </is>
      </c>
      <c r="M3" s="5" t="inlineStr">
        <is>
          <t>3MTH_IMPVOL_95.0%MNY_DF</t>
        </is>
      </c>
      <c r="N3" s="5" t="inlineStr">
        <is>
          <t>3MTH_IMPVOL_100.0%MNY_DF</t>
        </is>
      </c>
      <c r="O3" s="5" t="inlineStr">
        <is>
          <t>3MTH_IMPVOL_105.0%MNY_DF</t>
        </is>
      </c>
      <c r="P3" s="5" t="inlineStr">
        <is>
          <t>3MTH_IMPVOL_110.0%MNY_DF</t>
        </is>
      </c>
      <c r="Q3" s="5" t="inlineStr">
        <is>
          <t>6MTH_IMPVOL_90.0%MNY_DF</t>
        </is>
      </c>
      <c r="R3" s="5" t="inlineStr">
        <is>
          <t>6MTH_IMPVOL_95.0%MNY_DF</t>
        </is>
      </c>
      <c r="S3" s="5" t="inlineStr">
        <is>
          <t>6MTH_IMPVOL_100.0%MNY_DF</t>
        </is>
      </c>
      <c r="T3" s="5" t="inlineStr">
        <is>
          <t>6MTH_IMPVOL_105.0%MNY_DF</t>
        </is>
      </c>
      <c r="U3" s="5" t="inlineStr">
        <is>
          <t>6MTH_IMPVOL_110.0%MNY_DF</t>
        </is>
      </c>
      <c r="V3" s="5" t="inlineStr">
        <is>
          <t>1M_CALL_IMP_VOL_10DELTA_DFLT</t>
        </is>
      </c>
      <c r="W3" s="5" t="inlineStr">
        <is>
          <t>1M_CALL_IMP_VOL_25DELTA_DFLT</t>
        </is>
      </c>
      <c r="X3" s="5" t="inlineStr">
        <is>
          <t>1M_CALL_IMP_VOL_50DELTA_DFLT</t>
        </is>
      </c>
      <c r="Y3" s="5" t="inlineStr">
        <is>
          <t>1M_PUT_IMP_VOL_10DELTA_DFLT</t>
        </is>
      </c>
      <c r="AA3" s="5" t="inlineStr">
        <is>
          <t>Date</t>
        </is>
      </c>
      <c r="AB3" s="5" t="inlineStr">
        <is>
          <t>1M_PUT_IMP_VOL_25DELTA_DFLT</t>
        </is>
      </c>
      <c r="AC3" s="5" t="inlineStr">
        <is>
          <t>1M_PUT_IMP_VOL_50DELTA_DFLT</t>
        </is>
      </c>
      <c r="AD3" s="5" t="inlineStr">
        <is>
          <t>2M_CALL_IMP_VOL_10DELTA_DFLT</t>
        </is>
      </c>
      <c r="AE3" s="5" t="inlineStr">
        <is>
          <t>2M_CALL_IMP_VOL_25DELTA_DFLT</t>
        </is>
      </c>
      <c r="AF3" s="5" t="inlineStr">
        <is>
          <t>2M_CALL_IMP_VOL_50DELTA_DFLT</t>
        </is>
      </c>
      <c r="AG3" s="5" t="inlineStr">
        <is>
          <t>2M_PUT_IMP_VOL_10DELTA_DFLT</t>
        </is>
      </c>
      <c r="AH3" s="5" t="inlineStr">
        <is>
          <t>2M_PUT_IMP_VOL_25DELTA_DFLT</t>
        </is>
      </c>
      <c r="AI3" s="5" t="inlineStr">
        <is>
          <t>2M_PUT_IMP_VOL_50DELTA_DFLT</t>
        </is>
      </c>
      <c r="AJ3" s="5" t="inlineStr">
        <is>
          <t>3M_CALL_IMP_VOL_10DELTA_DFLT</t>
        </is>
      </c>
      <c r="AK3" s="5" t="inlineStr">
        <is>
          <t>3M_CALL_IMP_VOL_25DELTA_DFLT</t>
        </is>
      </c>
      <c r="AL3" s="5" t="inlineStr">
        <is>
          <t>3M_CALL_IMP_VOL_50DELTA_DFLT</t>
        </is>
      </c>
      <c r="AM3" s="5" t="inlineStr">
        <is>
          <t>3M_PUT_IMP_VOL_10DELTA_DFLT</t>
        </is>
      </c>
      <c r="AN3" s="5" t="inlineStr">
        <is>
          <t>3M_PUT_IMP_VOL_25DELTA_DFLT</t>
        </is>
      </c>
      <c r="AO3" s="5" t="inlineStr">
        <is>
          <t>3M_PUT_IMP_VOL_50DELTA_DFLT</t>
        </is>
      </c>
      <c r="AP3" s="5" t="inlineStr">
        <is>
          <t>HIST_CALL_IMP_VOL</t>
        </is>
      </c>
      <c r="AQ3" s="5" t="inlineStr">
        <is>
          <t>HIST_PUT_IMP_VOL</t>
        </is>
      </c>
      <c r="AR3" s="5" t="inlineStr">
        <is>
          <t>VOLATILITY_10D</t>
        </is>
      </c>
      <c r="AS3" s="5" t="inlineStr">
        <is>
          <t>VOLATILITY_30D</t>
        </is>
      </c>
      <c r="AT3" s="5" t="inlineStr">
        <is>
          <t>VOLATILITY_90D</t>
        </is>
      </c>
      <c r="AU3" s="5" t="inlineStr">
        <is>
          <t>PUT_CALL_VOLUME_RATIO_CUR_DAY</t>
        </is>
      </c>
      <c r="AV3" s="5" t="inlineStr">
        <is>
          <t>OPEN_INT_TOTAL_CALL</t>
        </is>
      </c>
      <c r="AW3" s="5" t="inlineStr">
        <is>
          <t>OPEN_INT_TOTAL_PUT</t>
        </is>
      </c>
      <c r="AX3" s="5" t="inlineStr">
        <is>
          <t>VOLUME_TOTAL_CALL</t>
        </is>
      </c>
      <c r="AY3" s="5" t="inlineStr">
        <is>
          <t>VOLUME_TOTAL_PUT</t>
        </is>
      </c>
    </row>
    <row r="4">
      <c r="A4" s="4">
        <f>BDH(A$1,B$3:Y$3,Settings!$C$11,IF(Settings!$D$11="","",Settings!$D$11),"Dir=V","Dts=S","Sort=A","Days=T","Fill=B")</f>
        <v/>
      </c>
      <c r="AA4" s="4">
        <f>BDH(AA$1,AB$3:AY$3,Settings!$C$11,IF(Settings!$D$11="","",Settings!$D$11),"Dir=V","Dts=S","Sort=A","Days=T","Fill=B")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27" customWidth="1" min="4" max="4"/>
    <col width="27" customWidth="1" min="5" max="5"/>
    <col width="27" customWidth="1" min="6" max="6"/>
    <col width="26" customWidth="1" min="7" max="7"/>
    <col width="26" customWidth="1" min="8" max="8"/>
    <col width="27" customWidth="1" min="9" max="9"/>
    <col width="27" customWidth="1" min="10" max="10"/>
    <col width="27" customWidth="1" min="11" max="11"/>
    <col width="25" customWidth="1" min="12" max="12"/>
    <col width="25" customWidth="1" min="13" max="13"/>
    <col width="26" customWidth="1" min="14" max="14"/>
    <col width="26" customWidth="1" min="15" max="15"/>
    <col width="26" customWidth="1" min="16" max="16"/>
    <col width="25" customWidth="1" min="17" max="17"/>
    <col width="25" customWidth="1" min="18" max="18"/>
    <col width="26" customWidth="1" min="19" max="19"/>
    <col width="26" customWidth="1" min="20" max="20"/>
    <col width="26" customWidth="1" min="21" max="21"/>
    <col width="28" customWidth="1" min="22" max="22"/>
    <col width="28" customWidth="1" min="23" max="23"/>
    <col width="28" customWidth="1" min="24" max="24"/>
    <col width="28" customWidth="1" min="25" max="25"/>
    <col width="12" customWidth="1" min="27" max="27"/>
    <col width="28" customWidth="1" min="28" max="28"/>
    <col width="28" customWidth="1" min="29" max="29"/>
    <col width="28" customWidth="1" min="30" max="30"/>
    <col width="28" customWidth="1" min="31" max="31"/>
    <col width="28" customWidth="1" min="32" max="32"/>
    <col width="28" customWidth="1" min="33" max="33"/>
    <col width="28" customWidth="1" min="34" max="34"/>
    <col width="28" customWidth="1" min="35" max="35"/>
    <col width="28" customWidth="1" min="36" max="36"/>
    <col width="28" customWidth="1" min="37" max="37"/>
    <col width="28" customWidth="1" min="38" max="38"/>
    <col width="28" customWidth="1" min="39" max="39"/>
    <col width="28" customWidth="1" min="40" max="40"/>
    <col width="28" customWidth="1" min="41" max="41"/>
    <col width="19" customWidth="1" min="42" max="42"/>
    <col width="18" customWidth="1" min="43" max="43"/>
    <col width="16" customWidth="1" min="44" max="44"/>
    <col width="16" customWidth="1" min="45" max="45"/>
    <col width="16" customWidth="1" min="46" max="46"/>
    <col width="28" customWidth="1" min="47" max="47"/>
    <col width="21" customWidth="1" min="48" max="48"/>
    <col width="20" customWidth="1" min="49" max="49"/>
    <col width="19" customWidth="1" min="50" max="50"/>
    <col width="18" customWidth="1" min="51" max="51"/>
  </cols>
  <sheetData>
    <row r="1">
      <c r="A1" s="2">
        <f>IF(Settings!$B$11="Y","JETS US Equity","")</f>
        <v/>
      </c>
      <c r="AA1" s="2">
        <f>IF(Settings!$B$11="Y","JETS US Equity","")</f>
        <v/>
      </c>
    </row>
    <row r="2">
      <c r="A2" s="4" t="inlineStr">
        <is>
          <t>implied-vol surface (moneyness)</t>
        </is>
      </c>
      <c r="AA2" s="4" t="inlineStr">
        <is>
          <t>implied-vol surface (delta, realized, volume)</t>
        </is>
      </c>
    </row>
    <row r="3">
      <c r="A3" s="5" t="inlineStr">
        <is>
          <t>Date</t>
        </is>
      </c>
      <c r="B3" s="5" t="inlineStr">
        <is>
          <t>30DAY_IMPVOL_90.0%MNY_DF</t>
        </is>
      </c>
      <c r="C3" s="5" t="inlineStr">
        <is>
          <t>30DAY_IMPVOL_95.0%MNY_DF</t>
        </is>
      </c>
      <c r="D3" s="5" t="inlineStr">
        <is>
          <t>30DAY_IMPVOL_100.0%MNY_DF</t>
        </is>
      </c>
      <c r="E3" s="5" t="inlineStr">
        <is>
          <t>30DAY_IMPVOL_105.0%MNY_DF</t>
        </is>
      </c>
      <c r="F3" s="5" t="inlineStr">
        <is>
          <t>30DAY_IMPVOL_110.0%MNY_DF</t>
        </is>
      </c>
      <c r="G3" s="5" t="inlineStr">
        <is>
          <t>60DAY_IMPVOL_90.0%MNY_DF</t>
        </is>
      </c>
      <c r="H3" s="5" t="inlineStr">
        <is>
          <t>60DAY_IMPVOL_95.0%MNY_DF</t>
        </is>
      </c>
      <c r="I3" s="5" t="inlineStr">
        <is>
          <t>60DAY_IMPVOL_100.0%MNY_DF</t>
        </is>
      </c>
      <c r="J3" s="5" t="inlineStr">
        <is>
          <t>60DAY_IMPVOL_105.0%MNY_DF</t>
        </is>
      </c>
      <c r="K3" s="5" t="inlineStr">
        <is>
          <t>60DAY_IMPVOL_110.0%MNY_DF</t>
        </is>
      </c>
      <c r="L3" s="5" t="inlineStr">
        <is>
          <t>3MTH_IMPVOL_90.0%MNY_DF</t>
        </is>
      </c>
      <c r="M3" s="5" t="inlineStr">
        <is>
          <t>3MTH_IMPVOL_95.0%MNY_DF</t>
        </is>
      </c>
      <c r="N3" s="5" t="inlineStr">
        <is>
          <t>3MTH_IMPVOL_100.0%MNY_DF</t>
        </is>
      </c>
      <c r="O3" s="5" t="inlineStr">
        <is>
          <t>3MTH_IMPVOL_105.0%MNY_DF</t>
        </is>
      </c>
      <c r="P3" s="5" t="inlineStr">
        <is>
          <t>3MTH_IMPVOL_110.0%MNY_DF</t>
        </is>
      </c>
      <c r="Q3" s="5" t="inlineStr">
        <is>
          <t>6MTH_IMPVOL_90.0%MNY_DF</t>
        </is>
      </c>
      <c r="R3" s="5" t="inlineStr">
        <is>
          <t>6MTH_IMPVOL_95.0%MNY_DF</t>
        </is>
      </c>
      <c r="S3" s="5" t="inlineStr">
        <is>
          <t>6MTH_IMPVOL_100.0%MNY_DF</t>
        </is>
      </c>
      <c r="T3" s="5" t="inlineStr">
        <is>
          <t>6MTH_IMPVOL_105.0%MNY_DF</t>
        </is>
      </c>
      <c r="U3" s="5" t="inlineStr">
        <is>
          <t>6MTH_IMPVOL_110.0%MNY_DF</t>
        </is>
      </c>
      <c r="V3" s="5" t="inlineStr">
        <is>
          <t>1M_CALL_IMP_VOL_10DELTA_DFLT</t>
        </is>
      </c>
      <c r="W3" s="5" t="inlineStr">
        <is>
          <t>1M_CALL_IMP_VOL_25DELTA_DFLT</t>
        </is>
      </c>
      <c r="X3" s="5" t="inlineStr">
        <is>
          <t>1M_CALL_IMP_VOL_50DELTA_DFLT</t>
        </is>
      </c>
      <c r="Y3" s="5" t="inlineStr">
        <is>
          <t>1M_PUT_IMP_VOL_10DELTA_DFLT</t>
        </is>
      </c>
      <c r="AA3" s="5" t="inlineStr">
        <is>
          <t>Date</t>
        </is>
      </c>
      <c r="AB3" s="5" t="inlineStr">
        <is>
          <t>1M_PUT_IMP_VOL_25DELTA_DFLT</t>
        </is>
      </c>
      <c r="AC3" s="5" t="inlineStr">
        <is>
          <t>1M_PUT_IMP_VOL_50DELTA_DFLT</t>
        </is>
      </c>
      <c r="AD3" s="5" t="inlineStr">
        <is>
          <t>2M_CALL_IMP_VOL_10DELTA_DFLT</t>
        </is>
      </c>
      <c r="AE3" s="5" t="inlineStr">
        <is>
          <t>2M_CALL_IMP_VOL_25DELTA_DFLT</t>
        </is>
      </c>
      <c r="AF3" s="5" t="inlineStr">
        <is>
          <t>2M_CALL_IMP_VOL_50DELTA_DFLT</t>
        </is>
      </c>
      <c r="AG3" s="5" t="inlineStr">
        <is>
          <t>2M_PUT_IMP_VOL_10DELTA_DFLT</t>
        </is>
      </c>
      <c r="AH3" s="5" t="inlineStr">
        <is>
          <t>2M_PUT_IMP_VOL_25DELTA_DFLT</t>
        </is>
      </c>
      <c r="AI3" s="5" t="inlineStr">
        <is>
          <t>2M_PUT_IMP_VOL_50DELTA_DFLT</t>
        </is>
      </c>
      <c r="AJ3" s="5" t="inlineStr">
        <is>
          <t>3M_CALL_IMP_VOL_10DELTA_DFLT</t>
        </is>
      </c>
      <c r="AK3" s="5" t="inlineStr">
        <is>
          <t>3M_CALL_IMP_VOL_25DELTA_DFLT</t>
        </is>
      </c>
      <c r="AL3" s="5" t="inlineStr">
        <is>
          <t>3M_CALL_IMP_VOL_50DELTA_DFLT</t>
        </is>
      </c>
      <c r="AM3" s="5" t="inlineStr">
        <is>
          <t>3M_PUT_IMP_VOL_10DELTA_DFLT</t>
        </is>
      </c>
      <c r="AN3" s="5" t="inlineStr">
        <is>
          <t>3M_PUT_IMP_VOL_25DELTA_DFLT</t>
        </is>
      </c>
      <c r="AO3" s="5" t="inlineStr">
        <is>
          <t>3M_PUT_IMP_VOL_50DELTA_DFLT</t>
        </is>
      </c>
      <c r="AP3" s="5" t="inlineStr">
        <is>
          <t>HIST_CALL_IMP_VOL</t>
        </is>
      </c>
      <c r="AQ3" s="5" t="inlineStr">
        <is>
          <t>HIST_PUT_IMP_VOL</t>
        </is>
      </c>
      <c r="AR3" s="5" t="inlineStr">
        <is>
          <t>VOLATILITY_10D</t>
        </is>
      </c>
      <c r="AS3" s="5" t="inlineStr">
        <is>
          <t>VOLATILITY_30D</t>
        </is>
      </c>
      <c r="AT3" s="5" t="inlineStr">
        <is>
          <t>VOLATILITY_90D</t>
        </is>
      </c>
      <c r="AU3" s="5" t="inlineStr">
        <is>
          <t>PUT_CALL_VOLUME_RATIO_CUR_DAY</t>
        </is>
      </c>
      <c r="AV3" s="5" t="inlineStr">
        <is>
          <t>OPEN_INT_TOTAL_CALL</t>
        </is>
      </c>
      <c r="AW3" s="5" t="inlineStr">
        <is>
          <t>OPEN_INT_TOTAL_PUT</t>
        </is>
      </c>
      <c r="AX3" s="5" t="inlineStr">
        <is>
          <t>VOLUME_TOTAL_CALL</t>
        </is>
      </c>
      <c r="AY3" s="5" t="inlineStr">
        <is>
          <t>VOLUME_TOTAL_PUT</t>
        </is>
      </c>
    </row>
    <row r="4">
      <c r="A4" s="4">
        <f>BDH(A$1,B$3:Y$3,Settings!$C$11,IF(Settings!$D$11="","",Settings!$D$11),"Dir=V","Dts=S","Sort=A","Days=T","Fill=B")</f>
        <v/>
      </c>
      <c r="AA4" s="4">
        <f>BDH(AA$1,AB$3:AY$3,Settings!$C$11,IF(Settings!$D$11="","",Settings!$D$11),"Dir=V","Dts=S","Sort=A","Days=T","Fill=B")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27" customWidth="1" min="4" max="4"/>
    <col width="27" customWidth="1" min="5" max="5"/>
    <col width="27" customWidth="1" min="6" max="6"/>
    <col width="26" customWidth="1" min="7" max="7"/>
    <col width="26" customWidth="1" min="8" max="8"/>
    <col width="27" customWidth="1" min="9" max="9"/>
    <col width="27" customWidth="1" min="10" max="10"/>
    <col width="27" customWidth="1" min="11" max="11"/>
    <col width="25" customWidth="1" min="12" max="12"/>
    <col width="25" customWidth="1" min="13" max="13"/>
    <col width="26" customWidth="1" min="14" max="14"/>
    <col width="26" customWidth="1" min="15" max="15"/>
    <col width="26" customWidth="1" min="16" max="16"/>
    <col width="25" customWidth="1" min="17" max="17"/>
    <col width="25" customWidth="1" min="18" max="18"/>
    <col width="26" customWidth="1" min="19" max="19"/>
    <col width="26" customWidth="1" min="20" max="20"/>
    <col width="26" customWidth="1" min="21" max="21"/>
    <col width="28" customWidth="1" min="22" max="22"/>
    <col width="28" customWidth="1" min="23" max="23"/>
    <col width="28" customWidth="1" min="24" max="24"/>
    <col width="28" customWidth="1" min="25" max="25"/>
    <col width="12" customWidth="1" min="27" max="27"/>
    <col width="28" customWidth="1" min="28" max="28"/>
    <col width="28" customWidth="1" min="29" max="29"/>
    <col width="28" customWidth="1" min="30" max="30"/>
    <col width="28" customWidth="1" min="31" max="31"/>
    <col width="28" customWidth="1" min="32" max="32"/>
    <col width="28" customWidth="1" min="33" max="33"/>
    <col width="28" customWidth="1" min="34" max="34"/>
    <col width="28" customWidth="1" min="35" max="35"/>
    <col width="28" customWidth="1" min="36" max="36"/>
    <col width="28" customWidth="1" min="37" max="37"/>
    <col width="28" customWidth="1" min="38" max="38"/>
    <col width="28" customWidth="1" min="39" max="39"/>
    <col width="28" customWidth="1" min="40" max="40"/>
    <col width="28" customWidth="1" min="41" max="41"/>
    <col width="19" customWidth="1" min="42" max="42"/>
    <col width="18" customWidth="1" min="43" max="43"/>
    <col width="16" customWidth="1" min="44" max="44"/>
    <col width="16" customWidth="1" min="45" max="45"/>
    <col width="16" customWidth="1" min="46" max="46"/>
    <col width="28" customWidth="1" min="47" max="47"/>
    <col width="21" customWidth="1" min="48" max="48"/>
    <col width="20" customWidth="1" min="49" max="49"/>
    <col width="19" customWidth="1" min="50" max="50"/>
    <col width="18" customWidth="1" min="51" max="51"/>
  </cols>
  <sheetData>
    <row r="1">
      <c r="A1" s="2">
        <f>IF(Settings!$B$11="Y","SPY US Equity","")</f>
        <v/>
      </c>
      <c r="AA1" s="2">
        <f>IF(Settings!$B$11="Y","SPY US Equity","")</f>
        <v/>
      </c>
    </row>
    <row r="2">
      <c r="A2" s="4" t="inlineStr">
        <is>
          <t>implied-vol surface (moneyness)</t>
        </is>
      </c>
      <c r="AA2" s="4" t="inlineStr">
        <is>
          <t>implied-vol surface (delta, realized, volume)</t>
        </is>
      </c>
    </row>
    <row r="3">
      <c r="A3" s="5" t="inlineStr">
        <is>
          <t>Date</t>
        </is>
      </c>
      <c r="B3" s="5" t="inlineStr">
        <is>
          <t>30DAY_IMPVOL_90.0%MNY_DF</t>
        </is>
      </c>
      <c r="C3" s="5" t="inlineStr">
        <is>
          <t>30DAY_IMPVOL_95.0%MNY_DF</t>
        </is>
      </c>
      <c r="D3" s="5" t="inlineStr">
        <is>
          <t>30DAY_IMPVOL_100.0%MNY_DF</t>
        </is>
      </c>
      <c r="E3" s="5" t="inlineStr">
        <is>
          <t>30DAY_IMPVOL_105.0%MNY_DF</t>
        </is>
      </c>
      <c r="F3" s="5" t="inlineStr">
        <is>
          <t>30DAY_IMPVOL_110.0%MNY_DF</t>
        </is>
      </c>
      <c r="G3" s="5" t="inlineStr">
        <is>
          <t>60DAY_IMPVOL_90.0%MNY_DF</t>
        </is>
      </c>
      <c r="H3" s="5" t="inlineStr">
        <is>
          <t>60DAY_IMPVOL_95.0%MNY_DF</t>
        </is>
      </c>
      <c r="I3" s="5" t="inlineStr">
        <is>
          <t>60DAY_IMPVOL_100.0%MNY_DF</t>
        </is>
      </c>
      <c r="J3" s="5" t="inlineStr">
        <is>
          <t>60DAY_IMPVOL_105.0%MNY_DF</t>
        </is>
      </c>
      <c r="K3" s="5" t="inlineStr">
        <is>
          <t>60DAY_IMPVOL_110.0%MNY_DF</t>
        </is>
      </c>
      <c r="L3" s="5" t="inlineStr">
        <is>
          <t>3MTH_IMPVOL_90.0%MNY_DF</t>
        </is>
      </c>
      <c r="M3" s="5" t="inlineStr">
        <is>
          <t>3MTH_IMPVOL_95.0%MNY_DF</t>
        </is>
      </c>
      <c r="N3" s="5" t="inlineStr">
        <is>
          <t>3MTH_IMPVOL_100.0%MNY_DF</t>
        </is>
      </c>
      <c r="O3" s="5" t="inlineStr">
        <is>
          <t>3MTH_IMPVOL_105.0%MNY_DF</t>
        </is>
      </c>
      <c r="P3" s="5" t="inlineStr">
        <is>
          <t>3MTH_IMPVOL_110.0%MNY_DF</t>
        </is>
      </c>
      <c r="Q3" s="5" t="inlineStr">
        <is>
          <t>6MTH_IMPVOL_90.0%MNY_DF</t>
        </is>
      </c>
      <c r="R3" s="5" t="inlineStr">
        <is>
          <t>6MTH_IMPVOL_95.0%MNY_DF</t>
        </is>
      </c>
      <c r="S3" s="5" t="inlineStr">
        <is>
          <t>6MTH_IMPVOL_100.0%MNY_DF</t>
        </is>
      </c>
      <c r="T3" s="5" t="inlineStr">
        <is>
          <t>6MTH_IMPVOL_105.0%MNY_DF</t>
        </is>
      </c>
      <c r="U3" s="5" t="inlineStr">
        <is>
          <t>6MTH_IMPVOL_110.0%MNY_DF</t>
        </is>
      </c>
      <c r="V3" s="5" t="inlineStr">
        <is>
          <t>1M_CALL_IMP_VOL_10DELTA_DFLT</t>
        </is>
      </c>
      <c r="W3" s="5" t="inlineStr">
        <is>
          <t>1M_CALL_IMP_VOL_25DELTA_DFLT</t>
        </is>
      </c>
      <c r="X3" s="5" t="inlineStr">
        <is>
          <t>1M_CALL_IMP_VOL_50DELTA_DFLT</t>
        </is>
      </c>
      <c r="Y3" s="5" t="inlineStr">
        <is>
          <t>1M_PUT_IMP_VOL_10DELTA_DFLT</t>
        </is>
      </c>
      <c r="AA3" s="5" t="inlineStr">
        <is>
          <t>Date</t>
        </is>
      </c>
      <c r="AB3" s="5" t="inlineStr">
        <is>
          <t>1M_PUT_IMP_VOL_25DELTA_DFLT</t>
        </is>
      </c>
      <c r="AC3" s="5" t="inlineStr">
        <is>
          <t>1M_PUT_IMP_VOL_50DELTA_DFLT</t>
        </is>
      </c>
      <c r="AD3" s="5" t="inlineStr">
        <is>
          <t>2M_CALL_IMP_VOL_10DELTA_DFLT</t>
        </is>
      </c>
      <c r="AE3" s="5" t="inlineStr">
        <is>
          <t>2M_CALL_IMP_VOL_25DELTA_DFLT</t>
        </is>
      </c>
      <c r="AF3" s="5" t="inlineStr">
        <is>
          <t>2M_CALL_IMP_VOL_50DELTA_DFLT</t>
        </is>
      </c>
      <c r="AG3" s="5" t="inlineStr">
        <is>
          <t>2M_PUT_IMP_VOL_10DELTA_DFLT</t>
        </is>
      </c>
      <c r="AH3" s="5" t="inlineStr">
        <is>
          <t>2M_PUT_IMP_VOL_25DELTA_DFLT</t>
        </is>
      </c>
      <c r="AI3" s="5" t="inlineStr">
        <is>
          <t>2M_PUT_IMP_VOL_50DELTA_DFLT</t>
        </is>
      </c>
      <c r="AJ3" s="5" t="inlineStr">
        <is>
          <t>3M_CALL_IMP_VOL_10DELTA_DFLT</t>
        </is>
      </c>
      <c r="AK3" s="5" t="inlineStr">
        <is>
          <t>3M_CALL_IMP_VOL_25DELTA_DFLT</t>
        </is>
      </c>
      <c r="AL3" s="5" t="inlineStr">
        <is>
          <t>3M_CALL_IMP_VOL_50DELTA_DFLT</t>
        </is>
      </c>
      <c r="AM3" s="5" t="inlineStr">
        <is>
          <t>3M_PUT_IMP_VOL_10DELTA_DFLT</t>
        </is>
      </c>
      <c r="AN3" s="5" t="inlineStr">
        <is>
          <t>3M_PUT_IMP_VOL_25DELTA_DFLT</t>
        </is>
      </c>
      <c r="AO3" s="5" t="inlineStr">
        <is>
          <t>3M_PUT_IMP_VOL_50DELTA_DFLT</t>
        </is>
      </c>
      <c r="AP3" s="5" t="inlineStr">
        <is>
          <t>HIST_CALL_IMP_VOL</t>
        </is>
      </c>
      <c r="AQ3" s="5" t="inlineStr">
        <is>
          <t>HIST_PUT_IMP_VOL</t>
        </is>
      </c>
      <c r="AR3" s="5" t="inlineStr">
        <is>
          <t>VOLATILITY_10D</t>
        </is>
      </c>
      <c r="AS3" s="5" t="inlineStr">
        <is>
          <t>VOLATILITY_30D</t>
        </is>
      </c>
      <c r="AT3" s="5" t="inlineStr">
        <is>
          <t>VOLATILITY_90D</t>
        </is>
      </c>
      <c r="AU3" s="5" t="inlineStr">
        <is>
          <t>PUT_CALL_VOLUME_RATIO_CUR_DAY</t>
        </is>
      </c>
      <c r="AV3" s="5" t="inlineStr">
        <is>
          <t>OPEN_INT_TOTAL_CALL</t>
        </is>
      </c>
      <c r="AW3" s="5" t="inlineStr">
        <is>
          <t>OPEN_INT_TOTAL_PUT</t>
        </is>
      </c>
      <c r="AX3" s="5" t="inlineStr">
        <is>
          <t>VOLUME_TOTAL_CALL</t>
        </is>
      </c>
      <c r="AY3" s="5" t="inlineStr">
        <is>
          <t>VOLUME_TOTAL_PUT</t>
        </is>
      </c>
    </row>
    <row r="4">
      <c r="A4" s="4">
        <f>BDH(A$1,B$3:Y$3,Settings!$C$11,IF(Settings!$D$11="","",Settings!$D$11),"Dir=V","Dts=S","Sort=A","Days=T","Fill=B")</f>
        <v/>
      </c>
      <c r="AA4" s="4">
        <f>BDH(AA$1,AB$3:AY$3,Settings!$C$11,IF(Settings!$D$11="","",Settings!$D$11),"Dir=V","Dts=S","Sort=A","Days=T","Fill=B")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C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1" customWidth="1" min="7" max="7"/>
    <col width="10" customWidth="1" min="8" max="8"/>
    <col width="12" customWidth="1" min="10" max="10"/>
    <col width="10" customWidth="1" min="11" max="11"/>
    <col width="10" customWidth="1" min="12" max="12"/>
    <col width="10" customWidth="1" min="13" max="13"/>
    <col width="10" customWidth="1" min="14" max="14"/>
    <col width="11" customWidth="1" min="15" max="15"/>
    <col width="11" customWidth="1" min="16" max="16"/>
    <col width="10" customWidth="1" min="17" max="17"/>
    <col width="12" customWidth="1" min="19" max="19"/>
    <col width="10" customWidth="1" min="20" max="20"/>
    <col width="10" customWidth="1" min="21" max="21"/>
    <col width="10" customWidth="1" min="22" max="22"/>
    <col width="10" customWidth="1" min="23" max="23"/>
    <col width="11" customWidth="1" min="24" max="24"/>
    <col width="11" customWidth="1" min="25" max="25"/>
    <col width="10" customWidth="1" min="26" max="26"/>
    <col width="12" customWidth="1" min="28" max="28"/>
    <col width="10" customWidth="1" min="29" max="29"/>
    <col width="10" customWidth="1" min="30" max="30"/>
    <col width="10" customWidth="1" min="31" max="31"/>
    <col width="10" customWidth="1" min="32" max="32"/>
    <col width="11" customWidth="1" min="33" max="33"/>
    <col width="11" customWidth="1" min="34" max="34"/>
    <col width="10" customWidth="1" min="35" max="35"/>
    <col width="12" customWidth="1" min="37" max="37"/>
    <col width="10" customWidth="1" min="38" max="38"/>
    <col width="10" customWidth="1" min="39" max="39"/>
    <col width="10" customWidth="1" min="40" max="40"/>
    <col width="10" customWidth="1" min="41" max="41"/>
    <col width="11" customWidth="1" min="42" max="42"/>
    <col width="11" customWidth="1" min="43" max="43"/>
    <col width="10" customWidth="1" min="44" max="44"/>
    <col width="12" customWidth="1" min="46" max="46"/>
    <col width="10" customWidth="1" min="47" max="47"/>
    <col width="10" customWidth="1" min="48" max="48"/>
    <col width="10" customWidth="1" min="49" max="49"/>
    <col width="10" customWidth="1" min="50" max="50"/>
    <col width="11" customWidth="1" min="51" max="51"/>
    <col width="11" customWidth="1" min="52" max="52"/>
    <col width="10" customWidth="1" min="53" max="53"/>
    <col width="12" customWidth="1" min="55" max="55"/>
    <col width="10" customWidth="1" min="56" max="56"/>
    <col width="10" customWidth="1" min="57" max="57"/>
    <col width="10" customWidth="1" min="58" max="58"/>
    <col width="10" customWidth="1" min="59" max="59"/>
    <col width="11" customWidth="1" min="60" max="60"/>
    <col width="11" customWidth="1" min="61" max="61"/>
    <col width="10" customWidth="1" min="62" max="62"/>
    <col width="12" customWidth="1" min="64" max="64"/>
    <col width="10" customWidth="1" min="65" max="65"/>
    <col width="10" customWidth="1" min="66" max="66"/>
    <col width="10" customWidth="1" min="67" max="67"/>
    <col width="10" customWidth="1" min="68" max="68"/>
    <col width="11" customWidth="1" min="69" max="69"/>
    <col width="11" customWidth="1" min="70" max="70"/>
    <col width="10" customWidth="1" min="71" max="71"/>
    <col width="12" customWidth="1" min="73" max="73"/>
    <col width="10" customWidth="1" min="74" max="74"/>
    <col width="10" customWidth="1" min="75" max="75"/>
    <col width="10" customWidth="1" min="76" max="76"/>
    <col width="10" customWidth="1" min="77" max="77"/>
    <col width="11" customWidth="1" min="78" max="78"/>
    <col width="11" customWidth="1" min="79" max="79"/>
    <col width="10" customWidth="1" min="80" max="80"/>
    <col width="12" customWidth="1" min="82" max="82"/>
    <col width="10" customWidth="1" min="83" max="83"/>
    <col width="10" customWidth="1" min="84" max="84"/>
    <col width="10" customWidth="1" min="85" max="85"/>
    <col width="10" customWidth="1" min="86" max="86"/>
    <col width="11" customWidth="1" min="87" max="87"/>
    <col width="11" customWidth="1" min="88" max="88"/>
    <col width="10" customWidth="1" min="89" max="89"/>
    <col width="12" customWidth="1" min="91" max="91"/>
    <col width="10" customWidth="1" min="92" max="92"/>
    <col width="10" customWidth="1" min="93" max="93"/>
    <col width="10" customWidth="1" min="94" max="94"/>
    <col width="10" customWidth="1" min="95" max="95"/>
    <col width="11" customWidth="1" min="96" max="96"/>
    <col width="11" customWidth="1" min="97" max="97"/>
    <col width="10" customWidth="1" min="98" max="98"/>
    <col width="12" customWidth="1" min="100" max="100"/>
    <col width="10" customWidth="1" min="101" max="101"/>
    <col width="10" customWidth="1" min="102" max="102"/>
    <col width="10" customWidth="1" min="103" max="103"/>
    <col width="10" customWidth="1" min="104" max="104"/>
    <col width="11" customWidth="1" min="105" max="105"/>
    <col width="11" customWidth="1" min="106" max="106"/>
    <col width="10" customWidth="1" min="107" max="107"/>
  </cols>
  <sheetData>
    <row r="1">
      <c r="A1" s="2">
        <f>IF(Settings!$B$12="Y","CLF"&amp;IF(A$2&lt;Settings!$B$3,"16","6")&amp;" Comdty","")</f>
        <v/>
      </c>
      <c r="J1" s="2">
        <f>IF(Settings!$B$12="Y","CLG"&amp;IF(J$2&lt;Settings!$B$3,"16","6")&amp;" Comdty","")</f>
        <v/>
      </c>
      <c r="S1" s="2">
        <f>IF(Settings!$B$12="Y","CLH"&amp;IF(S$2&lt;Settings!$B$3,"16","6")&amp;" Comdty","")</f>
        <v/>
      </c>
      <c r="AB1" s="2">
        <f>IF(Settings!$B$12="Y","CLJ"&amp;IF(AB$2&lt;Settings!$B$3,"16","6")&amp;" Comdty","")</f>
        <v/>
      </c>
      <c r="AK1" s="2">
        <f>IF(Settings!$B$12="Y","CLK"&amp;IF(AK$2&lt;Settings!$B$3,"16","6")&amp;" Comdty","")</f>
        <v/>
      </c>
      <c r="AT1" s="2">
        <f>IF(Settings!$B$12="Y","CLM"&amp;IF(AT$2&lt;Settings!$B$3,"16","6")&amp;" Comdty","")</f>
        <v/>
      </c>
      <c r="BC1" s="2">
        <f>IF(Settings!$B$12="Y","CLN"&amp;IF(BC$2&lt;Settings!$B$3,"16","6")&amp;" Comdty","")</f>
        <v/>
      </c>
      <c r="BL1" s="2">
        <f>IF(Settings!$B$12="Y","CLQ"&amp;IF(BL$2&lt;Settings!$B$3,"16","6")&amp;" Comdty","")</f>
        <v/>
      </c>
      <c r="BU1" s="2">
        <f>IF(Settings!$B$12="Y","CLU"&amp;IF(BU$2&lt;Settings!$B$3,"16","6")&amp;" Comdty","")</f>
        <v/>
      </c>
      <c r="CD1" s="2">
        <f>IF(Settings!$B$12="Y","CLV"&amp;IF(CD$2&lt;Settings!$B$3,"16","6")&amp;" Comdty","")</f>
        <v/>
      </c>
      <c r="CM1" s="2">
        <f>IF(Settings!$B$12="Y","CLX"&amp;IF(CM$2&lt;Settings!$B$3,"16","6")&amp;" Comdty","")</f>
        <v/>
      </c>
      <c r="CV1" s="2">
        <f>IF(Settings!$B$12="Y","CLZ"&amp;IF(CV$2&lt;Settings!$B$3,"16","6")&amp;" Comdty","")</f>
        <v/>
      </c>
    </row>
    <row r="2">
      <c r="A2" s="8">
        <f>WORKDAY(DATE(2016,1-1,25),-3)</f>
        <v/>
      </c>
      <c r="B2" s="8">
        <f>IF(A$1="","",BDP(A$1,"LAST_TRADEABLE_DT"))</f>
        <v/>
      </c>
      <c r="J2" s="8">
        <f>WORKDAY(DATE(2016,2-1,25),-3)</f>
        <v/>
      </c>
      <c r="K2" s="8">
        <f>IF(J$1="","",BDP(J$1,"LAST_TRADEABLE_DT"))</f>
        <v/>
      </c>
      <c r="S2" s="8">
        <f>WORKDAY(DATE(2016,3-1,25),-3)</f>
        <v/>
      </c>
      <c r="T2" s="8">
        <f>IF(S$1="","",BDP(S$1,"LAST_TRADEABLE_DT"))</f>
        <v/>
      </c>
      <c r="AB2" s="8">
        <f>WORKDAY(DATE(2016,4-1,25),-3)</f>
        <v/>
      </c>
      <c r="AC2" s="8">
        <f>IF(AB$1="","",BDP(AB$1,"LAST_TRADEABLE_DT"))</f>
        <v/>
      </c>
      <c r="AK2" s="8">
        <f>WORKDAY(DATE(2016,5-1,25),-3)</f>
        <v/>
      </c>
      <c r="AL2" s="8">
        <f>IF(AK$1="","",BDP(AK$1,"LAST_TRADEABLE_DT"))</f>
        <v/>
      </c>
      <c r="AT2" s="8">
        <f>WORKDAY(DATE(2016,6-1,25),-3)</f>
        <v/>
      </c>
      <c r="AU2" s="8">
        <f>IF(AT$1="","",BDP(AT$1,"LAST_TRADEABLE_DT"))</f>
        <v/>
      </c>
      <c r="BC2" s="8">
        <f>WORKDAY(DATE(2016,7-1,25),-3)</f>
        <v/>
      </c>
      <c r="BD2" s="8">
        <f>IF(BC$1="","",BDP(BC$1,"LAST_TRADEABLE_DT"))</f>
        <v/>
      </c>
      <c r="BL2" s="8">
        <f>WORKDAY(DATE(2016,8-1,25),-3)</f>
        <v/>
      </c>
      <c r="BM2" s="8">
        <f>IF(BL$1="","",BDP(BL$1,"LAST_TRADEABLE_DT"))</f>
        <v/>
      </c>
      <c r="BU2" s="8">
        <f>WORKDAY(DATE(2016,9-1,25),-3)</f>
        <v/>
      </c>
      <c r="BV2" s="8">
        <f>IF(BU$1="","",BDP(BU$1,"LAST_TRADEABLE_DT"))</f>
        <v/>
      </c>
      <c r="CD2" s="8">
        <f>WORKDAY(DATE(2016,10-1,25),-3)</f>
        <v/>
      </c>
      <c r="CE2" s="8">
        <f>IF(CD$1="","",BDP(CD$1,"LAST_TRADEABLE_DT"))</f>
        <v/>
      </c>
      <c r="CM2" s="8">
        <f>WORKDAY(DATE(2016,11-1,25),-3)</f>
        <v/>
      </c>
      <c r="CN2" s="8">
        <f>IF(CM$1="","",BDP(CM$1,"LAST_TRADEABLE_DT"))</f>
        <v/>
      </c>
      <c r="CV2" s="8">
        <f>WORKDAY(DATE(2016,12-1,25),-3)</f>
        <v/>
      </c>
      <c r="CW2" s="8">
        <f>IF(CV$1="","",BDP(CV$1,"LAST_TRADEABLE_DT"))</f>
        <v/>
      </c>
    </row>
    <row r="3">
      <c r="A3" s="5" t="inlineStr">
        <is>
          <t>Date</t>
        </is>
      </c>
      <c r="B3" s="5" t="inlineStr">
        <is>
          <t>PX_OPEN</t>
        </is>
      </c>
      <c r="C3" s="5" t="inlineStr">
        <is>
          <t>PX_HIGH</t>
        </is>
      </c>
      <c r="D3" s="5" t="inlineStr">
        <is>
          <t>PX_LOW</t>
        </is>
      </c>
      <c r="E3" s="5" t="inlineStr">
        <is>
          <t>PX_LAST</t>
        </is>
      </c>
      <c r="F3" s="5" t="inlineStr">
        <is>
          <t>PX_SETTLE</t>
        </is>
      </c>
      <c r="G3" s="5" t="inlineStr">
        <is>
          <t>PX_VOLUME</t>
        </is>
      </c>
      <c r="H3" s="5" t="inlineStr">
        <is>
          <t>OPEN_INT</t>
        </is>
      </c>
      <c r="J3" s="5" t="inlineStr">
        <is>
          <t>Date</t>
        </is>
      </c>
      <c r="K3" s="5" t="inlineStr">
        <is>
          <t>PX_OPEN</t>
        </is>
      </c>
      <c r="L3" s="5" t="inlineStr">
        <is>
          <t>PX_HIGH</t>
        </is>
      </c>
      <c r="M3" s="5" t="inlineStr">
        <is>
          <t>PX_LOW</t>
        </is>
      </c>
      <c r="N3" s="5" t="inlineStr">
        <is>
          <t>PX_LAST</t>
        </is>
      </c>
      <c r="O3" s="5" t="inlineStr">
        <is>
          <t>PX_SETTLE</t>
        </is>
      </c>
      <c r="P3" s="5" t="inlineStr">
        <is>
          <t>PX_VOLUME</t>
        </is>
      </c>
      <c r="Q3" s="5" t="inlineStr">
        <is>
          <t>OPEN_INT</t>
        </is>
      </c>
      <c r="S3" s="5" t="inlineStr">
        <is>
          <t>Date</t>
        </is>
      </c>
      <c r="T3" s="5" t="inlineStr">
        <is>
          <t>PX_OPEN</t>
        </is>
      </c>
      <c r="U3" s="5" t="inlineStr">
        <is>
          <t>PX_HIGH</t>
        </is>
      </c>
      <c r="V3" s="5" t="inlineStr">
        <is>
          <t>PX_LOW</t>
        </is>
      </c>
      <c r="W3" s="5" t="inlineStr">
        <is>
          <t>PX_LAST</t>
        </is>
      </c>
      <c r="X3" s="5" t="inlineStr">
        <is>
          <t>PX_SETTLE</t>
        </is>
      </c>
      <c r="Y3" s="5" t="inlineStr">
        <is>
          <t>PX_VOLUME</t>
        </is>
      </c>
      <c r="Z3" s="5" t="inlineStr">
        <is>
          <t>OPEN_INT</t>
        </is>
      </c>
      <c r="AB3" s="5" t="inlineStr">
        <is>
          <t>Date</t>
        </is>
      </c>
      <c r="AC3" s="5" t="inlineStr">
        <is>
          <t>PX_OPEN</t>
        </is>
      </c>
      <c r="AD3" s="5" t="inlineStr">
        <is>
          <t>PX_HIGH</t>
        </is>
      </c>
      <c r="AE3" s="5" t="inlineStr">
        <is>
          <t>PX_LOW</t>
        </is>
      </c>
      <c r="AF3" s="5" t="inlineStr">
        <is>
          <t>PX_LAST</t>
        </is>
      </c>
      <c r="AG3" s="5" t="inlineStr">
        <is>
          <t>PX_SETTLE</t>
        </is>
      </c>
      <c r="AH3" s="5" t="inlineStr">
        <is>
          <t>PX_VOLUME</t>
        </is>
      </c>
      <c r="AI3" s="5" t="inlineStr">
        <is>
          <t>OPEN_INT</t>
        </is>
      </c>
      <c r="AK3" s="5" t="inlineStr">
        <is>
          <t>Date</t>
        </is>
      </c>
      <c r="AL3" s="5" t="inlineStr">
        <is>
          <t>PX_OPEN</t>
        </is>
      </c>
      <c r="AM3" s="5" t="inlineStr">
        <is>
          <t>PX_HIGH</t>
        </is>
      </c>
      <c r="AN3" s="5" t="inlineStr">
        <is>
          <t>PX_LOW</t>
        </is>
      </c>
      <c r="AO3" s="5" t="inlineStr">
        <is>
          <t>PX_LAST</t>
        </is>
      </c>
      <c r="AP3" s="5" t="inlineStr">
        <is>
          <t>PX_SETTLE</t>
        </is>
      </c>
      <c r="AQ3" s="5" t="inlineStr">
        <is>
          <t>PX_VOLUME</t>
        </is>
      </c>
      <c r="AR3" s="5" t="inlineStr">
        <is>
          <t>OPEN_INT</t>
        </is>
      </c>
      <c r="AT3" s="5" t="inlineStr">
        <is>
          <t>Date</t>
        </is>
      </c>
      <c r="AU3" s="5" t="inlineStr">
        <is>
          <t>PX_OPEN</t>
        </is>
      </c>
      <c r="AV3" s="5" t="inlineStr">
        <is>
          <t>PX_HIGH</t>
        </is>
      </c>
      <c r="AW3" s="5" t="inlineStr">
        <is>
          <t>PX_LOW</t>
        </is>
      </c>
      <c r="AX3" s="5" t="inlineStr">
        <is>
          <t>PX_LAST</t>
        </is>
      </c>
      <c r="AY3" s="5" t="inlineStr">
        <is>
          <t>PX_SETTLE</t>
        </is>
      </c>
      <c r="AZ3" s="5" t="inlineStr">
        <is>
          <t>PX_VOLUME</t>
        </is>
      </c>
      <c r="BA3" s="5" t="inlineStr">
        <is>
          <t>OPEN_INT</t>
        </is>
      </c>
      <c r="BC3" s="5" t="inlineStr">
        <is>
          <t>Date</t>
        </is>
      </c>
      <c r="BD3" s="5" t="inlineStr">
        <is>
          <t>PX_OPEN</t>
        </is>
      </c>
      <c r="BE3" s="5" t="inlineStr">
        <is>
          <t>PX_HIGH</t>
        </is>
      </c>
      <c r="BF3" s="5" t="inlineStr">
        <is>
          <t>PX_LOW</t>
        </is>
      </c>
      <c r="BG3" s="5" t="inlineStr">
        <is>
          <t>PX_LAST</t>
        </is>
      </c>
      <c r="BH3" s="5" t="inlineStr">
        <is>
          <t>PX_SETTLE</t>
        </is>
      </c>
      <c r="BI3" s="5" t="inlineStr">
        <is>
          <t>PX_VOLUME</t>
        </is>
      </c>
      <c r="BJ3" s="5" t="inlineStr">
        <is>
          <t>OPEN_INT</t>
        </is>
      </c>
      <c r="BL3" s="5" t="inlineStr">
        <is>
          <t>Date</t>
        </is>
      </c>
      <c r="BM3" s="5" t="inlineStr">
        <is>
          <t>PX_OPEN</t>
        </is>
      </c>
      <c r="BN3" s="5" t="inlineStr">
        <is>
          <t>PX_HIGH</t>
        </is>
      </c>
      <c r="BO3" s="5" t="inlineStr">
        <is>
          <t>PX_LOW</t>
        </is>
      </c>
      <c r="BP3" s="5" t="inlineStr">
        <is>
          <t>PX_LAST</t>
        </is>
      </c>
      <c r="BQ3" s="5" t="inlineStr">
        <is>
          <t>PX_SETTLE</t>
        </is>
      </c>
      <c r="BR3" s="5" t="inlineStr">
        <is>
          <t>PX_VOLUME</t>
        </is>
      </c>
      <c r="BS3" s="5" t="inlineStr">
        <is>
          <t>OPEN_INT</t>
        </is>
      </c>
      <c r="BU3" s="5" t="inlineStr">
        <is>
          <t>Date</t>
        </is>
      </c>
      <c r="BV3" s="5" t="inlineStr">
        <is>
          <t>PX_OPEN</t>
        </is>
      </c>
      <c r="BW3" s="5" t="inlineStr">
        <is>
          <t>PX_HIGH</t>
        </is>
      </c>
      <c r="BX3" s="5" t="inlineStr">
        <is>
          <t>PX_LOW</t>
        </is>
      </c>
      <c r="BY3" s="5" t="inlineStr">
        <is>
          <t>PX_LAST</t>
        </is>
      </c>
      <c r="BZ3" s="5" t="inlineStr">
        <is>
          <t>PX_SETTLE</t>
        </is>
      </c>
      <c r="CA3" s="5" t="inlineStr">
        <is>
          <t>PX_VOLUME</t>
        </is>
      </c>
      <c r="CB3" s="5" t="inlineStr">
        <is>
          <t>OPEN_INT</t>
        </is>
      </c>
      <c r="CD3" s="5" t="inlineStr">
        <is>
          <t>Date</t>
        </is>
      </c>
      <c r="CE3" s="5" t="inlineStr">
        <is>
          <t>PX_OPEN</t>
        </is>
      </c>
      <c r="CF3" s="5" t="inlineStr">
        <is>
          <t>PX_HIGH</t>
        </is>
      </c>
      <c r="CG3" s="5" t="inlineStr">
        <is>
          <t>PX_LOW</t>
        </is>
      </c>
      <c r="CH3" s="5" t="inlineStr">
        <is>
          <t>PX_LAST</t>
        </is>
      </c>
      <c r="CI3" s="5" t="inlineStr">
        <is>
          <t>PX_SETTLE</t>
        </is>
      </c>
      <c r="CJ3" s="5" t="inlineStr">
        <is>
          <t>PX_VOLUME</t>
        </is>
      </c>
      <c r="CK3" s="5" t="inlineStr">
        <is>
          <t>OPEN_INT</t>
        </is>
      </c>
      <c r="CM3" s="5" t="inlineStr">
        <is>
          <t>Date</t>
        </is>
      </c>
      <c r="CN3" s="5" t="inlineStr">
        <is>
          <t>PX_OPEN</t>
        </is>
      </c>
      <c r="CO3" s="5" t="inlineStr">
        <is>
          <t>PX_HIGH</t>
        </is>
      </c>
      <c r="CP3" s="5" t="inlineStr">
        <is>
          <t>PX_LOW</t>
        </is>
      </c>
      <c r="CQ3" s="5" t="inlineStr">
        <is>
          <t>PX_LAST</t>
        </is>
      </c>
      <c r="CR3" s="5" t="inlineStr">
        <is>
          <t>PX_SETTLE</t>
        </is>
      </c>
      <c r="CS3" s="5" t="inlineStr">
        <is>
          <t>PX_VOLUME</t>
        </is>
      </c>
      <c r="CT3" s="5" t="inlineStr">
        <is>
          <t>OPEN_INT</t>
        </is>
      </c>
      <c r="CV3" s="5" t="inlineStr">
        <is>
          <t>Date</t>
        </is>
      </c>
      <c r="CW3" s="5" t="inlineStr">
        <is>
          <t>PX_OPEN</t>
        </is>
      </c>
      <c r="CX3" s="5" t="inlineStr">
        <is>
          <t>PX_HIGH</t>
        </is>
      </c>
      <c r="CY3" s="5" t="inlineStr">
        <is>
          <t>PX_LOW</t>
        </is>
      </c>
      <c r="CZ3" s="5" t="inlineStr">
        <is>
          <t>PX_LAST</t>
        </is>
      </c>
      <c r="DA3" s="5" t="inlineStr">
        <is>
          <t>PX_SETTLE</t>
        </is>
      </c>
      <c r="DB3" s="5" t="inlineStr">
        <is>
          <t>PX_VOLUME</t>
        </is>
      </c>
      <c r="DC3" s="5" t="inlineStr">
        <is>
          <t>OPEN_INT</t>
        </is>
      </c>
    </row>
    <row r="4">
      <c r="A4" s="4">
        <f>BDH(A$1,B$3:H$3,Settings!$C$12,IF(Settings!$D$12="","",Settings!$D$12),"Dir=V","Dts=S","Sort=A","Days=T","Fill=B")</f>
        <v/>
      </c>
      <c r="J4" s="4">
        <f>BDH(J$1,K$3:Q$3,Settings!$C$12,IF(Settings!$D$12="","",Settings!$D$12),"Dir=V","Dts=S","Sort=A","Days=T","Fill=B")</f>
        <v/>
      </c>
      <c r="S4" s="4">
        <f>BDH(S$1,T$3:Z$3,Settings!$C$12,IF(Settings!$D$12="","",Settings!$D$12),"Dir=V","Dts=S","Sort=A","Days=T","Fill=B")</f>
        <v/>
      </c>
      <c r="AB4" s="4">
        <f>BDH(AB$1,AC$3:AI$3,Settings!$C$12,IF(Settings!$D$12="","",Settings!$D$12),"Dir=V","Dts=S","Sort=A","Days=T","Fill=B")</f>
        <v/>
      </c>
      <c r="AK4" s="4">
        <f>BDH(AK$1,AL$3:AR$3,Settings!$C$12,IF(Settings!$D$12="","",Settings!$D$12),"Dir=V","Dts=S","Sort=A","Days=T","Fill=B")</f>
        <v/>
      </c>
      <c r="AT4" s="4">
        <f>BDH(AT$1,AU$3:BA$3,Settings!$C$12,IF(Settings!$D$12="","",Settings!$D$12),"Dir=V","Dts=S","Sort=A","Days=T","Fill=B")</f>
        <v/>
      </c>
      <c r="BC4" s="4">
        <f>BDH(BC$1,BD$3:BJ$3,Settings!$C$12,IF(Settings!$D$12="","",Settings!$D$12),"Dir=V","Dts=S","Sort=A","Days=T","Fill=B")</f>
        <v/>
      </c>
      <c r="BL4" s="4">
        <f>BDH(BL$1,BM$3:BS$3,Settings!$C$12,IF(Settings!$D$12="","",Settings!$D$12),"Dir=V","Dts=S","Sort=A","Days=T","Fill=B")</f>
        <v/>
      </c>
      <c r="BU4" s="4">
        <f>BDH(BU$1,BV$3:CB$3,Settings!$C$12,IF(Settings!$D$12="","",Settings!$D$12),"Dir=V","Dts=S","Sort=A","Days=T","Fill=B")</f>
        <v/>
      </c>
      <c r="CD4" s="4">
        <f>BDH(CD$1,CE$3:CK$3,Settings!$C$12,IF(Settings!$D$12="","",Settings!$D$12),"Dir=V","Dts=S","Sort=A","Days=T","Fill=B")</f>
        <v/>
      </c>
      <c r="CM4" s="4">
        <f>BDH(CM$1,CN$3:CT$3,Settings!$C$12,IF(Settings!$D$12="","",Settings!$D$12),"Dir=V","Dts=S","Sort=A","Days=T","Fill=B")</f>
        <v/>
      </c>
      <c r="CV4" s="4">
        <f>BDH(CV$1,CW$3:DC$3,Settings!$C$12,IF(Settings!$D$12="","",Settings!$D$12),"Dir=V","Dts=S","Sort=A","Days=T","Fill=B")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C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1" customWidth="1" min="7" max="7"/>
    <col width="10" customWidth="1" min="8" max="8"/>
    <col width="12" customWidth="1" min="10" max="10"/>
    <col width="10" customWidth="1" min="11" max="11"/>
    <col width="10" customWidth="1" min="12" max="12"/>
    <col width="10" customWidth="1" min="13" max="13"/>
    <col width="10" customWidth="1" min="14" max="14"/>
    <col width="11" customWidth="1" min="15" max="15"/>
    <col width="11" customWidth="1" min="16" max="16"/>
    <col width="10" customWidth="1" min="17" max="17"/>
    <col width="12" customWidth="1" min="19" max="19"/>
    <col width="10" customWidth="1" min="20" max="20"/>
    <col width="10" customWidth="1" min="21" max="21"/>
    <col width="10" customWidth="1" min="22" max="22"/>
    <col width="10" customWidth="1" min="23" max="23"/>
    <col width="11" customWidth="1" min="24" max="24"/>
    <col width="11" customWidth="1" min="25" max="25"/>
    <col width="10" customWidth="1" min="26" max="26"/>
    <col width="12" customWidth="1" min="28" max="28"/>
    <col width="10" customWidth="1" min="29" max="29"/>
    <col width="10" customWidth="1" min="30" max="30"/>
    <col width="10" customWidth="1" min="31" max="31"/>
    <col width="10" customWidth="1" min="32" max="32"/>
    <col width="11" customWidth="1" min="33" max="33"/>
    <col width="11" customWidth="1" min="34" max="34"/>
    <col width="10" customWidth="1" min="35" max="35"/>
    <col width="12" customWidth="1" min="37" max="37"/>
    <col width="10" customWidth="1" min="38" max="38"/>
    <col width="10" customWidth="1" min="39" max="39"/>
    <col width="10" customWidth="1" min="40" max="40"/>
    <col width="10" customWidth="1" min="41" max="41"/>
    <col width="11" customWidth="1" min="42" max="42"/>
    <col width="11" customWidth="1" min="43" max="43"/>
    <col width="10" customWidth="1" min="44" max="44"/>
    <col width="12" customWidth="1" min="46" max="46"/>
    <col width="10" customWidth="1" min="47" max="47"/>
    <col width="10" customWidth="1" min="48" max="48"/>
    <col width="10" customWidth="1" min="49" max="49"/>
    <col width="10" customWidth="1" min="50" max="50"/>
    <col width="11" customWidth="1" min="51" max="51"/>
    <col width="11" customWidth="1" min="52" max="52"/>
    <col width="10" customWidth="1" min="53" max="53"/>
    <col width="12" customWidth="1" min="55" max="55"/>
    <col width="10" customWidth="1" min="56" max="56"/>
    <col width="10" customWidth="1" min="57" max="57"/>
    <col width="10" customWidth="1" min="58" max="58"/>
    <col width="10" customWidth="1" min="59" max="59"/>
    <col width="11" customWidth="1" min="60" max="60"/>
    <col width="11" customWidth="1" min="61" max="61"/>
    <col width="10" customWidth="1" min="62" max="62"/>
    <col width="12" customWidth="1" min="64" max="64"/>
    <col width="10" customWidth="1" min="65" max="65"/>
    <col width="10" customWidth="1" min="66" max="66"/>
    <col width="10" customWidth="1" min="67" max="67"/>
    <col width="10" customWidth="1" min="68" max="68"/>
    <col width="11" customWidth="1" min="69" max="69"/>
    <col width="11" customWidth="1" min="70" max="70"/>
    <col width="10" customWidth="1" min="71" max="71"/>
    <col width="12" customWidth="1" min="73" max="73"/>
    <col width="10" customWidth="1" min="74" max="74"/>
    <col width="10" customWidth="1" min="75" max="75"/>
    <col width="10" customWidth="1" min="76" max="76"/>
    <col width="10" customWidth="1" min="77" max="77"/>
    <col width="11" customWidth="1" min="78" max="78"/>
    <col width="11" customWidth="1" min="79" max="79"/>
    <col width="10" customWidth="1" min="80" max="80"/>
    <col width="12" customWidth="1" min="82" max="82"/>
    <col width="10" customWidth="1" min="83" max="83"/>
    <col width="10" customWidth="1" min="84" max="84"/>
    <col width="10" customWidth="1" min="85" max="85"/>
    <col width="10" customWidth="1" min="86" max="86"/>
    <col width="11" customWidth="1" min="87" max="87"/>
    <col width="11" customWidth="1" min="88" max="88"/>
    <col width="10" customWidth="1" min="89" max="89"/>
    <col width="12" customWidth="1" min="91" max="91"/>
    <col width="10" customWidth="1" min="92" max="92"/>
    <col width="10" customWidth="1" min="93" max="93"/>
    <col width="10" customWidth="1" min="94" max="94"/>
    <col width="10" customWidth="1" min="95" max="95"/>
    <col width="11" customWidth="1" min="96" max="96"/>
    <col width="11" customWidth="1" min="97" max="97"/>
    <col width="10" customWidth="1" min="98" max="98"/>
    <col width="12" customWidth="1" min="100" max="100"/>
    <col width="10" customWidth="1" min="101" max="101"/>
    <col width="10" customWidth="1" min="102" max="102"/>
    <col width="10" customWidth="1" min="103" max="103"/>
    <col width="10" customWidth="1" min="104" max="104"/>
    <col width="11" customWidth="1" min="105" max="105"/>
    <col width="11" customWidth="1" min="106" max="106"/>
    <col width="10" customWidth="1" min="107" max="107"/>
  </cols>
  <sheetData>
    <row r="1">
      <c r="A1" s="2">
        <f>IF(Settings!$B$12="Y","CLF"&amp;IF(A$2&lt;Settings!$B$3,"17","7")&amp;" Comdty","")</f>
        <v/>
      </c>
      <c r="J1" s="2">
        <f>IF(Settings!$B$12="Y","CLG"&amp;IF(J$2&lt;Settings!$B$3,"17","7")&amp;" Comdty","")</f>
        <v/>
      </c>
      <c r="S1" s="2">
        <f>IF(Settings!$B$12="Y","CLH"&amp;IF(S$2&lt;Settings!$B$3,"17","7")&amp;" Comdty","")</f>
        <v/>
      </c>
      <c r="AB1" s="2">
        <f>IF(Settings!$B$12="Y","CLJ"&amp;IF(AB$2&lt;Settings!$B$3,"17","7")&amp;" Comdty","")</f>
        <v/>
      </c>
      <c r="AK1" s="2">
        <f>IF(Settings!$B$12="Y","CLK"&amp;IF(AK$2&lt;Settings!$B$3,"17","7")&amp;" Comdty","")</f>
        <v/>
      </c>
      <c r="AT1" s="2">
        <f>IF(Settings!$B$12="Y","CLM"&amp;IF(AT$2&lt;Settings!$B$3,"17","7")&amp;" Comdty","")</f>
        <v/>
      </c>
      <c r="BC1" s="2">
        <f>IF(Settings!$B$12="Y","CLN"&amp;IF(BC$2&lt;Settings!$B$3,"17","7")&amp;" Comdty","")</f>
        <v/>
      </c>
      <c r="BL1" s="2">
        <f>IF(Settings!$B$12="Y","CLQ"&amp;IF(BL$2&lt;Settings!$B$3,"17","7")&amp;" Comdty","")</f>
        <v/>
      </c>
      <c r="BU1" s="2">
        <f>IF(Settings!$B$12="Y","CLU"&amp;IF(BU$2&lt;Settings!$B$3,"17","7")&amp;" Comdty","")</f>
        <v/>
      </c>
      <c r="CD1" s="2">
        <f>IF(Settings!$B$12="Y","CLV"&amp;IF(CD$2&lt;Settings!$B$3,"17","7")&amp;" Comdty","")</f>
        <v/>
      </c>
      <c r="CM1" s="2">
        <f>IF(Settings!$B$12="Y","CLX"&amp;IF(CM$2&lt;Settings!$B$3,"17","7")&amp;" Comdty","")</f>
        <v/>
      </c>
      <c r="CV1" s="2">
        <f>IF(Settings!$B$12="Y","CLZ"&amp;IF(CV$2&lt;Settings!$B$3,"17","7")&amp;" Comdty","")</f>
        <v/>
      </c>
    </row>
    <row r="2">
      <c r="A2" s="8">
        <f>WORKDAY(DATE(2017,1-1,25),-3)</f>
        <v/>
      </c>
      <c r="B2" s="8">
        <f>IF(A$1="","",BDP(A$1,"LAST_TRADEABLE_DT"))</f>
        <v/>
      </c>
      <c r="J2" s="8">
        <f>WORKDAY(DATE(2017,2-1,25),-3)</f>
        <v/>
      </c>
      <c r="K2" s="8">
        <f>IF(J$1="","",BDP(J$1,"LAST_TRADEABLE_DT"))</f>
        <v/>
      </c>
      <c r="S2" s="8">
        <f>WORKDAY(DATE(2017,3-1,25),-3)</f>
        <v/>
      </c>
      <c r="T2" s="8">
        <f>IF(S$1="","",BDP(S$1,"LAST_TRADEABLE_DT"))</f>
        <v/>
      </c>
      <c r="AB2" s="8">
        <f>WORKDAY(DATE(2017,4-1,25),-3)</f>
        <v/>
      </c>
      <c r="AC2" s="8">
        <f>IF(AB$1="","",BDP(AB$1,"LAST_TRADEABLE_DT"))</f>
        <v/>
      </c>
      <c r="AK2" s="8">
        <f>WORKDAY(DATE(2017,5-1,25),-3)</f>
        <v/>
      </c>
      <c r="AL2" s="8">
        <f>IF(AK$1="","",BDP(AK$1,"LAST_TRADEABLE_DT"))</f>
        <v/>
      </c>
      <c r="AT2" s="8">
        <f>WORKDAY(DATE(2017,6-1,25),-3)</f>
        <v/>
      </c>
      <c r="AU2" s="8">
        <f>IF(AT$1="","",BDP(AT$1,"LAST_TRADEABLE_DT"))</f>
        <v/>
      </c>
      <c r="BC2" s="8">
        <f>WORKDAY(DATE(2017,7-1,25),-3)</f>
        <v/>
      </c>
      <c r="BD2" s="8">
        <f>IF(BC$1="","",BDP(BC$1,"LAST_TRADEABLE_DT"))</f>
        <v/>
      </c>
      <c r="BL2" s="8">
        <f>WORKDAY(DATE(2017,8-1,25),-3)</f>
        <v/>
      </c>
      <c r="BM2" s="8">
        <f>IF(BL$1="","",BDP(BL$1,"LAST_TRADEABLE_DT"))</f>
        <v/>
      </c>
      <c r="BU2" s="8">
        <f>WORKDAY(DATE(2017,9-1,25),-3)</f>
        <v/>
      </c>
      <c r="BV2" s="8">
        <f>IF(BU$1="","",BDP(BU$1,"LAST_TRADEABLE_DT"))</f>
        <v/>
      </c>
      <c r="CD2" s="8">
        <f>WORKDAY(DATE(2017,10-1,25),-3)</f>
        <v/>
      </c>
      <c r="CE2" s="8">
        <f>IF(CD$1="","",BDP(CD$1,"LAST_TRADEABLE_DT"))</f>
        <v/>
      </c>
      <c r="CM2" s="8">
        <f>WORKDAY(DATE(2017,11-1,25),-3)</f>
        <v/>
      </c>
      <c r="CN2" s="8">
        <f>IF(CM$1="","",BDP(CM$1,"LAST_TRADEABLE_DT"))</f>
        <v/>
      </c>
      <c r="CV2" s="8">
        <f>WORKDAY(DATE(2017,12-1,25),-3)</f>
        <v/>
      </c>
      <c r="CW2" s="8">
        <f>IF(CV$1="","",BDP(CV$1,"LAST_TRADEABLE_DT"))</f>
        <v/>
      </c>
    </row>
    <row r="3">
      <c r="A3" s="5" t="inlineStr">
        <is>
          <t>Date</t>
        </is>
      </c>
      <c r="B3" s="5" t="inlineStr">
        <is>
          <t>PX_OPEN</t>
        </is>
      </c>
      <c r="C3" s="5" t="inlineStr">
        <is>
          <t>PX_HIGH</t>
        </is>
      </c>
      <c r="D3" s="5" t="inlineStr">
        <is>
          <t>PX_LOW</t>
        </is>
      </c>
      <c r="E3" s="5" t="inlineStr">
        <is>
          <t>PX_LAST</t>
        </is>
      </c>
      <c r="F3" s="5" t="inlineStr">
        <is>
          <t>PX_SETTLE</t>
        </is>
      </c>
      <c r="G3" s="5" t="inlineStr">
        <is>
          <t>PX_VOLUME</t>
        </is>
      </c>
      <c r="H3" s="5" t="inlineStr">
        <is>
          <t>OPEN_INT</t>
        </is>
      </c>
      <c r="J3" s="5" t="inlineStr">
        <is>
          <t>Date</t>
        </is>
      </c>
      <c r="K3" s="5" t="inlineStr">
        <is>
          <t>PX_OPEN</t>
        </is>
      </c>
      <c r="L3" s="5" t="inlineStr">
        <is>
          <t>PX_HIGH</t>
        </is>
      </c>
      <c r="M3" s="5" t="inlineStr">
        <is>
          <t>PX_LOW</t>
        </is>
      </c>
      <c r="N3" s="5" t="inlineStr">
        <is>
          <t>PX_LAST</t>
        </is>
      </c>
      <c r="O3" s="5" t="inlineStr">
        <is>
          <t>PX_SETTLE</t>
        </is>
      </c>
      <c r="P3" s="5" t="inlineStr">
        <is>
          <t>PX_VOLUME</t>
        </is>
      </c>
      <c r="Q3" s="5" t="inlineStr">
        <is>
          <t>OPEN_INT</t>
        </is>
      </c>
      <c r="S3" s="5" t="inlineStr">
        <is>
          <t>Date</t>
        </is>
      </c>
      <c r="T3" s="5" t="inlineStr">
        <is>
          <t>PX_OPEN</t>
        </is>
      </c>
      <c r="U3" s="5" t="inlineStr">
        <is>
          <t>PX_HIGH</t>
        </is>
      </c>
      <c r="V3" s="5" t="inlineStr">
        <is>
          <t>PX_LOW</t>
        </is>
      </c>
      <c r="W3" s="5" t="inlineStr">
        <is>
          <t>PX_LAST</t>
        </is>
      </c>
      <c r="X3" s="5" t="inlineStr">
        <is>
          <t>PX_SETTLE</t>
        </is>
      </c>
      <c r="Y3" s="5" t="inlineStr">
        <is>
          <t>PX_VOLUME</t>
        </is>
      </c>
      <c r="Z3" s="5" t="inlineStr">
        <is>
          <t>OPEN_INT</t>
        </is>
      </c>
      <c r="AB3" s="5" t="inlineStr">
        <is>
          <t>Date</t>
        </is>
      </c>
      <c r="AC3" s="5" t="inlineStr">
        <is>
          <t>PX_OPEN</t>
        </is>
      </c>
      <c r="AD3" s="5" t="inlineStr">
        <is>
          <t>PX_HIGH</t>
        </is>
      </c>
      <c r="AE3" s="5" t="inlineStr">
        <is>
          <t>PX_LOW</t>
        </is>
      </c>
      <c r="AF3" s="5" t="inlineStr">
        <is>
          <t>PX_LAST</t>
        </is>
      </c>
      <c r="AG3" s="5" t="inlineStr">
        <is>
          <t>PX_SETTLE</t>
        </is>
      </c>
      <c r="AH3" s="5" t="inlineStr">
        <is>
          <t>PX_VOLUME</t>
        </is>
      </c>
      <c r="AI3" s="5" t="inlineStr">
        <is>
          <t>OPEN_INT</t>
        </is>
      </c>
      <c r="AK3" s="5" t="inlineStr">
        <is>
          <t>Date</t>
        </is>
      </c>
      <c r="AL3" s="5" t="inlineStr">
        <is>
          <t>PX_OPEN</t>
        </is>
      </c>
      <c r="AM3" s="5" t="inlineStr">
        <is>
          <t>PX_HIGH</t>
        </is>
      </c>
      <c r="AN3" s="5" t="inlineStr">
        <is>
          <t>PX_LOW</t>
        </is>
      </c>
      <c r="AO3" s="5" t="inlineStr">
        <is>
          <t>PX_LAST</t>
        </is>
      </c>
      <c r="AP3" s="5" t="inlineStr">
        <is>
          <t>PX_SETTLE</t>
        </is>
      </c>
      <c r="AQ3" s="5" t="inlineStr">
        <is>
          <t>PX_VOLUME</t>
        </is>
      </c>
      <c r="AR3" s="5" t="inlineStr">
        <is>
          <t>OPEN_INT</t>
        </is>
      </c>
      <c r="AT3" s="5" t="inlineStr">
        <is>
          <t>Date</t>
        </is>
      </c>
      <c r="AU3" s="5" t="inlineStr">
        <is>
          <t>PX_OPEN</t>
        </is>
      </c>
      <c r="AV3" s="5" t="inlineStr">
        <is>
          <t>PX_HIGH</t>
        </is>
      </c>
      <c r="AW3" s="5" t="inlineStr">
        <is>
          <t>PX_LOW</t>
        </is>
      </c>
      <c r="AX3" s="5" t="inlineStr">
        <is>
          <t>PX_LAST</t>
        </is>
      </c>
      <c r="AY3" s="5" t="inlineStr">
        <is>
          <t>PX_SETTLE</t>
        </is>
      </c>
      <c r="AZ3" s="5" t="inlineStr">
        <is>
          <t>PX_VOLUME</t>
        </is>
      </c>
      <c r="BA3" s="5" t="inlineStr">
        <is>
          <t>OPEN_INT</t>
        </is>
      </c>
      <c r="BC3" s="5" t="inlineStr">
        <is>
          <t>Date</t>
        </is>
      </c>
      <c r="BD3" s="5" t="inlineStr">
        <is>
          <t>PX_OPEN</t>
        </is>
      </c>
      <c r="BE3" s="5" t="inlineStr">
        <is>
          <t>PX_HIGH</t>
        </is>
      </c>
      <c r="BF3" s="5" t="inlineStr">
        <is>
          <t>PX_LOW</t>
        </is>
      </c>
      <c r="BG3" s="5" t="inlineStr">
        <is>
          <t>PX_LAST</t>
        </is>
      </c>
      <c r="BH3" s="5" t="inlineStr">
        <is>
          <t>PX_SETTLE</t>
        </is>
      </c>
      <c r="BI3" s="5" t="inlineStr">
        <is>
          <t>PX_VOLUME</t>
        </is>
      </c>
      <c r="BJ3" s="5" t="inlineStr">
        <is>
          <t>OPEN_INT</t>
        </is>
      </c>
      <c r="BL3" s="5" t="inlineStr">
        <is>
          <t>Date</t>
        </is>
      </c>
      <c r="BM3" s="5" t="inlineStr">
        <is>
          <t>PX_OPEN</t>
        </is>
      </c>
      <c r="BN3" s="5" t="inlineStr">
        <is>
          <t>PX_HIGH</t>
        </is>
      </c>
      <c r="BO3" s="5" t="inlineStr">
        <is>
          <t>PX_LOW</t>
        </is>
      </c>
      <c r="BP3" s="5" t="inlineStr">
        <is>
          <t>PX_LAST</t>
        </is>
      </c>
      <c r="BQ3" s="5" t="inlineStr">
        <is>
          <t>PX_SETTLE</t>
        </is>
      </c>
      <c r="BR3" s="5" t="inlineStr">
        <is>
          <t>PX_VOLUME</t>
        </is>
      </c>
      <c r="BS3" s="5" t="inlineStr">
        <is>
          <t>OPEN_INT</t>
        </is>
      </c>
      <c r="BU3" s="5" t="inlineStr">
        <is>
          <t>Date</t>
        </is>
      </c>
      <c r="BV3" s="5" t="inlineStr">
        <is>
          <t>PX_OPEN</t>
        </is>
      </c>
      <c r="BW3" s="5" t="inlineStr">
        <is>
          <t>PX_HIGH</t>
        </is>
      </c>
      <c r="BX3" s="5" t="inlineStr">
        <is>
          <t>PX_LOW</t>
        </is>
      </c>
      <c r="BY3" s="5" t="inlineStr">
        <is>
          <t>PX_LAST</t>
        </is>
      </c>
      <c r="BZ3" s="5" t="inlineStr">
        <is>
          <t>PX_SETTLE</t>
        </is>
      </c>
      <c r="CA3" s="5" t="inlineStr">
        <is>
          <t>PX_VOLUME</t>
        </is>
      </c>
      <c r="CB3" s="5" t="inlineStr">
        <is>
          <t>OPEN_INT</t>
        </is>
      </c>
      <c r="CD3" s="5" t="inlineStr">
        <is>
          <t>Date</t>
        </is>
      </c>
      <c r="CE3" s="5" t="inlineStr">
        <is>
          <t>PX_OPEN</t>
        </is>
      </c>
      <c r="CF3" s="5" t="inlineStr">
        <is>
          <t>PX_HIGH</t>
        </is>
      </c>
      <c r="CG3" s="5" t="inlineStr">
        <is>
          <t>PX_LOW</t>
        </is>
      </c>
      <c r="CH3" s="5" t="inlineStr">
        <is>
          <t>PX_LAST</t>
        </is>
      </c>
      <c r="CI3" s="5" t="inlineStr">
        <is>
          <t>PX_SETTLE</t>
        </is>
      </c>
      <c r="CJ3" s="5" t="inlineStr">
        <is>
          <t>PX_VOLUME</t>
        </is>
      </c>
      <c r="CK3" s="5" t="inlineStr">
        <is>
          <t>OPEN_INT</t>
        </is>
      </c>
      <c r="CM3" s="5" t="inlineStr">
        <is>
          <t>Date</t>
        </is>
      </c>
      <c r="CN3" s="5" t="inlineStr">
        <is>
          <t>PX_OPEN</t>
        </is>
      </c>
      <c r="CO3" s="5" t="inlineStr">
        <is>
          <t>PX_HIGH</t>
        </is>
      </c>
      <c r="CP3" s="5" t="inlineStr">
        <is>
          <t>PX_LOW</t>
        </is>
      </c>
      <c r="CQ3" s="5" t="inlineStr">
        <is>
          <t>PX_LAST</t>
        </is>
      </c>
      <c r="CR3" s="5" t="inlineStr">
        <is>
          <t>PX_SETTLE</t>
        </is>
      </c>
      <c r="CS3" s="5" t="inlineStr">
        <is>
          <t>PX_VOLUME</t>
        </is>
      </c>
      <c r="CT3" s="5" t="inlineStr">
        <is>
          <t>OPEN_INT</t>
        </is>
      </c>
      <c r="CV3" s="5" t="inlineStr">
        <is>
          <t>Date</t>
        </is>
      </c>
      <c r="CW3" s="5" t="inlineStr">
        <is>
          <t>PX_OPEN</t>
        </is>
      </c>
      <c r="CX3" s="5" t="inlineStr">
        <is>
          <t>PX_HIGH</t>
        </is>
      </c>
      <c r="CY3" s="5" t="inlineStr">
        <is>
          <t>PX_LOW</t>
        </is>
      </c>
      <c r="CZ3" s="5" t="inlineStr">
        <is>
          <t>PX_LAST</t>
        </is>
      </c>
      <c r="DA3" s="5" t="inlineStr">
        <is>
          <t>PX_SETTLE</t>
        </is>
      </c>
      <c r="DB3" s="5" t="inlineStr">
        <is>
          <t>PX_VOLUME</t>
        </is>
      </c>
      <c r="DC3" s="5" t="inlineStr">
        <is>
          <t>OPEN_INT</t>
        </is>
      </c>
    </row>
    <row r="4">
      <c r="A4" s="4">
        <f>BDH(A$1,B$3:H$3,Settings!$C$12,IF(Settings!$D$12="","",Settings!$D$12),"Dir=V","Dts=S","Sort=A","Days=T","Fill=B")</f>
        <v/>
      </c>
      <c r="J4" s="4">
        <f>BDH(J$1,K$3:Q$3,Settings!$C$12,IF(Settings!$D$12="","",Settings!$D$12),"Dir=V","Dts=S","Sort=A","Days=T","Fill=B")</f>
        <v/>
      </c>
      <c r="S4" s="4">
        <f>BDH(S$1,T$3:Z$3,Settings!$C$12,IF(Settings!$D$12="","",Settings!$D$12),"Dir=V","Dts=S","Sort=A","Days=T","Fill=B")</f>
        <v/>
      </c>
      <c r="AB4" s="4">
        <f>BDH(AB$1,AC$3:AI$3,Settings!$C$12,IF(Settings!$D$12="","",Settings!$D$12),"Dir=V","Dts=S","Sort=A","Days=T","Fill=B")</f>
        <v/>
      </c>
      <c r="AK4" s="4">
        <f>BDH(AK$1,AL$3:AR$3,Settings!$C$12,IF(Settings!$D$12="","",Settings!$D$12),"Dir=V","Dts=S","Sort=A","Days=T","Fill=B")</f>
        <v/>
      </c>
      <c r="AT4" s="4">
        <f>BDH(AT$1,AU$3:BA$3,Settings!$C$12,IF(Settings!$D$12="","",Settings!$D$12),"Dir=V","Dts=S","Sort=A","Days=T","Fill=B")</f>
        <v/>
      </c>
      <c r="BC4" s="4">
        <f>BDH(BC$1,BD$3:BJ$3,Settings!$C$12,IF(Settings!$D$12="","",Settings!$D$12),"Dir=V","Dts=S","Sort=A","Days=T","Fill=B")</f>
        <v/>
      </c>
      <c r="BL4" s="4">
        <f>BDH(BL$1,BM$3:BS$3,Settings!$C$12,IF(Settings!$D$12="","",Settings!$D$12),"Dir=V","Dts=S","Sort=A","Days=T","Fill=B")</f>
        <v/>
      </c>
      <c r="BU4" s="4">
        <f>BDH(BU$1,BV$3:CB$3,Settings!$C$12,IF(Settings!$D$12="","",Settings!$D$12),"Dir=V","Dts=S","Sort=A","Days=T","Fill=B")</f>
        <v/>
      </c>
      <c r="CD4" s="4">
        <f>BDH(CD$1,CE$3:CK$3,Settings!$C$12,IF(Settings!$D$12="","",Settings!$D$12),"Dir=V","Dts=S","Sort=A","Days=T","Fill=B")</f>
        <v/>
      </c>
      <c r="CM4" s="4">
        <f>BDH(CM$1,CN$3:CT$3,Settings!$C$12,IF(Settings!$D$12="","",Settings!$D$12),"Dir=V","Dts=S","Sort=A","Days=T","Fill=B")</f>
        <v/>
      </c>
      <c r="CV4" s="4">
        <f>BDH(CV$1,CW$3:DC$3,Settings!$C$12,IF(Settings!$D$12="","",Settings!$D$12),"Dir=V","Dts=S","Sort=A","Days=T","Fill=B")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C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1" customWidth="1" min="7" max="7"/>
    <col width="10" customWidth="1" min="8" max="8"/>
    <col width="12" customWidth="1" min="10" max="10"/>
    <col width="10" customWidth="1" min="11" max="11"/>
    <col width="10" customWidth="1" min="12" max="12"/>
    <col width="10" customWidth="1" min="13" max="13"/>
    <col width="10" customWidth="1" min="14" max="14"/>
    <col width="11" customWidth="1" min="15" max="15"/>
    <col width="11" customWidth="1" min="16" max="16"/>
    <col width="10" customWidth="1" min="17" max="17"/>
    <col width="12" customWidth="1" min="19" max="19"/>
    <col width="10" customWidth="1" min="20" max="20"/>
    <col width="10" customWidth="1" min="21" max="21"/>
    <col width="10" customWidth="1" min="22" max="22"/>
    <col width="10" customWidth="1" min="23" max="23"/>
    <col width="11" customWidth="1" min="24" max="24"/>
    <col width="11" customWidth="1" min="25" max="25"/>
    <col width="10" customWidth="1" min="26" max="26"/>
    <col width="12" customWidth="1" min="28" max="28"/>
    <col width="10" customWidth="1" min="29" max="29"/>
    <col width="10" customWidth="1" min="30" max="30"/>
    <col width="10" customWidth="1" min="31" max="31"/>
    <col width="10" customWidth="1" min="32" max="32"/>
    <col width="11" customWidth="1" min="33" max="33"/>
    <col width="11" customWidth="1" min="34" max="34"/>
    <col width="10" customWidth="1" min="35" max="35"/>
    <col width="12" customWidth="1" min="37" max="37"/>
    <col width="10" customWidth="1" min="38" max="38"/>
    <col width="10" customWidth="1" min="39" max="39"/>
    <col width="10" customWidth="1" min="40" max="40"/>
    <col width="10" customWidth="1" min="41" max="41"/>
    <col width="11" customWidth="1" min="42" max="42"/>
    <col width="11" customWidth="1" min="43" max="43"/>
    <col width="10" customWidth="1" min="44" max="44"/>
    <col width="12" customWidth="1" min="46" max="46"/>
    <col width="10" customWidth="1" min="47" max="47"/>
    <col width="10" customWidth="1" min="48" max="48"/>
    <col width="10" customWidth="1" min="49" max="49"/>
    <col width="10" customWidth="1" min="50" max="50"/>
    <col width="11" customWidth="1" min="51" max="51"/>
    <col width="11" customWidth="1" min="52" max="52"/>
    <col width="10" customWidth="1" min="53" max="53"/>
    <col width="12" customWidth="1" min="55" max="55"/>
    <col width="10" customWidth="1" min="56" max="56"/>
    <col width="10" customWidth="1" min="57" max="57"/>
    <col width="10" customWidth="1" min="58" max="58"/>
    <col width="10" customWidth="1" min="59" max="59"/>
    <col width="11" customWidth="1" min="60" max="60"/>
    <col width="11" customWidth="1" min="61" max="61"/>
    <col width="10" customWidth="1" min="62" max="62"/>
    <col width="12" customWidth="1" min="64" max="64"/>
    <col width="10" customWidth="1" min="65" max="65"/>
    <col width="10" customWidth="1" min="66" max="66"/>
    <col width="10" customWidth="1" min="67" max="67"/>
    <col width="10" customWidth="1" min="68" max="68"/>
    <col width="11" customWidth="1" min="69" max="69"/>
    <col width="11" customWidth="1" min="70" max="70"/>
    <col width="10" customWidth="1" min="71" max="71"/>
    <col width="12" customWidth="1" min="73" max="73"/>
    <col width="10" customWidth="1" min="74" max="74"/>
    <col width="10" customWidth="1" min="75" max="75"/>
    <col width="10" customWidth="1" min="76" max="76"/>
    <col width="10" customWidth="1" min="77" max="77"/>
    <col width="11" customWidth="1" min="78" max="78"/>
    <col width="11" customWidth="1" min="79" max="79"/>
    <col width="10" customWidth="1" min="80" max="80"/>
    <col width="12" customWidth="1" min="82" max="82"/>
    <col width="10" customWidth="1" min="83" max="83"/>
    <col width="10" customWidth="1" min="84" max="84"/>
    <col width="10" customWidth="1" min="85" max="85"/>
    <col width="10" customWidth="1" min="86" max="86"/>
    <col width="11" customWidth="1" min="87" max="87"/>
    <col width="11" customWidth="1" min="88" max="88"/>
    <col width="10" customWidth="1" min="89" max="89"/>
    <col width="12" customWidth="1" min="91" max="91"/>
    <col width="10" customWidth="1" min="92" max="92"/>
    <col width="10" customWidth="1" min="93" max="93"/>
    <col width="10" customWidth="1" min="94" max="94"/>
    <col width="10" customWidth="1" min="95" max="95"/>
    <col width="11" customWidth="1" min="96" max="96"/>
    <col width="11" customWidth="1" min="97" max="97"/>
    <col width="10" customWidth="1" min="98" max="98"/>
    <col width="12" customWidth="1" min="100" max="100"/>
    <col width="10" customWidth="1" min="101" max="101"/>
    <col width="10" customWidth="1" min="102" max="102"/>
    <col width="10" customWidth="1" min="103" max="103"/>
    <col width="10" customWidth="1" min="104" max="104"/>
    <col width="11" customWidth="1" min="105" max="105"/>
    <col width="11" customWidth="1" min="106" max="106"/>
    <col width="10" customWidth="1" min="107" max="107"/>
  </cols>
  <sheetData>
    <row r="1">
      <c r="A1" s="2">
        <f>IF(Settings!$B$12="Y","CLF"&amp;IF(A$2&lt;Settings!$B$3,"18","8")&amp;" Comdty","")</f>
        <v/>
      </c>
      <c r="J1" s="2">
        <f>IF(Settings!$B$12="Y","CLG"&amp;IF(J$2&lt;Settings!$B$3,"18","8")&amp;" Comdty","")</f>
        <v/>
      </c>
      <c r="S1" s="2">
        <f>IF(Settings!$B$12="Y","CLH"&amp;IF(S$2&lt;Settings!$B$3,"18","8")&amp;" Comdty","")</f>
        <v/>
      </c>
      <c r="AB1" s="2">
        <f>IF(Settings!$B$12="Y","CLJ"&amp;IF(AB$2&lt;Settings!$B$3,"18","8")&amp;" Comdty","")</f>
        <v/>
      </c>
      <c r="AK1" s="2">
        <f>IF(Settings!$B$12="Y","CLK"&amp;IF(AK$2&lt;Settings!$B$3,"18","8")&amp;" Comdty","")</f>
        <v/>
      </c>
      <c r="AT1" s="2">
        <f>IF(Settings!$B$12="Y","CLM"&amp;IF(AT$2&lt;Settings!$B$3,"18","8")&amp;" Comdty","")</f>
        <v/>
      </c>
      <c r="BC1" s="2">
        <f>IF(Settings!$B$12="Y","CLN"&amp;IF(BC$2&lt;Settings!$B$3,"18","8")&amp;" Comdty","")</f>
        <v/>
      </c>
      <c r="BL1" s="2">
        <f>IF(Settings!$B$12="Y","CLQ"&amp;IF(BL$2&lt;Settings!$B$3,"18","8")&amp;" Comdty","")</f>
        <v/>
      </c>
      <c r="BU1" s="2">
        <f>IF(Settings!$B$12="Y","CLU"&amp;IF(BU$2&lt;Settings!$B$3,"18","8")&amp;" Comdty","")</f>
        <v/>
      </c>
      <c r="CD1" s="2">
        <f>IF(Settings!$B$12="Y","CLV"&amp;IF(CD$2&lt;Settings!$B$3,"18","8")&amp;" Comdty","")</f>
        <v/>
      </c>
      <c r="CM1" s="2">
        <f>IF(Settings!$B$12="Y","CLX"&amp;IF(CM$2&lt;Settings!$B$3,"18","8")&amp;" Comdty","")</f>
        <v/>
      </c>
      <c r="CV1" s="2">
        <f>IF(Settings!$B$12="Y","CLZ"&amp;IF(CV$2&lt;Settings!$B$3,"18","8")&amp;" Comdty","")</f>
        <v/>
      </c>
    </row>
    <row r="2">
      <c r="A2" s="8">
        <f>WORKDAY(DATE(2018,1-1,25),-3)</f>
        <v/>
      </c>
      <c r="B2" s="8">
        <f>IF(A$1="","",BDP(A$1,"LAST_TRADEABLE_DT"))</f>
        <v/>
      </c>
      <c r="J2" s="8">
        <f>WORKDAY(DATE(2018,2-1,25),-3)</f>
        <v/>
      </c>
      <c r="K2" s="8">
        <f>IF(J$1="","",BDP(J$1,"LAST_TRADEABLE_DT"))</f>
        <v/>
      </c>
      <c r="S2" s="8">
        <f>WORKDAY(DATE(2018,3-1,25),-3)</f>
        <v/>
      </c>
      <c r="T2" s="8">
        <f>IF(S$1="","",BDP(S$1,"LAST_TRADEABLE_DT"))</f>
        <v/>
      </c>
      <c r="AB2" s="8">
        <f>WORKDAY(DATE(2018,4-1,25),-3)</f>
        <v/>
      </c>
      <c r="AC2" s="8">
        <f>IF(AB$1="","",BDP(AB$1,"LAST_TRADEABLE_DT"))</f>
        <v/>
      </c>
      <c r="AK2" s="8">
        <f>WORKDAY(DATE(2018,5-1,25),-3)</f>
        <v/>
      </c>
      <c r="AL2" s="8">
        <f>IF(AK$1="","",BDP(AK$1,"LAST_TRADEABLE_DT"))</f>
        <v/>
      </c>
      <c r="AT2" s="8">
        <f>WORKDAY(DATE(2018,6-1,25),-3)</f>
        <v/>
      </c>
      <c r="AU2" s="8">
        <f>IF(AT$1="","",BDP(AT$1,"LAST_TRADEABLE_DT"))</f>
        <v/>
      </c>
      <c r="BC2" s="8">
        <f>WORKDAY(DATE(2018,7-1,25),-3)</f>
        <v/>
      </c>
      <c r="BD2" s="8">
        <f>IF(BC$1="","",BDP(BC$1,"LAST_TRADEABLE_DT"))</f>
        <v/>
      </c>
      <c r="BL2" s="8">
        <f>WORKDAY(DATE(2018,8-1,25),-3)</f>
        <v/>
      </c>
      <c r="BM2" s="8">
        <f>IF(BL$1="","",BDP(BL$1,"LAST_TRADEABLE_DT"))</f>
        <v/>
      </c>
      <c r="BU2" s="8">
        <f>WORKDAY(DATE(2018,9-1,25),-3)</f>
        <v/>
      </c>
      <c r="BV2" s="8">
        <f>IF(BU$1="","",BDP(BU$1,"LAST_TRADEABLE_DT"))</f>
        <v/>
      </c>
      <c r="CD2" s="8">
        <f>WORKDAY(DATE(2018,10-1,25),-3)</f>
        <v/>
      </c>
      <c r="CE2" s="8">
        <f>IF(CD$1="","",BDP(CD$1,"LAST_TRADEABLE_DT"))</f>
        <v/>
      </c>
      <c r="CM2" s="8">
        <f>WORKDAY(DATE(2018,11-1,25),-3)</f>
        <v/>
      </c>
      <c r="CN2" s="8">
        <f>IF(CM$1="","",BDP(CM$1,"LAST_TRADEABLE_DT"))</f>
        <v/>
      </c>
      <c r="CV2" s="8">
        <f>WORKDAY(DATE(2018,12-1,25),-3)</f>
        <v/>
      </c>
      <c r="CW2" s="8">
        <f>IF(CV$1="","",BDP(CV$1,"LAST_TRADEABLE_DT"))</f>
        <v/>
      </c>
    </row>
    <row r="3">
      <c r="A3" s="5" t="inlineStr">
        <is>
          <t>Date</t>
        </is>
      </c>
      <c r="B3" s="5" t="inlineStr">
        <is>
          <t>PX_OPEN</t>
        </is>
      </c>
      <c r="C3" s="5" t="inlineStr">
        <is>
          <t>PX_HIGH</t>
        </is>
      </c>
      <c r="D3" s="5" t="inlineStr">
        <is>
          <t>PX_LOW</t>
        </is>
      </c>
      <c r="E3" s="5" t="inlineStr">
        <is>
          <t>PX_LAST</t>
        </is>
      </c>
      <c r="F3" s="5" t="inlineStr">
        <is>
          <t>PX_SETTLE</t>
        </is>
      </c>
      <c r="G3" s="5" t="inlineStr">
        <is>
          <t>PX_VOLUME</t>
        </is>
      </c>
      <c r="H3" s="5" t="inlineStr">
        <is>
          <t>OPEN_INT</t>
        </is>
      </c>
      <c r="J3" s="5" t="inlineStr">
        <is>
          <t>Date</t>
        </is>
      </c>
      <c r="K3" s="5" t="inlineStr">
        <is>
          <t>PX_OPEN</t>
        </is>
      </c>
      <c r="L3" s="5" t="inlineStr">
        <is>
          <t>PX_HIGH</t>
        </is>
      </c>
      <c r="M3" s="5" t="inlineStr">
        <is>
          <t>PX_LOW</t>
        </is>
      </c>
      <c r="N3" s="5" t="inlineStr">
        <is>
          <t>PX_LAST</t>
        </is>
      </c>
      <c r="O3" s="5" t="inlineStr">
        <is>
          <t>PX_SETTLE</t>
        </is>
      </c>
      <c r="P3" s="5" t="inlineStr">
        <is>
          <t>PX_VOLUME</t>
        </is>
      </c>
      <c r="Q3" s="5" t="inlineStr">
        <is>
          <t>OPEN_INT</t>
        </is>
      </c>
      <c r="S3" s="5" t="inlineStr">
        <is>
          <t>Date</t>
        </is>
      </c>
      <c r="T3" s="5" t="inlineStr">
        <is>
          <t>PX_OPEN</t>
        </is>
      </c>
      <c r="U3" s="5" t="inlineStr">
        <is>
          <t>PX_HIGH</t>
        </is>
      </c>
      <c r="V3" s="5" t="inlineStr">
        <is>
          <t>PX_LOW</t>
        </is>
      </c>
      <c r="W3" s="5" t="inlineStr">
        <is>
          <t>PX_LAST</t>
        </is>
      </c>
      <c r="X3" s="5" t="inlineStr">
        <is>
          <t>PX_SETTLE</t>
        </is>
      </c>
      <c r="Y3" s="5" t="inlineStr">
        <is>
          <t>PX_VOLUME</t>
        </is>
      </c>
      <c r="Z3" s="5" t="inlineStr">
        <is>
          <t>OPEN_INT</t>
        </is>
      </c>
      <c r="AB3" s="5" t="inlineStr">
        <is>
          <t>Date</t>
        </is>
      </c>
      <c r="AC3" s="5" t="inlineStr">
        <is>
          <t>PX_OPEN</t>
        </is>
      </c>
      <c r="AD3" s="5" t="inlineStr">
        <is>
          <t>PX_HIGH</t>
        </is>
      </c>
      <c r="AE3" s="5" t="inlineStr">
        <is>
          <t>PX_LOW</t>
        </is>
      </c>
      <c r="AF3" s="5" t="inlineStr">
        <is>
          <t>PX_LAST</t>
        </is>
      </c>
      <c r="AG3" s="5" t="inlineStr">
        <is>
          <t>PX_SETTLE</t>
        </is>
      </c>
      <c r="AH3" s="5" t="inlineStr">
        <is>
          <t>PX_VOLUME</t>
        </is>
      </c>
      <c r="AI3" s="5" t="inlineStr">
        <is>
          <t>OPEN_INT</t>
        </is>
      </c>
      <c r="AK3" s="5" t="inlineStr">
        <is>
          <t>Date</t>
        </is>
      </c>
      <c r="AL3" s="5" t="inlineStr">
        <is>
          <t>PX_OPEN</t>
        </is>
      </c>
      <c r="AM3" s="5" t="inlineStr">
        <is>
          <t>PX_HIGH</t>
        </is>
      </c>
      <c r="AN3" s="5" t="inlineStr">
        <is>
          <t>PX_LOW</t>
        </is>
      </c>
      <c r="AO3" s="5" t="inlineStr">
        <is>
          <t>PX_LAST</t>
        </is>
      </c>
      <c r="AP3" s="5" t="inlineStr">
        <is>
          <t>PX_SETTLE</t>
        </is>
      </c>
      <c r="AQ3" s="5" t="inlineStr">
        <is>
          <t>PX_VOLUME</t>
        </is>
      </c>
      <c r="AR3" s="5" t="inlineStr">
        <is>
          <t>OPEN_INT</t>
        </is>
      </c>
      <c r="AT3" s="5" t="inlineStr">
        <is>
          <t>Date</t>
        </is>
      </c>
      <c r="AU3" s="5" t="inlineStr">
        <is>
          <t>PX_OPEN</t>
        </is>
      </c>
      <c r="AV3" s="5" t="inlineStr">
        <is>
          <t>PX_HIGH</t>
        </is>
      </c>
      <c r="AW3" s="5" t="inlineStr">
        <is>
          <t>PX_LOW</t>
        </is>
      </c>
      <c r="AX3" s="5" t="inlineStr">
        <is>
          <t>PX_LAST</t>
        </is>
      </c>
      <c r="AY3" s="5" t="inlineStr">
        <is>
          <t>PX_SETTLE</t>
        </is>
      </c>
      <c r="AZ3" s="5" t="inlineStr">
        <is>
          <t>PX_VOLUME</t>
        </is>
      </c>
      <c r="BA3" s="5" t="inlineStr">
        <is>
          <t>OPEN_INT</t>
        </is>
      </c>
      <c r="BC3" s="5" t="inlineStr">
        <is>
          <t>Date</t>
        </is>
      </c>
      <c r="BD3" s="5" t="inlineStr">
        <is>
          <t>PX_OPEN</t>
        </is>
      </c>
      <c r="BE3" s="5" t="inlineStr">
        <is>
          <t>PX_HIGH</t>
        </is>
      </c>
      <c r="BF3" s="5" t="inlineStr">
        <is>
          <t>PX_LOW</t>
        </is>
      </c>
      <c r="BG3" s="5" t="inlineStr">
        <is>
          <t>PX_LAST</t>
        </is>
      </c>
      <c r="BH3" s="5" t="inlineStr">
        <is>
          <t>PX_SETTLE</t>
        </is>
      </c>
      <c r="BI3" s="5" t="inlineStr">
        <is>
          <t>PX_VOLUME</t>
        </is>
      </c>
      <c r="BJ3" s="5" t="inlineStr">
        <is>
          <t>OPEN_INT</t>
        </is>
      </c>
      <c r="BL3" s="5" t="inlineStr">
        <is>
          <t>Date</t>
        </is>
      </c>
      <c r="BM3" s="5" t="inlineStr">
        <is>
          <t>PX_OPEN</t>
        </is>
      </c>
      <c r="BN3" s="5" t="inlineStr">
        <is>
          <t>PX_HIGH</t>
        </is>
      </c>
      <c r="BO3" s="5" t="inlineStr">
        <is>
          <t>PX_LOW</t>
        </is>
      </c>
      <c r="BP3" s="5" t="inlineStr">
        <is>
          <t>PX_LAST</t>
        </is>
      </c>
      <c r="BQ3" s="5" t="inlineStr">
        <is>
          <t>PX_SETTLE</t>
        </is>
      </c>
      <c r="BR3" s="5" t="inlineStr">
        <is>
          <t>PX_VOLUME</t>
        </is>
      </c>
      <c r="BS3" s="5" t="inlineStr">
        <is>
          <t>OPEN_INT</t>
        </is>
      </c>
      <c r="BU3" s="5" t="inlineStr">
        <is>
          <t>Date</t>
        </is>
      </c>
      <c r="BV3" s="5" t="inlineStr">
        <is>
          <t>PX_OPEN</t>
        </is>
      </c>
      <c r="BW3" s="5" t="inlineStr">
        <is>
          <t>PX_HIGH</t>
        </is>
      </c>
      <c r="BX3" s="5" t="inlineStr">
        <is>
          <t>PX_LOW</t>
        </is>
      </c>
      <c r="BY3" s="5" t="inlineStr">
        <is>
          <t>PX_LAST</t>
        </is>
      </c>
      <c r="BZ3" s="5" t="inlineStr">
        <is>
          <t>PX_SETTLE</t>
        </is>
      </c>
      <c r="CA3" s="5" t="inlineStr">
        <is>
          <t>PX_VOLUME</t>
        </is>
      </c>
      <c r="CB3" s="5" t="inlineStr">
        <is>
          <t>OPEN_INT</t>
        </is>
      </c>
      <c r="CD3" s="5" t="inlineStr">
        <is>
          <t>Date</t>
        </is>
      </c>
      <c r="CE3" s="5" t="inlineStr">
        <is>
          <t>PX_OPEN</t>
        </is>
      </c>
      <c r="CF3" s="5" t="inlineStr">
        <is>
          <t>PX_HIGH</t>
        </is>
      </c>
      <c r="CG3" s="5" t="inlineStr">
        <is>
          <t>PX_LOW</t>
        </is>
      </c>
      <c r="CH3" s="5" t="inlineStr">
        <is>
          <t>PX_LAST</t>
        </is>
      </c>
      <c r="CI3" s="5" t="inlineStr">
        <is>
          <t>PX_SETTLE</t>
        </is>
      </c>
      <c r="CJ3" s="5" t="inlineStr">
        <is>
          <t>PX_VOLUME</t>
        </is>
      </c>
      <c r="CK3" s="5" t="inlineStr">
        <is>
          <t>OPEN_INT</t>
        </is>
      </c>
      <c r="CM3" s="5" t="inlineStr">
        <is>
          <t>Date</t>
        </is>
      </c>
      <c r="CN3" s="5" t="inlineStr">
        <is>
          <t>PX_OPEN</t>
        </is>
      </c>
      <c r="CO3" s="5" t="inlineStr">
        <is>
          <t>PX_HIGH</t>
        </is>
      </c>
      <c r="CP3" s="5" t="inlineStr">
        <is>
          <t>PX_LOW</t>
        </is>
      </c>
      <c r="CQ3" s="5" t="inlineStr">
        <is>
          <t>PX_LAST</t>
        </is>
      </c>
      <c r="CR3" s="5" t="inlineStr">
        <is>
          <t>PX_SETTLE</t>
        </is>
      </c>
      <c r="CS3" s="5" t="inlineStr">
        <is>
          <t>PX_VOLUME</t>
        </is>
      </c>
      <c r="CT3" s="5" t="inlineStr">
        <is>
          <t>OPEN_INT</t>
        </is>
      </c>
      <c r="CV3" s="5" t="inlineStr">
        <is>
          <t>Date</t>
        </is>
      </c>
      <c r="CW3" s="5" t="inlineStr">
        <is>
          <t>PX_OPEN</t>
        </is>
      </c>
      <c r="CX3" s="5" t="inlineStr">
        <is>
          <t>PX_HIGH</t>
        </is>
      </c>
      <c r="CY3" s="5" t="inlineStr">
        <is>
          <t>PX_LOW</t>
        </is>
      </c>
      <c r="CZ3" s="5" t="inlineStr">
        <is>
          <t>PX_LAST</t>
        </is>
      </c>
      <c r="DA3" s="5" t="inlineStr">
        <is>
          <t>PX_SETTLE</t>
        </is>
      </c>
      <c r="DB3" s="5" t="inlineStr">
        <is>
          <t>PX_VOLUME</t>
        </is>
      </c>
      <c r="DC3" s="5" t="inlineStr">
        <is>
          <t>OPEN_INT</t>
        </is>
      </c>
    </row>
    <row r="4">
      <c r="A4" s="4">
        <f>BDH(A$1,B$3:H$3,Settings!$C$12,IF(Settings!$D$12="","",Settings!$D$12),"Dir=V","Dts=S","Sort=A","Days=T","Fill=B")</f>
        <v/>
      </c>
      <c r="J4" s="4">
        <f>BDH(J$1,K$3:Q$3,Settings!$C$12,IF(Settings!$D$12="","",Settings!$D$12),"Dir=V","Dts=S","Sort=A","Days=T","Fill=B")</f>
        <v/>
      </c>
      <c r="S4" s="4">
        <f>BDH(S$1,T$3:Z$3,Settings!$C$12,IF(Settings!$D$12="","",Settings!$D$12),"Dir=V","Dts=S","Sort=A","Days=T","Fill=B")</f>
        <v/>
      </c>
      <c r="AB4" s="4">
        <f>BDH(AB$1,AC$3:AI$3,Settings!$C$12,IF(Settings!$D$12="","",Settings!$D$12),"Dir=V","Dts=S","Sort=A","Days=T","Fill=B")</f>
        <v/>
      </c>
      <c r="AK4" s="4">
        <f>BDH(AK$1,AL$3:AR$3,Settings!$C$12,IF(Settings!$D$12="","",Settings!$D$12),"Dir=V","Dts=S","Sort=A","Days=T","Fill=B")</f>
        <v/>
      </c>
      <c r="AT4" s="4">
        <f>BDH(AT$1,AU$3:BA$3,Settings!$C$12,IF(Settings!$D$12="","",Settings!$D$12),"Dir=V","Dts=S","Sort=A","Days=T","Fill=B")</f>
        <v/>
      </c>
      <c r="BC4" s="4">
        <f>BDH(BC$1,BD$3:BJ$3,Settings!$C$12,IF(Settings!$D$12="","",Settings!$D$12),"Dir=V","Dts=S","Sort=A","Days=T","Fill=B")</f>
        <v/>
      </c>
      <c r="BL4" s="4">
        <f>BDH(BL$1,BM$3:BS$3,Settings!$C$12,IF(Settings!$D$12="","",Settings!$D$12),"Dir=V","Dts=S","Sort=A","Days=T","Fill=B")</f>
        <v/>
      </c>
      <c r="BU4" s="4">
        <f>BDH(BU$1,BV$3:CB$3,Settings!$C$12,IF(Settings!$D$12="","",Settings!$D$12),"Dir=V","Dts=S","Sort=A","Days=T","Fill=B")</f>
        <v/>
      </c>
      <c r="CD4" s="4">
        <f>BDH(CD$1,CE$3:CK$3,Settings!$C$12,IF(Settings!$D$12="","",Settings!$D$12),"Dir=V","Dts=S","Sort=A","Days=T","Fill=B")</f>
        <v/>
      </c>
      <c r="CM4" s="4">
        <f>BDH(CM$1,CN$3:CT$3,Settings!$C$12,IF(Settings!$D$12="","",Settings!$D$12),"Dir=V","Dts=S","Sort=A","Days=T","Fill=B")</f>
        <v/>
      </c>
      <c r="CV4" s="4">
        <f>BDH(CV$1,CW$3:DC$3,Settings!$C$12,IF(Settings!$D$12="","",Settings!$D$12),"Dir=V","Dts=S","Sort=A","Days=T","Fill=B")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C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1" customWidth="1" min="7" max="7"/>
    <col width="10" customWidth="1" min="8" max="8"/>
    <col width="12" customWidth="1" min="10" max="10"/>
    <col width="10" customWidth="1" min="11" max="11"/>
    <col width="10" customWidth="1" min="12" max="12"/>
    <col width="10" customWidth="1" min="13" max="13"/>
    <col width="10" customWidth="1" min="14" max="14"/>
    <col width="11" customWidth="1" min="15" max="15"/>
    <col width="11" customWidth="1" min="16" max="16"/>
    <col width="10" customWidth="1" min="17" max="17"/>
    <col width="12" customWidth="1" min="19" max="19"/>
    <col width="10" customWidth="1" min="20" max="20"/>
    <col width="10" customWidth="1" min="21" max="21"/>
    <col width="10" customWidth="1" min="22" max="22"/>
    <col width="10" customWidth="1" min="23" max="23"/>
    <col width="11" customWidth="1" min="24" max="24"/>
    <col width="11" customWidth="1" min="25" max="25"/>
    <col width="10" customWidth="1" min="26" max="26"/>
    <col width="12" customWidth="1" min="28" max="28"/>
    <col width="10" customWidth="1" min="29" max="29"/>
    <col width="10" customWidth="1" min="30" max="30"/>
    <col width="10" customWidth="1" min="31" max="31"/>
    <col width="10" customWidth="1" min="32" max="32"/>
    <col width="11" customWidth="1" min="33" max="33"/>
    <col width="11" customWidth="1" min="34" max="34"/>
    <col width="10" customWidth="1" min="35" max="35"/>
    <col width="12" customWidth="1" min="37" max="37"/>
    <col width="10" customWidth="1" min="38" max="38"/>
    <col width="10" customWidth="1" min="39" max="39"/>
    <col width="10" customWidth="1" min="40" max="40"/>
    <col width="10" customWidth="1" min="41" max="41"/>
    <col width="11" customWidth="1" min="42" max="42"/>
    <col width="11" customWidth="1" min="43" max="43"/>
    <col width="10" customWidth="1" min="44" max="44"/>
    <col width="12" customWidth="1" min="46" max="46"/>
    <col width="10" customWidth="1" min="47" max="47"/>
    <col width="10" customWidth="1" min="48" max="48"/>
    <col width="10" customWidth="1" min="49" max="49"/>
    <col width="10" customWidth="1" min="50" max="50"/>
    <col width="11" customWidth="1" min="51" max="51"/>
    <col width="11" customWidth="1" min="52" max="52"/>
    <col width="10" customWidth="1" min="53" max="53"/>
    <col width="12" customWidth="1" min="55" max="55"/>
    <col width="10" customWidth="1" min="56" max="56"/>
    <col width="10" customWidth="1" min="57" max="57"/>
    <col width="10" customWidth="1" min="58" max="58"/>
    <col width="10" customWidth="1" min="59" max="59"/>
    <col width="11" customWidth="1" min="60" max="60"/>
    <col width="11" customWidth="1" min="61" max="61"/>
    <col width="10" customWidth="1" min="62" max="62"/>
    <col width="12" customWidth="1" min="64" max="64"/>
    <col width="10" customWidth="1" min="65" max="65"/>
    <col width="10" customWidth="1" min="66" max="66"/>
    <col width="10" customWidth="1" min="67" max="67"/>
    <col width="10" customWidth="1" min="68" max="68"/>
    <col width="11" customWidth="1" min="69" max="69"/>
    <col width="11" customWidth="1" min="70" max="70"/>
    <col width="10" customWidth="1" min="71" max="71"/>
    <col width="12" customWidth="1" min="73" max="73"/>
    <col width="10" customWidth="1" min="74" max="74"/>
    <col width="10" customWidth="1" min="75" max="75"/>
    <col width="10" customWidth="1" min="76" max="76"/>
    <col width="10" customWidth="1" min="77" max="77"/>
    <col width="11" customWidth="1" min="78" max="78"/>
    <col width="11" customWidth="1" min="79" max="79"/>
    <col width="10" customWidth="1" min="80" max="80"/>
    <col width="12" customWidth="1" min="82" max="82"/>
    <col width="10" customWidth="1" min="83" max="83"/>
    <col width="10" customWidth="1" min="84" max="84"/>
    <col width="10" customWidth="1" min="85" max="85"/>
    <col width="10" customWidth="1" min="86" max="86"/>
    <col width="11" customWidth="1" min="87" max="87"/>
    <col width="11" customWidth="1" min="88" max="88"/>
    <col width="10" customWidth="1" min="89" max="89"/>
    <col width="12" customWidth="1" min="91" max="91"/>
    <col width="10" customWidth="1" min="92" max="92"/>
    <col width="10" customWidth="1" min="93" max="93"/>
    <col width="10" customWidth="1" min="94" max="94"/>
    <col width="10" customWidth="1" min="95" max="95"/>
    <col width="11" customWidth="1" min="96" max="96"/>
    <col width="11" customWidth="1" min="97" max="97"/>
    <col width="10" customWidth="1" min="98" max="98"/>
    <col width="12" customWidth="1" min="100" max="100"/>
    <col width="10" customWidth="1" min="101" max="101"/>
    <col width="10" customWidth="1" min="102" max="102"/>
    <col width="10" customWidth="1" min="103" max="103"/>
    <col width="10" customWidth="1" min="104" max="104"/>
    <col width="11" customWidth="1" min="105" max="105"/>
    <col width="11" customWidth="1" min="106" max="106"/>
    <col width="10" customWidth="1" min="107" max="107"/>
  </cols>
  <sheetData>
    <row r="1">
      <c r="A1" s="2">
        <f>IF(Settings!$B$12="Y","CLF"&amp;IF(A$2&lt;Settings!$B$3,"19","9")&amp;" Comdty","")</f>
        <v/>
      </c>
      <c r="J1" s="2">
        <f>IF(Settings!$B$12="Y","CLG"&amp;IF(J$2&lt;Settings!$B$3,"19","9")&amp;" Comdty","")</f>
        <v/>
      </c>
      <c r="S1" s="2">
        <f>IF(Settings!$B$12="Y","CLH"&amp;IF(S$2&lt;Settings!$B$3,"19","9")&amp;" Comdty","")</f>
        <v/>
      </c>
      <c r="AB1" s="2">
        <f>IF(Settings!$B$12="Y","CLJ"&amp;IF(AB$2&lt;Settings!$B$3,"19","9")&amp;" Comdty","")</f>
        <v/>
      </c>
      <c r="AK1" s="2">
        <f>IF(Settings!$B$12="Y","CLK"&amp;IF(AK$2&lt;Settings!$B$3,"19","9")&amp;" Comdty","")</f>
        <v/>
      </c>
      <c r="AT1" s="2">
        <f>IF(Settings!$B$12="Y","CLM"&amp;IF(AT$2&lt;Settings!$B$3,"19","9")&amp;" Comdty","")</f>
        <v/>
      </c>
      <c r="BC1" s="2">
        <f>IF(Settings!$B$12="Y","CLN"&amp;IF(BC$2&lt;Settings!$B$3,"19","9")&amp;" Comdty","")</f>
        <v/>
      </c>
      <c r="BL1" s="2">
        <f>IF(Settings!$B$12="Y","CLQ"&amp;IF(BL$2&lt;Settings!$B$3,"19","9")&amp;" Comdty","")</f>
        <v/>
      </c>
      <c r="BU1" s="2">
        <f>IF(Settings!$B$12="Y","CLU"&amp;IF(BU$2&lt;Settings!$B$3,"19","9")&amp;" Comdty","")</f>
        <v/>
      </c>
      <c r="CD1" s="2">
        <f>IF(Settings!$B$12="Y","CLV"&amp;IF(CD$2&lt;Settings!$B$3,"19","9")&amp;" Comdty","")</f>
        <v/>
      </c>
      <c r="CM1" s="2">
        <f>IF(Settings!$B$12="Y","CLX"&amp;IF(CM$2&lt;Settings!$B$3,"19","9")&amp;" Comdty","")</f>
        <v/>
      </c>
      <c r="CV1" s="2">
        <f>IF(Settings!$B$12="Y","CLZ"&amp;IF(CV$2&lt;Settings!$B$3,"19","9")&amp;" Comdty","")</f>
        <v/>
      </c>
    </row>
    <row r="2">
      <c r="A2" s="8">
        <f>WORKDAY(DATE(2019,1-1,25),-3)</f>
        <v/>
      </c>
      <c r="B2" s="8">
        <f>IF(A$1="","",BDP(A$1,"LAST_TRADEABLE_DT"))</f>
        <v/>
      </c>
      <c r="J2" s="8">
        <f>WORKDAY(DATE(2019,2-1,25),-3)</f>
        <v/>
      </c>
      <c r="K2" s="8">
        <f>IF(J$1="","",BDP(J$1,"LAST_TRADEABLE_DT"))</f>
        <v/>
      </c>
      <c r="S2" s="8">
        <f>WORKDAY(DATE(2019,3-1,25),-3)</f>
        <v/>
      </c>
      <c r="T2" s="8">
        <f>IF(S$1="","",BDP(S$1,"LAST_TRADEABLE_DT"))</f>
        <v/>
      </c>
      <c r="AB2" s="8">
        <f>WORKDAY(DATE(2019,4-1,25),-3)</f>
        <v/>
      </c>
      <c r="AC2" s="8">
        <f>IF(AB$1="","",BDP(AB$1,"LAST_TRADEABLE_DT"))</f>
        <v/>
      </c>
      <c r="AK2" s="8">
        <f>WORKDAY(DATE(2019,5-1,25),-3)</f>
        <v/>
      </c>
      <c r="AL2" s="8">
        <f>IF(AK$1="","",BDP(AK$1,"LAST_TRADEABLE_DT"))</f>
        <v/>
      </c>
      <c r="AT2" s="8">
        <f>WORKDAY(DATE(2019,6-1,25),-3)</f>
        <v/>
      </c>
      <c r="AU2" s="8">
        <f>IF(AT$1="","",BDP(AT$1,"LAST_TRADEABLE_DT"))</f>
        <v/>
      </c>
      <c r="BC2" s="8">
        <f>WORKDAY(DATE(2019,7-1,25),-3)</f>
        <v/>
      </c>
      <c r="BD2" s="8">
        <f>IF(BC$1="","",BDP(BC$1,"LAST_TRADEABLE_DT"))</f>
        <v/>
      </c>
      <c r="BL2" s="8">
        <f>WORKDAY(DATE(2019,8-1,25),-3)</f>
        <v/>
      </c>
      <c r="BM2" s="8">
        <f>IF(BL$1="","",BDP(BL$1,"LAST_TRADEABLE_DT"))</f>
        <v/>
      </c>
      <c r="BU2" s="8">
        <f>WORKDAY(DATE(2019,9-1,25),-3)</f>
        <v/>
      </c>
      <c r="BV2" s="8">
        <f>IF(BU$1="","",BDP(BU$1,"LAST_TRADEABLE_DT"))</f>
        <v/>
      </c>
      <c r="CD2" s="8">
        <f>WORKDAY(DATE(2019,10-1,25),-3)</f>
        <v/>
      </c>
      <c r="CE2" s="8">
        <f>IF(CD$1="","",BDP(CD$1,"LAST_TRADEABLE_DT"))</f>
        <v/>
      </c>
      <c r="CM2" s="8">
        <f>WORKDAY(DATE(2019,11-1,25),-3)</f>
        <v/>
      </c>
      <c r="CN2" s="8">
        <f>IF(CM$1="","",BDP(CM$1,"LAST_TRADEABLE_DT"))</f>
        <v/>
      </c>
      <c r="CV2" s="8">
        <f>WORKDAY(DATE(2019,12-1,25),-3)</f>
        <v/>
      </c>
      <c r="CW2" s="8">
        <f>IF(CV$1="","",BDP(CV$1,"LAST_TRADEABLE_DT"))</f>
        <v/>
      </c>
    </row>
    <row r="3">
      <c r="A3" s="5" t="inlineStr">
        <is>
          <t>Date</t>
        </is>
      </c>
      <c r="B3" s="5" t="inlineStr">
        <is>
          <t>PX_OPEN</t>
        </is>
      </c>
      <c r="C3" s="5" t="inlineStr">
        <is>
          <t>PX_HIGH</t>
        </is>
      </c>
      <c r="D3" s="5" t="inlineStr">
        <is>
          <t>PX_LOW</t>
        </is>
      </c>
      <c r="E3" s="5" t="inlineStr">
        <is>
          <t>PX_LAST</t>
        </is>
      </c>
      <c r="F3" s="5" t="inlineStr">
        <is>
          <t>PX_SETTLE</t>
        </is>
      </c>
      <c r="G3" s="5" t="inlineStr">
        <is>
          <t>PX_VOLUME</t>
        </is>
      </c>
      <c r="H3" s="5" t="inlineStr">
        <is>
          <t>OPEN_INT</t>
        </is>
      </c>
      <c r="J3" s="5" t="inlineStr">
        <is>
          <t>Date</t>
        </is>
      </c>
      <c r="K3" s="5" t="inlineStr">
        <is>
          <t>PX_OPEN</t>
        </is>
      </c>
      <c r="L3" s="5" t="inlineStr">
        <is>
          <t>PX_HIGH</t>
        </is>
      </c>
      <c r="M3" s="5" t="inlineStr">
        <is>
          <t>PX_LOW</t>
        </is>
      </c>
      <c r="N3" s="5" t="inlineStr">
        <is>
          <t>PX_LAST</t>
        </is>
      </c>
      <c r="O3" s="5" t="inlineStr">
        <is>
          <t>PX_SETTLE</t>
        </is>
      </c>
      <c r="P3" s="5" t="inlineStr">
        <is>
          <t>PX_VOLUME</t>
        </is>
      </c>
      <c r="Q3" s="5" t="inlineStr">
        <is>
          <t>OPEN_INT</t>
        </is>
      </c>
      <c r="S3" s="5" t="inlineStr">
        <is>
          <t>Date</t>
        </is>
      </c>
      <c r="T3" s="5" t="inlineStr">
        <is>
          <t>PX_OPEN</t>
        </is>
      </c>
      <c r="U3" s="5" t="inlineStr">
        <is>
          <t>PX_HIGH</t>
        </is>
      </c>
      <c r="V3" s="5" t="inlineStr">
        <is>
          <t>PX_LOW</t>
        </is>
      </c>
      <c r="W3" s="5" t="inlineStr">
        <is>
          <t>PX_LAST</t>
        </is>
      </c>
      <c r="X3" s="5" t="inlineStr">
        <is>
          <t>PX_SETTLE</t>
        </is>
      </c>
      <c r="Y3" s="5" t="inlineStr">
        <is>
          <t>PX_VOLUME</t>
        </is>
      </c>
      <c r="Z3" s="5" t="inlineStr">
        <is>
          <t>OPEN_INT</t>
        </is>
      </c>
      <c r="AB3" s="5" t="inlineStr">
        <is>
          <t>Date</t>
        </is>
      </c>
      <c r="AC3" s="5" t="inlineStr">
        <is>
          <t>PX_OPEN</t>
        </is>
      </c>
      <c r="AD3" s="5" t="inlineStr">
        <is>
          <t>PX_HIGH</t>
        </is>
      </c>
      <c r="AE3" s="5" t="inlineStr">
        <is>
          <t>PX_LOW</t>
        </is>
      </c>
      <c r="AF3" s="5" t="inlineStr">
        <is>
          <t>PX_LAST</t>
        </is>
      </c>
      <c r="AG3" s="5" t="inlineStr">
        <is>
          <t>PX_SETTLE</t>
        </is>
      </c>
      <c r="AH3" s="5" t="inlineStr">
        <is>
          <t>PX_VOLUME</t>
        </is>
      </c>
      <c r="AI3" s="5" t="inlineStr">
        <is>
          <t>OPEN_INT</t>
        </is>
      </c>
      <c r="AK3" s="5" t="inlineStr">
        <is>
          <t>Date</t>
        </is>
      </c>
      <c r="AL3" s="5" t="inlineStr">
        <is>
          <t>PX_OPEN</t>
        </is>
      </c>
      <c r="AM3" s="5" t="inlineStr">
        <is>
          <t>PX_HIGH</t>
        </is>
      </c>
      <c r="AN3" s="5" t="inlineStr">
        <is>
          <t>PX_LOW</t>
        </is>
      </c>
      <c r="AO3" s="5" t="inlineStr">
        <is>
          <t>PX_LAST</t>
        </is>
      </c>
      <c r="AP3" s="5" t="inlineStr">
        <is>
          <t>PX_SETTLE</t>
        </is>
      </c>
      <c r="AQ3" s="5" t="inlineStr">
        <is>
          <t>PX_VOLUME</t>
        </is>
      </c>
      <c r="AR3" s="5" t="inlineStr">
        <is>
          <t>OPEN_INT</t>
        </is>
      </c>
      <c r="AT3" s="5" t="inlineStr">
        <is>
          <t>Date</t>
        </is>
      </c>
      <c r="AU3" s="5" t="inlineStr">
        <is>
          <t>PX_OPEN</t>
        </is>
      </c>
      <c r="AV3" s="5" t="inlineStr">
        <is>
          <t>PX_HIGH</t>
        </is>
      </c>
      <c r="AW3" s="5" t="inlineStr">
        <is>
          <t>PX_LOW</t>
        </is>
      </c>
      <c r="AX3" s="5" t="inlineStr">
        <is>
          <t>PX_LAST</t>
        </is>
      </c>
      <c r="AY3" s="5" t="inlineStr">
        <is>
          <t>PX_SETTLE</t>
        </is>
      </c>
      <c r="AZ3" s="5" t="inlineStr">
        <is>
          <t>PX_VOLUME</t>
        </is>
      </c>
      <c r="BA3" s="5" t="inlineStr">
        <is>
          <t>OPEN_INT</t>
        </is>
      </c>
      <c r="BC3" s="5" t="inlineStr">
        <is>
          <t>Date</t>
        </is>
      </c>
      <c r="BD3" s="5" t="inlineStr">
        <is>
          <t>PX_OPEN</t>
        </is>
      </c>
      <c r="BE3" s="5" t="inlineStr">
        <is>
          <t>PX_HIGH</t>
        </is>
      </c>
      <c r="BF3" s="5" t="inlineStr">
        <is>
          <t>PX_LOW</t>
        </is>
      </c>
      <c r="BG3" s="5" t="inlineStr">
        <is>
          <t>PX_LAST</t>
        </is>
      </c>
      <c r="BH3" s="5" t="inlineStr">
        <is>
          <t>PX_SETTLE</t>
        </is>
      </c>
      <c r="BI3" s="5" t="inlineStr">
        <is>
          <t>PX_VOLUME</t>
        </is>
      </c>
      <c r="BJ3" s="5" t="inlineStr">
        <is>
          <t>OPEN_INT</t>
        </is>
      </c>
      <c r="BL3" s="5" t="inlineStr">
        <is>
          <t>Date</t>
        </is>
      </c>
      <c r="BM3" s="5" t="inlineStr">
        <is>
          <t>PX_OPEN</t>
        </is>
      </c>
      <c r="BN3" s="5" t="inlineStr">
        <is>
          <t>PX_HIGH</t>
        </is>
      </c>
      <c r="BO3" s="5" t="inlineStr">
        <is>
          <t>PX_LOW</t>
        </is>
      </c>
      <c r="BP3" s="5" t="inlineStr">
        <is>
          <t>PX_LAST</t>
        </is>
      </c>
      <c r="BQ3" s="5" t="inlineStr">
        <is>
          <t>PX_SETTLE</t>
        </is>
      </c>
      <c r="BR3" s="5" t="inlineStr">
        <is>
          <t>PX_VOLUME</t>
        </is>
      </c>
      <c r="BS3" s="5" t="inlineStr">
        <is>
          <t>OPEN_INT</t>
        </is>
      </c>
      <c r="BU3" s="5" t="inlineStr">
        <is>
          <t>Date</t>
        </is>
      </c>
      <c r="BV3" s="5" t="inlineStr">
        <is>
          <t>PX_OPEN</t>
        </is>
      </c>
      <c r="BW3" s="5" t="inlineStr">
        <is>
          <t>PX_HIGH</t>
        </is>
      </c>
      <c r="BX3" s="5" t="inlineStr">
        <is>
          <t>PX_LOW</t>
        </is>
      </c>
      <c r="BY3" s="5" t="inlineStr">
        <is>
          <t>PX_LAST</t>
        </is>
      </c>
      <c r="BZ3" s="5" t="inlineStr">
        <is>
          <t>PX_SETTLE</t>
        </is>
      </c>
      <c r="CA3" s="5" t="inlineStr">
        <is>
          <t>PX_VOLUME</t>
        </is>
      </c>
      <c r="CB3" s="5" t="inlineStr">
        <is>
          <t>OPEN_INT</t>
        </is>
      </c>
      <c r="CD3" s="5" t="inlineStr">
        <is>
          <t>Date</t>
        </is>
      </c>
      <c r="CE3" s="5" t="inlineStr">
        <is>
          <t>PX_OPEN</t>
        </is>
      </c>
      <c r="CF3" s="5" t="inlineStr">
        <is>
          <t>PX_HIGH</t>
        </is>
      </c>
      <c r="CG3" s="5" t="inlineStr">
        <is>
          <t>PX_LOW</t>
        </is>
      </c>
      <c r="CH3" s="5" t="inlineStr">
        <is>
          <t>PX_LAST</t>
        </is>
      </c>
      <c r="CI3" s="5" t="inlineStr">
        <is>
          <t>PX_SETTLE</t>
        </is>
      </c>
      <c r="CJ3" s="5" t="inlineStr">
        <is>
          <t>PX_VOLUME</t>
        </is>
      </c>
      <c r="CK3" s="5" t="inlineStr">
        <is>
          <t>OPEN_INT</t>
        </is>
      </c>
      <c r="CM3" s="5" t="inlineStr">
        <is>
          <t>Date</t>
        </is>
      </c>
      <c r="CN3" s="5" t="inlineStr">
        <is>
          <t>PX_OPEN</t>
        </is>
      </c>
      <c r="CO3" s="5" t="inlineStr">
        <is>
          <t>PX_HIGH</t>
        </is>
      </c>
      <c r="CP3" s="5" t="inlineStr">
        <is>
          <t>PX_LOW</t>
        </is>
      </c>
      <c r="CQ3" s="5" t="inlineStr">
        <is>
          <t>PX_LAST</t>
        </is>
      </c>
      <c r="CR3" s="5" t="inlineStr">
        <is>
          <t>PX_SETTLE</t>
        </is>
      </c>
      <c r="CS3" s="5" t="inlineStr">
        <is>
          <t>PX_VOLUME</t>
        </is>
      </c>
      <c r="CT3" s="5" t="inlineStr">
        <is>
          <t>OPEN_INT</t>
        </is>
      </c>
      <c r="CV3" s="5" t="inlineStr">
        <is>
          <t>Date</t>
        </is>
      </c>
      <c r="CW3" s="5" t="inlineStr">
        <is>
          <t>PX_OPEN</t>
        </is>
      </c>
      <c r="CX3" s="5" t="inlineStr">
        <is>
          <t>PX_HIGH</t>
        </is>
      </c>
      <c r="CY3" s="5" t="inlineStr">
        <is>
          <t>PX_LOW</t>
        </is>
      </c>
      <c r="CZ3" s="5" t="inlineStr">
        <is>
          <t>PX_LAST</t>
        </is>
      </c>
      <c r="DA3" s="5" t="inlineStr">
        <is>
          <t>PX_SETTLE</t>
        </is>
      </c>
      <c r="DB3" s="5" t="inlineStr">
        <is>
          <t>PX_VOLUME</t>
        </is>
      </c>
      <c r="DC3" s="5" t="inlineStr">
        <is>
          <t>OPEN_INT</t>
        </is>
      </c>
    </row>
    <row r="4">
      <c r="A4" s="4">
        <f>BDH(A$1,B$3:H$3,Settings!$C$12,IF(Settings!$D$12="","",Settings!$D$12),"Dir=V","Dts=S","Sort=A","Days=T","Fill=B")</f>
        <v/>
      </c>
      <c r="J4" s="4">
        <f>BDH(J$1,K$3:Q$3,Settings!$C$12,IF(Settings!$D$12="","",Settings!$D$12),"Dir=V","Dts=S","Sort=A","Days=T","Fill=B")</f>
        <v/>
      </c>
      <c r="S4" s="4">
        <f>BDH(S$1,T$3:Z$3,Settings!$C$12,IF(Settings!$D$12="","",Settings!$D$12),"Dir=V","Dts=S","Sort=A","Days=T","Fill=B")</f>
        <v/>
      </c>
      <c r="AB4" s="4">
        <f>BDH(AB$1,AC$3:AI$3,Settings!$C$12,IF(Settings!$D$12="","",Settings!$D$12),"Dir=V","Dts=S","Sort=A","Days=T","Fill=B")</f>
        <v/>
      </c>
      <c r="AK4" s="4">
        <f>BDH(AK$1,AL$3:AR$3,Settings!$C$12,IF(Settings!$D$12="","",Settings!$D$12),"Dir=V","Dts=S","Sort=A","Days=T","Fill=B")</f>
        <v/>
      </c>
      <c r="AT4" s="4">
        <f>BDH(AT$1,AU$3:BA$3,Settings!$C$12,IF(Settings!$D$12="","",Settings!$D$12),"Dir=V","Dts=S","Sort=A","Days=T","Fill=B")</f>
        <v/>
      </c>
      <c r="BC4" s="4">
        <f>BDH(BC$1,BD$3:BJ$3,Settings!$C$12,IF(Settings!$D$12="","",Settings!$D$12),"Dir=V","Dts=S","Sort=A","Days=T","Fill=B")</f>
        <v/>
      </c>
      <c r="BL4" s="4">
        <f>BDH(BL$1,BM$3:BS$3,Settings!$C$12,IF(Settings!$D$12="","",Settings!$D$12),"Dir=V","Dts=S","Sort=A","Days=T","Fill=B")</f>
        <v/>
      </c>
      <c r="BU4" s="4">
        <f>BDH(BU$1,BV$3:CB$3,Settings!$C$12,IF(Settings!$D$12="","",Settings!$D$12),"Dir=V","Dts=S","Sort=A","Days=T","Fill=B")</f>
        <v/>
      </c>
      <c r="CD4" s="4">
        <f>BDH(CD$1,CE$3:CK$3,Settings!$C$12,IF(Settings!$D$12="","",Settings!$D$12),"Dir=V","Dts=S","Sort=A","Days=T","Fill=B")</f>
        <v/>
      </c>
      <c r="CM4" s="4">
        <f>BDH(CM$1,CN$3:CT$3,Settings!$C$12,IF(Settings!$D$12="","",Settings!$D$12),"Dir=V","Dts=S","Sort=A","Days=T","Fill=B")</f>
        <v/>
      </c>
      <c r="CV4" s="4">
        <f>BDH(CV$1,CW$3:DC$3,Settings!$C$12,IF(Settings!$D$12="","",Settings!$D$12),"Dir=V","Dts=S","Sort=A","Days=T","Fill=B")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C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1" customWidth="1" min="7" max="7"/>
    <col width="10" customWidth="1" min="8" max="8"/>
    <col width="12" customWidth="1" min="10" max="10"/>
    <col width="10" customWidth="1" min="11" max="11"/>
    <col width="10" customWidth="1" min="12" max="12"/>
    <col width="10" customWidth="1" min="13" max="13"/>
    <col width="10" customWidth="1" min="14" max="14"/>
    <col width="11" customWidth="1" min="15" max="15"/>
    <col width="11" customWidth="1" min="16" max="16"/>
    <col width="10" customWidth="1" min="17" max="17"/>
    <col width="12" customWidth="1" min="19" max="19"/>
    <col width="10" customWidth="1" min="20" max="20"/>
    <col width="10" customWidth="1" min="21" max="21"/>
    <col width="10" customWidth="1" min="22" max="22"/>
    <col width="10" customWidth="1" min="23" max="23"/>
    <col width="11" customWidth="1" min="24" max="24"/>
    <col width="11" customWidth="1" min="25" max="25"/>
    <col width="10" customWidth="1" min="26" max="26"/>
    <col width="12" customWidth="1" min="28" max="28"/>
    <col width="10" customWidth="1" min="29" max="29"/>
    <col width="10" customWidth="1" min="30" max="30"/>
    <col width="10" customWidth="1" min="31" max="31"/>
    <col width="10" customWidth="1" min="32" max="32"/>
    <col width="11" customWidth="1" min="33" max="33"/>
    <col width="11" customWidth="1" min="34" max="34"/>
    <col width="10" customWidth="1" min="35" max="35"/>
    <col width="12" customWidth="1" min="37" max="37"/>
    <col width="10" customWidth="1" min="38" max="38"/>
    <col width="10" customWidth="1" min="39" max="39"/>
    <col width="10" customWidth="1" min="40" max="40"/>
    <col width="10" customWidth="1" min="41" max="41"/>
    <col width="11" customWidth="1" min="42" max="42"/>
    <col width="11" customWidth="1" min="43" max="43"/>
    <col width="10" customWidth="1" min="44" max="44"/>
    <col width="12" customWidth="1" min="46" max="46"/>
    <col width="10" customWidth="1" min="47" max="47"/>
    <col width="10" customWidth="1" min="48" max="48"/>
    <col width="10" customWidth="1" min="49" max="49"/>
    <col width="10" customWidth="1" min="50" max="50"/>
    <col width="11" customWidth="1" min="51" max="51"/>
    <col width="11" customWidth="1" min="52" max="52"/>
    <col width="10" customWidth="1" min="53" max="53"/>
    <col width="12" customWidth="1" min="55" max="55"/>
    <col width="10" customWidth="1" min="56" max="56"/>
    <col width="10" customWidth="1" min="57" max="57"/>
    <col width="10" customWidth="1" min="58" max="58"/>
    <col width="10" customWidth="1" min="59" max="59"/>
    <col width="11" customWidth="1" min="60" max="60"/>
    <col width="11" customWidth="1" min="61" max="61"/>
    <col width="10" customWidth="1" min="62" max="62"/>
    <col width="12" customWidth="1" min="64" max="64"/>
    <col width="10" customWidth="1" min="65" max="65"/>
    <col width="10" customWidth="1" min="66" max="66"/>
    <col width="10" customWidth="1" min="67" max="67"/>
    <col width="10" customWidth="1" min="68" max="68"/>
    <col width="11" customWidth="1" min="69" max="69"/>
    <col width="11" customWidth="1" min="70" max="70"/>
    <col width="10" customWidth="1" min="71" max="71"/>
    <col width="12" customWidth="1" min="73" max="73"/>
    <col width="10" customWidth="1" min="74" max="74"/>
    <col width="10" customWidth="1" min="75" max="75"/>
    <col width="10" customWidth="1" min="76" max="76"/>
    <col width="10" customWidth="1" min="77" max="77"/>
    <col width="11" customWidth="1" min="78" max="78"/>
    <col width="11" customWidth="1" min="79" max="79"/>
    <col width="10" customWidth="1" min="80" max="80"/>
    <col width="12" customWidth="1" min="82" max="82"/>
    <col width="10" customWidth="1" min="83" max="83"/>
    <col width="10" customWidth="1" min="84" max="84"/>
    <col width="10" customWidth="1" min="85" max="85"/>
    <col width="10" customWidth="1" min="86" max="86"/>
    <col width="11" customWidth="1" min="87" max="87"/>
    <col width="11" customWidth="1" min="88" max="88"/>
    <col width="10" customWidth="1" min="89" max="89"/>
    <col width="12" customWidth="1" min="91" max="91"/>
    <col width="10" customWidth="1" min="92" max="92"/>
    <col width="10" customWidth="1" min="93" max="93"/>
    <col width="10" customWidth="1" min="94" max="94"/>
    <col width="10" customWidth="1" min="95" max="95"/>
    <col width="11" customWidth="1" min="96" max="96"/>
    <col width="11" customWidth="1" min="97" max="97"/>
    <col width="10" customWidth="1" min="98" max="98"/>
    <col width="12" customWidth="1" min="100" max="100"/>
    <col width="10" customWidth="1" min="101" max="101"/>
    <col width="10" customWidth="1" min="102" max="102"/>
    <col width="10" customWidth="1" min="103" max="103"/>
    <col width="10" customWidth="1" min="104" max="104"/>
    <col width="11" customWidth="1" min="105" max="105"/>
    <col width="11" customWidth="1" min="106" max="106"/>
    <col width="10" customWidth="1" min="107" max="107"/>
  </cols>
  <sheetData>
    <row r="1">
      <c r="A1" s="2">
        <f>IF(Settings!$B$12="Y","CLF"&amp;IF(A$2&lt;Settings!$B$3,"20","0")&amp;" Comdty","")</f>
        <v/>
      </c>
      <c r="J1" s="2">
        <f>IF(Settings!$B$12="Y","CLG"&amp;IF(J$2&lt;Settings!$B$3,"20","0")&amp;" Comdty","")</f>
        <v/>
      </c>
      <c r="S1" s="2">
        <f>IF(Settings!$B$12="Y","CLH"&amp;IF(S$2&lt;Settings!$B$3,"20","0")&amp;" Comdty","")</f>
        <v/>
      </c>
      <c r="AB1" s="2">
        <f>IF(Settings!$B$12="Y","CLJ"&amp;IF(AB$2&lt;Settings!$B$3,"20","0")&amp;" Comdty","")</f>
        <v/>
      </c>
      <c r="AK1" s="2">
        <f>IF(Settings!$B$12="Y","CLK"&amp;IF(AK$2&lt;Settings!$B$3,"20","0")&amp;" Comdty","")</f>
        <v/>
      </c>
      <c r="AT1" s="2">
        <f>IF(Settings!$B$12="Y","CLM"&amp;IF(AT$2&lt;Settings!$B$3,"20","0")&amp;" Comdty","")</f>
        <v/>
      </c>
      <c r="BC1" s="2">
        <f>IF(Settings!$B$12="Y","CLN"&amp;IF(BC$2&lt;Settings!$B$3,"20","0")&amp;" Comdty","")</f>
        <v/>
      </c>
      <c r="BL1" s="2">
        <f>IF(Settings!$B$12="Y","CLQ"&amp;IF(BL$2&lt;Settings!$B$3,"20","0")&amp;" Comdty","")</f>
        <v/>
      </c>
      <c r="BU1" s="2">
        <f>IF(Settings!$B$12="Y","CLU"&amp;IF(BU$2&lt;Settings!$B$3,"20","0")&amp;" Comdty","")</f>
        <v/>
      </c>
      <c r="CD1" s="2">
        <f>IF(Settings!$B$12="Y","CLV"&amp;IF(CD$2&lt;Settings!$B$3,"20","0")&amp;" Comdty","")</f>
        <v/>
      </c>
      <c r="CM1" s="2">
        <f>IF(Settings!$B$12="Y","CLX"&amp;IF(CM$2&lt;Settings!$B$3,"20","0")&amp;" Comdty","")</f>
        <v/>
      </c>
      <c r="CV1" s="2">
        <f>IF(Settings!$B$12="Y","CLZ"&amp;IF(CV$2&lt;Settings!$B$3,"20","0")&amp;" Comdty","")</f>
        <v/>
      </c>
    </row>
    <row r="2">
      <c r="A2" s="8">
        <f>WORKDAY(DATE(2020,1-1,25),-3)</f>
        <v/>
      </c>
      <c r="B2" s="8">
        <f>IF(A$1="","",BDP(A$1,"LAST_TRADEABLE_DT"))</f>
        <v/>
      </c>
      <c r="J2" s="8">
        <f>WORKDAY(DATE(2020,2-1,25),-3)</f>
        <v/>
      </c>
      <c r="K2" s="8">
        <f>IF(J$1="","",BDP(J$1,"LAST_TRADEABLE_DT"))</f>
        <v/>
      </c>
      <c r="S2" s="8">
        <f>WORKDAY(DATE(2020,3-1,25),-3)</f>
        <v/>
      </c>
      <c r="T2" s="8">
        <f>IF(S$1="","",BDP(S$1,"LAST_TRADEABLE_DT"))</f>
        <v/>
      </c>
      <c r="AB2" s="8">
        <f>WORKDAY(DATE(2020,4-1,25),-3)</f>
        <v/>
      </c>
      <c r="AC2" s="8">
        <f>IF(AB$1="","",BDP(AB$1,"LAST_TRADEABLE_DT"))</f>
        <v/>
      </c>
      <c r="AK2" s="8">
        <f>WORKDAY(DATE(2020,5-1,25),-3)</f>
        <v/>
      </c>
      <c r="AL2" s="8">
        <f>IF(AK$1="","",BDP(AK$1,"LAST_TRADEABLE_DT"))</f>
        <v/>
      </c>
      <c r="AT2" s="8">
        <f>WORKDAY(DATE(2020,6-1,25),-3)</f>
        <v/>
      </c>
      <c r="AU2" s="8">
        <f>IF(AT$1="","",BDP(AT$1,"LAST_TRADEABLE_DT"))</f>
        <v/>
      </c>
      <c r="BC2" s="8">
        <f>WORKDAY(DATE(2020,7-1,25),-3)</f>
        <v/>
      </c>
      <c r="BD2" s="8">
        <f>IF(BC$1="","",BDP(BC$1,"LAST_TRADEABLE_DT"))</f>
        <v/>
      </c>
      <c r="BL2" s="8">
        <f>WORKDAY(DATE(2020,8-1,25),-3)</f>
        <v/>
      </c>
      <c r="BM2" s="8">
        <f>IF(BL$1="","",BDP(BL$1,"LAST_TRADEABLE_DT"))</f>
        <v/>
      </c>
      <c r="BU2" s="8">
        <f>WORKDAY(DATE(2020,9-1,25),-3)</f>
        <v/>
      </c>
      <c r="BV2" s="8">
        <f>IF(BU$1="","",BDP(BU$1,"LAST_TRADEABLE_DT"))</f>
        <v/>
      </c>
      <c r="CD2" s="8">
        <f>WORKDAY(DATE(2020,10-1,25),-3)</f>
        <v/>
      </c>
      <c r="CE2" s="8">
        <f>IF(CD$1="","",BDP(CD$1,"LAST_TRADEABLE_DT"))</f>
        <v/>
      </c>
      <c r="CM2" s="8">
        <f>WORKDAY(DATE(2020,11-1,25),-3)</f>
        <v/>
      </c>
      <c r="CN2" s="8">
        <f>IF(CM$1="","",BDP(CM$1,"LAST_TRADEABLE_DT"))</f>
        <v/>
      </c>
      <c r="CV2" s="8">
        <f>WORKDAY(DATE(2020,12-1,25),-3)</f>
        <v/>
      </c>
      <c r="CW2" s="8">
        <f>IF(CV$1="","",BDP(CV$1,"LAST_TRADEABLE_DT"))</f>
        <v/>
      </c>
    </row>
    <row r="3">
      <c r="A3" s="5" t="inlineStr">
        <is>
          <t>Date</t>
        </is>
      </c>
      <c r="B3" s="5" t="inlineStr">
        <is>
          <t>PX_OPEN</t>
        </is>
      </c>
      <c r="C3" s="5" t="inlineStr">
        <is>
          <t>PX_HIGH</t>
        </is>
      </c>
      <c r="D3" s="5" t="inlineStr">
        <is>
          <t>PX_LOW</t>
        </is>
      </c>
      <c r="E3" s="5" t="inlineStr">
        <is>
          <t>PX_LAST</t>
        </is>
      </c>
      <c r="F3" s="5" t="inlineStr">
        <is>
          <t>PX_SETTLE</t>
        </is>
      </c>
      <c r="G3" s="5" t="inlineStr">
        <is>
          <t>PX_VOLUME</t>
        </is>
      </c>
      <c r="H3" s="5" t="inlineStr">
        <is>
          <t>OPEN_INT</t>
        </is>
      </c>
      <c r="J3" s="5" t="inlineStr">
        <is>
          <t>Date</t>
        </is>
      </c>
      <c r="K3" s="5" t="inlineStr">
        <is>
          <t>PX_OPEN</t>
        </is>
      </c>
      <c r="L3" s="5" t="inlineStr">
        <is>
          <t>PX_HIGH</t>
        </is>
      </c>
      <c r="M3" s="5" t="inlineStr">
        <is>
          <t>PX_LOW</t>
        </is>
      </c>
      <c r="N3" s="5" t="inlineStr">
        <is>
          <t>PX_LAST</t>
        </is>
      </c>
      <c r="O3" s="5" t="inlineStr">
        <is>
          <t>PX_SETTLE</t>
        </is>
      </c>
      <c r="P3" s="5" t="inlineStr">
        <is>
          <t>PX_VOLUME</t>
        </is>
      </c>
      <c r="Q3" s="5" t="inlineStr">
        <is>
          <t>OPEN_INT</t>
        </is>
      </c>
      <c r="S3" s="5" t="inlineStr">
        <is>
          <t>Date</t>
        </is>
      </c>
      <c r="T3" s="5" t="inlineStr">
        <is>
          <t>PX_OPEN</t>
        </is>
      </c>
      <c r="U3" s="5" t="inlineStr">
        <is>
          <t>PX_HIGH</t>
        </is>
      </c>
      <c r="V3" s="5" t="inlineStr">
        <is>
          <t>PX_LOW</t>
        </is>
      </c>
      <c r="W3" s="5" t="inlineStr">
        <is>
          <t>PX_LAST</t>
        </is>
      </c>
      <c r="X3" s="5" t="inlineStr">
        <is>
          <t>PX_SETTLE</t>
        </is>
      </c>
      <c r="Y3" s="5" t="inlineStr">
        <is>
          <t>PX_VOLUME</t>
        </is>
      </c>
      <c r="Z3" s="5" t="inlineStr">
        <is>
          <t>OPEN_INT</t>
        </is>
      </c>
      <c r="AB3" s="5" t="inlineStr">
        <is>
          <t>Date</t>
        </is>
      </c>
      <c r="AC3" s="5" t="inlineStr">
        <is>
          <t>PX_OPEN</t>
        </is>
      </c>
      <c r="AD3" s="5" t="inlineStr">
        <is>
          <t>PX_HIGH</t>
        </is>
      </c>
      <c r="AE3" s="5" t="inlineStr">
        <is>
          <t>PX_LOW</t>
        </is>
      </c>
      <c r="AF3" s="5" t="inlineStr">
        <is>
          <t>PX_LAST</t>
        </is>
      </c>
      <c r="AG3" s="5" t="inlineStr">
        <is>
          <t>PX_SETTLE</t>
        </is>
      </c>
      <c r="AH3" s="5" t="inlineStr">
        <is>
          <t>PX_VOLUME</t>
        </is>
      </c>
      <c r="AI3" s="5" t="inlineStr">
        <is>
          <t>OPEN_INT</t>
        </is>
      </c>
      <c r="AK3" s="5" t="inlineStr">
        <is>
          <t>Date</t>
        </is>
      </c>
      <c r="AL3" s="5" t="inlineStr">
        <is>
          <t>PX_OPEN</t>
        </is>
      </c>
      <c r="AM3" s="5" t="inlineStr">
        <is>
          <t>PX_HIGH</t>
        </is>
      </c>
      <c r="AN3" s="5" t="inlineStr">
        <is>
          <t>PX_LOW</t>
        </is>
      </c>
      <c r="AO3" s="5" t="inlineStr">
        <is>
          <t>PX_LAST</t>
        </is>
      </c>
      <c r="AP3" s="5" t="inlineStr">
        <is>
          <t>PX_SETTLE</t>
        </is>
      </c>
      <c r="AQ3" s="5" t="inlineStr">
        <is>
          <t>PX_VOLUME</t>
        </is>
      </c>
      <c r="AR3" s="5" t="inlineStr">
        <is>
          <t>OPEN_INT</t>
        </is>
      </c>
      <c r="AT3" s="5" t="inlineStr">
        <is>
          <t>Date</t>
        </is>
      </c>
      <c r="AU3" s="5" t="inlineStr">
        <is>
          <t>PX_OPEN</t>
        </is>
      </c>
      <c r="AV3" s="5" t="inlineStr">
        <is>
          <t>PX_HIGH</t>
        </is>
      </c>
      <c r="AW3" s="5" t="inlineStr">
        <is>
          <t>PX_LOW</t>
        </is>
      </c>
      <c r="AX3" s="5" t="inlineStr">
        <is>
          <t>PX_LAST</t>
        </is>
      </c>
      <c r="AY3" s="5" t="inlineStr">
        <is>
          <t>PX_SETTLE</t>
        </is>
      </c>
      <c r="AZ3" s="5" t="inlineStr">
        <is>
          <t>PX_VOLUME</t>
        </is>
      </c>
      <c r="BA3" s="5" t="inlineStr">
        <is>
          <t>OPEN_INT</t>
        </is>
      </c>
      <c r="BC3" s="5" t="inlineStr">
        <is>
          <t>Date</t>
        </is>
      </c>
      <c r="BD3" s="5" t="inlineStr">
        <is>
          <t>PX_OPEN</t>
        </is>
      </c>
      <c r="BE3" s="5" t="inlineStr">
        <is>
          <t>PX_HIGH</t>
        </is>
      </c>
      <c r="BF3" s="5" t="inlineStr">
        <is>
          <t>PX_LOW</t>
        </is>
      </c>
      <c r="BG3" s="5" t="inlineStr">
        <is>
          <t>PX_LAST</t>
        </is>
      </c>
      <c r="BH3" s="5" t="inlineStr">
        <is>
          <t>PX_SETTLE</t>
        </is>
      </c>
      <c r="BI3" s="5" t="inlineStr">
        <is>
          <t>PX_VOLUME</t>
        </is>
      </c>
      <c r="BJ3" s="5" t="inlineStr">
        <is>
          <t>OPEN_INT</t>
        </is>
      </c>
      <c r="BL3" s="5" t="inlineStr">
        <is>
          <t>Date</t>
        </is>
      </c>
      <c r="BM3" s="5" t="inlineStr">
        <is>
          <t>PX_OPEN</t>
        </is>
      </c>
      <c r="BN3" s="5" t="inlineStr">
        <is>
          <t>PX_HIGH</t>
        </is>
      </c>
      <c r="BO3" s="5" t="inlineStr">
        <is>
          <t>PX_LOW</t>
        </is>
      </c>
      <c r="BP3" s="5" t="inlineStr">
        <is>
          <t>PX_LAST</t>
        </is>
      </c>
      <c r="BQ3" s="5" t="inlineStr">
        <is>
          <t>PX_SETTLE</t>
        </is>
      </c>
      <c r="BR3" s="5" t="inlineStr">
        <is>
          <t>PX_VOLUME</t>
        </is>
      </c>
      <c r="BS3" s="5" t="inlineStr">
        <is>
          <t>OPEN_INT</t>
        </is>
      </c>
      <c r="BU3" s="5" t="inlineStr">
        <is>
          <t>Date</t>
        </is>
      </c>
      <c r="BV3" s="5" t="inlineStr">
        <is>
          <t>PX_OPEN</t>
        </is>
      </c>
      <c r="BW3" s="5" t="inlineStr">
        <is>
          <t>PX_HIGH</t>
        </is>
      </c>
      <c r="BX3" s="5" t="inlineStr">
        <is>
          <t>PX_LOW</t>
        </is>
      </c>
      <c r="BY3" s="5" t="inlineStr">
        <is>
          <t>PX_LAST</t>
        </is>
      </c>
      <c r="BZ3" s="5" t="inlineStr">
        <is>
          <t>PX_SETTLE</t>
        </is>
      </c>
      <c r="CA3" s="5" t="inlineStr">
        <is>
          <t>PX_VOLUME</t>
        </is>
      </c>
      <c r="CB3" s="5" t="inlineStr">
        <is>
          <t>OPEN_INT</t>
        </is>
      </c>
      <c r="CD3" s="5" t="inlineStr">
        <is>
          <t>Date</t>
        </is>
      </c>
      <c r="CE3" s="5" t="inlineStr">
        <is>
          <t>PX_OPEN</t>
        </is>
      </c>
      <c r="CF3" s="5" t="inlineStr">
        <is>
          <t>PX_HIGH</t>
        </is>
      </c>
      <c r="CG3" s="5" t="inlineStr">
        <is>
          <t>PX_LOW</t>
        </is>
      </c>
      <c r="CH3" s="5" t="inlineStr">
        <is>
          <t>PX_LAST</t>
        </is>
      </c>
      <c r="CI3" s="5" t="inlineStr">
        <is>
          <t>PX_SETTLE</t>
        </is>
      </c>
      <c r="CJ3" s="5" t="inlineStr">
        <is>
          <t>PX_VOLUME</t>
        </is>
      </c>
      <c r="CK3" s="5" t="inlineStr">
        <is>
          <t>OPEN_INT</t>
        </is>
      </c>
      <c r="CM3" s="5" t="inlineStr">
        <is>
          <t>Date</t>
        </is>
      </c>
      <c r="CN3" s="5" t="inlineStr">
        <is>
          <t>PX_OPEN</t>
        </is>
      </c>
      <c r="CO3" s="5" t="inlineStr">
        <is>
          <t>PX_HIGH</t>
        </is>
      </c>
      <c r="CP3" s="5" t="inlineStr">
        <is>
          <t>PX_LOW</t>
        </is>
      </c>
      <c r="CQ3" s="5" t="inlineStr">
        <is>
          <t>PX_LAST</t>
        </is>
      </c>
      <c r="CR3" s="5" t="inlineStr">
        <is>
          <t>PX_SETTLE</t>
        </is>
      </c>
      <c r="CS3" s="5" t="inlineStr">
        <is>
          <t>PX_VOLUME</t>
        </is>
      </c>
      <c r="CT3" s="5" t="inlineStr">
        <is>
          <t>OPEN_INT</t>
        </is>
      </c>
      <c r="CV3" s="5" t="inlineStr">
        <is>
          <t>Date</t>
        </is>
      </c>
      <c r="CW3" s="5" t="inlineStr">
        <is>
          <t>PX_OPEN</t>
        </is>
      </c>
      <c r="CX3" s="5" t="inlineStr">
        <is>
          <t>PX_HIGH</t>
        </is>
      </c>
      <c r="CY3" s="5" t="inlineStr">
        <is>
          <t>PX_LOW</t>
        </is>
      </c>
      <c r="CZ3" s="5" t="inlineStr">
        <is>
          <t>PX_LAST</t>
        </is>
      </c>
      <c r="DA3" s="5" t="inlineStr">
        <is>
          <t>PX_SETTLE</t>
        </is>
      </c>
      <c r="DB3" s="5" t="inlineStr">
        <is>
          <t>PX_VOLUME</t>
        </is>
      </c>
      <c r="DC3" s="5" t="inlineStr">
        <is>
          <t>OPEN_INT</t>
        </is>
      </c>
    </row>
    <row r="4">
      <c r="A4" s="4">
        <f>BDH(A$1,B$3:H$3,Settings!$C$12,IF(Settings!$D$12="","",Settings!$D$12),"Dir=V","Dts=S","Sort=A","Days=T","Fill=B")</f>
        <v/>
      </c>
      <c r="J4" s="4">
        <f>BDH(J$1,K$3:Q$3,Settings!$C$12,IF(Settings!$D$12="","",Settings!$D$12),"Dir=V","Dts=S","Sort=A","Days=T","Fill=B")</f>
        <v/>
      </c>
      <c r="S4" s="4">
        <f>BDH(S$1,T$3:Z$3,Settings!$C$12,IF(Settings!$D$12="","",Settings!$D$12),"Dir=V","Dts=S","Sort=A","Days=T","Fill=B")</f>
        <v/>
      </c>
      <c r="AB4" s="4">
        <f>BDH(AB$1,AC$3:AI$3,Settings!$C$12,IF(Settings!$D$12="","",Settings!$D$12),"Dir=V","Dts=S","Sort=A","Days=T","Fill=B")</f>
        <v/>
      </c>
      <c r="AK4" s="4">
        <f>BDH(AK$1,AL$3:AR$3,Settings!$C$12,IF(Settings!$D$12="","",Settings!$D$12),"Dir=V","Dts=S","Sort=A","Days=T","Fill=B")</f>
        <v/>
      </c>
      <c r="AT4" s="4">
        <f>BDH(AT$1,AU$3:BA$3,Settings!$C$12,IF(Settings!$D$12="","",Settings!$D$12),"Dir=V","Dts=S","Sort=A","Days=T","Fill=B")</f>
        <v/>
      </c>
      <c r="BC4" s="4">
        <f>BDH(BC$1,BD$3:BJ$3,Settings!$C$12,IF(Settings!$D$12="","",Settings!$D$12),"Dir=V","Dts=S","Sort=A","Days=T","Fill=B")</f>
        <v/>
      </c>
      <c r="BL4" s="4">
        <f>BDH(BL$1,BM$3:BS$3,Settings!$C$12,IF(Settings!$D$12="","",Settings!$D$12),"Dir=V","Dts=S","Sort=A","Days=T","Fill=B")</f>
        <v/>
      </c>
      <c r="BU4" s="4">
        <f>BDH(BU$1,BV$3:CB$3,Settings!$C$12,IF(Settings!$D$12="","",Settings!$D$12),"Dir=V","Dts=S","Sort=A","Days=T","Fill=B")</f>
        <v/>
      </c>
      <c r="CD4" s="4">
        <f>BDH(CD$1,CE$3:CK$3,Settings!$C$12,IF(Settings!$D$12="","",Settings!$D$12),"Dir=V","Dts=S","Sort=A","Days=T","Fill=B")</f>
        <v/>
      </c>
      <c r="CM4" s="4">
        <f>BDH(CM$1,CN$3:CT$3,Settings!$C$12,IF(Settings!$D$12="","",Settings!$D$12),"Dir=V","Dts=S","Sort=A","Days=T","Fill=B")</f>
        <v/>
      </c>
      <c r="CV4" s="4">
        <f>BDH(CV$1,CW$3:DC$3,Settings!$C$12,IF(Settings!$D$12="","",Settings!$D$12),"Dir=V","Dts=S","Sort=A","Days=T","Fill=B")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C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1" customWidth="1" min="7" max="7"/>
    <col width="10" customWidth="1" min="8" max="8"/>
    <col width="12" customWidth="1" min="10" max="10"/>
    <col width="10" customWidth="1" min="11" max="11"/>
    <col width="10" customWidth="1" min="12" max="12"/>
    <col width="10" customWidth="1" min="13" max="13"/>
    <col width="10" customWidth="1" min="14" max="14"/>
    <col width="11" customWidth="1" min="15" max="15"/>
    <col width="11" customWidth="1" min="16" max="16"/>
    <col width="10" customWidth="1" min="17" max="17"/>
    <col width="12" customWidth="1" min="19" max="19"/>
    <col width="10" customWidth="1" min="20" max="20"/>
    <col width="10" customWidth="1" min="21" max="21"/>
    <col width="10" customWidth="1" min="22" max="22"/>
    <col width="10" customWidth="1" min="23" max="23"/>
    <col width="11" customWidth="1" min="24" max="24"/>
    <col width="11" customWidth="1" min="25" max="25"/>
    <col width="10" customWidth="1" min="26" max="26"/>
    <col width="12" customWidth="1" min="28" max="28"/>
    <col width="10" customWidth="1" min="29" max="29"/>
    <col width="10" customWidth="1" min="30" max="30"/>
    <col width="10" customWidth="1" min="31" max="31"/>
    <col width="10" customWidth="1" min="32" max="32"/>
    <col width="11" customWidth="1" min="33" max="33"/>
    <col width="11" customWidth="1" min="34" max="34"/>
    <col width="10" customWidth="1" min="35" max="35"/>
    <col width="12" customWidth="1" min="37" max="37"/>
    <col width="10" customWidth="1" min="38" max="38"/>
    <col width="10" customWidth="1" min="39" max="39"/>
    <col width="10" customWidth="1" min="40" max="40"/>
    <col width="10" customWidth="1" min="41" max="41"/>
    <col width="11" customWidth="1" min="42" max="42"/>
    <col width="11" customWidth="1" min="43" max="43"/>
    <col width="10" customWidth="1" min="44" max="44"/>
    <col width="12" customWidth="1" min="46" max="46"/>
    <col width="10" customWidth="1" min="47" max="47"/>
    <col width="10" customWidth="1" min="48" max="48"/>
    <col width="10" customWidth="1" min="49" max="49"/>
    <col width="10" customWidth="1" min="50" max="50"/>
    <col width="11" customWidth="1" min="51" max="51"/>
    <col width="11" customWidth="1" min="52" max="52"/>
    <col width="10" customWidth="1" min="53" max="53"/>
    <col width="12" customWidth="1" min="55" max="55"/>
    <col width="10" customWidth="1" min="56" max="56"/>
    <col width="10" customWidth="1" min="57" max="57"/>
    <col width="10" customWidth="1" min="58" max="58"/>
    <col width="10" customWidth="1" min="59" max="59"/>
    <col width="11" customWidth="1" min="60" max="60"/>
    <col width="11" customWidth="1" min="61" max="61"/>
    <col width="10" customWidth="1" min="62" max="62"/>
    <col width="12" customWidth="1" min="64" max="64"/>
    <col width="10" customWidth="1" min="65" max="65"/>
    <col width="10" customWidth="1" min="66" max="66"/>
    <col width="10" customWidth="1" min="67" max="67"/>
    <col width="10" customWidth="1" min="68" max="68"/>
    <col width="11" customWidth="1" min="69" max="69"/>
    <col width="11" customWidth="1" min="70" max="70"/>
    <col width="10" customWidth="1" min="71" max="71"/>
    <col width="12" customWidth="1" min="73" max="73"/>
    <col width="10" customWidth="1" min="74" max="74"/>
    <col width="10" customWidth="1" min="75" max="75"/>
    <col width="10" customWidth="1" min="76" max="76"/>
    <col width="10" customWidth="1" min="77" max="77"/>
    <col width="11" customWidth="1" min="78" max="78"/>
    <col width="11" customWidth="1" min="79" max="79"/>
    <col width="10" customWidth="1" min="80" max="80"/>
    <col width="12" customWidth="1" min="82" max="82"/>
    <col width="10" customWidth="1" min="83" max="83"/>
    <col width="10" customWidth="1" min="84" max="84"/>
    <col width="10" customWidth="1" min="85" max="85"/>
    <col width="10" customWidth="1" min="86" max="86"/>
    <col width="11" customWidth="1" min="87" max="87"/>
    <col width="11" customWidth="1" min="88" max="88"/>
    <col width="10" customWidth="1" min="89" max="89"/>
    <col width="12" customWidth="1" min="91" max="91"/>
    <col width="10" customWidth="1" min="92" max="92"/>
    <col width="10" customWidth="1" min="93" max="93"/>
    <col width="10" customWidth="1" min="94" max="94"/>
    <col width="10" customWidth="1" min="95" max="95"/>
    <col width="11" customWidth="1" min="96" max="96"/>
    <col width="11" customWidth="1" min="97" max="97"/>
    <col width="10" customWidth="1" min="98" max="98"/>
    <col width="12" customWidth="1" min="100" max="100"/>
    <col width="10" customWidth="1" min="101" max="101"/>
    <col width="10" customWidth="1" min="102" max="102"/>
    <col width="10" customWidth="1" min="103" max="103"/>
    <col width="10" customWidth="1" min="104" max="104"/>
    <col width="11" customWidth="1" min="105" max="105"/>
    <col width="11" customWidth="1" min="106" max="106"/>
    <col width="10" customWidth="1" min="107" max="107"/>
  </cols>
  <sheetData>
    <row r="1">
      <c r="A1" s="2">
        <f>IF(Settings!$B$12="Y","CLF"&amp;IF(A$2&lt;Settings!$B$3,"21","1")&amp;" Comdty","")</f>
        <v/>
      </c>
      <c r="J1" s="2">
        <f>IF(Settings!$B$12="Y","CLG"&amp;IF(J$2&lt;Settings!$B$3,"21","1")&amp;" Comdty","")</f>
        <v/>
      </c>
      <c r="S1" s="2">
        <f>IF(Settings!$B$12="Y","CLH"&amp;IF(S$2&lt;Settings!$B$3,"21","1")&amp;" Comdty","")</f>
        <v/>
      </c>
      <c r="AB1" s="2">
        <f>IF(Settings!$B$12="Y","CLJ"&amp;IF(AB$2&lt;Settings!$B$3,"21","1")&amp;" Comdty","")</f>
        <v/>
      </c>
      <c r="AK1" s="2">
        <f>IF(Settings!$B$12="Y","CLK"&amp;IF(AK$2&lt;Settings!$B$3,"21","1")&amp;" Comdty","")</f>
        <v/>
      </c>
      <c r="AT1" s="2">
        <f>IF(Settings!$B$12="Y","CLM"&amp;IF(AT$2&lt;Settings!$B$3,"21","1")&amp;" Comdty","")</f>
        <v/>
      </c>
      <c r="BC1" s="2">
        <f>IF(Settings!$B$12="Y","CLN"&amp;IF(BC$2&lt;Settings!$B$3,"21","1")&amp;" Comdty","")</f>
        <v/>
      </c>
      <c r="BL1" s="2">
        <f>IF(Settings!$B$12="Y","CLQ"&amp;IF(BL$2&lt;Settings!$B$3,"21","1")&amp;" Comdty","")</f>
        <v/>
      </c>
      <c r="BU1" s="2">
        <f>IF(Settings!$B$12="Y","CLU"&amp;IF(BU$2&lt;Settings!$B$3,"21","1")&amp;" Comdty","")</f>
        <v/>
      </c>
      <c r="CD1" s="2">
        <f>IF(Settings!$B$12="Y","CLV"&amp;IF(CD$2&lt;Settings!$B$3,"21","1")&amp;" Comdty","")</f>
        <v/>
      </c>
      <c r="CM1" s="2">
        <f>IF(Settings!$B$12="Y","CLX"&amp;IF(CM$2&lt;Settings!$B$3,"21","1")&amp;" Comdty","")</f>
        <v/>
      </c>
      <c r="CV1" s="2">
        <f>IF(Settings!$B$12="Y","CLZ"&amp;IF(CV$2&lt;Settings!$B$3,"21","1")&amp;" Comdty","")</f>
        <v/>
      </c>
    </row>
    <row r="2">
      <c r="A2" s="8">
        <f>WORKDAY(DATE(2021,1-1,25),-3)</f>
        <v/>
      </c>
      <c r="B2" s="8">
        <f>IF(A$1="","",BDP(A$1,"LAST_TRADEABLE_DT"))</f>
        <v/>
      </c>
      <c r="J2" s="8">
        <f>WORKDAY(DATE(2021,2-1,25),-3)</f>
        <v/>
      </c>
      <c r="K2" s="8">
        <f>IF(J$1="","",BDP(J$1,"LAST_TRADEABLE_DT"))</f>
        <v/>
      </c>
      <c r="S2" s="8">
        <f>WORKDAY(DATE(2021,3-1,25),-3)</f>
        <v/>
      </c>
      <c r="T2" s="8">
        <f>IF(S$1="","",BDP(S$1,"LAST_TRADEABLE_DT"))</f>
        <v/>
      </c>
      <c r="AB2" s="8">
        <f>WORKDAY(DATE(2021,4-1,25),-3)</f>
        <v/>
      </c>
      <c r="AC2" s="8">
        <f>IF(AB$1="","",BDP(AB$1,"LAST_TRADEABLE_DT"))</f>
        <v/>
      </c>
      <c r="AK2" s="8">
        <f>WORKDAY(DATE(2021,5-1,25),-3)</f>
        <v/>
      </c>
      <c r="AL2" s="8">
        <f>IF(AK$1="","",BDP(AK$1,"LAST_TRADEABLE_DT"))</f>
        <v/>
      </c>
      <c r="AT2" s="8">
        <f>WORKDAY(DATE(2021,6-1,25),-3)</f>
        <v/>
      </c>
      <c r="AU2" s="8">
        <f>IF(AT$1="","",BDP(AT$1,"LAST_TRADEABLE_DT"))</f>
        <v/>
      </c>
      <c r="BC2" s="8">
        <f>WORKDAY(DATE(2021,7-1,25),-3)</f>
        <v/>
      </c>
      <c r="BD2" s="8">
        <f>IF(BC$1="","",BDP(BC$1,"LAST_TRADEABLE_DT"))</f>
        <v/>
      </c>
      <c r="BL2" s="8">
        <f>WORKDAY(DATE(2021,8-1,25),-3)</f>
        <v/>
      </c>
      <c r="BM2" s="8">
        <f>IF(BL$1="","",BDP(BL$1,"LAST_TRADEABLE_DT"))</f>
        <v/>
      </c>
      <c r="BU2" s="8">
        <f>WORKDAY(DATE(2021,9-1,25),-3)</f>
        <v/>
      </c>
      <c r="BV2" s="8">
        <f>IF(BU$1="","",BDP(BU$1,"LAST_TRADEABLE_DT"))</f>
        <v/>
      </c>
      <c r="CD2" s="8">
        <f>WORKDAY(DATE(2021,10-1,25),-3)</f>
        <v/>
      </c>
      <c r="CE2" s="8">
        <f>IF(CD$1="","",BDP(CD$1,"LAST_TRADEABLE_DT"))</f>
        <v/>
      </c>
      <c r="CM2" s="8">
        <f>WORKDAY(DATE(2021,11-1,25),-3)</f>
        <v/>
      </c>
      <c r="CN2" s="8">
        <f>IF(CM$1="","",BDP(CM$1,"LAST_TRADEABLE_DT"))</f>
        <v/>
      </c>
      <c r="CV2" s="8">
        <f>WORKDAY(DATE(2021,12-1,25),-3)</f>
        <v/>
      </c>
      <c r="CW2" s="8">
        <f>IF(CV$1="","",BDP(CV$1,"LAST_TRADEABLE_DT"))</f>
        <v/>
      </c>
    </row>
    <row r="3">
      <c r="A3" s="5" t="inlineStr">
        <is>
          <t>Date</t>
        </is>
      </c>
      <c r="B3" s="5" t="inlineStr">
        <is>
          <t>PX_OPEN</t>
        </is>
      </c>
      <c r="C3" s="5" t="inlineStr">
        <is>
          <t>PX_HIGH</t>
        </is>
      </c>
      <c r="D3" s="5" t="inlineStr">
        <is>
          <t>PX_LOW</t>
        </is>
      </c>
      <c r="E3" s="5" t="inlineStr">
        <is>
          <t>PX_LAST</t>
        </is>
      </c>
      <c r="F3" s="5" t="inlineStr">
        <is>
          <t>PX_SETTLE</t>
        </is>
      </c>
      <c r="G3" s="5" t="inlineStr">
        <is>
          <t>PX_VOLUME</t>
        </is>
      </c>
      <c r="H3" s="5" t="inlineStr">
        <is>
          <t>OPEN_INT</t>
        </is>
      </c>
      <c r="J3" s="5" t="inlineStr">
        <is>
          <t>Date</t>
        </is>
      </c>
      <c r="K3" s="5" t="inlineStr">
        <is>
          <t>PX_OPEN</t>
        </is>
      </c>
      <c r="L3" s="5" t="inlineStr">
        <is>
          <t>PX_HIGH</t>
        </is>
      </c>
      <c r="M3" s="5" t="inlineStr">
        <is>
          <t>PX_LOW</t>
        </is>
      </c>
      <c r="N3" s="5" t="inlineStr">
        <is>
          <t>PX_LAST</t>
        </is>
      </c>
      <c r="O3" s="5" t="inlineStr">
        <is>
          <t>PX_SETTLE</t>
        </is>
      </c>
      <c r="P3" s="5" t="inlineStr">
        <is>
          <t>PX_VOLUME</t>
        </is>
      </c>
      <c r="Q3" s="5" t="inlineStr">
        <is>
          <t>OPEN_INT</t>
        </is>
      </c>
      <c r="S3" s="5" t="inlineStr">
        <is>
          <t>Date</t>
        </is>
      </c>
      <c r="T3" s="5" t="inlineStr">
        <is>
          <t>PX_OPEN</t>
        </is>
      </c>
      <c r="U3" s="5" t="inlineStr">
        <is>
          <t>PX_HIGH</t>
        </is>
      </c>
      <c r="V3" s="5" t="inlineStr">
        <is>
          <t>PX_LOW</t>
        </is>
      </c>
      <c r="W3" s="5" t="inlineStr">
        <is>
          <t>PX_LAST</t>
        </is>
      </c>
      <c r="X3" s="5" t="inlineStr">
        <is>
          <t>PX_SETTLE</t>
        </is>
      </c>
      <c r="Y3" s="5" t="inlineStr">
        <is>
          <t>PX_VOLUME</t>
        </is>
      </c>
      <c r="Z3" s="5" t="inlineStr">
        <is>
          <t>OPEN_INT</t>
        </is>
      </c>
      <c r="AB3" s="5" t="inlineStr">
        <is>
          <t>Date</t>
        </is>
      </c>
      <c r="AC3" s="5" t="inlineStr">
        <is>
          <t>PX_OPEN</t>
        </is>
      </c>
      <c r="AD3" s="5" t="inlineStr">
        <is>
          <t>PX_HIGH</t>
        </is>
      </c>
      <c r="AE3" s="5" t="inlineStr">
        <is>
          <t>PX_LOW</t>
        </is>
      </c>
      <c r="AF3" s="5" t="inlineStr">
        <is>
          <t>PX_LAST</t>
        </is>
      </c>
      <c r="AG3" s="5" t="inlineStr">
        <is>
          <t>PX_SETTLE</t>
        </is>
      </c>
      <c r="AH3" s="5" t="inlineStr">
        <is>
          <t>PX_VOLUME</t>
        </is>
      </c>
      <c r="AI3" s="5" t="inlineStr">
        <is>
          <t>OPEN_INT</t>
        </is>
      </c>
      <c r="AK3" s="5" t="inlineStr">
        <is>
          <t>Date</t>
        </is>
      </c>
      <c r="AL3" s="5" t="inlineStr">
        <is>
          <t>PX_OPEN</t>
        </is>
      </c>
      <c r="AM3" s="5" t="inlineStr">
        <is>
          <t>PX_HIGH</t>
        </is>
      </c>
      <c r="AN3" s="5" t="inlineStr">
        <is>
          <t>PX_LOW</t>
        </is>
      </c>
      <c r="AO3" s="5" t="inlineStr">
        <is>
          <t>PX_LAST</t>
        </is>
      </c>
      <c r="AP3" s="5" t="inlineStr">
        <is>
          <t>PX_SETTLE</t>
        </is>
      </c>
      <c r="AQ3" s="5" t="inlineStr">
        <is>
          <t>PX_VOLUME</t>
        </is>
      </c>
      <c r="AR3" s="5" t="inlineStr">
        <is>
          <t>OPEN_INT</t>
        </is>
      </c>
      <c r="AT3" s="5" t="inlineStr">
        <is>
          <t>Date</t>
        </is>
      </c>
      <c r="AU3" s="5" t="inlineStr">
        <is>
          <t>PX_OPEN</t>
        </is>
      </c>
      <c r="AV3" s="5" t="inlineStr">
        <is>
          <t>PX_HIGH</t>
        </is>
      </c>
      <c r="AW3" s="5" t="inlineStr">
        <is>
          <t>PX_LOW</t>
        </is>
      </c>
      <c r="AX3" s="5" t="inlineStr">
        <is>
          <t>PX_LAST</t>
        </is>
      </c>
      <c r="AY3" s="5" t="inlineStr">
        <is>
          <t>PX_SETTLE</t>
        </is>
      </c>
      <c r="AZ3" s="5" t="inlineStr">
        <is>
          <t>PX_VOLUME</t>
        </is>
      </c>
      <c r="BA3" s="5" t="inlineStr">
        <is>
          <t>OPEN_INT</t>
        </is>
      </c>
      <c r="BC3" s="5" t="inlineStr">
        <is>
          <t>Date</t>
        </is>
      </c>
      <c r="BD3" s="5" t="inlineStr">
        <is>
          <t>PX_OPEN</t>
        </is>
      </c>
      <c r="BE3" s="5" t="inlineStr">
        <is>
          <t>PX_HIGH</t>
        </is>
      </c>
      <c r="BF3" s="5" t="inlineStr">
        <is>
          <t>PX_LOW</t>
        </is>
      </c>
      <c r="BG3" s="5" t="inlineStr">
        <is>
          <t>PX_LAST</t>
        </is>
      </c>
      <c r="BH3" s="5" t="inlineStr">
        <is>
          <t>PX_SETTLE</t>
        </is>
      </c>
      <c r="BI3" s="5" t="inlineStr">
        <is>
          <t>PX_VOLUME</t>
        </is>
      </c>
      <c r="BJ3" s="5" t="inlineStr">
        <is>
          <t>OPEN_INT</t>
        </is>
      </c>
      <c r="BL3" s="5" t="inlineStr">
        <is>
          <t>Date</t>
        </is>
      </c>
      <c r="BM3" s="5" t="inlineStr">
        <is>
          <t>PX_OPEN</t>
        </is>
      </c>
      <c r="BN3" s="5" t="inlineStr">
        <is>
          <t>PX_HIGH</t>
        </is>
      </c>
      <c r="BO3" s="5" t="inlineStr">
        <is>
          <t>PX_LOW</t>
        </is>
      </c>
      <c r="BP3" s="5" t="inlineStr">
        <is>
          <t>PX_LAST</t>
        </is>
      </c>
      <c r="BQ3" s="5" t="inlineStr">
        <is>
          <t>PX_SETTLE</t>
        </is>
      </c>
      <c r="BR3" s="5" t="inlineStr">
        <is>
          <t>PX_VOLUME</t>
        </is>
      </c>
      <c r="BS3" s="5" t="inlineStr">
        <is>
          <t>OPEN_INT</t>
        </is>
      </c>
      <c r="BU3" s="5" t="inlineStr">
        <is>
          <t>Date</t>
        </is>
      </c>
      <c r="BV3" s="5" t="inlineStr">
        <is>
          <t>PX_OPEN</t>
        </is>
      </c>
      <c r="BW3" s="5" t="inlineStr">
        <is>
          <t>PX_HIGH</t>
        </is>
      </c>
      <c r="BX3" s="5" t="inlineStr">
        <is>
          <t>PX_LOW</t>
        </is>
      </c>
      <c r="BY3" s="5" t="inlineStr">
        <is>
          <t>PX_LAST</t>
        </is>
      </c>
      <c r="BZ3" s="5" t="inlineStr">
        <is>
          <t>PX_SETTLE</t>
        </is>
      </c>
      <c r="CA3" s="5" t="inlineStr">
        <is>
          <t>PX_VOLUME</t>
        </is>
      </c>
      <c r="CB3" s="5" t="inlineStr">
        <is>
          <t>OPEN_INT</t>
        </is>
      </c>
      <c r="CD3" s="5" t="inlineStr">
        <is>
          <t>Date</t>
        </is>
      </c>
      <c r="CE3" s="5" t="inlineStr">
        <is>
          <t>PX_OPEN</t>
        </is>
      </c>
      <c r="CF3" s="5" t="inlineStr">
        <is>
          <t>PX_HIGH</t>
        </is>
      </c>
      <c r="CG3" s="5" t="inlineStr">
        <is>
          <t>PX_LOW</t>
        </is>
      </c>
      <c r="CH3" s="5" t="inlineStr">
        <is>
          <t>PX_LAST</t>
        </is>
      </c>
      <c r="CI3" s="5" t="inlineStr">
        <is>
          <t>PX_SETTLE</t>
        </is>
      </c>
      <c r="CJ3" s="5" t="inlineStr">
        <is>
          <t>PX_VOLUME</t>
        </is>
      </c>
      <c r="CK3" s="5" t="inlineStr">
        <is>
          <t>OPEN_INT</t>
        </is>
      </c>
      <c r="CM3" s="5" t="inlineStr">
        <is>
          <t>Date</t>
        </is>
      </c>
      <c r="CN3" s="5" t="inlineStr">
        <is>
          <t>PX_OPEN</t>
        </is>
      </c>
      <c r="CO3" s="5" t="inlineStr">
        <is>
          <t>PX_HIGH</t>
        </is>
      </c>
      <c r="CP3" s="5" t="inlineStr">
        <is>
          <t>PX_LOW</t>
        </is>
      </c>
      <c r="CQ3" s="5" t="inlineStr">
        <is>
          <t>PX_LAST</t>
        </is>
      </c>
      <c r="CR3" s="5" t="inlineStr">
        <is>
          <t>PX_SETTLE</t>
        </is>
      </c>
      <c r="CS3" s="5" t="inlineStr">
        <is>
          <t>PX_VOLUME</t>
        </is>
      </c>
      <c r="CT3" s="5" t="inlineStr">
        <is>
          <t>OPEN_INT</t>
        </is>
      </c>
      <c r="CV3" s="5" t="inlineStr">
        <is>
          <t>Date</t>
        </is>
      </c>
      <c r="CW3" s="5" t="inlineStr">
        <is>
          <t>PX_OPEN</t>
        </is>
      </c>
      <c r="CX3" s="5" t="inlineStr">
        <is>
          <t>PX_HIGH</t>
        </is>
      </c>
      <c r="CY3" s="5" t="inlineStr">
        <is>
          <t>PX_LOW</t>
        </is>
      </c>
      <c r="CZ3" s="5" t="inlineStr">
        <is>
          <t>PX_LAST</t>
        </is>
      </c>
      <c r="DA3" s="5" t="inlineStr">
        <is>
          <t>PX_SETTLE</t>
        </is>
      </c>
      <c r="DB3" s="5" t="inlineStr">
        <is>
          <t>PX_VOLUME</t>
        </is>
      </c>
      <c r="DC3" s="5" t="inlineStr">
        <is>
          <t>OPEN_INT</t>
        </is>
      </c>
    </row>
    <row r="4">
      <c r="A4" s="4">
        <f>BDH(A$1,B$3:H$3,Settings!$C$12,IF(Settings!$D$12="","",Settings!$D$12),"Dir=V","Dts=S","Sort=A","Days=T","Fill=B")</f>
        <v/>
      </c>
      <c r="J4" s="4">
        <f>BDH(J$1,K$3:Q$3,Settings!$C$12,IF(Settings!$D$12="","",Settings!$D$12),"Dir=V","Dts=S","Sort=A","Days=T","Fill=B")</f>
        <v/>
      </c>
      <c r="S4" s="4">
        <f>BDH(S$1,T$3:Z$3,Settings!$C$12,IF(Settings!$D$12="","",Settings!$D$12),"Dir=V","Dts=S","Sort=A","Days=T","Fill=B")</f>
        <v/>
      </c>
      <c r="AB4" s="4">
        <f>BDH(AB$1,AC$3:AI$3,Settings!$C$12,IF(Settings!$D$12="","",Settings!$D$12),"Dir=V","Dts=S","Sort=A","Days=T","Fill=B")</f>
        <v/>
      </c>
      <c r="AK4" s="4">
        <f>BDH(AK$1,AL$3:AR$3,Settings!$C$12,IF(Settings!$D$12="","",Settings!$D$12),"Dir=V","Dts=S","Sort=A","Days=T","Fill=B")</f>
        <v/>
      </c>
      <c r="AT4" s="4">
        <f>BDH(AT$1,AU$3:BA$3,Settings!$C$12,IF(Settings!$D$12="","",Settings!$D$12),"Dir=V","Dts=S","Sort=A","Days=T","Fill=B")</f>
        <v/>
      </c>
      <c r="BC4" s="4">
        <f>BDH(BC$1,BD$3:BJ$3,Settings!$C$12,IF(Settings!$D$12="","",Settings!$D$12),"Dir=V","Dts=S","Sort=A","Days=T","Fill=B")</f>
        <v/>
      </c>
      <c r="BL4" s="4">
        <f>BDH(BL$1,BM$3:BS$3,Settings!$C$12,IF(Settings!$D$12="","",Settings!$D$12),"Dir=V","Dts=S","Sort=A","Days=T","Fill=B")</f>
        <v/>
      </c>
      <c r="BU4" s="4">
        <f>BDH(BU$1,BV$3:CB$3,Settings!$C$12,IF(Settings!$D$12="","",Settings!$D$12),"Dir=V","Dts=S","Sort=A","Days=T","Fill=B")</f>
        <v/>
      </c>
      <c r="CD4" s="4">
        <f>BDH(CD$1,CE$3:CK$3,Settings!$C$12,IF(Settings!$D$12="","",Settings!$D$12),"Dir=V","Dts=S","Sort=A","Days=T","Fill=B")</f>
        <v/>
      </c>
      <c r="CM4" s="4">
        <f>BDH(CM$1,CN$3:CT$3,Settings!$C$12,IF(Settings!$D$12="","",Settings!$D$12),"Dir=V","Dts=S","Sort=A","Days=T","Fill=B")</f>
        <v/>
      </c>
      <c r="CV4" s="4">
        <f>BDH(CV$1,CW$3:DC$3,Settings!$C$12,IF(Settings!$D$12="","",Settings!$D$12),"Dir=V","Dts=S","Sort=A","Days=T","Fill=B")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C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1" customWidth="1" min="7" max="7"/>
    <col width="10" customWidth="1" min="8" max="8"/>
    <col width="12" customWidth="1" min="10" max="10"/>
    <col width="10" customWidth="1" min="11" max="11"/>
    <col width="10" customWidth="1" min="12" max="12"/>
    <col width="10" customWidth="1" min="13" max="13"/>
    <col width="10" customWidth="1" min="14" max="14"/>
    <col width="11" customWidth="1" min="15" max="15"/>
    <col width="11" customWidth="1" min="16" max="16"/>
    <col width="10" customWidth="1" min="17" max="17"/>
    <col width="12" customWidth="1" min="19" max="19"/>
    <col width="10" customWidth="1" min="20" max="20"/>
    <col width="10" customWidth="1" min="21" max="21"/>
    <col width="10" customWidth="1" min="22" max="22"/>
    <col width="10" customWidth="1" min="23" max="23"/>
    <col width="11" customWidth="1" min="24" max="24"/>
    <col width="11" customWidth="1" min="25" max="25"/>
    <col width="10" customWidth="1" min="26" max="26"/>
    <col width="12" customWidth="1" min="28" max="28"/>
    <col width="10" customWidth="1" min="29" max="29"/>
    <col width="10" customWidth="1" min="30" max="30"/>
    <col width="10" customWidth="1" min="31" max="31"/>
    <col width="10" customWidth="1" min="32" max="32"/>
    <col width="11" customWidth="1" min="33" max="33"/>
    <col width="11" customWidth="1" min="34" max="34"/>
    <col width="10" customWidth="1" min="35" max="35"/>
    <col width="12" customWidth="1" min="37" max="37"/>
    <col width="10" customWidth="1" min="38" max="38"/>
    <col width="10" customWidth="1" min="39" max="39"/>
    <col width="10" customWidth="1" min="40" max="40"/>
    <col width="10" customWidth="1" min="41" max="41"/>
    <col width="11" customWidth="1" min="42" max="42"/>
    <col width="11" customWidth="1" min="43" max="43"/>
    <col width="10" customWidth="1" min="44" max="44"/>
    <col width="12" customWidth="1" min="46" max="46"/>
    <col width="10" customWidth="1" min="47" max="47"/>
    <col width="10" customWidth="1" min="48" max="48"/>
    <col width="10" customWidth="1" min="49" max="49"/>
    <col width="10" customWidth="1" min="50" max="50"/>
    <col width="11" customWidth="1" min="51" max="51"/>
    <col width="11" customWidth="1" min="52" max="52"/>
    <col width="10" customWidth="1" min="53" max="53"/>
    <col width="12" customWidth="1" min="55" max="55"/>
    <col width="10" customWidth="1" min="56" max="56"/>
    <col width="10" customWidth="1" min="57" max="57"/>
    <col width="10" customWidth="1" min="58" max="58"/>
    <col width="10" customWidth="1" min="59" max="59"/>
    <col width="11" customWidth="1" min="60" max="60"/>
    <col width="11" customWidth="1" min="61" max="61"/>
    <col width="10" customWidth="1" min="62" max="62"/>
    <col width="12" customWidth="1" min="64" max="64"/>
    <col width="10" customWidth="1" min="65" max="65"/>
    <col width="10" customWidth="1" min="66" max="66"/>
    <col width="10" customWidth="1" min="67" max="67"/>
    <col width="10" customWidth="1" min="68" max="68"/>
    <col width="11" customWidth="1" min="69" max="69"/>
    <col width="11" customWidth="1" min="70" max="70"/>
    <col width="10" customWidth="1" min="71" max="71"/>
    <col width="12" customWidth="1" min="73" max="73"/>
    <col width="10" customWidth="1" min="74" max="74"/>
    <col width="10" customWidth="1" min="75" max="75"/>
    <col width="10" customWidth="1" min="76" max="76"/>
    <col width="10" customWidth="1" min="77" max="77"/>
    <col width="11" customWidth="1" min="78" max="78"/>
    <col width="11" customWidth="1" min="79" max="79"/>
    <col width="10" customWidth="1" min="80" max="80"/>
    <col width="12" customWidth="1" min="82" max="82"/>
    <col width="10" customWidth="1" min="83" max="83"/>
    <col width="10" customWidth="1" min="84" max="84"/>
    <col width="10" customWidth="1" min="85" max="85"/>
    <col width="10" customWidth="1" min="86" max="86"/>
    <col width="11" customWidth="1" min="87" max="87"/>
    <col width="11" customWidth="1" min="88" max="88"/>
    <col width="10" customWidth="1" min="89" max="89"/>
    <col width="12" customWidth="1" min="91" max="91"/>
    <col width="10" customWidth="1" min="92" max="92"/>
    <col width="10" customWidth="1" min="93" max="93"/>
    <col width="10" customWidth="1" min="94" max="94"/>
    <col width="10" customWidth="1" min="95" max="95"/>
    <col width="11" customWidth="1" min="96" max="96"/>
    <col width="11" customWidth="1" min="97" max="97"/>
    <col width="10" customWidth="1" min="98" max="98"/>
    <col width="12" customWidth="1" min="100" max="100"/>
    <col width="10" customWidth="1" min="101" max="101"/>
    <col width="10" customWidth="1" min="102" max="102"/>
    <col width="10" customWidth="1" min="103" max="103"/>
    <col width="10" customWidth="1" min="104" max="104"/>
    <col width="11" customWidth="1" min="105" max="105"/>
    <col width="11" customWidth="1" min="106" max="106"/>
    <col width="10" customWidth="1" min="107" max="107"/>
  </cols>
  <sheetData>
    <row r="1">
      <c r="A1" s="2">
        <f>IF(Settings!$B$12="Y","CLF"&amp;IF(A$2&lt;Settings!$B$3,"22","2")&amp;" Comdty","")</f>
        <v/>
      </c>
      <c r="J1" s="2">
        <f>IF(Settings!$B$12="Y","CLG"&amp;IF(J$2&lt;Settings!$B$3,"22","2")&amp;" Comdty","")</f>
        <v/>
      </c>
      <c r="S1" s="2">
        <f>IF(Settings!$B$12="Y","CLH"&amp;IF(S$2&lt;Settings!$B$3,"22","2")&amp;" Comdty","")</f>
        <v/>
      </c>
      <c r="AB1" s="2">
        <f>IF(Settings!$B$12="Y","CLJ"&amp;IF(AB$2&lt;Settings!$B$3,"22","2")&amp;" Comdty","")</f>
        <v/>
      </c>
      <c r="AK1" s="2">
        <f>IF(Settings!$B$12="Y","CLK"&amp;IF(AK$2&lt;Settings!$B$3,"22","2")&amp;" Comdty","")</f>
        <v/>
      </c>
      <c r="AT1" s="2">
        <f>IF(Settings!$B$12="Y","CLM"&amp;IF(AT$2&lt;Settings!$B$3,"22","2")&amp;" Comdty","")</f>
        <v/>
      </c>
      <c r="BC1" s="2">
        <f>IF(Settings!$B$12="Y","CLN"&amp;IF(BC$2&lt;Settings!$B$3,"22","2")&amp;" Comdty","")</f>
        <v/>
      </c>
      <c r="BL1" s="2">
        <f>IF(Settings!$B$12="Y","CLQ"&amp;IF(BL$2&lt;Settings!$B$3,"22","2")&amp;" Comdty","")</f>
        <v/>
      </c>
      <c r="BU1" s="2">
        <f>IF(Settings!$B$12="Y","CLU"&amp;IF(BU$2&lt;Settings!$B$3,"22","2")&amp;" Comdty","")</f>
        <v/>
      </c>
      <c r="CD1" s="2">
        <f>IF(Settings!$B$12="Y","CLV"&amp;IF(CD$2&lt;Settings!$B$3,"22","2")&amp;" Comdty","")</f>
        <v/>
      </c>
      <c r="CM1" s="2">
        <f>IF(Settings!$B$12="Y","CLX"&amp;IF(CM$2&lt;Settings!$B$3,"22","2")&amp;" Comdty","")</f>
        <v/>
      </c>
      <c r="CV1" s="2">
        <f>IF(Settings!$B$12="Y","CLZ"&amp;IF(CV$2&lt;Settings!$B$3,"22","2")&amp;" Comdty","")</f>
        <v/>
      </c>
    </row>
    <row r="2">
      <c r="A2" s="8">
        <f>WORKDAY(DATE(2022,1-1,25),-3)</f>
        <v/>
      </c>
      <c r="B2" s="8">
        <f>IF(A$1="","",BDP(A$1,"LAST_TRADEABLE_DT"))</f>
        <v/>
      </c>
      <c r="J2" s="8">
        <f>WORKDAY(DATE(2022,2-1,25),-3)</f>
        <v/>
      </c>
      <c r="K2" s="8">
        <f>IF(J$1="","",BDP(J$1,"LAST_TRADEABLE_DT"))</f>
        <v/>
      </c>
      <c r="S2" s="8">
        <f>WORKDAY(DATE(2022,3-1,25),-3)</f>
        <v/>
      </c>
      <c r="T2" s="8">
        <f>IF(S$1="","",BDP(S$1,"LAST_TRADEABLE_DT"))</f>
        <v/>
      </c>
      <c r="AB2" s="8">
        <f>WORKDAY(DATE(2022,4-1,25),-3)</f>
        <v/>
      </c>
      <c r="AC2" s="8">
        <f>IF(AB$1="","",BDP(AB$1,"LAST_TRADEABLE_DT"))</f>
        <v/>
      </c>
      <c r="AK2" s="8">
        <f>WORKDAY(DATE(2022,5-1,25),-3)</f>
        <v/>
      </c>
      <c r="AL2" s="8">
        <f>IF(AK$1="","",BDP(AK$1,"LAST_TRADEABLE_DT"))</f>
        <v/>
      </c>
      <c r="AT2" s="8">
        <f>WORKDAY(DATE(2022,6-1,25),-3)</f>
        <v/>
      </c>
      <c r="AU2" s="8">
        <f>IF(AT$1="","",BDP(AT$1,"LAST_TRADEABLE_DT"))</f>
        <v/>
      </c>
      <c r="BC2" s="8">
        <f>WORKDAY(DATE(2022,7-1,25),-3)</f>
        <v/>
      </c>
      <c r="BD2" s="8">
        <f>IF(BC$1="","",BDP(BC$1,"LAST_TRADEABLE_DT"))</f>
        <v/>
      </c>
      <c r="BL2" s="8">
        <f>WORKDAY(DATE(2022,8-1,25),-3)</f>
        <v/>
      </c>
      <c r="BM2" s="8">
        <f>IF(BL$1="","",BDP(BL$1,"LAST_TRADEABLE_DT"))</f>
        <v/>
      </c>
      <c r="BU2" s="8">
        <f>WORKDAY(DATE(2022,9-1,25),-3)</f>
        <v/>
      </c>
      <c r="BV2" s="8">
        <f>IF(BU$1="","",BDP(BU$1,"LAST_TRADEABLE_DT"))</f>
        <v/>
      </c>
      <c r="CD2" s="8">
        <f>WORKDAY(DATE(2022,10-1,25),-3)</f>
        <v/>
      </c>
      <c r="CE2" s="8">
        <f>IF(CD$1="","",BDP(CD$1,"LAST_TRADEABLE_DT"))</f>
        <v/>
      </c>
      <c r="CM2" s="8">
        <f>WORKDAY(DATE(2022,11-1,25),-3)</f>
        <v/>
      </c>
      <c r="CN2" s="8">
        <f>IF(CM$1="","",BDP(CM$1,"LAST_TRADEABLE_DT"))</f>
        <v/>
      </c>
      <c r="CV2" s="8">
        <f>WORKDAY(DATE(2022,12-1,25),-3)</f>
        <v/>
      </c>
      <c r="CW2" s="8">
        <f>IF(CV$1="","",BDP(CV$1,"LAST_TRADEABLE_DT"))</f>
        <v/>
      </c>
    </row>
    <row r="3">
      <c r="A3" s="5" t="inlineStr">
        <is>
          <t>Date</t>
        </is>
      </c>
      <c r="B3" s="5" t="inlineStr">
        <is>
          <t>PX_OPEN</t>
        </is>
      </c>
      <c r="C3" s="5" t="inlineStr">
        <is>
          <t>PX_HIGH</t>
        </is>
      </c>
      <c r="D3" s="5" t="inlineStr">
        <is>
          <t>PX_LOW</t>
        </is>
      </c>
      <c r="E3" s="5" t="inlineStr">
        <is>
          <t>PX_LAST</t>
        </is>
      </c>
      <c r="F3" s="5" t="inlineStr">
        <is>
          <t>PX_SETTLE</t>
        </is>
      </c>
      <c r="G3" s="5" t="inlineStr">
        <is>
          <t>PX_VOLUME</t>
        </is>
      </c>
      <c r="H3" s="5" t="inlineStr">
        <is>
          <t>OPEN_INT</t>
        </is>
      </c>
      <c r="J3" s="5" t="inlineStr">
        <is>
          <t>Date</t>
        </is>
      </c>
      <c r="K3" s="5" t="inlineStr">
        <is>
          <t>PX_OPEN</t>
        </is>
      </c>
      <c r="L3" s="5" t="inlineStr">
        <is>
          <t>PX_HIGH</t>
        </is>
      </c>
      <c r="M3" s="5" t="inlineStr">
        <is>
          <t>PX_LOW</t>
        </is>
      </c>
      <c r="N3" s="5" t="inlineStr">
        <is>
          <t>PX_LAST</t>
        </is>
      </c>
      <c r="O3" s="5" t="inlineStr">
        <is>
          <t>PX_SETTLE</t>
        </is>
      </c>
      <c r="P3" s="5" t="inlineStr">
        <is>
          <t>PX_VOLUME</t>
        </is>
      </c>
      <c r="Q3" s="5" t="inlineStr">
        <is>
          <t>OPEN_INT</t>
        </is>
      </c>
      <c r="S3" s="5" t="inlineStr">
        <is>
          <t>Date</t>
        </is>
      </c>
      <c r="T3" s="5" t="inlineStr">
        <is>
          <t>PX_OPEN</t>
        </is>
      </c>
      <c r="U3" s="5" t="inlineStr">
        <is>
          <t>PX_HIGH</t>
        </is>
      </c>
      <c r="V3" s="5" t="inlineStr">
        <is>
          <t>PX_LOW</t>
        </is>
      </c>
      <c r="W3" s="5" t="inlineStr">
        <is>
          <t>PX_LAST</t>
        </is>
      </c>
      <c r="X3" s="5" t="inlineStr">
        <is>
          <t>PX_SETTLE</t>
        </is>
      </c>
      <c r="Y3" s="5" t="inlineStr">
        <is>
          <t>PX_VOLUME</t>
        </is>
      </c>
      <c r="Z3" s="5" t="inlineStr">
        <is>
          <t>OPEN_INT</t>
        </is>
      </c>
      <c r="AB3" s="5" t="inlineStr">
        <is>
          <t>Date</t>
        </is>
      </c>
      <c r="AC3" s="5" t="inlineStr">
        <is>
          <t>PX_OPEN</t>
        </is>
      </c>
      <c r="AD3" s="5" t="inlineStr">
        <is>
          <t>PX_HIGH</t>
        </is>
      </c>
      <c r="AE3" s="5" t="inlineStr">
        <is>
          <t>PX_LOW</t>
        </is>
      </c>
      <c r="AF3" s="5" t="inlineStr">
        <is>
          <t>PX_LAST</t>
        </is>
      </c>
      <c r="AG3" s="5" t="inlineStr">
        <is>
          <t>PX_SETTLE</t>
        </is>
      </c>
      <c r="AH3" s="5" t="inlineStr">
        <is>
          <t>PX_VOLUME</t>
        </is>
      </c>
      <c r="AI3" s="5" t="inlineStr">
        <is>
          <t>OPEN_INT</t>
        </is>
      </c>
      <c r="AK3" s="5" t="inlineStr">
        <is>
          <t>Date</t>
        </is>
      </c>
      <c r="AL3" s="5" t="inlineStr">
        <is>
          <t>PX_OPEN</t>
        </is>
      </c>
      <c r="AM3" s="5" t="inlineStr">
        <is>
          <t>PX_HIGH</t>
        </is>
      </c>
      <c r="AN3" s="5" t="inlineStr">
        <is>
          <t>PX_LOW</t>
        </is>
      </c>
      <c r="AO3" s="5" t="inlineStr">
        <is>
          <t>PX_LAST</t>
        </is>
      </c>
      <c r="AP3" s="5" t="inlineStr">
        <is>
          <t>PX_SETTLE</t>
        </is>
      </c>
      <c r="AQ3" s="5" t="inlineStr">
        <is>
          <t>PX_VOLUME</t>
        </is>
      </c>
      <c r="AR3" s="5" t="inlineStr">
        <is>
          <t>OPEN_INT</t>
        </is>
      </c>
      <c r="AT3" s="5" t="inlineStr">
        <is>
          <t>Date</t>
        </is>
      </c>
      <c r="AU3" s="5" t="inlineStr">
        <is>
          <t>PX_OPEN</t>
        </is>
      </c>
      <c r="AV3" s="5" t="inlineStr">
        <is>
          <t>PX_HIGH</t>
        </is>
      </c>
      <c r="AW3" s="5" t="inlineStr">
        <is>
          <t>PX_LOW</t>
        </is>
      </c>
      <c r="AX3" s="5" t="inlineStr">
        <is>
          <t>PX_LAST</t>
        </is>
      </c>
      <c r="AY3" s="5" t="inlineStr">
        <is>
          <t>PX_SETTLE</t>
        </is>
      </c>
      <c r="AZ3" s="5" t="inlineStr">
        <is>
          <t>PX_VOLUME</t>
        </is>
      </c>
      <c r="BA3" s="5" t="inlineStr">
        <is>
          <t>OPEN_INT</t>
        </is>
      </c>
      <c r="BC3" s="5" t="inlineStr">
        <is>
          <t>Date</t>
        </is>
      </c>
      <c r="BD3" s="5" t="inlineStr">
        <is>
          <t>PX_OPEN</t>
        </is>
      </c>
      <c r="BE3" s="5" t="inlineStr">
        <is>
          <t>PX_HIGH</t>
        </is>
      </c>
      <c r="BF3" s="5" t="inlineStr">
        <is>
          <t>PX_LOW</t>
        </is>
      </c>
      <c r="BG3" s="5" t="inlineStr">
        <is>
          <t>PX_LAST</t>
        </is>
      </c>
      <c r="BH3" s="5" t="inlineStr">
        <is>
          <t>PX_SETTLE</t>
        </is>
      </c>
      <c r="BI3" s="5" t="inlineStr">
        <is>
          <t>PX_VOLUME</t>
        </is>
      </c>
      <c r="BJ3" s="5" t="inlineStr">
        <is>
          <t>OPEN_INT</t>
        </is>
      </c>
      <c r="BL3" s="5" t="inlineStr">
        <is>
          <t>Date</t>
        </is>
      </c>
      <c r="BM3" s="5" t="inlineStr">
        <is>
          <t>PX_OPEN</t>
        </is>
      </c>
      <c r="BN3" s="5" t="inlineStr">
        <is>
          <t>PX_HIGH</t>
        </is>
      </c>
      <c r="BO3" s="5" t="inlineStr">
        <is>
          <t>PX_LOW</t>
        </is>
      </c>
      <c r="BP3" s="5" t="inlineStr">
        <is>
          <t>PX_LAST</t>
        </is>
      </c>
      <c r="BQ3" s="5" t="inlineStr">
        <is>
          <t>PX_SETTLE</t>
        </is>
      </c>
      <c r="BR3" s="5" t="inlineStr">
        <is>
          <t>PX_VOLUME</t>
        </is>
      </c>
      <c r="BS3" s="5" t="inlineStr">
        <is>
          <t>OPEN_INT</t>
        </is>
      </c>
      <c r="BU3" s="5" t="inlineStr">
        <is>
          <t>Date</t>
        </is>
      </c>
      <c r="BV3" s="5" t="inlineStr">
        <is>
          <t>PX_OPEN</t>
        </is>
      </c>
      <c r="BW3" s="5" t="inlineStr">
        <is>
          <t>PX_HIGH</t>
        </is>
      </c>
      <c r="BX3" s="5" t="inlineStr">
        <is>
          <t>PX_LOW</t>
        </is>
      </c>
      <c r="BY3" s="5" t="inlineStr">
        <is>
          <t>PX_LAST</t>
        </is>
      </c>
      <c r="BZ3" s="5" t="inlineStr">
        <is>
          <t>PX_SETTLE</t>
        </is>
      </c>
      <c r="CA3" s="5" t="inlineStr">
        <is>
          <t>PX_VOLUME</t>
        </is>
      </c>
      <c r="CB3" s="5" t="inlineStr">
        <is>
          <t>OPEN_INT</t>
        </is>
      </c>
      <c r="CD3" s="5" t="inlineStr">
        <is>
          <t>Date</t>
        </is>
      </c>
      <c r="CE3" s="5" t="inlineStr">
        <is>
          <t>PX_OPEN</t>
        </is>
      </c>
      <c r="CF3" s="5" t="inlineStr">
        <is>
          <t>PX_HIGH</t>
        </is>
      </c>
      <c r="CG3" s="5" t="inlineStr">
        <is>
          <t>PX_LOW</t>
        </is>
      </c>
      <c r="CH3" s="5" t="inlineStr">
        <is>
          <t>PX_LAST</t>
        </is>
      </c>
      <c r="CI3" s="5" t="inlineStr">
        <is>
          <t>PX_SETTLE</t>
        </is>
      </c>
      <c r="CJ3" s="5" t="inlineStr">
        <is>
          <t>PX_VOLUME</t>
        </is>
      </c>
      <c r="CK3" s="5" t="inlineStr">
        <is>
          <t>OPEN_INT</t>
        </is>
      </c>
      <c r="CM3" s="5" t="inlineStr">
        <is>
          <t>Date</t>
        </is>
      </c>
      <c r="CN3" s="5" t="inlineStr">
        <is>
          <t>PX_OPEN</t>
        </is>
      </c>
      <c r="CO3" s="5" t="inlineStr">
        <is>
          <t>PX_HIGH</t>
        </is>
      </c>
      <c r="CP3" s="5" t="inlineStr">
        <is>
          <t>PX_LOW</t>
        </is>
      </c>
      <c r="CQ3" s="5" t="inlineStr">
        <is>
          <t>PX_LAST</t>
        </is>
      </c>
      <c r="CR3" s="5" t="inlineStr">
        <is>
          <t>PX_SETTLE</t>
        </is>
      </c>
      <c r="CS3" s="5" t="inlineStr">
        <is>
          <t>PX_VOLUME</t>
        </is>
      </c>
      <c r="CT3" s="5" t="inlineStr">
        <is>
          <t>OPEN_INT</t>
        </is>
      </c>
      <c r="CV3" s="5" t="inlineStr">
        <is>
          <t>Date</t>
        </is>
      </c>
      <c r="CW3" s="5" t="inlineStr">
        <is>
          <t>PX_OPEN</t>
        </is>
      </c>
      <c r="CX3" s="5" t="inlineStr">
        <is>
          <t>PX_HIGH</t>
        </is>
      </c>
      <c r="CY3" s="5" t="inlineStr">
        <is>
          <t>PX_LOW</t>
        </is>
      </c>
      <c r="CZ3" s="5" t="inlineStr">
        <is>
          <t>PX_LAST</t>
        </is>
      </c>
      <c r="DA3" s="5" t="inlineStr">
        <is>
          <t>PX_SETTLE</t>
        </is>
      </c>
      <c r="DB3" s="5" t="inlineStr">
        <is>
          <t>PX_VOLUME</t>
        </is>
      </c>
      <c r="DC3" s="5" t="inlineStr">
        <is>
          <t>OPEN_INT</t>
        </is>
      </c>
    </row>
    <row r="4">
      <c r="A4" s="4">
        <f>BDH(A$1,B$3:H$3,Settings!$C$12,IF(Settings!$D$12="","",Settings!$D$12),"Dir=V","Dts=S","Sort=A","Days=T","Fill=B")</f>
        <v/>
      </c>
      <c r="J4" s="4">
        <f>BDH(J$1,K$3:Q$3,Settings!$C$12,IF(Settings!$D$12="","",Settings!$D$12),"Dir=V","Dts=S","Sort=A","Days=T","Fill=B")</f>
        <v/>
      </c>
      <c r="S4" s="4">
        <f>BDH(S$1,T$3:Z$3,Settings!$C$12,IF(Settings!$D$12="","",Settings!$D$12),"Dir=V","Dts=S","Sort=A","Days=T","Fill=B")</f>
        <v/>
      </c>
      <c r="AB4" s="4">
        <f>BDH(AB$1,AC$3:AI$3,Settings!$C$12,IF(Settings!$D$12="","",Settings!$D$12),"Dir=V","Dts=S","Sort=A","Days=T","Fill=B")</f>
        <v/>
      </c>
      <c r="AK4" s="4">
        <f>BDH(AK$1,AL$3:AR$3,Settings!$C$12,IF(Settings!$D$12="","",Settings!$D$12),"Dir=V","Dts=S","Sort=A","Days=T","Fill=B")</f>
        <v/>
      </c>
      <c r="AT4" s="4">
        <f>BDH(AT$1,AU$3:BA$3,Settings!$C$12,IF(Settings!$D$12="","",Settings!$D$12),"Dir=V","Dts=S","Sort=A","Days=T","Fill=B")</f>
        <v/>
      </c>
      <c r="BC4" s="4">
        <f>BDH(BC$1,BD$3:BJ$3,Settings!$C$12,IF(Settings!$D$12="","",Settings!$D$12),"Dir=V","Dts=S","Sort=A","Days=T","Fill=B")</f>
        <v/>
      </c>
      <c r="BL4" s="4">
        <f>BDH(BL$1,BM$3:BS$3,Settings!$C$12,IF(Settings!$D$12="","",Settings!$D$12),"Dir=V","Dts=S","Sort=A","Days=T","Fill=B")</f>
        <v/>
      </c>
      <c r="BU4" s="4">
        <f>BDH(BU$1,BV$3:CB$3,Settings!$C$12,IF(Settings!$D$12="","",Settings!$D$12),"Dir=V","Dts=S","Sort=A","Days=T","Fill=B")</f>
        <v/>
      </c>
      <c r="CD4" s="4">
        <f>BDH(CD$1,CE$3:CK$3,Settings!$C$12,IF(Settings!$D$12="","",Settings!$D$12),"Dir=V","Dts=S","Sort=A","Days=T","Fill=B")</f>
        <v/>
      </c>
      <c r="CM4" s="4">
        <f>BDH(CM$1,CN$3:CT$3,Settings!$C$12,IF(Settings!$D$12="","",Settings!$D$12),"Dir=V","Dts=S","Sort=A","Days=T","Fill=B")</f>
        <v/>
      </c>
      <c r="CV4" s="4">
        <f>BDH(CV$1,CW$3:DC$3,Settings!$C$12,IF(Settings!$D$12="","",Settings!$D$12),"Dir=V","Dts=S","Sort=A","Days=T","Fill=B")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C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1" customWidth="1" min="7" max="7"/>
    <col width="10" customWidth="1" min="8" max="8"/>
    <col width="12" customWidth="1" min="10" max="10"/>
    <col width="10" customWidth="1" min="11" max="11"/>
    <col width="10" customWidth="1" min="12" max="12"/>
    <col width="10" customWidth="1" min="13" max="13"/>
    <col width="10" customWidth="1" min="14" max="14"/>
    <col width="11" customWidth="1" min="15" max="15"/>
    <col width="11" customWidth="1" min="16" max="16"/>
    <col width="10" customWidth="1" min="17" max="17"/>
    <col width="12" customWidth="1" min="19" max="19"/>
    <col width="10" customWidth="1" min="20" max="20"/>
    <col width="10" customWidth="1" min="21" max="21"/>
    <col width="10" customWidth="1" min="22" max="22"/>
    <col width="10" customWidth="1" min="23" max="23"/>
    <col width="11" customWidth="1" min="24" max="24"/>
    <col width="11" customWidth="1" min="25" max="25"/>
    <col width="10" customWidth="1" min="26" max="26"/>
    <col width="12" customWidth="1" min="28" max="28"/>
    <col width="10" customWidth="1" min="29" max="29"/>
    <col width="10" customWidth="1" min="30" max="30"/>
    <col width="10" customWidth="1" min="31" max="31"/>
    <col width="10" customWidth="1" min="32" max="32"/>
    <col width="11" customWidth="1" min="33" max="33"/>
    <col width="11" customWidth="1" min="34" max="34"/>
    <col width="10" customWidth="1" min="35" max="35"/>
    <col width="12" customWidth="1" min="37" max="37"/>
    <col width="10" customWidth="1" min="38" max="38"/>
    <col width="10" customWidth="1" min="39" max="39"/>
    <col width="10" customWidth="1" min="40" max="40"/>
    <col width="10" customWidth="1" min="41" max="41"/>
    <col width="11" customWidth="1" min="42" max="42"/>
    <col width="11" customWidth="1" min="43" max="43"/>
    <col width="10" customWidth="1" min="44" max="44"/>
    <col width="12" customWidth="1" min="46" max="46"/>
    <col width="10" customWidth="1" min="47" max="47"/>
    <col width="10" customWidth="1" min="48" max="48"/>
    <col width="10" customWidth="1" min="49" max="49"/>
    <col width="10" customWidth="1" min="50" max="50"/>
    <col width="11" customWidth="1" min="51" max="51"/>
    <col width="11" customWidth="1" min="52" max="52"/>
    <col width="10" customWidth="1" min="53" max="53"/>
    <col width="12" customWidth="1" min="55" max="55"/>
    <col width="10" customWidth="1" min="56" max="56"/>
    <col width="10" customWidth="1" min="57" max="57"/>
    <col width="10" customWidth="1" min="58" max="58"/>
    <col width="10" customWidth="1" min="59" max="59"/>
    <col width="11" customWidth="1" min="60" max="60"/>
    <col width="11" customWidth="1" min="61" max="61"/>
    <col width="10" customWidth="1" min="62" max="62"/>
    <col width="12" customWidth="1" min="64" max="64"/>
    <col width="10" customWidth="1" min="65" max="65"/>
    <col width="10" customWidth="1" min="66" max="66"/>
    <col width="10" customWidth="1" min="67" max="67"/>
    <col width="10" customWidth="1" min="68" max="68"/>
    <col width="11" customWidth="1" min="69" max="69"/>
    <col width="11" customWidth="1" min="70" max="70"/>
    <col width="10" customWidth="1" min="71" max="71"/>
    <col width="12" customWidth="1" min="73" max="73"/>
    <col width="10" customWidth="1" min="74" max="74"/>
    <col width="10" customWidth="1" min="75" max="75"/>
    <col width="10" customWidth="1" min="76" max="76"/>
    <col width="10" customWidth="1" min="77" max="77"/>
    <col width="11" customWidth="1" min="78" max="78"/>
    <col width="11" customWidth="1" min="79" max="79"/>
    <col width="10" customWidth="1" min="80" max="80"/>
    <col width="12" customWidth="1" min="82" max="82"/>
    <col width="10" customWidth="1" min="83" max="83"/>
    <col width="10" customWidth="1" min="84" max="84"/>
    <col width="10" customWidth="1" min="85" max="85"/>
    <col width="10" customWidth="1" min="86" max="86"/>
    <col width="11" customWidth="1" min="87" max="87"/>
    <col width="11" customWidth="1" min="88" max="88"/>
    <col width="10" customWidth="1" min="89" max="89"/>
    <col width="12" customWidth="1" min="91" max="91"/>
    <col width="10" customWidth="1" min="92" max="92"/>
    <col width="10" customWidth="1" min="93" max="93"/>
    <col width="10" customWidth="1" min="94" max="94"/>
    <col width="10" customWidth="1" min="95" max="95"/>
    <col width="11" customWidth="1" min="96" max="96"/>
    <col width="11" customWidth="1" min="97" max="97"/>
    <col width="10" customWidth="1" min="98" max="98"/>
    <col width="12" customWidth="1" min="100" max="100"/>
    <col width="10" customWidth="1" min="101" max="101"/>
    <col width="10" customWidth="1" min="102" max="102"/>
    <col width="10" customWidth="1" min="103" max="103"/>
    <col width="10" customWidth="1" min="104" max="104"/>
    <col width="11" customWidth="1" min="105" max="105"/>
    <col width="11" customWidth="1" min="106" max="106"/>
    <col width="10" customWidth="1" min="107" max="107"/>
  </cols>
  <sheetData>
    <row r="1">
      <c r="A1" s="2">
        <f>IF(Settings!$B$12="Y","CLF"&amp;IF(A$2&lt;Settings!$B$3,"23","3")&amp;" Comdty","")</f>
        <v/>
      </c>
      <c r="J1" s="2">
        <f>IF(Settings!$B$12="Y","CLG"&amp;IF(J$2&lt;Settings!$B$3,"23","3")&amp;" Comdty","")</f>
        <v/>
      </c>
      <c r="S1" s="2">
        <f>IF(Settings!$B$12="Y","CLH"&amp;IF(S$2&lt;Settings!$B$3,"23","3")&amp;" Comdty","")</f>
        <v/>
      </c>
      <c r="AB1" s="2">
        <f>IF(Settings!$B$12="Y","CLJ"&amp;IF(AB$2&lt;Settings!$B$3,"23","3")&amp;" Comdty","")</f>
        <v/>
      </c>
      <c r="AK1" s="2">
        <f>IF(Settings!$B$12="Y","CLK"&amp;IF(AK$2&lt;Settings!$B$3,"23","3")&amp;" Comdty","")</f>
        <v/>
      </c>
      <c r="AT1" s="2">
        <f>IF(Settings!$B$12="Y","CLM"&amp;IF(AT$2&lt;Settings!$B$3,"23","3")&amp;" Comdty","")</f>
        <v/>
      </c>
      <c r="BC1" s="2">
        <f>IF(Settings!$B$12="Y","CLN"&amp;IF(BC$2&lt;Settings!$B$3,"23","3")&amp;" Comdty","")</f>
        <v/>
      </c>
      <c r="BL1" s="2">
        <f>IF(Settings!$B$12="Y","CLQ"&amp;IF(BL$2&lt;Settings!$B$3,"23","3")&amp;" Comdty","")</f>
        <v/>
      </c>
      <c r="BU1" s="2">
        <f>IF(Settings!$B$12="Y","CLU"&amp;IF(BU$2&lt;Settings!$B$3,"23","3")&amp;" Comdty","")</f>
        <v/>
      </c>
      <c r="CD1" s="2">
        <f>IF(Settings!$B$12="Y","CLV"&amp;IF(CD$2&lt;Settings!$B$3,"23","3")&amp;" Comdty","")</f>
        <v/>
      </c>
      <c r="CM1" s="2">
        <f>IF(Settings!$B$12="Y","CLX"&amp;IF(CM$2&lt;Settings!$B$3,"23","3")&amp;" Comdty","")</f>
        <v/>
      </c>
      <c r="CV1" s="2">
        <f>IF(Settings!$B$12="Y","CLZ"&amp;IF(CV$2&lt;Settings!$B$3,"23","3")&amp;" Comdty","")</f>
        <v/>
      </c>
    </row>
    <row r="2">
      <c r="A2" s="8">
        <f>WORKDAY(DATE(2023,1-1,25),-3)</f>
        <v/>
      </c>
      <c r="B2" s="8">
        <f>IF(A$1="","",BDP(A$1,"LAST_TRADEABLE_DT"))</f>
        <v/>
      </c>
      <c r="J2" s="8">
        <f>WORKDAY(DATE(2023,2-1,25),-3)</f>
        <v/>
      </c>
      <c r="K2" s="8">
        <f>IF(J$1="","",BDP(J$1,"LAST_TRADEABLE_DT"))</f>
        <v/>
      </c>
      <c r="S2" s="8">
        <f>WORKDAY(DATE(2023,3-1,25),-3)</f>
        <v/>
      </c>
      <c r="T2" s="8">
        <f>IF(S$1="","",BDP(S$1,"LAST_TRADEABLE_DT"))</f>
        <v/>
      </c>
      <c r="AB2" s="8">
        <f>WORKDAY(DATE(2023,4-1,25),-3)</f>
        <v/>
      </c>
      <c r="AC2" s="8">
        <f>IF(AB$1="","",BDP(AB$1,"LAST_TRADEABLE_DT"))</f>
        <v/>
      </c>
      <c r="AK2" s="8">
        <f>WORKDAY(DATE(2023,5-1,25),-3)</f>
        <v/>
      </c>
      <c r="AL2" s="8">
        <f>IF(AK$1="","",BDP(AK$1,"LAST_TRADEABLE_DT"))</f>
        <v/>
      </c>
      <c r="AT2" s="8">
        <f>WORKDAY(DATE(2023,6-1,25),-3)</f>
        <v/>
      </c>
      <c r="AU2" s="8">
        <f>IF(AT$1="","",BDP(AT$1,"LAST_TRADEABLE_DT"))</f>
        <v/>
      </c>
      <c r="BC2" s="8">
        <f>WORKDAY(DATE(2023,7-1,25),-3)</f>
        <v/>
      </c>
      <c r="BD2" s="8">
        <f>IF(BC$1="","",BDP(BC$1,"LAST_TRADEABLE_DT"))</f>
        <v/>
      </c>
      <c r="BL2" s="8">
        <f>WORKDAY(DATE(2023,8-1,25),-3)</f>
        <v/>
      </c>
      <c r="BM2" s="8">
        <f>IF(BL$1="","",BDP(BL$1,"LAST_TRADEABLE_DT"))</f>
        <v/>
      </c>
      <c r="BU2" s="8">
        <f>WORKDAY(DATE(2023,9-1,25),-3)</f>
        <v/>
      </c>
      <c r="BV2" s="8">
        <f>IF(BU$1="","",BDP(BU$1,"LAST_TRADEABLE_DT"))</f>
        <v/>
      </c>
      <c r="CD2" s="8">
        <f>WORKDAY(DATE(2023,10-1,25),-3)</f>
        <v/>
      </c>
      <c r="CE2" s="8">
        <f>IF(CD$1="","",BDP(CD$1,"LAST_TRADEABLE_DT"))</f>
        <v/>
      </c>
      <c r="CM2" s="8">
        <f>WORKDAY(DATE(2023,11-1,25),-3)</f>
        <v/>
      </c>
      <c r="CN2" s="8">
        <f>IF(CM$1="","",BDP(CM$1,"LAST_TRADEABLE_DT"))</f>
        <v/>
      </c>
      <c r="CV2" s="8">
        <f>WORKDAY(DATE(2023,12-1,25),-3)</f>
        <v/>
      </c>
      <c r="CW2" s="8">
        <f>IF(CV$1="","",BDP(CV$1,"LAST_TRADEABLE_DT"))</f>
        <v/>
      </c>
    </row>
    <row r="3">
      <c r="A3" s="5" t="inlineStr">
        <is>
          <t>Date</t>
        </is>
      </c>
      <c r="B3" s="5" t="inlineStr">
        <is>
          <t>PX_OPEN</t>
        </is>
      </c>
      <c r="C3" s="5" t="inlineStr">
        <is>
          <t>PX_HIGH</t>
        </is>
      </c>
      <c r="D3" s="5" t="inlineStr">
        <is>
          <t>PX_LOW</t>
        </is>
      </c>
      <c r="E3" s="5" t="inlineStr">
        <is>
          <t>PX_LAST</t>
        </is>
      </c>
      <c r="F3" s="5" t="inlineStr">
        <is>
          <t>PX_SETTLE</t>
        </is>
      </c>
      <c r="G3" s="5" t="inlineStr">
        <is>
          <t>PX_VOLUME</t>
        </is>
      </c>
      <c r="H3" s="5" t="inlineStr">
        <is>
          <t>OPEN_INT</t>
        </is>
      </c>
      <c r="J3" s="5" t="inlineStr">
        <is>
          <t>Date</t>
        </is>
      </c>
      <c r="K3" s="5" t="inlineStr">
        <is>
          <t>PX_OPEN</t>
        </is>
      </c>
      <c r="L3" s="5" t="inlineStr">
        <is>
          <t>PX_HIGH</t>
        </is>
      </c>
      <c r="M3" s="5" t="inlineStr">
        <is>
          <t>PX_LOW</t>
        </is>
      </c>
      <c r="N3" s="5" t="inlineStr">
        <is>
          <t>PX_LAST</t>
        </is>
      </c>
      <c r="O3" s="5" t="inlineStr">
        <is>
          <t>PX_SETTLE</t>
        </is>
      </c>
      <c r="P3" s="5" t="inlineStr">
        <is>
          <t>PX_VOLUME</t>
        </is>
      </c>
      <c r="Q3" s="5" t="inlineStr">
        <is>
          <t>OPEN_INT</t>
        </is>
      </c>
      <c r="S3" s="5" t="inlineStr">
        <is>
          <t>Date</t>
        </is>
      </c>
      <c r="T3" s="5" t="inlineStr">
        <is>
          <t>PX_OPEN</t>
        </is>
      </c>
      <c r="U3" s="5" t="inlineStr">
        <is>
          <t>PX_HIGH</t>
        </is>
      </c>
      <c r="V3" s="5" t="inlineStr">
        <is>
          <t>PX_LOW</t>
        </is>
      </c>
      <c r="W3" s="5" t="inlineStr">
        <is>
          <t>PX_LAST</t>
        </is>
      </c>
      <c r="X3" s="5" t="inlineStr">
        <is>
          <t>PX_SETTLE</t>
        </is>
      </c>
      <c r="Y3" s="5" t="inlineStr">
        <is>
          <t>PX_VOLUME</t>
        </is>
      </c>
      <c r="Z3" s="5" t="inlineStr">
        <is>
          <t>OPEN_INT</t>
        </is>
      </c>
      <c r="AB3" s="5" t="inlineStr">
        <is>
          <t>Date</t>
        </is>
      </c>
      <c r="AC3" s="5" t="inlineStr">
        <is>
          <t>PX_OPEN</t>
        </is>
      </c>
      <c r="AD3" s="5" t="inlineStr">
        <is>
          <t>PX_HIGH</t>
        </is>
      </c>
      <c r="AE3" s="5" t="inlineStr">
        <is>
          <t>PX_LOW</t>
        </is>
      </c>
      <c r="AF3" s="5" t="inlineStr">
        <is>
          <t>PX_LAST</t>
        </is>
      </c>
      <c r="AG3" s="5" t="inlineStr">
        <is>
          <t>PX_SETTLE</t>
        </is>
      </c>
      <c r="AH3" s="5" t="inlineStr">
        <is>
          <t>PX_VOLUME</t>
        </is>
      </c>
      <c r="AI3" s="5" t="inlineStr">
        <is>
          <t>OPEN_INT</t>
        </is>
      </c>
      <c r="AK3" s="5" t="inlineStr">
        <is>
          <t>Date</t>
        </is>
      </c>
      <c r="AL3" s="5" t="inlineStr">
        <is>
          <t>PX_OPEN</t>
        </is>
      </c>
      <c r="AM3" s="5" t="inlineStr">
        <is>
          <t>PX_HIGH</t>
        </is>
      </c>
      <c r="AN3" s="5" t="inlineStr">
        <is>
          <t>PX_LOW</t>
        </is>
      </c>
      <c r="AO3" s="5" t="inlineStr">
        <is>
          <t>PX_LAST</t>
        </is>
      </c>
      <c r="AP3" s="5" t="inlineStr">
        <is>
          <t>PX_SETTLE</t>
        </is>
      </c>
      <c r="AQ3" s="5" t="inlineStr">
        <is>
          <t>PX_VOLUME</t>
        </is>
      </c>
      <c r="AR3" s="5" t="inlineStr">
        <is>
          <t>OPEN_INT</t>
        </is>
      </c>
      <c r="AT3" s="5" t="inlineStr">
        <is>
          <t>Date</t>
        </is>
      </c>
      <c r="AU3" s="5" t="inlineStr">
        <is>
          <t>PX_OPEN</t>
        </is>
      </c>
      <c r="AV3" s="5" t="inlineStr">
        <is>
          <t>PX_HIGH</t>
        </is>
      </c>
      <c r="AW3" s="5" t="inlineStr">
        <is>
          <t>PX_LOW</t>
        </is>
      </c>
      <c r="AX3" s="5" t="inlineStr">
        <is>
          <t>PX_LAST</t>
        </is>
      </c>
      <c r="AY3" s="5" t="inlineStr">
        <is>
          <t>PX_SETTLE</t>
        </is>
      </c>
      <c r="AZ3" s="5" t="inlineStr">
        <is>
          <t>PX_VOLUME</t>
        </is>
      </c>
      <c r="BA3" s="5" t="inlineStr">
        <is>
          <t>OPEN_INT</t>
        </is>
      </c>
      <c r="BC3" s="5" t="inlineStr">
        <is>
          <t>Date</t>
        </is>
      </c>
      <c r="BD3" s="5" t="inlineStr">
        <is>
          <t>PX_OPEN</t>
        </is>
      </c>
      <c r="BE3" s="5" t="inlineStr">
        <is>
          <t>PX_HIGH</t>
        </is>
      </c>
      <c r="BF3" s="5" t="inlineStr">
        <is>
          <t>PX_LOW</t>
        </is>
      </c>
      <c r="BG3" s="5" t="inlineStr">
        <is>
          <t>PX_LAST</t>
        </is>
      </c>
      <c r="BH3" s="5" t="inlineStr">
        <is>
          <t>PX_SETTLE</t>
        </is>
      </c>
      <c r="BI3" s="5" t="inlineStr">
        <is>
          <t>PX_VOLUME</t>
        </is>
      </c>
      <c r="BJ3" s="5" t="inlineStr">
        <is>
          <t>OPEN_INT</t>
        </is>
      </c>
      <c r="BL3" s="5" t="inlineStr">
        <is>
          <t>Date</t>
        </is>
      </c>
      <c r="BM3" s="5" t="inlineStr">
        <is>
          <t>PX_OPEN</t>
        </is>
      </c>
      <c r="BN3" s="5" t="inlineStr">
        <is>
          <t>PX_HIGH</t>
        </is>
      </c>
      <c r="BO3" s="5" t="inlineStr">
        <is>
          <t>PX_LOW</t>
        </is>
      </c>
      <c r="BP3" s="5" t="inlineStr">
        <is>
          <t>PX_LAST</t>
        </is>
      </c>
      <c r="BQ3" s="5" t="inlineStr">
        <is>
          <t>PX_SETTLE</t>
        </is>
      </c>
      <c r="BR3" s="5" t="inlineStr">
        <is>
          <t>PX_VOLUME</t>
        </is>
      </c>
      <c r="BS3" s="5" t="inlineStr">
        <is>
          <t>OPEN_INT</t>
        </is>
      </c>
      <c r="BU3" s="5" t="inlineStr">
        <is>
          <t>Date</t>
        </is>
      </c>
      <c r="BV3" s="5" t="inlineStr">
        <is>
          <t>PX_OPEN</t>
        </is>
      </c>
      <c r="BW3" s="5" t="inlineStr">
        <is>
          <t>PX_HIGH</t>
        </is>
      </c>
      <c r="BX3" s="5" t="inlineStr">
        <is>
          <t>PX_LOW</t>
        </is>
      </c>
      <c r="BY3" s="5" t="inlineStr">
        <is>
          <t>PX_LAST</t>
        </is>
      </c>
      <c r="BZ3" s="5" t="inlineStr">
        <is>
          <t>PX_SETTLE</t>
        </is>
      </c>
      <c r="CA3" s="5" t="inlineStr">
        <is>
          <t>PX_VOLUME</t>
        </is>
      </c>
      <c r="CB3" s="5" t="inlineStr">
        <is>
          <t>OPEN_INT</t>
        </is>
      </c>
      <c r="CD3" s="5" t="inlineStr">
        <is>
          <t>Date</t>
        </is>
      </c>
      <c r="CE3" s="5" t="inlineStr">
        <is>
          <t>PX_OPEN</t>
        </is>
      </c>
      <c r="CF3" s="5" t="inlineStr">
        <is>
          <t>PX_HIGH</t>
        </is>
      </c>
      <c r="CG3" s="5" t="inlineStr">
        <is>
          <t>PX_LOW</t>
        </is>
      </c>
      <c r="CH3" s="5" t="inlineStr">
        <is>
          <t>PX_LAST</t>
        </is>
      </c>
      <c r="CI3" s="5" t="inlineStr">
        <is>
          <t>PX_SETTLE</t>
        </is>
      </c>
      <c r="CJ3" s="5" t="inlineStr">
        <is>
          <t>PX_VOLUME</t>
        </is>
      </c>
      <c r="CK3" s="5" t="inlineStr">
        <is>
          <t>OPEN_INT</t>
        </is>
      </c>
      <c r="CM3" s="5" t="inlineStr">
        <is>
          <t>Date</t>
        </is>
      </c>
      <c r="CN3" s="5" t="inlineStr">
        <is>
          <t>PX_OPEN</t>
        </is>
      </c>
      <c r="CO3" s="5" t="inlineStr">
        <is>
          <t>PX_HIGH</t>
        </is>
      </c>
      <c r="CP3" s="5" t="inlineStr">
        <is>
          <t>PX_LOW</t>
        </is>
      </c>
      <c r="CQ3" s="5" t="inlineStr">
        <is>
          <t>PX_LAST</t>
        </is>
      </c>
      <c r="CR3" s="5" t="inlineStr">
        <is>
          <t>PX_SETTLE</t>
        </is>
      </c>
      <c r="CS3" s="5" t="inlineStr">
        <is>
          <t>PX_VOLUME</t>
        </is>
      </c>
      <c r="CT3" s="5" t="inlineStr">
        <is>
          <t>OPEN_INT</t>
        </is>
      </c>
      <c r="CV3" s="5" t="inlineStr">
        <is>
          <t>Date</t>
        </is>
      </c>
      <c r="CW3" s="5" t="inlineStr">
        <is>
          <t>PX_OPEN</t>
        </is>
      </c>
      <c r="CX3" s="5" t="inlineStr">
        <is>
          <t>PX_HIGH</t>
        </is>
      </c>
      <c r="CY3" s="5" t="inlineStr">
        <is>
          <t>PX_LOW</t>
        </is>
      </c>
      <c r="CZ3" s="5" t="inlineStr">
        <is>
          <t>PX_LAST</t>
        </is>
      </c>
      <c r="DA3" s="5" t="inlineStr">
        <is>
          <t>PX_SETTLE</t>
        </is>
      </c>
      <c r="DB3" s="5" t="inlineStr">
        <is>
          <t>PX_VOLUME</t>
        </is>
      </c>
      <c r="DC3" s="5" t="inlineStr">
        <is>
          <t>OPEN_INT</t>
        </is>
      </c>
    </row>
    <row r="4">
      <c r="A4" s="4">
        <f>BDH(A$1,B$3:H$3,Settings!$C$12,IF(Settings!$D$12="","",Settings!$D$12),"Dir=V","Dts=S","Sort=A","Days=T","Fill=B")</f>
        <v/>
      </c>
      <c r="J4" s="4">
        <f>BDH(J$1,K$3:Q$3,Settings!$C$12,IF(Settings!$D$12="","",Settings!$D$12),"Dir=V","Dts=S","Sort=A","Days=T","Fill=B")</f>
        <v/>
      </c>
      <c r="S4" s="4">
        <f>BDH(S$1,T$3:Z$3,Settings!$C$12,IF(Settings!$D$12="","",Settings!$D$12),"Dir=V","Dts=S","Sort=A","Days=T","Fill=B")</f>
        <v/>
      </c>
      <c r="AB4" s="4">
        <f>BDH(AB$1,AC$3:AI$3,Settings!$C$12,IF(Settings!$D$12="","",Settings!$D$12),"Dir=V","Dts=S","Sort=A","Days=T","Fill=B")</f>
        <v/>
      </c>
      <c r="AK4" s="4">
        <f>BDH(AK$1,AL$3:AR$3,Settings!$C$12,IF(Settings!$D$12="","",Settings!$D$12),"Dir=V","Dts=S","Sort=A","Days=T","Fill=B")</f>
        <v/>
      </c>
      <c r="AT4" s="4">
        <f>BDH(AT$1,AU$3:BA$3,Settings!$C$12,IF(Settings!$D$12="","",Settings!$D$12),"Dir=V","Dts=S","Sort=A","Days=T","Fill=B")</f>
        <v/>
      </c>
      <c r="BC4" s="4">
        <f>BDH(BC$1,BD$3:BJ$3,Settings!$C$12,IF(Settings!$D$12="","",Settings!$D$12),"Dir=V","Dts=S","Sort=A","Days=T","Fill=B")</f>
        <v/>
      </c>
      <c r="BL4" s="4">
        <f>BDH(BL$1,BM$3:BS$3,Settings!$C$12,IF(Settings!$D$12="","",Settings!$D$12),"Dir=V","Dts=S","Sort=A","Days=T","Fill=B")</f>
        <v/>
      </c>
      <c r="BU4" s="4">
        <f>BDH(BU$1,BV$3:CB$3,Settings!$C$12,IF(Settings!$D$12="","",Settings!$D$12),"Dir=V","Dts=S","Sort=A","Days=T","Fill=B")</f>
        <v/>
      </c>
      <c r="CD4" s="4">
        <f>BDH(CD$1,CE$3:CK$3,Settings!$C$12,IF(Settings!$D$12="","",Settings!$D$12),"Dir=V","Dts=S","Sort=A","Days=T","Fill=B")</f>
        <v/>
      </c>
      <c r="CM4" s="4">
        <f>BDH(CM$1,CN$3:CT$3,Settings!$C$12,IF(Settings!$D$12="","",Settings!$D$12),"Dir=V","Dts=S","Sort=A","Days=T","Fill=B")</f>
        <v/>
      </c>
      <c r="CV4" s="4">
        <f>BDH(CV$1,CW$3:DC$3,Settings!$C$12,IF(Settings!$D$12="","",Settings!$D$12),"Dir=V","Dts=S","Sort=A","Days=T","Fill=B")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C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1" customWidth="1" min="7" max="7"/>
    <col width="10" customWidth="1" min="8" max="8"/>
    <col width="12" customWidth="1" min="10" max="10"/>
    <col width="10" customWidth="1" min="11" max="11"/>
    <col width="10" customWidth="1" min="12" max="12"/>
    <col width="10" customWidth="1" min="13" max="13"/>
    <col width="10" customWidth="1" min="14" max="14"/>
    <col width="11" customWidth="1" min="15" max="15"/>
    <col width="11" customWidth="1" min="16" max="16"/>
    <col width="10" customWidth="1" min="17" max="17"/>
    <col width="12" customWidth="1" min="19" max="19"/>
    <col width="10" customWidth="1" min="20" max="20"/>
    <col width="10" customWidth="1" min="21" max="21"/>
    <col width="10" customWidth="1" min="22" max="22"/>
    <col width="10" customWidth="1" min="23" max="23"/>
    <col width="11" customWidth="1" min="24" max="24"/>
    <col width="11" customWidth="1" min="25" max="25"/>
    <col width="10" customWidth="1" min="26" max="26"/>
    <col width="12" customWidth="1" min="28" max="28"/>
    <col width="10" customWidth="1" min="29" max="29"/>
    <col width="10" customWidth="1" min="30" max="30"/>
    <col width="10" customWidth="1" min="31" max="31"/>
    <col width="10" customWidth="1" min="32" max="32"/>
    <col width="11" customWidth="1" min="33" max="33"/>
    <col width="11" customWidth="1" min="34" max="34"/>
    <col width="10" customWidth="1" min="35" max="35"/>
    <col width="12" customWidth="1" min="37" max="37"/>
    <col width="10" customWidth="1" min="38" max="38"/>
    <col width="10" customWidth="1" min="39" max="39"/>
    <col width="10" customWidth="1" min="40" max="40"/>
    <col width="10" customWidth="1" min="41" max="41"/>
    <col width="11" customWidth="1" min="42" max="42"/>
    <col width="11" customWidth="1" min="43" max="43"/>
    <col width="10" customWidth="1" min="44" max="44"/>
    <col width="12" customWidth="1" min="46" max="46"/>
    <col width="10" customWidth="1" min="47" max="47"/>
    <col width="10" customWidth="1" min="48" max="48"/>
    <col width="10" customWidth="1" min="49" max="49"/>
    <col width="10" customWidth="1" min="50" max="50"/>
    <col width="11" customWidth="1" min="51" max="51"/>
    <col width="11" customWidth="1" min="52" max="52"/>
    <col width="10" customWidth="1" min="53" max="53"/>
    <col width="12" customWidth="1" min="55" max="55"/>
    <col width="10" customWidth="1" min="56" max="56"/>
    <col width="10" customWidth="1" min="57" max="57"/>
    <col width="10" customWidth="1" min="58" max="58"/>
    <col width="10" customWidth="1" min="59" max="59"/>
    <col width="11" customWidth="1" min="60" max="60"/>
    <col width="11" customWidth="1" min="61" max="61"/>
    <col width="10" customWidth="1" min="62" max="62"/>
    <col width="12" customWidth="1" min="64" max="64"/>
    <col width="10" customWidth="1" min="65" max="65"/>
    <col width="10" customWidth="1" min="66" max="66"/>
    <col width="10" customWidth="1" min="67" max="67"/>
    <col width="10" customWidth="1" min="68" max="68"/>
    <col width="11" customWidth="1" min="69" max="69"/>
    <col width="11" customWidth="1" min="70" max="70"/>
    <col width="10" customWidth="1" min="71" max="71"/>
    <col width="12" customWidth="1" min="73" max="73"/>
    <col width="10" customWidth="1" min="74" max="74"/>
    <col width="10" customWidth="1" min="75" max="75"/>
    <col width="10" customWidth="1" min="76" max="76"/>
    <col width="10" customWidth="1" min="77" max="77"/>
    <col width="11" customWidth="1" min="78" max="78"/>
    <col width="11" customWidth="1" min="79" max="79"/>
    <col width="10" customWidth="1" min="80" max="80"/>
    <col width="12" customWidth="1" min="82" max="82"/>
    <col width="10" customWidth="1" min="83" max="83"/>
    <col width="10" customWidth="1" min="84" max="84"/>
    <col width="10" customWidth="1" min="85" max="85"/>
    <col width="10" customWidth="1" min="86" max="86"/>
    <col width="11" customWidth="1" min="87" max="87"/>
    <col width="11" customWidth="1" min="88" max="88"/>
    <col width="10" customWidth="1" min="89" max="89"/>
    <col width="12" customWidth="1" min="91" max="91"/>
    <col width="10" customWidth="1" min="92" max="92"/>
    <col width="10" customWidth="1" min="93" max="93"/>
    <col width="10" customWidth="1" min="94" max="94"/>
    <col width="10" customWidth="1" min="95" max="95"/>
    <col width="11" customWidth="1" min="96" max="96"/>
    <col width="11" customWidth="1" min="97" max="97"/>
    <col width="10" customWidth="1" min="98" max="98"/>
    <col width="12" customWidth="1" min="100" max="100"/>
    <col width="10" customWidth="1" min="101" max="101"/>
    <col width="10" customWidth="1" min="102" max="102"/>
    <col width="10" customWidth="1" min="103" max="103"/>
    <col width="10" customWidth="1" min="104" max="104"/>
    <col width="11" customWidth="1" min="105" max="105"/>
    <col width="11" customWidth="1" min="106" max="106"/>
    <col width="10" customWidth="1" min="107" max="107"/>
  </cols>
  <sheetData>
    <row r="1">
      <c r="A1" s="2">
        <f>IF(Settings!$B$12="Y","CLF"&amp;IF(A$2&lt;Settings!$B$3,"24","4")&amp;" Comdty","")</f>
        <v/>
      </c>
      <c r="J1" s="2">
        <f>IF(Settings!$B$12="Y","CLG"&amp;IF(J$2&lt;Settings!$B$3,"24","4")&amp;" Comdty","")</f>
        <v/>
      </c>
      <c r="S1" s="2">
        <f>IF(Settings!$B$12="Y","CLH"&amp;IF(S$2&lt;Settings!$B$3,"24","4")&amp;" Comdty","")</f>
        <v/>
      </c>
      <c r="AB1" s="2">
        <f>IF(Settings!$B$12="Y","CLJ"&amp;IF(AB$2&lt;Settings!$B$3,"24","4")&amp;" Comdty","")</f>
        <v/>
      </c>
      <c r="AK1" s="2">
        <f>IF(Settings!$B$12="Y","CLK"&amp;IF(AK$2&lt;Settings!$B$3,"24","4")&amp;" Comdty","")</f>
        <v/>
      </c>
      <c r="AT1" s="2">
        <f>IF(Settings!$B$12="Y","CLM"&amp;IF(AT$2&lt;Settings!$B$3,"24","4")&amp;" Comdty","")</f>
        <v/>
      </c>
      <c r="BC1" s="2">
        <f>IF(Settings!$B$12="Y","CLN"&amp;IF(BC$2&lt;Settings!$B$3,"24","4")&amp;" Comdty","")</f>
        <v/>
      </c>
      <c r="BL1" s="2">
        <f>IF(Settings!$B$12="Y","CLQ"&amp;IF(BL$2&lt;Settings!$B$3,"24","4")&amp;" Comdty","")</f>
        <v/>
      </c>
      <c r="BU1" s="2">
        <f>IF(Settings!$B$12="Y","CLU"&amp;IF(BU$2&lt;Settings!$B$3,"24","4")&amp;" Comdty","")</f>
        <v/>
      </c>
      <c r="CD1" s="2">
        <f>IF(Settings!$B$12="Y","CLV"&amp;IF(CD$2&lt;Settings!$B$3,"24","4")&amp;" Comdty","")</f>
        <v/>
      </c>
      <c r="CM1" s="2">
        <f>IF(Settings!$B$12="Y","CLX"&amp;IF(CM$2&lt;Settings!$B$3,"24","4")&amp;" Comdty","")</f>
        <v/>
      </c>
      <c r="CV1" s="2">
        <f>IF(Settings!$B$12="Y","CLZ"&amp;IF(CV$2&lt;Settings!$B$3,"24","4")&amp;" Comdty","")</f>
        <v/>
      </c>
    </row>
    <row r="2">
      <c r="A2" s="8">
        <f>WORKDAY(DATE(2024,1-1,25),-3)</f>
        <v/>
      </c>
      <c r="B2" s="8">
        <f>IF(A$1="","",BDP(A$1,"LAST_TRADEABLE_DT"))</f>
        <v/>
      </c>
      <c r="J2" s="8">
        <f>WORKDAY(DATE(2024,2-1,25),-3)</f>
        <v/>
      </c>
      <c r="K2" s="8">
        <f>IF(J$1="","",BDP(J$1,"LAST_TRADEABLE_DT"))</f>
        <v/>
      </c>
      <c r="S2" s="8">
        <f>WORKDAY(DATE(2024,3-1,25),-3)</f>
        <v/>
      </c>
      <c r="T2" s="8">
        <f>IF(S$1="","",BDP(S$1,"LAST_TRADEABLE_DT"))</f>
        <v/>
      </c>
      <c r="AB2" s="8">
        <f>WORKDAY(DATE(2024,4-1,25),-3)</f>
        <v/>
      </c>
      <c r="AC2" s="8">
        <f>IF(AB$1="","",BDP(AB$1,"LAST_TRADEABLE_DT"))</f>
        <v/>
      </c>
      <c r="AK2" s="8">
        <f>WORKDAY(DATE(2024,5-1,25),-3)</f>
        <v/>
      </c>
      <c r="AL2" s="8">
        <f>IF(AK$1="","",BDP(AK$1,"LAST_TRADEABLE_DT"))</f>
        <v/>
      </c>
      <c r="AT2" s="8">
        <f>WORKDAY(DATE(2024,6-1,25),-3)</f>
        <v/>
      </c>
      <c r="AU2" s="8">
        <f>IF(AT$1="","",BDP(AT$1,"LAST_TRADEABLE_DT"))</f>
        <v/>
      </c>
      <c r="BC2" s="8">
        <f>WORKDAY(DATE(2024,7-1,25),-3)</f>
        <v/>
      </c>
      <c r="BD2" s="8">
        <f>IF(BC$1="","",BDP(BC$1,"LAST_TRADEABLE_DT"))</f>
        <v/>
      </c>
      <c r="BL2" s="8">
        <f>WORKDAY(DATE(2024,8-1,25),-3)</f>
        <v/>
      </c>
      <c r="BM2" s="8">
        <f>IF(BL$1="","",BDP(BL$1,"LAST_TRADEABLE_DT"))</f>
        <v/>
      </c>
      <c r="BU2" s="8">
        <f>WORKDAY(DATE(2024,9-1,25),-3)</f>
        <v/>
      </c>
      <c r="BV2" s="8">
        <f>IF(BU$1="","",BDP(BU$1,"LAST_TRADEABLE_DT"))</f>
        <v/>
      </c>
      <c r="CD2" s="8">
        <f>WORKDAY(DATE(2024,10-1,25),-3)</f>
        <v/>
      </c>
      <c r="CE2" s="8">
        <f>IF(CD$1="","",BDP(CD$1,"LAST_TRADEABLE_DT"))</f>
        <v/>
      </c>
      <c r="CM2" s="8">
        <f>WORKDAY(DATE(2024,11-1,25),-3)</f>
        <v/>
      </c>
      <c r="CN2" s="8">
        <f>IF(CM$1="","",BDP(CM$1,"LAST_TRADEABLE_DT"))</f>
        <v/>
      </c>
      <c r="CV2" s="8">
        <f>WORKDAY(DATE(2024,12-1,25),-3)</f>
        <v/>
      </c>
      <c r="CW2" s="8">
        <f>IF(CV$1="","",BDP(CV$1,"LAST_TRADEABLE_DT"))</f>
        <v/>
      </c>
    </row>
    <row r="3">
      <c r="A3" s="5" t="inlineStr">
        <is>
          <t>Date</t>
        </is>
      </c>
      <c r="B3" s="5" t="inlineStr">
        <is>
          <t>PX_OPEN</t>
        </is>
      </c>
      <c r="C3" s="5" t="inlineStr">
        <is>
          <t>PX_HIGH</t>
        </is>
      </c>
      <c r="D3" s="5" t="inlineStr">
        <is>
          <t>PX_LOW</t>
        </is>
      </c>
      <c r="E3" s="5" t="inlineStr">
        <is>
          <t>PX_LAST</t>
        </is>
      </c>
      <c r="F3" s="5" t="inlineStr">
        <is>
          <t>PX_SETTLE</t>
        </is>
      </c>
      <c r="G3" s="5" t="inlineStr">
        <is>
          <t>PX_VOLUME</t>
        </is>
      </c>
      <c r="H3" s="5" t="inlineStr">
        <is>
          <t>OPEN_INT</t>
        </is>
      </c>
      <c r="J3" s="5" t="inlineStr">
        <is>
          <t>Date</t>
        </is>
      </c>
      <c r="K3" s="5" t="inlineStr">
        <is>
          <t>PX_OPEN</t>
        </is>
      </c>
      <c r="L3" s="5" t="inlineStr">
        <is>
          <t>PX_HIGH</t>
        </is>
      </c>
      <c r="M3" s="5" t="inlineStr">
        <is>
          <t>PX_LOW</t>
        </is>
      </c>
      <c r="N3" s="5" t="inlineStr">
        <is>
          <t>PX_LAST</t>
        </is>
      </c>
      <c r="O3" s="5" t="inlineStr">
        <is>
          <t>PX_SETTLE</t>
        </is>
      </c>
      <c r="P3" s="5" t="inlineStr">
        <is>
          <t>PX_VOLUME</t>
        </is>
      </c>
      <c r="Q3" s="5" t="inlineStr">
        <is>
          <t>OPEN_INT</t>
        </is>
      </c>
      <c r="S3" s="5" t="inlineStr">
        <is>
          <t>Date</t>
        </is>
      </c>
      <c r="T3" s="5" t="inlineStr">
        <is>
          <t>PX_OPEN</t>
        </is>
      </c>
      <c r="U3" s="5" t="inlineStr">
        <is>
          <t>PX_HIGH</t>
        </is>
      </c>
      <c r="V3" s="5" t="inlineStr">
        <is>
          <t>PX_LOW</t>
        </is>
      </c>
      <c r="W3" s="5" t="inlineStr">
        <is>
          <t>PX_LAST</t>
        </is>
      </c>
      <c r="X3" s="5" t="inlineStr">
        <is>
          <t>PX_SETTLE</t>
        </is>
      </c>
      <c r="Y3" s="5" t="inlineStr">
        <is>
          <t>PX_VOLUME</t>
        </is>
      </c>
      <c r="Z3" s="5" t="inlineStr">
        <is>
          <t>OPEN_INT</t>
        </is>
      </c>
      <c r="AB3" s="5" t="inlineStr">
        <is>
          <t>Date</t>
        </is>
      </c>
      <c r="AC3" s="5" t="inlineStr">
        <is>
          <t>PX_OPEN</t>
        </is>
      </c>
      <c r="AD3" s="5" t="inlineStr">
        <is>
          <t>PX_HIGH</t>
        </is>
      </c>
      <c r="AE3" s="5" t="inlineStr">
        <is>
          <t>PX_LOW</t>
        </is>
      </c>
      <c r="AF3" s="5" t="inlineStr">
        <is>
          <t>PX_LAST</t>
        </is>
      </c>
      <c r="AG3" s="5" t="inlineStr">
        <is>
          <t>PX_SETTLE</t>
        </is>
      </c>
      <c r="AH3" s="5" t="inlineStr">
        <is>
          <t>PX_VOLUME</t>
        </is>
      </c>
      <c r="AI3" s="5" t="inlineStr">
        <is>
          <t>OPEN_INT</t>
        </is>
      </c>
      <c r="AK3" s="5" t="inlineStr">
        <is>
          <t>Date</t>
        </is>
      </c>
      <c r="AL3" s="5" t="inlineStr">
        <is>
          <t>PX_OPEN</t>
        </is>
      </c>
      <c r="AM3" s="5" t="inlineStr">
        <is>
          <t>PX_HIGH</t>
        </is>
      </c>
      <c r="AN3" s="5" t="inlineStr">
        <is>
          <t>PX_LOW</t>
        </is>
      </c>
      <c r="AO3" s="5" t="inlineStr">
        <is>
          <t>PX_LAST</t>
        </is>
      </c>
      <c r="AP3" s="5" t="inlineStr">
        <is>
          <t>PX_SETTLE</t>
        </is>
      </c>
      <c r="AQ3" s="5" t="inlineStr">
        <is>
          <t>PX_VOLUME</t>
        </is>
      </c>
      <c r="AR3" s="5" t="inlineStr">
        <is>
          <t>OPEN_INT</t>
        </is>
      </c>
      <c r="AT3" s="5" t="inlineStr">
        <is>
          <t>Date</t>
        </is>
      </c>
      <c r="AU3" s="5" t="inlineStr">
        <is>
          <t>PX_OPEN</t>
        </is>
      </c>
      <c r="AV3" s="5" t="inlineStr">
        <is>
          <t>PX_HIGH</t>
        </is>
      </c>
      <c r="AW3" s="5" t="inlineStr">
        <is>
          <t>PX_LOW</t>
        </is>
      </c>
      <c r="AX3" s="5" t="inlineStr">
        <is>
          <t>PX_LAST</t>
        </is>
      </c>
      <c r="AY3" s="5" t="inlineStr">
        <is>
          <t>PX_SETTLE</t>
        </is>
      </c>
      <c r="AZ3" s="5" t="inlineStr">
        <is>
          <t>PX_VOLUME</t>
        </is>
      </c>
      <c r="BA3" s="5" t="inlineStr">
        <is>
          <t>OPEN_INT</t>
        </is>
      </c>
      <c r="BC3" s="5" t="inlineStr">
        <is>
          <t>Date</t>
        </is>
      </c>
      <c r="BD3" s="5" t="inlineStr">
        <is>
          <t>PX_OPEN</t>
        </is>
      </c>
      <c r="BE3" s="5" t="inlineStr">
        <is>
          <t>PX_HIGH</t>
        </is>
      </c>
      <c r="BF3" s="5" t="inlineStr">
        <is>
          <t>PX_LOW</t>
        </is>
      </c>
      <c r="BG3" s="5" t="inlineStr">
        <is>
          <t>PX_LAST</t>
        </is>
      </c>
      <c r="BH3" s="5" t="inlineStr">
        <is>
          <t>PX_SETTLE</t>
        </is>
      </c>
      <c r="BI3" s="5" t="inlineStr">
        <is>
          <t>PX_VOLUME</t>
        </is>
      </c>
      <c r="BJ3" s="5" t="inlineStr">
        <is>
          <t>OPEN_INT</t>
        </is>
      </c>
      <c r="BL3" s="5" t="inlineStr">
        <is>
          <t>Date</t>
        </is>
      </c>
      <c r="BM3" s="5" t="inlineStr">
        <is>
          <t>PX_OPEN</t>
        </is>
      </c>
      <c r="BN3" s="5" t="inlineStr">
        <is>
          <t>PX_HIGH</t>
        </is>
      </c>
      <c r="BO3" s="5" t="inlineStr">
        <is>
          <t>PX_LOW</t>
        </is>
      </c>
      <c r="BP3" s="5" t="inlineStr">
        <is>
          <t>PX_LAST</t>
        </is>
      </c>
      <c r="BQ3" s="5" t="inlineStr">
        <is>
          <t>PX_SETTLE</t>
        </is>
      </c>
      <c r="BR3" s="5" t="inlineStr">
        <is>
          <t>PX_VOLUME</t>
        </is>
      </c>
      <c r="BS3" s="5" t="inlineStr">
        <is>
          <t>OPEN_INT</t>
        </is>
      </c>
      <c r="BU3" s="5" t="inlineStr">
        <is>
          <t>Date</t>
        </is>
      </c>
      <c r="BV3" s="5" t="inlineStr">
        <is>
          <t>PX_OPEN</t>
        </is>
      </c>
      <c r="BW3" s="5" t="inlineStr">
        <is>
          <t>PX_HIGH</t>
        </is>
      </c>
      <c r="BX3" s="5" t="inlineStr">
        <is>
          <t>PX_LOW</t>
        </is>
      </c>
      <c r="BY3" s="5" t="inlineStr">
        <is>
          <t>PX_LAST</t>
        </is>
      </c>
      <c r="BZ3" s="5" t="inlineStr">
        <is>
          <t>PX_SETTLE</t>
        </is>
      </c>
      <c r="CA3" s="5" t="inlineStr">
        <is>
          <t>PX_VOLUME</t>
        </is>
      </c>
      <c r="CB3" s="5" t="inlineStr">
        <is>
          <t>OPEN_INT</t>
        </is>
      </c>
      <c r="CD3" s="5" t="inlineStr">
        <is>
          <t>Date</t>
        </is>
      </c>
      <c r="CE3" s="5" t="inlineStr">
        <is>
          <t>PX_OPEN</t>
        </is>
      </c>
      <c r="CF3" s="5" t="inlineStr">
        <is>
          <t>PX_HIGH</t>
        </is>
      </c>
      <c r="CG3" s="5" t="inlineStr">
        <is>
          <t>PX_LOW</t>
        </is>
      </c>
      <c r="CH3" s="5" t="inlineStr">
        <is>
          <t>PX_LAST</t>
        </is>
      </c>
      <c r="CI3" s="5" t="inlineStr">
        <is>
          <t>PX_SETTLE</t>
        </is>
      </c>
      <c r="CJ3" s="5" t="inlineStr">
        <is>
          <t>PX_VOLUME</t>
        </is>
      </c>
      <c r="CK3" s="5" t="inlineStr">
        <is>
          <t>OPEN_INT</t>
        </is>
      </c>
      <c r="CM3" s="5" t="inlineStr">
        <is>
          <t>Date</t>
        </is>
      </c>
      <c r="CN3" s="5" t="inlineStr">
        <is>
          <t>PX_OPEN</t>
        </is>
      </c>
      <c r="CO3" s="5" t="inlineStr">
        <is>
          <t>PX_HIGH</t>
        </is>
      </c>
      <c r="CP3" s="5" t="inlineStr">
        <is>
          <t>PX_LOW</t>
        </is>
      </c>
      <c r="CQ3" s="5" t="inlineStr">
        <is>
          <t>PX_LAST</t>
        </is>
      </c>
      <c r="CR3" s="5" t="inlineStr">
        <is>
          <t>PX_SETTLE</t>
        </is>
      </c>
      <c r="CS3" s="5" t="inlineStr">
        <is>
          <t>PX_VOLUME</t>
        </is>
      </c>
      <c r="CT3" s="5" t="inlineStr">
        <is>
          <t>OPEN_INT</t>
        </is>
      </c>
      <c r="CV3" s="5" t="inlineStr">
        <is>
          <t>Date</t>
        </is>
      </c>
      <c r="CW3" s="5" t="inlineStr">
        <is>
          <t>PX_OPEN</t>
        </is>
      </c>
      <c r="CX3" s="5" t="inlineStr">
        <is>
          <t>PX_HIGH</t>
        </is>
      </c>
      <c r="CY3" s="5" t="inlineStr">
        <is>
          <t>PX_LOW</t>
        </is>
      </c>
      <c r="CZ3" s="5" t="inlineStr">
        <is>
          <t>PX_LAST</t>
        </is>
      </c>
      <c r="DA3" s="5" t="inlineStr">
        <is>
          <t>PX_SETTLE</t>
        </is>
      </c>
      <c r="DB3" s="5" t="inlineStr">
        <is>
          <t>PX_VOLUME</t>
        </is>
      </c>
      <c r="DC3" s="5" t="inlineStr">
        <is>
          <t>OPEN_INT</t>
        </is>
      </c>
    </row>
    <row r="4">
      <c r="A4" s="4">
        <f>BDH(A$1,B$3:H$3,Settings!$C$12,IF(Settings!$D$12="","",Settings!$D$12),"Dir=V","Dts=S","Sort=A","Days=T","Fill=B")</f>
        <v/>
      </c>
      <c r="J4" s="4">
        <f>BDH(J$1,K$3:Q$3,Settings!$C$12,IF(Settings!$D$12="","",Settings!$D$12),"Dir=V","Dts=S","Sort=A","Days=T","Fill=B")</f>
        <v/>
      </c>
      <c r="S4" s="4">
        <f>BDH(S$1,T$3:Z$3,Settings!$C$12,IF(Settings!$D$12="","",Settings!$D$12),"Dir=V","Dts=S","Sort=A","Days=T","Fill=B")</f>
        <v/>
      </c>
      <c r="AB4" s="4">
        <f>BDH(AB$1,AC$3:AI$3,Settings!$C$12,IF(Settings!$D$12="","",Settings!$D$12),"Dir=V","Dts=S","Sort=A","Days=T","Fill=B")</f>
        <v/>
      </c>
      <c r="AK4" s="4">
        <f>BDH(AK$1,AL$3:AR$3,Settings!$C$12,IF(Settings!$D$12="","",Settings!$D$12),"Dir=V","Dts=S","Sort=A","Days=T","Fill=B")</f>
        <v/>
      </c>
      <c r="AT4" s="4">
        <f>BDH(AT$1,AU$3:BA$3,Settings!$C$12,IF(Settings!$D$12="","",Settings!$D$12),"Dir=V","Dts=S","Sort=A","Days=T","Fill=B")</f>
        <v/>
      </c>
      <c r="BC4" s="4">
        <f>BDH(BC$1,BD$3:BJ$3,Settings!$C$12,IF(Settings!$D$12="","",Settings!$D$12),"Dir=V","Dts=S","Sort=A","Days=T","Fill=B")</f>
        <v/>
      </c>
      <c r="BL4" s="4">
        <f>BDH(BL$1,BM$3:BS$3,Settings!$C$12,IF(Settings!$D$12="","",Settings!$D$12),"Dir=V","Dts=S","Sort=A","Days=T","Fill=B")</f>
        <v/>
      </c>
      <c r="BU4" s="4">
        <f>BDH(BU$1,BV$3:CB$3,Settings!$C$12,IF(Settings!$D$12="","",Settings!$D$12),"Dir=V","Dts=S","Sort=A","Days=T","Fill=B")</f>
        <v/>
      </c>
      <c r="CD4" s="4">
        <f>BDH(CD$1,CE$3:CK$3,Settings!$C$12,IF(Settings!$D$12="","",Settings!$D$12),"Dir=V","Dts=S","Sort=A","Days=T","Fill=B")</f>
        <v/>
      </c>
      <c r="CM4" s="4">
        <f>BDH(CM$1,CN$3:CT$3,Settings!$C$12,IF(Settings!$D$12="","",Settings!$D$12),"Dir=V","Dts=S","Sort=A","Days=T","Fill=B")</f>
        <v/>
      </c>
      <c r="CV4" s="4">
        <f>BDH(CV$1,CW$3:DC$3,Settings!$C$12,IF(Settings!$D$12="","",Settings!$D$12),"Dir=V","Dts=S","Sort=A","Days=T","Fill=B")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C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1" customWidth="1" min="7" max="7"/>
    <col width="10" customWidth="1" min="8" max="8"/>
    <col width="12" customWidth="1" min="10" max="10"/>
    <col width="10" customWidth="1" min="11" max="11"/>
    <col width="10" customWidth="1" min="12" max="12"/>
    <col width="10" customWidth="1" min="13" max="13"/>
    <col width="10" customWidth="1" min="14" max="14"/>
    <col width="11" customWidth="1" min="15" max="15"/>
    <col width="11" customWidth="1" min="16" max="16"/>
    <col width="10" customWidth="1" min="17" max="17"/>
    <col width="12" customWidth="1" min="19" max="19"/>
    <col width="10" customWidth="1" min="20" max="20"/>
    <col width="10" customWidth="1" min="21" max="21"/>
    <col width="10" customWidth="1" min="22" max="22"/>
    <col width="10" customWidth="1" min="23" max="23"/>
    <col width="11" customWidth="1" min="24" max="24"/>
    <col width="11" customWidth="1" min="25" max="25"/>
    <col width="10" customWidth="1" min="26" max="26"/>
    <col width="12" customWidth="1" min="28" max="28"/>
    <col width="10" customWidth="1" min="29" max="29"/>
    <col width="10" customWidth="1" min="30" max="30"/>
    <col width="10" customWidth="1" min="31" max="31"/>
    <col width="10" customWidth="1" min="32" max="32"/>
    <col width="11" customWidth="1" min="33" max="33"/>
    <col width="11" customWidth="1" min="34" max="34"/>
    <col width="10" customWidth="1" min="35" max="35"/>
    <col width="12" customWidth="1" min="37" max="37"/>
    <col width="10" customWidth="1" min="38" max="38"/>
    <col width="10" customWidth="1" min="39" max="39"/>
    <col width="10" customWidth="1" min="40" max="40"/>
    <col width="10" customWidth="1" min="41" max="41"/>
    <col width="11" customWidth="1" min="42" max="42"/>
    <col width="11" customWidth="1" min="43" max="43"/>
    <col width="10" customWidth="1" min="44" max="44"/>
    <col width="12" customWidth="1" min="46" max="46"/>
    <col width="10" customWidth="1" min="47" max="47"/>
    <col width="10" customWidth="1" min="48" max="48"/>
    <col width="10" customWidth="1" min="49" max="49"/>
    <col width="10" customWidth="1" min="50" max="50"/>
    <col width="11" customWidth="1" min="51" max="51"/>
    <col width="11" customWidth="1" min="52" max="52"/>
    <col width="10" customWidth="1" min="53" max="53"/>
    <col width="12" customWidth="1" min="55" max="55"/>
    <col width="10" customWidth="1" min="56" max="56"/>
    <col width="10" customWidth="1" min="57" max="57"/>
    <col width="10" customWidth="1" min="58" max="58"/>
    <col width="10" customWidth="1" min="59" max="59"/>
    <col width="11" customWidth="1" min="60" max="60"/>
    <col width="11" customWidth="1" min="61" max="61"/>
    <col width="10" customWidth="1" min="62" max="62"/>
    <col width="12" customWidth="1" min="64" max="64"/>
    <col width="10" customWidth="1" min="65" max="65"/>
    <col width="10" customWidth="1" min="66" max="66"/>
    <col width="10" customWidth="1" min="67" max="67"/>
    <col width="10" customWidth="1" min="68" max="68"/>
    <col width="11" customWidth="1" min="69" max="69"/>
    <col width="11" customWidth="1" min="70" max="70"/>
    <col width="10" customWidth="1" min="71" max="71"/>
    <col width="12" customWidth="1" min="73" max="73"/>
    <col width="10" customWidth="1" min="74" max="74"/>
    <col width="10" customWidth="1" min="75" max="75"/>
    <col width="10" customWidth="1" min="76" max="76"/>
    <col width="10" customWidth="1" min="77" max="77"/>
    <col width="11" customWidth="1" min="78" max="78"/>
    <col width="11" customWidth="1" min="79" max="79"/>
    <col width="10" customWidth="1" min="80" max="80"/>
    <col width="12" customWidth="1" min="82" max="82"/>
    <col width="10" customWidth="1" min="83" max="83"/>
    <col width="10" customWidth="1" min="84" max="84"/>
    <col width="10" customWidth="1" min="85" max="85"/>
    <col width="10" customWidth="1" min="86" max="86"/>
    <col width="11" customWidth="1" min="87" max="87"/>
    <col width="11" customWidth="1" min="88" max="88"/>
    <col width="10" customWidth="1" min="89" max="89"/>
    <col width="12" customWidth="1" min="91" max="91"/>
    <col width="10" customWidth="1" min="92" max="92"/>
    <col width="10" customWidth="1" min="93" max="93"/>
    <col width="10" customWidth="1" min="94" max="94"/>
    <col width="10" customWidth="1" min="95" max="95"/>
    <col width="11" customWidth="1" min="96" max="96"/>
    <col width="11" customWidth="1" min="97" max="97"/>
    <col width="10" customWidth="1" min="98" max="98"/>
    <col width="12" customWidth="1" min="100" max="100"/>
    <col width="10" customWidth="1" min="101" max="101"/>
    <col width="10" customWidth="1" min="102" max="102"/>
    <col width="10" customWidth="1" min="103" max="103"/>
    <col width="10" customWidth="1" min="104" max="104"/>
    <col width="11" customWidth="1" min="105" max="105"/>
    <col width="11" customWidth="1" min="106" max="106"/>
    <col width="10" customWidth="1" min="107" max="107"/>
  </cols>
  <sheetData>
    <row r="1">
      <c r="A1" s="2">
        <f>IF(Settings!$B$12="Y","CLF"&amp;IF(A$2&lt;Settings!$B$3,"25","5")&amp;" Comdty","")</f>
        <v/>
      </c>
      <c r="J1" s="2">
        <f>IF(Settings!$B$12="Y","CLG"&amp;IF(J$2&lt;Settings!$B$3,"25","5")&amp;" Comdty","")</f>
        <v/>
      </c>
      <c r="S1" s="2">
        <f>IF(Settings!$B$12="Y","CLH"&amp;IF(S$2&lt;Settings!$B$3,"25","5")&amp;" Comdty","")</f>
        <v/>
      </c>
      <c r="AB1" s="2">
        <f>IF(Settings!$B$12="Y","CLJ"&amp;IF(AB$2&lt;Settings!$B$3,"25","5")&amp;" Comdty","")</f>
        <v/>
      </c>
      <c r="AK1" s="2">
        <f>IF(Settings!$B$12="Y","CLK"&amp;IF(AK$2&lt;Settings!$B$3,"25","5")&amp;" Comdty","")</f>
        <v/>
      </c>
      <c r="AT1" s="2">
        <f>IF(Settings!$B$12="Y","CLM"&amp;IF(AT$2&lt;Settings!$B$3,"25","5")&amp;" Comdty","")</f>
        <v/>
      </c>
      <c r="BC1" s="2">
        <f>IF(Settings!$B$12="Y","CLN"&amp;IF(BC$2&lt;Settings!$B$3,"25","5")&amp;" Comdty","")</f>
        <v/>
      </c>
      <c r="BL1" s="2">
        <f>IF(Settings!$B$12="Y","CLQ"&amp;IF(BL$2&lt;Settings!$B$3,"25","5")&amp;" Comdty","")</f>
        <v/>
      </c>
      <c r="BU1" s="2">
        <f>IF(Settings!$B$12="Y","CLU"&amp;IF(BU$2&lt;Settings!$B$3,"25","5")&amp;" Comdty","")</f>
        <v/>
      </c>
      <c r="CD1" s="2">
        <f>IF(Settings!$B$12="Y","CLV"&amp;IF(CD$2&lt;Settings!$B$3,"25","5")&amp;" Comdty","")</f>
        <v/>
      </c>
      <c r="CM1" s="2">
        <f>IF(Settings!$B$12="Y","CLX"&amp;IF(CM$2&lt;Settings!$B$3,"25","5")&amp;" Comdty","")</f>
        <v/>
      </c>
      <c r="CV1" s="2">
        <f>IF(Settings!$B$12="Y","CLZ"&amp;IF(CV$2&lt;Settings!$B$3,"25","5")&amp;" Comdty","")</f>
        <v/>
      </c>
    </row>
    <row r="2">
      <c r="A2" s="8">
        <f>WORKDAY(DATE(2025,1-1,25),-3)</f>
        <v/>
      </c>
      <c r="B2" s="8">
        <f>IF(A$1="","",BDP(A$1,"LAST_TRADEABLE_DT"))</f>
        <v/>
      </c>
      <c r="J2" s="8">
        <f>WORKDAY(DATE(2025,2-1,25),-3)</f>
        <v/>
      </c>
      <c r="K2" s="8">
        <f>IF(J$1="","",BDP(J$1,"LAST_TRADEABLE_DT"))</f>
        <v/>
      </c>
      <c r="S2" s="8">
        <f>WORKDAY(DATE(2025,3-1,25),-3)</f>
        <v/>
      </c>
      <c r="T2" s="8">
        <f>IF(S$1="","",BDP(S$1,"LAST_TRADEABLE_DT"))</f>
        <v/>
      </c>
      <c r="AB2" s="8">
        <f>WORKDAY(DATE(2025,4-1,25),-3)</f>
        <v/>
      </c>
      <c r="AC2" s="8">
        <f>IF(AB$1="","",BDP(AB$1,"LAST_TRADEABLE_DT"))</f>
        <v/>
      </c>
      <c r="AK2" s="8">
        <f>WORKDAY(DATE(2025,5-1,25),-3)</f>
        <v/>
      </c>
      <c r="AL2" s="8">
        <f>IF(AK$1="","",BDP(AK$1,"LAST_TRADEABLE_DT"))</f>
        <v/>
      </c>
      <c r="AT2" s="8">
        <f>WORKDAY(DATE(2025,6-1,25),-3)</f>
        <v/>
      </c>
      <c r="AU2" s="8">
        <f>IF(AT$1="","",BDP(AT$1,"LAST_TRADEABLE_DT"))</f>
        <v/>
      </c>
      <c r="BC2" s="8">
        <f>WORKDAY(DATE(2025,7-1,25),-3)</f>
        <v/>
      </c>
      <c r="BD2" s="8">
        <f>IF(BC$1="","",BDP(BC$1,"LAST_TRADEABLE_DT"))</f>
        <v/>
      </c>
      <c r="BL2" s="8">
        <f>WORKDAY(DATE(2025,8-1,25),-3)</f>
        <v/>
      </c>
      <c r="BM2" s="8">
        <f>IF(BL$1="","",BDP(BL$1,"LAST_TRADEABLE_DT"))</f>
        <v/>
      </c>
      <c r="BU2" s="8">
        <f>WORKDAY(DATE(2025,9-1,25),-3)</f>
        <v/>
      </c>
      <c r="BV2" s="8">
        <f>IF(BU$1="","",BDP(BU$1,"LAST_TRADEABLE_DT"))</f>
        <v/>
      </c>
      <c r="CD2" s="8">
        <f>WORKDAY(DATE(2025,10-1,25),-3)</f>
        <v/>
      </c>
      <c r="CE2" s="8">
        <f>IF(CD$1="","",BDP(CD$1,"LAST_TRADEABLE_DT"))</f>
        <v/>
      </c>
      <c r="CM2" s="8">
        <f>WORKDAY(DATE(2025,11-1,25),-3)</f>
        <v/>
      </c>
      <c r="CN2" s="8">
        <f>IF(CM$1="","",BDP(CM$1,"LAST_TRADEABLE_DT"))</f>
        <v/>
      </c>
      <c r="CV2" s="8">
        <f>WORKDAY(DATE(2025,12-1,25),-3)</f>
        <v/>
      </c>
      <c r="CW2" s="8">
        <f>IF(CV$1="","",BDP(CV$1,"LAST_TRADEABLE_DT"))</f>
        <v/>
      </c>
    </row>
    <row r="3">
      <c r="A3" s="5" t="inlineStr">
        <is>
          <t>Date</t>
        </is>
      </c>
      <c r="B3" s="5" t="inlineStr">
        <is>
          <t>PX_OPEN</t>
        </is>
      </c>
      <c r="C3" s="5" t="inlineStr">
        <is>
          <t>PX_HIGH</t>
        </is>
      </c>
      <c r="D3" s="5" t="inlineStr">
        <is>
          <t>PX_LOW</t>
        </is>
      </c>
      <c r="E3" s="5" t="inlineStr">
        <is>
          <t>PX_LAST</t>
        </is>
      </c>
      <c r="F3" s="5" t="inlineStr">
        <is>
          <t>PX_SETTLE</t>
        </is>
      </c>
      <c r="G3" s="5" t="inlineStr">
        <is>
          <t>PX_VOLUME</t>
        </is>
      </c>
      <c r="H3" s="5" t="inlineStr">
        <is>
          <t>OPEN_INT</t>
        </is>
      </c>
      <c r="J3" s="5" t="inlineStr">
        <is>
          <t>Date</t>
        </is>
      </c>
      <c r="K3" s="5" t="inlineStr">
        <is>
          <t>PX_OPEN</t>
        </is>
      </c>
      <c r="L3" s="5" t="inlineStr">
        <is>
          <t>PX_HIGH</t>
        </is>
      </c>
      <c r="M3" s="5" t="inlineStr">
        <is>
          <t>PX_LOW</t>
        </is>
      </c>
      <c r="N3" s="5" t="inlineStr">
        <is>
          <t>PX_LAST</t>
        </is>
      </c>
      <c r="O3" s="5" t="inlineStr">
        <is>
          <t>PX_SETTLE</t>
        </is>
      </c>
      <c r="P3" s="5" t="inlineStr">
        <is>
          <t>PX_VOLUME</t>
        </is>
      </c>
      <c r="Q3" s="5" t="inlineStr">
        <is>
          <t>OPEN_INT</t>
        </is>
      </c>
      <c r="S3" s="5" t="inlineStr">
        <is>
          <t>Date</t>
        </is>
      </c>
      <c r="T3" s="5" t="inlineStr">
        <is>
          <t>PX_OPEN</t>
        </is>
      </c>
      <c r="U3" s="5" t="inlineStr">
        <is>
          <t>PX_HIGH</t>
        </is>
      </c>
      <c r="V3" s="5" t="inlineStr">
        <is>
          <t>PX_LOW</t>
        </is>
      </c>
      <c r="W3" s="5" t="inlineStr">
        <is>
          <t>PX_LAST</t>
        </is>
      </c>
      <c r="X3" s="5" t="inlineStr">
        <is>
          <t>PX_SETTLE</t>
        </is>
      </c>
      <c r="Y3" s="5" t="inlineStr">
        <is>
          <t>PX_VOLUME</t>
        </is>
      </c>
      <c r="Z3" s="5" t="inlineStr">
        <is>
          <t>OPEN_INT</t>
        </is>
      </c>
      <c r="AB3" s="5" t="inlineStr">
        <is>
          <t>Date</t>
        </is>
      </c>
      <c r="AC3" s="5" t="inlineStr">
        <is>
          <t>PX_OPEN</t>
        </is>
      </c>
      <c r="AD3" s="5" t="inlineStr">
        <is>
          <t>PX_HIGH</t>
        </is>
      </c>
      <c r="AE3" s="5" t="inlineStr">
        <is>
          <t>PX_LOW</t>
        </is>
      </c>
      <c r="AF3" s="5" t="inlineStr">
        <is>
          <t>PX_LAST</t>
        </is>
      </c>
      <c r="AG3" s="5" t="inlineStr">
        <is>
          <t>PX_SETTLE</t>
        </is>
      </c>
      <c r="AH3" s="5" t="inlineStr">
        <is>
          <t>PX_VOLUME</t>
        </is>
      </c>
      <c r="AI3" s="5" t="inlineStr">
        <is>
          <t>OPEN_INT</t>
        </is>
      </c>
      <c r="AK3" s="5" t="inlineStr">
        <is>
          <t>Date</t>
        </is>
      </c>
      <c r="AL3" s="5" t="inlineStr">
        <is>
          <t>PX_OPEN</t>
        </is>
      </c>
      <c r="AM3" s="5" t="inlineStr">
        <is>
          <t>PX_HIGH</t>
        </is>
      </c>
      <c r="AN3" s="5" t="inlineStr">
        <is>
          <t>PX_LOW</t>
        </is>
      </c>
      <c r="AO3" s="5" t="inlineStr">
        <is>
          <t>PX_LAST</t>
        </is>
      </c>
      <c r="AP3" s="5" t="inlineStr">
        <is>
          <t>PX_SETTLE</t>
        </is>
      </c>
      <c r="AQ3" s="5" t="inlineStr">
        <is>
          <t>PX_VOLUME</t>
        </is>
      </c>
      <c r="AR3" s="5" t="inlineStr">
        <is>
          <t>OPEN_INT</t>
        </is>
      </c>
      <c r="AT3" s="5" t="inlineStr">
        <is>
          <t>Date</t>
        </is>
      </c>
      <c r="AU3" s="5" t="inlineStr">
        <is>
          <t>PX_OPEN</t>
        </is>
      </c>
      <c r="AV3" s="5" t="inlineStr">
        <is>
          <t>PX_HIGH</t>
        </is>
      </c>
      <c r="AW3" s="5" t="inlineStr">
        <is>
          <t>PX_LOW</t>
        </is>
      </c>
      <c r="AX3" s="5" t="inlineStr">
        <is>
          <t>PX_LAST</t>
        </is>
      </c>
      <c r="AY3" s="5" t="inlineStr">
        <is>
          <t>PX_SETTLE</t>
        </is>
      </c>
      <c r="AZ3" s="5" t="inlineStr">
        <is>
          <t>PX_VOLUME</t>
        </is>
      </c>
      <c r="BA3" s="5" t="inlineStr">
        <is>
          <t>OPEN_INT</t>
        </is>
      </c>
      <c r="BC3" s="5" t="inlineStr">
        <is>
          <t>Date</t>
        </is>
      </c>
      <c r="BD3" s="5" t="inlineStr">
        <is>
          <t>PX_OPEN</t>
        </is>
      </c>
      <c r="BE3" s="5" t="inlineStr">
        <is>
          <t>PX_HIGH</t>
        </is>
      </c>
      <c r="BF3" s="5" t="inlineStr">
        <is>
          <t>PX_LOW</t>
        </is>
      </c>
      <c r="BG3" s="5" t="inlineStr">
        <is>
          <t>PX_LAST</t>
        </is>
      </c>
      <c r="BH3" s="5" t="inlineStr">
        <is>
          <t>PX_SETTLE</t>
        </is>
      </c>
      <c r="BI3" s="5" t="inlineStr">
        <is>
          <t>PX_VOLUME</t>
        </is>
      </c>
      <c r="BJ3" s="5" t="inlineStr">
        <is>
          <t>OPEN_INT</t>
        </is>
      </c>
      <c r="BL3" s="5" t="inlineStr">
        <is>
          <t>Date</t>
        </is>
      </c>
      <c r="BM3" s="5" t="inlineStr">
        <is>
          <t>PX_OPEN</t>
        </is>
      </c>
      <c r="BN3" s="5" t="inlineStr">
        <is>
          <t>PX_HIGH</t>
        </is>
      </c>
      <c r="BO3" s="5" t="inlineStr">
        <is>
          <t>PX_LOW</t>
        </is>
      </c>
      <c r="BP3" s="5" t="inlineStr">
        <is>
          <t>PX_LAST</t>
        </is>
      </c>
      <c r="BQ3" s="5" t="inlineStr">
        <is>
          <t>PX_SETTLE</t>
        </is>
      </c>
      <c r="BR3" s="5" t="inlineStr">
        <is>
          <t>PX_VOLUME</t>
        </is>
      </c>
      <c r="BS3" s="5" t="inlineStr">
        <is>
          <t>OPEN_INT</t>
        </is>
      </c>
      <c r="BU3" s="5" t="inlineStr">
        <is>
          <t>Date</t>
        </is>
      </c>
      <c r="BV3" s="5" t="inlineStr">
        <is>
          <t>PX_OPEN</t>
        </is>
      </c>
      <c r="BW3" s="5" t="inlineStr">
        <is>
          <t>PX_HIGH</t>
        </is>
      </c>
      <c r="BX3" s="5" t="inlineStr">
        <is>
          <t>PX_LOW</t>
        </is>
      </c>
      <c r="BY3" s="5" t="inlineStr">
        <is>
          <t>PX_LAST</t>
        </is>
      </c>
      <c r="BZ3" s="5" t="inlineStr">
        <is>
          <t>PX_SETTLE</t>
        </is>
      </c>
      <c r="CA3" s="5" t="inlineStr">
        <is>
          <t>PX_VOLUME</t>
        </is>
      </c>
      <c r="CB3" s="5" t="inlineStr">
        <is>
          <t>OPEN_INT</t>
        </is>
      </c>
      <c r="CD3" s="5" t="inlineStr">
        <is>
          <t>Date</t>
        </is>
      </c>
      <c r="CE3" s="5" t="inlineStr">
        <is>
          <t>PX_OPEN</t>
        </is>
      </c>
      <c r="CF3" s="5" t="inlineStr">
        <is>
          <t>PX_HIGH</t>
        </is>
      </c>
      <c r="CG3" s="5" t="inlineStr">
        <is>
          <t>PX_LOW</t>
        </is>
      </c>
      <c r="CH3" s="5" t="inlineStr">
        <is>
          <t>PX_LAST</t>
        </is>
      </c>
      <c r="CI3" s="5" t="inlineStr">
        <is>
          <t>PX_SETTLE</t>
        </is>
      </c>
      <c r="CJ3" s="5" t="inlineStr">
        <is>
          <t>PX_VOLUME</t>
        </is>
      </c>
      <c r="CK3" s="5" t="inlineStr">
        <is>
          <t>OPEN_INT</t>
        </is>
      </c>
      <c r="CM3" s="5" t="inlineStr">
        <is>
          <t>Date</t>
        </is>
      </c>
      <c r="CN3" s="5" t="inlineStr">
        <is>
          <t>PX_OPEN</t>
        </is>
      </c>
      <c r="CO3" s="5" t="inlineStr">
        <is>
          <t>PX_HIGH</t>
        </is>
      </c>
      <c r="CP3" s="5" t="inlineStr">
        <is>
          <t>PX_LOW</t>
        </is>
      </c>
      <c r="CQ3" s="5" t="inlineStr">
        <is>
          <t>PX_LAST</t>
        </is>
      </c>
      <c r="CR3" s="5" t="inlineStr">
        <is>
          <t>PX_SETTLE</t>
        </is>
      </c>
      <c r="CS3" s="5" t="inlineStr">
        <is>
          <t>PX_VOLUME</t>
        </is>
      </c>
      <c r="CT3" s="5" t="inlineStr">
        <is>
          <t>OPEN_INT</t>
        </is>
      </c>
      <c r="CV3" s="5" t="inlineStr">
        <is>
          <t>Date</t>
        </is>
      </c>
      <c r="CW3" s="5" t="inlineStr">
        <is>
          <t>PX_OPEN</t>
        </is>
      </c>
      <c r="CX3" s="5" t="inlineStr">
        <is>
          <t>PX_HIGH</t>
        </is>
      </c>
      <c r="CY3" s="5" t="inlineStr">
        <is>
          <t>PX_LOW</t>
        </is>
      </c>
      <c r="CZ3" s="5" t="inlineStr">
        <is>
          <t>PX_LAST</t>
        </is>
      </c>
      <c r="DA3" s="5" t="inlineStr">
        <is>
          <t>PX_SETTLE</t>
        </is>
      </c>
      <c r="DB3" s="5" t="inlineStr">
        <is>
          <t>PX_VOLUME</t>
        </is>
      </c>
      <c r="DC3" s="5" t="inlineStr">
        <is>
          <t>OPEN_INT</t>
        </is>
      </c>
    </row>
    <row r="4">
      <c r="A4" s="4">
        <f>BDH(A$1,B$3:H$3,Settings!$C$12,IF(Settings!$D$12="","",Settings!$D$12),"Dir=V","Dts=S","Sort=A","Days=T","Fill=B")</f>
        <v/>
      </c>
      <c r="J4" s="4">
        <f>BDH(J$1,K$3:Q$3,Settings!$C$12,IF(Settings!$D$12="","",Settings!$D$12),"Dir=V","Dts=S","Sort=A","Days=T","Fill=B")</f>
        <v/>
      </c>
      <c r="S4" s="4">
        <f>BDH(S$1,T$3:Z$3,Settings!$C$12,IF(Settings!$D$12="","",Settings!$D$12),"Dir=V","Dts=S","Sort=A","Days=T","Fill=B")</f>
        <v/>
      </c>
      <c r="AB4" s="4">
        <f>BDH(AB$1,AC$3:AI$3,Settings!$C$12,IF(Settings!$D$12="","",Settings!$D$12),"Dir=V","Dts=S","Sort=A","Days=T","Fill=B")</f>
        <v/>
      </c>
      <c r="AK4" s="4">
        <f>BDH(AK$1,AL$3:AR$3,Settings!$C$12,IF(Settings!$D$12="","",Settings!$D$12),"Dir=V","Dts=S","Sort=A","Days=T","Fill=B")</f>
        <v/>
      </c>
      <c r="AT4" s="4">
        <f>BDH(AT$1,AU$3:BA$3,Settings!$C$12,IF(Settings!$D$12="","",Settings!$D$12),"Dir=V","Dts=S","Sort=A","Days=T","Fill=B")</f>
        <v/>
      </c>
      <c r="BC4" s="4">
        <f>BDH(BC$1,BD$3:BJ$3,Settings!$C$12,IF(Settings!$D$12="","",Settings!$D$12),"Dir=V","Dts=S","Sort=A","Days=T","Fill=B")</f>
        <v/>
      </c>
      <c r="BL4" s="4">
        <f>BDH(BL$1,BM$3:BS$3,Settings!$C$12,IF(Settings!$D$12="","",Settings!$D$12),"Dir=V","Dts=S","Sort=A","Days=T","Fill=B")</f>
        <v/>
      </c>
      <c r="BU4" s="4">
        <f>BDH(BU$1,BV$3:CB$3,Settings!$C$12,IF(Settings!$D$12="","",Settings!$D$12),"Dir=V","Dts=S","Sort=A","Days=T","Fill=B")</f>
        <v/>
      </c>
      <c r="CD4" s="4">
        <f>BDH(CD$1,CE$3:CK$3,Settings!$C$12,IF(Settings!$D$12="","",Settings!$D$12),"Dir=V","Dts=S","Sort=A","Days=T","Fill=B")</f>
        <v/>
      </c>
      <c r="CM4" s="4">
        <f>BDH(CM$1,CN$3:CT$3,Settings!$C$12,IF(Settings!$D$12="","",Settings!$D$12),"Dir=V","Dts=S","Sort=A","Days=T","Fill=B")</f>
        <v/>
      </c>
      <c r="CV4" s="4">
        <f>BDH(CV$1,CW$3:DC$3,Settings!$C$12,IF(Settings!$D$12="","",Settings!$D$12),"Dir=V","Dts=S","Sort=A","Days=T","Fill=B")</f>
        <v/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C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1" customWidth="1" min="7" max="7"/>
    <col width="10" customWidth="1" min="8" max="8"/>
    <col width="12" customWidth="1" min="10" max="10"/>
    <col width="10" customWidth="1" min="11" max="11"/>
    <col width="10" customWidth="1" min="12" max="12"/>
    <col width="10" customWidth="1" min="13" max="13"/>
    <col width="10" customWidth="1" min="14" max="14"/>
    <col width="11" customWidth="1" min="15" max="15"/>
    <col width="11" customWidth="1" min="16" max="16"/>
    <col width="10" customWidth="1" min="17" max="17"/>
    <col width="12" customWidth="1" min="19" max="19"/>
    <col width="10" customWidth="1" min="20" max="20"/>
    <col width="10" customWidth="1" min="21" max="21"/>
    <col width="10" customWidth="1" min="22" max="22"/>
    <col width="10" customWidth="1" min="23" max="23"/>
    <col width="11" customWidth="1" min="24" max="24"/>
    <col width="11" customWidth="1" min="25" max="25"/>
    <col width="10" customWidth="1" min="26" max="26"/>
    <col width="12" customWidth="1" min="28" max="28"/>
    <col width="10" customWidth="1" min="29" max="29"/>
    <col width="10" customWidth="1" min="30" max="30"/>
    <col width="10" customWidth="1" min="31" max="31"/>
    <col width="10" customWidth="1" min="32" max="32"/>
    <col width="11" customWidth="1" min="33" max="33"/>
    <col width="11" customWidth="1" min="34" max="34"/>
    <col width="10" customWidth="1" min="35" max="35"/>
    <col width="12" customWidth="1" min="37" max="37"/>
    <col width="10" customWidth="1" min="38" max="38"/>
    <col width="10" customWidth="1" min="39" max="39"/>
    <col width="10" customWidth="1" min="40" max="40"/>
    <col width="10" customWidth="1" min="41" max="41"/>
    <col width="11" customWidth="1" min="42" max="42"/>
    <col width="11" customWidth="1" min="43" max="43"/>
    <col width="10" customWidth="1" min="44" max="44"/>
    <col width="12" customWidth="1" min="46" max="46"/>
    <col width="10" customWidth="1" min="47" max="47"/>
    <col width="10" customWidth="1" min="48" max="48"/>
    <col width="10" customWidth="1" min="49" max="49"/>
    <col width="10" customWidth="1" min="50" max="50"/>
    <col width="11" customWidth="1" min="51" max="51"/>
    <col width="11" customWidth="1" min="52" max="52"/>
    <col width="10" customWidth="1" min="53" max="53"/>
    <col width="12" customWidth="1" min="55" max="55"/>
    <col width="10" customWidth="1" min="56" max="56"/>
    <col width="10" customWidth="1" min="57" max="57"/>
    <col width="10" customWidth="1" min="58" max="58"/>
    <col width="10" customWidth="1" min="59" max="59"/>
    <col width="11" customWidth="1" min="60" max="60"/>
    <col width="11" customWidth="1" min="61" max="61"/>
    <col width="10" customWidth="1" min="62" max="62"/>
    <col width="12" customWidth="1" min="64" max="64"/>
    <col width="10" customWidth="1" min="65" max="65"/>
    <col width="10" customWidth="1" min="66" max="66"/>
    <col width="10" customWidth="1" min="67" max="67"/>
    <col width="10" customWidth="1" min="68" max="68"/>
    <col width="11" customWidth="1" min="69" max="69"/>
    <col width="11" customWidth="1" min="70" max="70"/>
    <col width="10" customWidth="1" min="71" max="71"/>
    <col width="12" customWidth="1" min="73" max="73"/>
    <col width="10" customWidth="1" min="74" max="74"/>
    <col width="10" customWidth="1" min="75" max="75"/>
    <col width="10" customWidth="1" min="76" max="76"/>
    <col width="10" customWidth="1" min="77" max="77"/>
    <col width="11" customWidth="1" min="78" max="78"/>
    <col width="11" customWidth="1" min="79" max="79"/>
    <col width="10" customWidth="1" min="80" max="80"/>
    <col width="12" customWidth="1" min="82" max="82"/>
    <col width="10" customWidth="1" min="83" max="83"/>
    <col width="10" customWidth="1" min="84" max="84"/>
    <col width="10" customWidth="1" min="85" max="85"/>
    <col width="10" customWidth="1" min="86" max="86"/>
    <col width="11" customWidth="1" min="87" max="87"/>
    <col width="11" customWidth="1" min="88" max="88"/>
    <col width="10" customWidth="1" min="89" max="89"/>
    <col width="12" customWidth="1" min="91" max="91"/>
    <col width="10" customWidth="1" min="92" max="92"/>
    <col width="10" customWidth="1" min="93" max="93"/>
    <col width="10" customWidth="1" min="94" max="94"/>
    <col width="10" customWidth="1" min="95" max="95"/>
    <col width="11" customWidth="1" min="96" max="96"/>
    <col width="11" customWidth="1" min="97" max="97"/>
    <col width="10" customWidth="1" min="98" max="98"/>
    <col width="12" customWidth="1" min="100" max="100"/>
    <col width="10" customWidth="1" min="101" max="101"/>
    <col width="10" customWidth="1" min="102" max="102"/>
    <col width="10" customWidth="1" min="103" max="103"/>
    <col width="10" customWidth="1" min="104" max="104"/>
    <col width="11" customWidth="1" min="105" max="105"/>
    <col width="11" customWidth="1" min="106" max="106"/>
    <col width="10" customWidth="1" min="107" max="107"/>
  </cols>
  <sheetData>
    <row r="1">
      <c r="A1" s="2">
        <f>IF(Settings!$B$12="Y","CLF"&amp;IF(A$2&lt;Settings!$B$3,"26","6")&amp;" Comdty","")</f>
        <v/>
      </c>
      <c r="J1" s="2">
        <f>IF(Settings!$B$12="Y","CLG"&amp;IF(J$2&lt;Settings!$B$3,"26","6")&amp;" Comdty","")</f>
        <v/>
      </c>
      <c r="S1" s="2">
        <f>IF(Settings!$B$12="Y","CLH"&amp;IF(S$2&lt;Settings!$B$3,"26","6")&amp;" Comdty","")</f>
        <v/>
      </c>
      <c r="AB1" s="2">
        <f>IF(Settings!$B$12="Y","CLJ"&amp;IF(AB$2&lt;Settings!$B$3,"26","6")&amp;" Comdty","")</f>
        <v/>
      </c>
      <c r="AK1" s="2">
        <f>IF(Settings!$B$12="Y","CLK"&amp;IF(AK$2&lt;Settings!$B$3,"26","6")&amp;" Comdty","")</f>
        <v/>
      </c>
      <c r="AT1" s="2">
        <f>IF(Settings!$B$12="Y","CLM"&amp;IF(AT$2&lt;Settings!$B$3,"26","6")&amp;" Comdty","")</f>
        <v/>
      </c>
      <c r="BC1" s="2">
        <f>IF(Settings!$B$12="Y","CLN"&amp;IF(BC$2&lt;Settings!$B$3,"26","6")&amp;" Comdty","")</f>
        <v/>
      </c>
      <c r="BL1" s="2">
        <f>IF(Settings!$B$12="Y","CLQ"&amp;IF(BL$2&lt;Settings!$B$3,"26","6")&amp;" Comdty","")</f>
        <v/>
      </c>
      <c r="BU1" s="2">
        <f>IF(Settings!$B$12="Y","CLU"&amp;IF(BU$2&lt;Settings!$B$3,"26","6")&amp;" Comdty","")</f>
        <v/>
      </c>
      <c r="CD1" s="2">
        <f>IF(Settings!$B$12="Y","CLV"&amp;IF(CD$2&lt;Settings!$B$3,"26","6")&amp;" Comdty","")</f>
        <v/>
      </c>
      <c r="CM1" s="2">
        <f>IF(Settings!$B$12="Y","CLX"&amp;IF(CM$2&lt;Settings!$B$3,"26","6")&amp;" Comdty","")</f>
        <v/>
      </c>
      <c r="CV1" s="2">
        <f>IF(Settings!$B$12="Y","CLZ"&amp;IF(CV$2&lt;Settings!$B$3,"26","6")&amp;" Comdty","")</f>
        <v/>
      </c>
    </row>
    <row r="2">
      <c r="A2" s="8">
        <f>WORKDAY(DATE(2026,1-1,25),-3)</f>
        <v/>
      </c>
      <c r="B2" s="8">
        <f>IF(A$1="","",BDP(A$1,"LAST_TRADEABLE_DT"))</f>
        <v/>
      </c>
      <c r="J2" s="8">
        <f>WORKDAY(DATE(2026,2-1,25),-3)</f>
        <v/>
      </c>
      <c r="K2" s="8">
        <f>IF(J$1="","",BDP(J$1,"LAST_TRADEABLE_DT"))</f>
        <v/>
      </c>
      <c r="S2" s="8">
        <f>WORKDAY(DATE(2026,3-1,25),-3)</f>
        <v/>
      </c>
      <c r="T2" s="8">
        <f>IF(S$1="","",BDP(S$1,"LAST_TRADEABLE_DT"))</f>
        <v/>
      </c>
      <c r="AB2" s="8">
        <f>WORKDAY(DATE(2026,4-1,25),-3)</f>
        <v/>
      </c>
      <c r="AC2" s="8">
        <f>IF(AB$1="","",BDP(AB$1,"LAST_TRADEABLE_DT"))</f>
        <v/>
      </c>
      <c r="AK2" s="8">
        <f>WORKDAY(DATE(2026,5-1,25),-3)</f>
        <v/>
      </c>
      <c r="AL2" s="8">
        <f>IF(AK$1="","",BDP(AK$1,"LAST_TRADEABLE_DT"))</f>
        <v/>
      </c>
      <c r="AT2" s="8">
        <f>WORKDAY(DATE(2026,6-1,25),-3)</f>
        <v/>
      </c>
      <c r="AU2" s="8">
        <f>IF(AT$1="","",BDP(AT$1,"LAST_TRADEABLE_DT"))</f>
        <v/>
      </c>
      <c r="BC2" s="8">
        <f>WORKDAY(DATE(2026,7-1,25),-3)</f>
        <v/>
      </c>
      <c r="BD2" s="8">
        <f>IF(BC$1="","",BDP(BC$1,"LAST_TRADEABLE_DT"))</f>
        <v/>
      </c>
      <c r="BL2" s="8">
        <f>WORKDAY(DATE(2026,8-1,25),-3)</f>
        <v/>
      </c>
      <c r="BM2" s="8">
        <f>IF(BL$1="","",BDP(BL$1,"LAST_TRADEABLE_DT"))</f>
        <v/>
      </c>
      <c r="BU2" s="8">
        <f>WORKDAY(DATE(2026,9-1,25),-3)</f>
        <v/>
      </c>
      <c r="BV2" s="8">
        <f>IF(BU$1="","",BDP(BU$1,"LAST_TRADEABLE_DT"))</f>
        <v/>
      </c>
      <c r="CD2" s="8">
        <f>WORKDAY(DATE(2026,10-1,25),-3)</f>
        <v/>
      </c>
      <c r="CE2" s="8">
        <f>IF(CD$1="","",BDP(CD$1,"LAST_TRADEABLE_DT"))</f>
        <v/>
      </c>
      <c r="CM2" s="8">
        <f>WORKDAY(DATE(2026,11-1,25),-3)</f>
        <v/>
      </c>
      <c r="CN2" s="8">
        <f>IF(CM$1="","",BDP(CM$1,"LAST_TRADEABLE_DT"))</f>
        <v/>
      </c>
      <c r="CV2" s="8">
        <f>WORKDAY(DATE(2026,12-1,25),-3)</f>
        <v/>
      </c>
      <c r="CW2" s="8">
        <f>IF(CV$1="","",BDP(CV$1,"LAST_TRADEABLE_DT"))</f>
        <v/>
      </c>
    </row>
    <row r="3">
      <c r="A3" s="5" t="inlineStr">
        <is>
          <t>Date</t>
        </is>
      </c>
      <c r="B3" s="5" t="inlineStr">
        <is>
          <t>PX_OPEN</t>
        </is>
      </c>
      <c r="C3" s="5" t="inlineStr">
        <is>
          <t>PX_HIGH</t>
        </is>
      </c>
      <c r="D3" s="5" t="inlineStr">
        <is>
          <t>PX_LOW</t>
        </is>
      </c>
      <c r="E3" s="5" t="inlineStr">
        <is>
          <t>PX_LAST</t>
        </is>
      </c>
      <c r="F3" s="5" t="inlineStr">
        <is>
          <t>PX_SETTLE</t>
        </is>
      </c>
      <c r="G3" s="5" t="inlineStr">
        <is>
          <t>PX_VOLUME</t>
        </is>
      </c>
      <c r="H3" s="5" t="inlineStr">
        <is>
          <t>OPEN_INT</t>
        </is>
      </c>
      <c r="J3" s="5" t="inlineStr">
        <is>
          <t>Date</t>
        </is>
      </c>
      <c r="K3" s="5" t="inlineStr">
        <is>
          <t>PX_OPEN</t>
        </is>
      </c>
      <c r="L3" s="5" t="inlineStr">
        <is>
          <t>PX_HIGH</t>
        </is>
      </c>
      <c r="M3" s="5" t="inlineStr">
        <is>
          <t>PX_LOW</t>
        </is>
      </c>
      <c r="N3" s="5" t="inlineStr">
        <is>
          <t>PX_LAST</t>
        </is>
      </c>
      <c r="O3" s="5" t="inlineStr">
        <is>
          <t>PX_SETTLE</t>
        </is>
      </c>
      <c r="P3" s="5" t="inlineStr">
        <is>
          <t>PX_VOLUME</t>
        </is>
      </c>
      <c r="Q3" s="5" t="inlineStr">
        <is>
          <t>OPEN_INT</t>
        </is>
      </c>
      <c r="S3" s="5" t="inlineStr">
        <is>
          <t>Date</t>
        </is>
      </c>
      <c r="T3" s="5" t="inlineStr">
        <is>
          <t>PX_OPEN</t>
        </is>
      </c>
      <c r="U3" s="5" t="inlineStr">
        <is>
          <t>PX_HIGH</t>
        </is>
      </c>
      <c r="V3" s="5" t="inlineStr">
        <is>
          <t>PX_LOW</t>
        </is>
      </c>
      <c r="W3" s="5" t="inlineStr">
        <is>
          <t>PX_LAST</t>
        </is>
      </c>
      <c r="X3" s="5" t="inlineStr">
        <is>
          <t>PX_SETTLE</t>
        </is>
      </c>
      <c r="Y3" s="5" t="inlineStr">
        <is>
          <t>PX_VOLUME</t>
        </is>
      </c>
      <c r="Z3" s="5" t="inlineStr">
        <is>
          <t>OPEN_INT</t>
        </is>
      </c>
      <c r="AB3" s="5" t="inlineStr">
        <is>
          <t>Date</t>
        </is>
      </c>
      <c r="AC3" s="5" t="inlineStr">
        <is>
          <t>PX_OPEN</t>
        </is>
      </c>
      <c r="AD3" s="5" t="inlineStr">
        <is>
          <t>PX_HIGH</t>
        </is>
      </c>
      <c r="AE3" s="5" t="inlineStr">
        <is>
          <t>PX_LOW</t>
        </is>
      </c>
      <c r="AF3" s="5" t="inlineStr">
        <is>
          <t>PX_LAST</t>
        </is>
      </c>
      <c r="AG3" s="5" t="inlineStr">
        <is>
          <t>PX_SETTLE</t>
        </is>
      </c>
      <c r="AH3" s="5" t="inlineStr">
        <is>
          <t>PX_VOLUME</t>
        </is>
      </c>
      <c r="AI3" s="5" t="inlineStr">
        <is>
          <t>OPEN_INT</t>
        </is>
      </c>
      <c r="AK3" s="5" t="inlineStr">
        <is>
          <t>Date</t>
        </is>
      </c>
      <c r="AL3" s="5" t="inlineStr">
        <is>
          <t>PX_OPEN</t>
        </is>
      </c>
      <c r="AM3" s="5" t="inlineStr">
        <is>
          <t>PX_HIGH</t>
        </is>
      </c>
      <c r="AN3" s="5" t="inlineStr">
        <is>
          <t>PX_LOW</t>
        </is>
      </c>
      <c r="AO3" s="5" t="inlineStr">
        <is>
          <t>PX_LAST</t>
        </is>
      </c>
      <c r="AP3" s="5" t="inlineStr">
        <is>
          <t>PX_SETTLE</t>
        </is>
      </c>
      <c r="AQ3" s="5" t="inlineStr">
        <is>
          <t>PX_VOLUME</t>
        </is>
      </c>
      <c r="AR3" s="5" t="inlineStr">
        <is>
          <t>OPEN_INT</t>
        </is>
      </c>
      <c r="AT3" s="5" t="inlineStr">
        <is>
          <t>Date</t>
        </is>
      </c>
      <c r="AU3" s="5" t="inlineStr">
        <is>
          <t>PX_OPEN</t>
        </is>
      </c>
      <c r="AV3" s="5" t="inlineStr">
        <is>
          <t>PX_HIGH</t>
        </is>
      </c>
      <c r="AW3" s="5" t="inlineStr">
        <is>
          <t>PX_LOW</t>
        </is>
      </c>
      <c r="AX3" s="5" t="inlineStr">
        <is>
          <t>PX_LAST</t>
        </is>
      </c>
      <c r="AY3" s="5" t="inlineStr">
        <is>
          <t>PX_SETTLE</t>
        </is>
      </c>
      <c r="AZ3" s="5" t="inlineStr">
        <is>
          <t>PX_VOLUME</t>
        </is>
      </c>
      <c r="BA3" s="5" t="inlineStr">
        <is>
          <t>OPEN_INT</t>
        </is>
      </c>
      <c r="BC3" s="5" t="inlineStr">
        <is>
          <t>Date</t>
        </is>
      </c>
      <c r="BD3" s="5" t="inlineStr">
        <is>
          <t>PX_OPEN</t>
        </is>
      </c>
      <c r="BE3" s="5" t="inlineStr">
        <is>
          <t>PX_HIGH</t>
        </is>
      </c>
      <c r="BF3" s="5" t="inlineStr">
        <is>
          <t>PX_LOW</t>
        </is>
      </c>
      <c r="BG3" s="5" t="inlineStr">
        <is>
          <t>PX_LAST</t>
        </is>
      </c>
      <c r="BH3" s="5" t="inlineStr">
        <is>
          <t>PX_SETTLE</t>
        </is>
      </c>
      <c r="BI3" s="5" t="inlineStr">
        <is>
          <t>PX_VOLUME</t>
        </is>
      </c>
      <c r="BJ3" s="5" t="inlineStr">
        <is>
          <t>OPEN_INT</t>
        </is>
      </c>
      <c r="BL3" s="5" t="inlineStr">
        <is>
          <t>Date</t>
        </is>
      </c>
      <c r="BM3" s="5" t="inlineStr">
        <is>
          <t>PX_OPEN</t>
        </is>
      </c>
      <c r="BN3" s="5" t="inlineStr">
        <is>
          <t>PX_HIGH</t>
        </is>
      </c>
      <c r="BO3" s="5" t="inlineStr">
        <is>
          <t>PX_LOW</t>
        </is>
      </c>
      <c r="BP3" s="5" t="inlineStr">
        <is>
          <t>PX_LAST</t>
        </is>
      </c>
      <c r="BQ3" s="5" t="inlineStr">
        <is>
          <t>PX_SETTLE</t>
        </is>
      </c>
      <c r="BR3" s="5" t="inlineStr">
        <is>
          <t>PX_VOLUME</t>
        </is>
      </c>
      <c r="BS3" s="5" t="inlineStr">
        <is>
          <t>OPEN_INT</t>
        </is>
      </c>
      <c r="BU3" s="5" t="inlineStr">
        <is>
          <t>Date</t>
        </is>
      </c>
      <c r="BV3" s="5" t="inlineStr">
        <is>
          <t>PX_OPEN</t>
        </is>
      </c>
      <c r="BW3" s="5" t="inlineStr">
        <is>
          <t>PX_HIGH</t>
        </is>
      </c>
      <c r="BX3" s="5" t="inlineStr">
        <is>
          <t>PX_LOW</t>
        </is>
      </c>
      <c r="BY3" s="5" t="inlineStr">
        <is>
          <t>PX_LAST</t>
        </is>
      </c>
      <c r="BZ3" s="5" t="inlineStr">
        <is>
          <t>PX_SETTLE</t>
        </is>
      </c>
      <c r="CA3" s="5" t="inlineStr">
        <is>
          <t>PX_VOLUME</t>
        </is>
      </c>
      <c r="CB3" s="5" t="inlineStr">
        <is>
          <t>OPEN_INT</t>
        </is>
      </c>
      <c r="CD3" s="5" t="inlineStr">
        <is>
          <t>Date</t>
        </is>
      </c>
      <c r="CE3" s="5" t="inlineStr">
        <is>
          <t>PX_OPEN</t>
        </is>
      </c>
      <c r="CF3" s="5" t="inlineStr">
        <is>
          <t>PX_HIGH</t>
        </is>
      </c>
      <c r="CG3" s="5" t="inlineStr">
        <is>
          <t>PX_LOW</t>
        </is>
      </c>
      <c r="CH3" s="5" t="inlineStr">
        <is>
          <t>PX_LAST</t>
        </is>
      </c>
      <c r="CI3" s="5" t="inlineStr">
        <is>
          <t>PX_SETTLE</t>
        </is>
      </c>
      <c r="CJ3" s="5" t="inlineStr">
        <is>
          <t>PX_VOLUME</t>
        </is>
      </c>
      <c r="CK3" s="5" t="inlineStr">
        <is>
          <t>OPEN_INT</t>
        </is>
      </c>
      <c r="CM3" s="5" t="inlineStr">
        <is>
          <t>Date</t>
        </is>
      </c>
      <c r="CN3" s="5" t="inlineStr">
        <is>
          <t>PX_OPEN</t>
        </is>
      </c>
      <c r="CO3" s="5" t="inlineStr">
        <is>
          <t>PX_HIGH</t>
        </is>
      </c>
      <c r="CP3" s="5" t="inlineStr">
        <is>
          <t>PX_LOW</t>
        </is>
      </c>
      <c r="CQ3" s="5" t="inlineStr">
        <is>
          <t>PX_LAST</t>
        </is>
      </c>
      <c r="CR3" s="5" t="inlineStr">
        <is>
          <t>PX_SETTLE</t>
        </is>
      </c>
      <c r="CS3" s="5" t="inlineStr">
        <is>
          <t>PX_VOLUME</t>
        </is>
      </c>
      <c r="CT3" s="5" t="inlineStr">
        <is>
          <t>OPEN_INT</t>
        </is>
      </c>
      <c r="CV3" s="5" t="inlineStr">
        <is>
          <t>Date</t>
        </is>
      </c>
      <c r="CW3" s="5" t="inlineStr">
        <is>
          <t>PX_OPEN</t>
        </is>
      </c>
      <c r="CX3" s="5" t="inlineStr">
        <is>
          <t>PX_HIGH</t>
        </is>
      </c>
      <c r="CY3" s="5" t="inlineStr">
        <is>
          <t>PX_LOW</t>
        </is>
      </c>
      <c r="CZ3" s="5" t="inlineStr">
        <is>
          <t>PX_LAST</t>
        </is>
      </c>
      <c r="DA3" s="5" t="inlineStr">
        <is>
          <t>PX_SETTLE</t>
        </is>
      </c>
      <c r="DB3" s="5" t="inlineStr">
        <is>
          <t>PX_VOLUME</t>
        </is>
      </c>
      <c r="DC3" s="5" t="inlineStr">
        <is>
          <t>OPEN_INT</t>
        </is>
      </c>
    </row>
    <row r="4">
      <c r="A4" s="4">
        <f>BDH(A$1,B$3:H$3,Settings!$C$12,IF(Settings!$D$12="","",Settings!$D$12),"Dir=V","Dts=S","Sort=A","Days=T","Fill=B")</f>
        <v/>
      </c>
      <c r="J4" s="4">
        <f>BDH(J$1,K$3:Q$3,Settings!$C$12,IF(Settings!$D$12="","",Settings!$D$12),"Dir=V","Dts=S","Sort=A","Days=T","Fill=B")</f>
        <v/>
      </c>
      <c r="S4" s="4">
        <f>BDH(S$1,T$3:Z$3,Settings!$C$12,IF(Settings!$D$12="","",Settings!$D$12),"Dir=V","Dts=S","Sort=A","Days=T","Fill=B")</f>
        <v/>
      </c>
      <c r="AB4" s="4">
        <f>BDH(AB$1,AC$3:AI$3,Settings!$C$12,IF(Settings!$D$12="","",Settings!$D$12),"Dir=V","Dts=S","Sort=A","Days=T","Fill=B")</f>
        <v/>
      </c>
      <c r="AK4" s="4">
        <f>BDH(AK$1,AL$3:AR$3,Settings!$C$12,IF(Settings!$D$12="","",Settings!$D$12),"Dir=V","Dts=S","Sort=A","Days=T","Fill=B")</f>
        <v/>
      </c>
      <c r="AT4" s="4">
        <f>BDH(AT$1,AU$3:BA$3,Settings!$C$12,IF(Settings!$D$12="","",Settings!$D$12),"Dir=V","Dts=S","Sort=A","Days=T","Fill=B")</f>
        <v/>
      </c>
      <c r="BC4" s="4">
        <f>BDH(BC$1,BD$3:BJ$3,Settings!$C$12,IF(Settings!$D$12="","",Settings!$D$12),"Dir=V","Dts=S","Sort=A","Days=T","Fill=B")</f>
        <v/>
      </c>
      <c r="BL4" s="4">
        <f>BDH(BL$1,BM$3:BS$3,Settings!$C$12,IF(Settings!$D$12="","",Settings!$D$12),"Dir=V","Dts=S","Sort=A","Days=T","Fill=B")</f>
        <v/>
      </c>
      <c r="BU4" s="4">
        <f>BDH(BU$1,BV$3:CB$3,Settings!$C$12,IF(Settings!$D$12="","",Settings!$D$12),"Dir=V","Dts=S","Sort=A","Days=T","Fill=B")</f>
        <v/>
      </c>
      <c r="CD4" s="4">
        <f>BDH(CD$1,CE$3:CK$3,Settings!$C$12,IF(Settings!$D$12="","",Settings!$D$12),"Dir=V","Dts=S","Sort=A","Days=T","Fill=B")</f>
        <v/>
      </c>
      <c r="CM4" s="4">
        <f>BDH(CM$1,CN$3:CT$3,Settings!$C$12,IF(Settings!$D$12="","",Settings!$D$12),"Dir=V","Dts=S","Sort=A","Days=T","Fill=B")</f>
        <v/>
      </c>
      <c r="CV4" s="4">
        <f>BDH(CV$1,CW$3:DC$3,Settings!$C$12,IF(Settings!$D$12="","",Settings!$D$12),"Dir=V","Dts=S","Sort=A","Days=T","Fill=B")</f>
        <v/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C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1" customWidth="1" min="7" max="7"/>
    <col width="10" customWidth="1" min="8" max="8"/>
    <col width="12" customWidth="1" min="10" max="10"/>
    <col width="10" customWidth="1" min="11" max="11"/>
    <col width="10" customWidth="1" min="12" max="12"/>
    <col width="10" customWidth="1" min="13" max="13"/>
    <col width="10" customWidth="1" min="14" max="14"/>
    <col width="11" customWidth="1" min="15" max="15"/>
    <col width="11" customWidth="1" min="16" max="16"/>
    <col width="10" customWidth="1" min="17" max="17"/>
    <col width="12" customWidth="1" min="19" max="19"/>
    <col width="10" customWidth="1" min="20" max="20"/>
    <col width="10" customWidth="1" min="21" max="21"/>
    <col width="10" customWidth="1" min="22" max="22"/>
    <col width="10" customWidth="1" min="23" max="23"/>
    <col width="11" customWidth="1" min="24" max="24"/>
    <col width="11" customWidth="1" min="25" max="25"/>
    <col width="10" customWidth="1" min="26" max="26"/>
    <col width="12" customWidth="1" min="28" max="28"/>
    <col width="10" customWidth="1" min="29" max="29"/>
    <col width="10" customWidth="1" min="30" max="30"/>
    <col width="10" customWidth="1" min="31" max="31"/>
    <col width="10" customWidth="1" min="32" max="32"/>
    <col width="11" customWidth="1" min="33" max="33"/>
    <col width="11" customWidth="1" min="34" max="34"/>
    <col width="10" customWidth="1" min="35" max="35"/>
    <col width="12" customWidth="1" min="37" max="37"/>
    <col width="10" customWidth="1" min="38" max="38"/>
    <col width="10" customWidth="1" min="39" max="39"/>
    <col width="10" customWidth="1" min="40" max="40"/>
    <col width="10" customWidth="1" min="41" max="41"/>
    <col width="11" customWidth="1" min="42" max="42"/>
    <col width="11" customWidth="1" min="43" max="43"/>
    <col width="10" customWidth="1" min="44" max="44"/>
    <col width="12" customWidth="1" min="46" max="46"/>
    <col width="10" customWidth="1" min="47" max="47"/>
    <col width="10" customWidth="1" min="48" max="48"/>
    <col width="10" customWidth="1" min="49" max="49"/>
    <col width="10" customWidth="1" min="50" max="50"/>
    <col width="11" customWidth="1" min="51" max="51"/>
    <col width="11" customWidth="1" min="52" max="52"/>
    <col width="10" customWidth="1" min="53" max="53"/>
    <col width="12" customWidth="1" min="55" max="55"/>
    <col width="10" customWidth="1" min="56" max="56"/>
    <col width="10" customWidth="1" min="57" max="57"/>
    <col width="10" customWidth="1" min="58" max="58"/>
    <col width="10" customWidth="1" min="59" max="59"/>
    <col width="11" customWidth="1" min="60" max="60"/>
    <col width="11" customWidth="1" min="61" max="61"/>
    <col width="10" customWidth="1" min="62" max="62"/>
    <col width="12" customWidth="1" min="64" max="64"/>
    <col width="10" customWidth="1" min="65" max="65"/>
    <col width="10" customWidth="1" min="66" max="66"/>
    <col width="10" customWidth="1" min="67" max="67"/>
    <col width="10" customWidth="1" min="68" max="68"/>
    <col width="11" customWidth="1" min="69" max="69"/>
    <col width="11" customWidth="1" min="70" max="70"/>
    <col width="10" customWidth="1" min="71" max="71"/>
    <col width="12" customWidth="1" min="73" max="73"/>
    <col width="10" customWidth="1" min="74" max="74"/>
    <col width="10" customWidth="1" min="75" max="75"/>
    <col width="10" customWidth="1" min="76" max="76"/>
    <col width="10" customWidth="1" min="77" max="77"/>
    <col width="11" customWidth="1" min="78" max="78"/>
    <col width="11" customWidth="1" min="79" max="79"/>
    <col width="10" customWidth="1" min="80" max="80"/>
    <col width="12" customWidth="1" min="82" max="82"/>
    <col width="10" customWidth="1" min="83" max="83"/>
    <col width="10" customWidth="1" min="84" max="84"/>
    <col width="10" customWidth="1" min="85" max="85"/>
    <col width="10" customWidth="1" min="86" max="86"/>
    <col width="11" customWidth="1" min="87" max="87"/>
    <col width="11" customWidth="1" min="88" max="88"/>
    <col width="10" customWidth="1" min="89" max="89"/>
    <col width="12" customWidth="1" min="91" max="91"/>
    <col width="10" customWidth="1" min="92" max="92"/>
    <col width="10" customWidth="1" min="93" max="93"/>
    <col width="10" customWidth="1" min="94" max="94"/>
    <col width="10" customWidth="1" min="95" max="95"/>
    <col width="11" customWidth="1" min="96" max="96"/>
    <col width="11" customWidth="1" min="97" max="97"/>
    <col width="10" customWidth="1" min="98" max="98"/>
    <col width="12" customWidth="1" min="100" max="100"/>
    <col width="10" customWidth="1" min="101" max="101"/>
    <col width="10" customWidth="1" min="102" max="102"/>
    <col width="10" customWidth="1" min="103" max="103"/>
    <col width="10" customWidth="1" min="104" max="104"/>
    <col width="11" customWidth="1" min="105" max="105"/>
    <col width="11" customWidth="1" min="106" max="106"/>
    <col width="10" customWidth="1" min="107" max="107"/>
  </cols>
  <sheetData>
    <row r="1">
      <c r="A1" s="2">
        <f>IF(Settings!$B$12="Y","CLF"&amp;IF(A$2&lt;Settings!$B$3,"27","7")&amp;" Comdty","")</f>
        <v/>
      </c>
      <c r="J1" s="2">
        <f>IF(Settings!$B$12="Y","CLG"&amp;IF(J$2&lt;Settings!$B$3,"27","7")&amp;" Comdty","")</f>
        <v/>
      </c>
      <c r="S1" s="2">
        <f>IF(Settings!$B$12="Y","CLH"&amp;IF(S$2&lt;Settings!$B$3,"27","7")&amp;" Comdty","")</f>
        <v/>
      </c>
      <c r="AB1" s="2">
        <f>IF(Settings!$B$12="Y","CLJ"&amp;IF(AB$2&lt;Settings!$B$3,"27","7")&amp;" Comdty","")</f>
        <v/>
      </c>
      <c r="AK1" s="2">
        <f>IF(Settings!$B$12="Y","CLK"&amp;IF(AK$2&lt;Settings!$B$3,"27","7")&amp;" Comdty","")</f>
        <v/>
      </c>
      <c r="AT1" s="2">
        <f>IF(Settings!$B$12="Y","CLM"&amp;IF(AT$2&lt;Settings!$B$3,"27","7")&amp;" Comdty","")</f>
        <v/>
      </c>
      <c r="BC1" s="2">
        <f>IF(Settings!$B$12="Y","CLN"&amp;IF(BC$2&lt;Settings!$B$3,"27","7")&amp;" Comdty","")</f>
        <v/>
      </c>
      <c r="BL1" s="2">
        <f>IF(Settings!$B$12="Y","CLQ"&amp;IF(BL$2&lt;Settings!$B$3,"27","7")&amp;" Comdty","")</f>
        <v/>
      </c>
      <c r="BU1" s="2">
        <f>IF(Settings!$B$12="Y","CLU"&amp;IF(BU$2&lt;Settings!$B$3,"27","7")&amp;" Comdty","")</f>
        <v/>
      </c>
      <c r="CD1" s="2">
        <f>IF(Settings!$B$12="Y","CLV"&amp;IF(CD$2&lt;Settings!$B$3,"27","7")&amp;" Comdty","")</f>
        <v/>
      </c>
      <c r="CM1" s="2">
        <f>IF(Settings!$B$12="Y","CLX"&amp;IF(CM$2&lt;Settings!$B$3,"27","7")&amp;" Comdty","")</f>
        <v/>
      </c>
      <c r="CV1" s="2">
        <f>IF(Settings!$B$12="Y","CLZ"&amp;IF(CV$2&lt;Settings!$B$3,"27","7")&amp;" Comdty","")</f>
        <v/>
      </c>
    </row>
    <row r="2">
      <c r="A2" s="8">
        <f>WORKDAY(DATE(2027,1-1,25),-3)</f>
        <v/>
      </c>
      <c r="B2" s="8">
        <f>IF(A$1="","",BDP(A$1,"LAST_TRADEABLE_DT"))</f>
        <v/>
      </c>
      <c r="J2" s="8">
        <f>WORKDAY(DATE(2027,2-1,25),-3)</f>
        <v/>
      </c>
      <c r="K2" s="8">
        <f>IF(J$1="","",BDP(J$1,"LAST_TRADEABLE_DT"))</f>
        <v/>
      </c>
      <c r="S2" s="8">
        <f>WORKDAY(DATE(2027,3-1,25),-3)</f>
        <v/>
      </c>
      <c r="T2" s="8">
        <f>IF(S$1="","",BDP(S$1,"LAST_TRADEABLE_DT"))</f>
        <v/>
      </c>
      <c r="AB2" s="8">
        <f>WORKDAY(DATE(2027,4-1,25),-3)</f>
        <v/>
      </c>
      <c r="AC2" s="8">
        <f>IF(AB$1="","",BDP(AB$1,"LAST_TRADEABLE_DT"))</f>
        <v/>
      </c>
      <c r="AK2" s="8">
        <f>WORKDAY(DATE(2027,5-1,25),-3)</f>
        <v/>
      </c>
      <c r="AL2" s="8">
        <f>IF(AK$1="","",BDP(AK$1,"LAST_TRADEABLE_DT"))</f>
        <v/>
      </c>
      <c r="AT2" s="8">
        <f>WORKDAY(DATE(2027,6-1,25),-3)</f>
        <v/>
      </c>
      <c r="AU2" s="8">
        <f>IF(AT$1="","",BDP(AT$1,"LAST_TRADEABLE_DT"))</f>
        <v/>
      </c>
      <c r="BC2" s="8">
        <f>WORKDAY(DATE(2027,7-1,25),-3)</f>
        <v/>
      </c>
      <c r="BD2" s="8">
        <f>IF(BC$1="","",BDP(BC$1,"LAST_TRADEABLE_DT"))</f>
        <v/>
      </c>
      <c r="BL2" s="8">
        <f>WORKDAY(DATE(2027,8-1,25),-3)</f>
        <v/>
      </c>
      <c r="BM2" s="8">
        <f>IF(BL$1="","",BDP(BL$1,"LAST_TRADEABLE_DT"))</f>
        <v/>
      </c>
      <c r="BU2" s="8">
        <f>WORKDAY(DATE(2027,9-1,25),-3)</f>
        <v/>
      </c>
      <c r="BV2" s="8">
        <f>IF(BU$1="","",BDP(BU$1,"LAST_TRADEABLE_DT"))</f>
        <v/>
      </c>
      <c r="CD2" s="8">
        <f>WORKDAY(DATE(2027,10-1,25),-3)</f>
        <v/>
      </c>
      <c r="CE2" s="8">
        <f>IF(CD$1="","",BDP(CD$1,"LAST_TRADEABLE_DT"))</f>
        <v/>
      </c>
      <c r="CM2" s="8">
        <f>WORKDAY(DATE(2027,11-1,25),-3)</f>
        <v/>
      </c>
      <c r="CN2" s="8">
        <f>IF(CM$1="","",BDP(CM$1,"LAST_TRADEABLE_DT"))</f>
        <v/>
      </c>
      <c r="CV2" s="8">
        <f>WORKDAY(DATE(2027,12-1,25),-3)</f>
        <v/>
      </c>
      <c r="CW2" s="8">
        <f>IF(CV$1="","",BDP(CV$1,"LAST_TRADEABLE_DT"))</f>
        <v/>
      </c>
    </row>
    <row r="3">
      <c r="A3" s="5" t="inlineStr">
        <is>
          <t>Date</t>
        </is>
      </c>
      <c r="B3" s="5" t="inlineStr">
        <is>
          <t>PX_OPEN</t>
        </is>
      </c>
      <c r="C3" s="5" t="inlineStr">
        <is>
          <t>PX_HIGH</t>
        </is>
      </c>
      <c r="D3" s="5" t="inlineStr">
        <is>
          <t>PX_LOW</t>
        </is>
      </c>
      <c r="E3" s="5" t="inlineStr">
        <is>
          <t>PX_LAST</t>
        </is>
      </c>
      <c r="F3" s="5" t="inlineStr">
        <is>
          <t>PX_SETTLE</t>
        </is>
      </c>
      <c r="G3" s="5" t="inlineStr">
        <is>
          <t>PX_VOLUME</t>
        </is>
      </c>
      <c r="H3" s="5" t="inlineStr">
        <is>
          <t>OPEN_INT</t>
        </is>
      </c>
      <c r="J3" s="5" t="inlineStr">
        <is>
          <t>Date</t>
        </is>
      </c>
      <c r="K3" s="5" t="inlineStr">
        <is>
          <t>PX_OPEN</t>
        </is>
      </c>
      <c r="L3" s="5" t="inlineStr">
        <is>
          <t>PX_HIGH</t>
        </is>
      </c>
      <c r="M3" s="5" t="inlineStr">
        <is>
          <t>PX_LOW</t>
        </is>
      </c>
      <c r="N3" s="5" t="inlineStr">
        <is>
          <t>PX_LAST</t>
        </is>
      </c>
      <c r="O3" s="5" t="inlineStr">
        <is>
          <t>PX_SETTLE</t>
        </is>
      </c>
      <c r="P3" s="5" t="inlineStr">
        <is>
          <t>PX_VOLUME</t>
        </is>
      </c>
      <c r="Q3" s="5" t="inlineStr">
        <is>
          <t>OPEN_INT</t>
        </is>
      </c>
      <c r="S3" s="5" t="inlineStr">
        <is>
          <t>Date</t>
        </is>
      </c>
      <c r="T3" s="5" t="inlineStr">
        <is>
          <t>PX_OPEN</t>
        </is>
      </c>
      <c r="U3" s="5" t="inlineStr">
        <is>
          <t>PX_HIGH</t>
        </is>
      </c>
      <c r="V3" s="5" t="inlineStr">
        <is>
          <t>PX_LOW</t>
        </is>
      </c>
      <c r="W3" s="5" t="inlineStr">
        <is>
          <t>PX_LAST</t>
        </is>
      </c>
      <c r="X3" s="5" t="inlineStr">
        <is>
          <t>PX_SETTLE</t>
        </is>
      </c>
      <c r="Y3" s="5" t="inlineStr">
        <is>
          <t>PX_VOLUME</t>
        </is>
      </c>
      <c r="Z3" s="5" t="inlineStr">
        <is>
          <t>OPEN_INT</t>
        </is>
      </c>
      <c r="AB3" s="5" t="inlineStr">
        <is>
          <t>Date</t>
        </is>
      </c>
      <c r="AC3" s="5" t="inlineStr">
        <is>
          <t>PX_OPEN</t>
        </is>
      </c>
      <c r="AD3" s="5" t="inlineStr">
        <is>
          <t>PX_HIGH</t>
        </is>
      </c>
      <c r="AE3" s="5" t="inlineStr">
        <is>
          <t>PX_LOW</t>
        </is>
      </c>
      <c r="AF3" s="5" t="inlineStr">
        <is>
          <t>PX_LAST</t>
        </is>
      </c>
      <c r="AG3" s="5" t="inlineStr">
        <is>
          <t>PX_SETTLE</t>
        </is>
      </c>
      <c r="AH3" s="5" t="inlineStr">
        <is>
          <t>PX_VOLUME</t>
        </is>
      </c>
      <c r="AI3" s="5" t="inlineStr">
        <is>
          <t>OPEN_INT</t>
        </is>
      </c>
      <c r="AK3" s="5" t="inlineStr">
        <is>
          <t>Date</t>
        </is>
      </c>
      <c r="AL3" s="5" t="inlineStr">
        <is>
          <t>PX_OPEN</t>
        </is>
      </c>
      <c r="AM3" s="5" t="inlineStr">
        <is>
          <t>PX_HIGH</t>
        </is>
      </c>
      <c r="AN3" s="5" t="inlineStr">
        <is>
          <t>PX_LOW</t>
        </is>
      </c>
      <c r="AO3" s="5" t="inlineStr">
        <is>
          <t>PX_LAST</t>
        </is>
      </c>
      <c r="AP3" s="5" t="inlineStr">
        <is>
          <t>PX_SETTLE</t>
        </is>
      </c>
      <c r="AQ3" s="5" t="inlineStr">
        <is>
          <t>PX_VOLUME</t>
        </is>
      </c>
      <c r="AR3" s="5" t="inlineStr">
        <is>
          <t>OPEN_INT</t>
        </is>
      </c>
      <c r="AT3" s="5" t="inlineStr">
        <is>
          <t>Date</t>
        </is>
      </c>
      <c r="AU3" s="5" t="inlineStr">
        <is>
          <t>PX_OPEN</t>
        </is>
      </c>
      <c r="AV3" s="5" t="inlineStr">
        <is>
          <t>PX_HIGH</t>
        </is>
      </c>
      <c r="AW3" s="5" t="inlineStr">
        <is>
          <t>PX_LOW</t>
        </is>
      </c>
      <c r="AX3" s="5" t="inlineStr">
        <is>
          <t>PX_LAST</t>
        </is>
      </c>
      <c r="AY3" s="5" t="inlineStr">
        <is>
          <t>PX_SETTLE</t>
        </is>
      </c>
      <c r="AZ3" s="5" t="inlineStr">
        <is>
          <t>PX_VOLUME</t>
        </is>
      </c>
      <c r="BA3" s="5" t="inlineStr">
        <is>
          <t>OPEN_INT</t>
        </is>
      </c>
      <c r="BC3" s="5" t="inlineStr">
        <is>
          <t>Date</t>
        </is>
      </c>
      <c r="BD3" s="5" t="inlineStr">
        <is>
          <t>PX_OPEN</t>
        </is>
      </c>
      <c r="BE3" s="5" t="inlineStr">
        <is>
          <t>PX_HIGH</t>
        </is>
      </c>
      <c r="BF3" s="5" t="inlineStr">
        <is>
          <t>PX_LOW</t>
        </is>
      </c>
      <c r="BG3" s="5" t="inlineStr">
        <is>
          <t>PX_LAST</t>
        </is>
      </c>
      <c r="BH3" s="5" t="inlineStr">
        <is>
          <t>PX_SETTLE</t>
        </is>
      </c>
      <c r="BI3" s="5" t="inlineStr">
        <is>
          <t>PX_VOLUME</t>
        </is>
      </c>
      <c r="BJ3" s="5" t="inlineStr">
        <is>
          <t>OPEN_INT</t>
        </is>
      </c>
      <c r="BL3" s="5" t="inlineStr">
        <is>
          <t>Date</t>
        </is>
      </c>
      <c r="BM3" s="5" t="inlineStr">
        <is>
          <t>PX_OPEN</t>
        </is>
      </c>
      <c r="BN3" s="5" t="inlineStr">
        <is>
          <t>PX_HIGH</t>
        </is>
      </c>
      <c r="BO3" s="5" t="inlineStr">
        <is>
          <t>PX_LOW</t>
        </is>
      </c>
      <c r="BP3" s="5" t="inlineStr">
        <is>
          <t>PX_LAST</t>
        </is>
      </c>
      <c r="BQ3" s="5" t="inlineStr">
        <is>
          <t>PX_SETTLE</t>
        </is>
      </c>
      <c r="BR3" s="5" t="inlineStr">
        <is>
          <t>PX_VOLUME</t>
        </is>
      </c>
      <c r="BS3" s="5" t="inlineStr">
        <is>
          <t>OPEN_INT</t>
        </is>
      </c>
      <c r="BU3" s="5" t="inlineStr">
        <is>
          <t>Date</t>
        </is>
      </c>
      <c r="BV3" s="5" t="inlineStr">
        <is>
          <t>PX_OPEN</t>
        </is>
      </c>
      <c r="BW3" s="5" t="inlineStr">
        <is>
          <t>PX_HIGH</t>
        </is>
      </c>
      <c r="BX3" s="5" t="inlineStr">
        <is>
          <t>PX_LOW</t>
        </is>
      </c>
      <c r="BY3" s="5" t="inlineStr">
        <is>
          <t>PX_LAST</t>
        </is>
      </c>
      <c r="BZ3" s="5" t="inlineStr">
        <is>
          <t>PX_SETTLE</t>
        </is>
      </c>
      <c r="CA3" s="5" t="inlineStr">
        <is>
          <t>PX_VOLUME</t>
        </is>
      </c>
      <c r="CB3" s="5" t="inlineStr">
        <is>
          <t>OPEN_INT</t>
        </is>
      </c>
      <c r="CD3" s="5" t="inlineStr">
        <is>
          <t>Date</t>
        </is>
      </c>
      <c r="CE3" s="5" t="inlineStr">
        <is>
          <t>PX_OPEN</t>
        </is>
      </c>
      <c r="CF3" s="5" t="inlineStr">
        <is>
          <t>PX_HIGH</t>
        </is>
      </c>
      <c r="CG3" s="5" t="inlineStr">
        <is>
          <t>PX_LOW</t>
        </is>
      </c>
      <c r="CH3" s="5" t="inlineStr">
        <is>
          <t>PX_LAST</t>
        </is>
      </c>
      <c r="CI3" s="5" t="inlineStr">
        <is>
          <t>PX_SETTLE</t>
        </is>
      </c>
      <c r="CJ3" s="5" t="inlineStr">
        <is>
          <t>PX_VOLUME</t>
        </is>
      </c>
      <c r="CK3" s="5" t="inlineStr">
        <is>
          <t>OPEN_INT</t>
        </is>
      </c>
      <c r="CM3" s="5" t="inlineStr">
        <is>
          <t>Date</t>
        </is>
      </c>
      <c r="CN3" s="5" t="inlineStr">
        <is>
          <t>PX_OPEN</t>
        </is>
      </c>
      <c r="CO3" s="5" t="inlineStr">
        <is>
          <t>PX_HIGH</t>
        </is>
      </c>
      <c r="CP3" s="5" t="inlineStr">
        <is>
          <t>PX_LOW</t>
        </is>
      </c>
      <c r="CQ3" s="5" t="inlineStr">
        <is>
          <t>PX_LAST</t>
        </is>
      </c>
      <c r="CR3" s="5" t="inlineStr">
        <is>
          <t>PX_SETTLE</t>
        </is>
      </c>
      <c r="CS3" s="5" t="inlineStr">
        <is>
          <t>PX_VOLUME</t>
        </is>
      </c>
      <c r="CT3" s="5" t="inlineStr">
        <is>
          <t>OPEN_INT</t>
        </is>
      </c>
      <c r="CV3" s="5" t="inlineStr">
        <is>
          <t>Date</t>
        </is>
      </c>
      <c r="CW3" s="5" t="inlineStr">
        <is>
          <t>PX_OPEN</t>
        </is>
      </c>
      <c r="CX3" s="5" t="inlineStr">
        <is>
          <t>PX_HIGH</t>
        </is>
      </c>
      <c r="CY3" s="5" t="inlineStr">
        <is>
          <t>PX_LOW</t>
        </is>
      </c>
      <c r="CZ3" s="5" t="inlineStr">
        <is>
          <t>PX_LAST</t>
        </is>
      </c>
      <c r="DA3" s="5" t="inlineStr">
        <is>
          <t>PX_SETTLE</t>
        </is>
      </c>
      <c r="DB3" s="5" t="inlineStr">
        <is>
          <t>PX_VOLUME</t>
        </is>
      </c>
      <c r="DC3" s="5" t="inlineStr">
        <is>
          <t>OPEN_INT</t>
        </is>
      </c>
    </row>
    <row r="4">
      <c r="A4" s="4">
        <f>BDH(A$1,B$3:H$3,Settings!$C$12,IF(Settings!$D$12="","",Settings!$D$12),"Dir=V","Dts=S","Sort=A","Days=T","Fill=B")</f>
        <v/>
      </c>
      <c r="J4" s="4">
        <f>BDH(J$1,K$3:Q$3,Settings!$C$12,IF(Settings!$D$12="","",Settings!$D$12),"Dir=V","Dts=S","Sort=A","Days=T","Fill=B")</f>
        <v/>
      </c>
      <c r="S4" s="4">
        <f>BDH(S$1,T$3:Z$3,Settings!$C$12,IF(Settings!$D$12="","",Settings!$D$12),"Dir=V","Dts=S","Sort=A","Days=T","Fill=B")</f>
        <v/>
      </c>
      <c r="AB4" s="4">
        <f>BDH(AB$1,AC$3:AI$3,Settings!$C$12,IF(Settings!$D$12="","",Settings!$D$12),"Dir=V","Dts=S","Sort=A","Days=T","Fill=B")</f>
        <v/>
      </c>
      <c r="AK4" s="4">
        <f>BDH(AK$1,AL$3:AR$3,Settings!$C$12,IF(Settings!$D$12="","",Settings!$D$12),"Dir=V","Dts=S","Sort=A","Days=T","Fill=B")</f>
        <v/>
      </c>
      <c r="AT4" s="4">
        <f>BDH(AT$1,AU$3:BA$3,Settings!$C$12,IF(Settings!$D$12="","",Settings!$D$12),"Dir=V","Dts=S","Sort=A","Days=T","Fill=B")</f>
        <v/>
      </c>
      <c r="BC4" s="4">
        <f>BDH(BC$1,BD$3:BJ$3,Settings!$C$12,IF(Settings!$D$12="","",Settings!$D$12),"Dir=V","Dts=S","Sort=A","Days=T","Fill=B")</f>
        <v/>
      </c>
      <c r="BL4" s="4">
        <f>BDH(BL$1,BM$3:BS$3,Settings!$C$12,IF(Settings!$D$12="","",Settings!$D$12),"Dir=V","Dts=S","Sort=A","Days=T","Fill=B")</f>
        <v/>
      </c>
      <c r="BU4" s="4">
        <f>BDH(BU$1,BV$3:CB$3,Settings!$C$12,IF(Settings!$D$12="","",Settings!$D$12),"Dir=V","Dts=S","Sort=A","Days=T","Fill=B")</f>
        <v/>
      </c>
      <c r="CD4" s="4">
        <f>BDH(CD$1,CE$3:CK$3,Settings!$C$12,IF(Settings!$D$12="","",Settings!$D$12),"Dir=V","Dts=S","Sort=A","Days=T","Fill=B")</f>
        <v/>
      </c>
      <c r="CM4" s="4">
        <f>BDH(CM$1,CN$3:CT$3,Settings!$C$12,IF(Settings!$D$12="","",Settings!$D$12),"Dir=V","Dts=S","Sort=A","Days=T","Fill=B")</f>
        <v/>
      </c>
      <c r="CV4" s="4">
        <f>BDH(CV$1,CW$3:DC$3,Settings!$C$12,IF(Settings!$D$12="","",Settings!$D$12),"Dir=V","Dts=S","Sort=A","Days=T","Fill=B")</f>
        <v/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C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1" customWidth="1" min="7" max="7"/>
    <col width="10" customWidth="1" min="8" max="8"/>
    <col width="12" customWidth="1" min="10" max="10"/>
    <col width="10" customWidth="1" min="11" max="11"/>
    <col width="10" customWidth="1" min="12" max="12"/>
    <col width="10" customWidth="1" min="13" max="13"/>
    <col width="10" customWidth="1" min="14" max="14"/>
    <col width="11" customWidth="1" min="15" max="15"/>
    <col width="11" customWidth="1" min="16" max="16"/>
    <col width="10" customWidth="1" min="17" max="17"/>
    <col width="12" customWidth="1" min="19" max="19"/>
    <col width="10" customWidth="1" min="20" max="20"/>
    <col width="10" customWidth="1" min="21" max="21"/>
    <col width="10" customWidth="1" min="22" max="22"/>
    <col width="10" customWidth="1" min="23" max="23"/>
    <col width="11" customWidth="1" min="24" max="24"/>
    <col width="11" customWidth="1" min="25" max="25"/>
    <col width="10" customWidth="1" min="26" max="26"/>
    <col width="12" customWidth="1" min="28" max="28"/>
    <col width="10" customWidth="1" min="29" max="29"/>
    <col width="10" customWidth="1" min="30" max="30"/>
    <col width="10" customWidth="1" min="31" max="31"/>
    <col width="10" customWidth="1" min="32" max="32"/>
    <col width="11" customWidth="1" min="33" max="33"/>
    <col width="11" customWidth="1" min="34" max="34"/>
    <col width="10" customWidth="1" min="35" max="35"/>
    <col width="12" customWidth="1" min="37" max="37"/>
    <col width="10" customWidth="1" min="38" max="38"/>
    <col width="10" customWidth="1" min="39" max="39"/>
    <col width="10" customWidth="1" min="40" max="40"/>
    <col width="10" customWidth="1" min="41" max="41"/>
    <col width="11" customWidth="1" min="42" max="42"/>
    <col width="11" customWidth="1" min="43" max="43"/>
    <col width="10" customWidth="1" min="44" max="44"/>
    <col width="12" customWidth="1" min="46" max="46"/>
    <col width="10" customWidth="1" min="47" max="47"/>
    <col width="10" customWidth="1" min="48" max="48"/>
    <col width="10" customWidth="1" min="49" max="49"/>
    <col width="10" customWidth="1" min="50" max="50"/>
    <col width="11" customWidth="1" min="51" max="51"/>
    <col width="11" customWidth="1" min="52" max="52"/>
    <col width="10" customWidth="1" min="53" max="53"/>
    <col width="12" customWidth="1" min="55" max="55"/>
    <col width="10" customWidth="1" min="56" max="56"/>
    <col width="10" customWidth="1" min="57" max="57"/>
    <col width="10" customWidth="1" min="58" max="58"/>
    <col width="10" customWidth="1" min="59" max="59"/>
    <col width="11" customWidth="1" min="60" max="60"/>
    <col width="11" customWidth="1" min="61" max="61"/>
    <col width="10" customWidth="1" min="62" max="62"/>
    <col width="12" customWidth="1" min="64" max="64"/>
    <col width="10" customWidth="1" min="65" max="65"/>
    <col width="10" customWidth="1" min="66" max="66"/>
    <col width="10" customWidth="1" min="67" max="67"/>
    <col width="10" customWidth="1" min="68" max="68"/>
    <col width="11" customWidth="1" min="69" max="69"/>
    <col width="11" customWidth="1" min="70" max="70"/>
    <col width="10" customWidth="1" min="71" max="71"/>
    <col width="12" customWidth="1" min="73" max="73"/>
    <col width="10" customWidth="1" min="74" max="74"/>
    <col width="10" customWidth="1" min="75" max="75"/>
    <col width="10" customWidth="1" min="76" max="76"/>
    <col width="10" customWidth="1" min="77" max="77"/>
    <col width="11" customWidth="1" min="78" max="78"/>
    <col width="11" customWidth="1" min="79" max="79"/>
    <col width="10" customWidth="1" min="80" max="80"/>
    <col width="12" customWidth="1" min="82" max="82"/>
    <col width="10" customWidth="1" min="83" max="83"/>
    <col width="10" customWidth="1" min="84" max="84"/>
    <col width="10" customWidth="1" min="85" max="85"/>
    <col width="10" customWidth="1" min="86" max="86"/>
    <col width="11" customWidth="1" min="87" max="87"/>
    <col width="11" customWidth="1" min="88" max="88"/>
    <col width="10" customWidth="1" min="89" max="89"/>
    <col width="12" customWidth="1" min="91" max="91"/>
    <col width="10" customWidth="1" min="92" max="92"/>
    <col width="10" customWidth="1" min="93" max="93"/>
    <col width="10" customWidth="1" min="94" max="94"/>
    <col width="10" customWidth="1" min="95" max="95"/>
    <col width="11" customWidth="1" min="96" max="96"/>
    <col width="11" customWidth="1" min="97" max="97"/>
    <col width="10" customWidth="1" min="98" max="98"/>
    <col width="12" customWidth="1" min="100" max="100"/>
    <col width="10" customWidth="1" min="101" max="101"/>
    <col width="10" customWidth="1" min="102" max="102"/>
    <col width="10" customWidth="1" min="103" max="103"/>
    <col width="10" customWidth="1" min="104" max="104"/>
    <col width="11" customWidth="1" min="105" max="105"/>
    <col width="11" customWidth="1" min="106" max="106"/>
    <col width="10" customWidth="1" min="107" max="107"/>
  </cols>
  <sheetData>
    <row r="1">
      <c r="A1" s="2">
        <f>IF(Settings!$B$12="Y","CLF"&amp;IF(A$2&lt;Settings!$B$3,"28","8")&amp;" Comdty","")</f>
        <v/>
      </c>
      <c r="J1" s="2">
        <f>IF(Settings!$B$12="Y","CLG"&amp;IF(J$2&lt;Settings!$B$3,"28","8")&amp;" Comdty","")</f>
        <v/>
      </c>
      <c r="S1" s="2">
        <f>IF(Settings!$B$12="Y","CLH"&amp;IF(S$2&lt;Settings!$B$3,"28","8")&amp;" Comdty","")</f>
        <v/>
      </c>
      <c r="AB1" s="2">
        <f>IF(Settings!$B$12="Y","CLJ"&amp;IF(AB$2&lt;Settings!$B$3,"28","8")&amp;" Comdty","")</f>
        <v/>
      </c>
      <c r="AK1" s="2">
        <f>IF(Settings!$B$12="Y","CLK"&amp;IF(AK$2&lt;Settings!$B$3,"28","8")&amp;" Comdty","")</f>
        <v/>
      </c>
      <c r="AT1" s="2">
        <f>IF(Settings!$B$12="Y","CLM"&amp;IF(AT$2&lt;Settings!$B$3,"28","8")&amp;" Comdty","")</f>
        <v/>
      </c>
      <c r="BC1" s="2">
        <f>IF(Settings!$B$12="Y","CLN"&amp;IF(BC$2&lt;Settings!$B$3,"28","8")&amp;" Comdty","")</f>
        <v/>
      </c>
      <c r="BL1" s="2">
        <f>IF(Settings!$B$12="Y","CLQ"&amp;IF(BL$2&lt;Settings!$B$3,"28","8")&amp;" Comdty","")</f>
        <v/>
      </c>
      <c r="BU1" s="2">
        <f>IF(Settings!$B$12="Y","CLU"&amp;IF(BU$2&lt;Settings!$B$3,"28","8")&amp;" Comdty","")</f>
        <v/>
      </c>
      <c r="CD1" s="2">
        <f>IF(Settings!$B$12="Y","CLV"&amp;IF(CD$2&lt;Settings!$B$3,"28","8")&amp;" Comdty","")</f>
        <v/>
      </c>
      <c r="CM1" s="2">
        <f>IF(Settings!$B$12="Y","CLX"&amp;IF(CM$2&lt;Settings!$B$3,"28","8")&amp;" Comdty","")</f>
        <v/>
      </c>
      <c r="CV1" s="2">
        <f>IF(Settings!$B$12="Y","CLZ"&amp;IF(CV$2&lt;Settings!$B$3,"28","8")&amp;" Comdty","")</f>
        <v/>
      </c>
    </row>
    <row r="2">
      <c r="A2" s="8">
        <f>WORKDAY(DATE(2028,1-1,25),-3)</f>
        <v/>
      </c>
      <c r="B2" s="8">
        <f>IF(A$1="","",BDP(A$1,"LAST_TRADEABLE_DT"))</f>
        <v/>
      </c>
      <c r="J2" s="8">
        <f>WORKDAY(DATE(2028,2-1,25),-3)</f>
        <v/>
      </c>
      <c r="K2" s="8">
        <f>IF(J$1="","",BDP(J$1,"LAST_TRADEABLE_DT"))</f>
        <v/>
      </c>
      <c r="S2" s="8">
        <f>WORKDAY(DATE(2028,3-1,25),-3)</f>
        <v/>
      </c>
      <c r="T2" s="8">
        <f>IF(S$1="","",BDP(S$1,"LAST_TRADEABLE_DT"))</f>
        <v/>
      </c>
      <c r="AB2" s="8">
        <f>WORKDAY(DATE(2028,4-1,25),-3)</f>
        <v/>
      </c>
      <c r="AC2" s="8">
        <f>IF(AB$1="","",BDP(AB$1,"LAST_TRADEABLE_DT"))</f>
        <v/>
      </c>
      <c r="AK2" s="8">
        <f>WORKDAY(DATE(2028,5-1,25),-3)</f>
        <v/>
      </c>
      <c r="AL2" s="8">
        <f>IF(AK$1="","",BDP(AK$1,"LAST_TRADEABLE_DT"))</f>
        <v/>
      </c>
      <c r="AT2" s="8">
        <f>WORKDAY(DATE(2028,6-1,25),-3)</f>
        <v/>
      </c>
      <c r="AU2" s="8">
        <f>IF(AT$1="","",BDP(AT$1,"LAST_TRADEABLE_DT"))</f>
        <v/>
      </c>
      <c r="BC2" s="8">
        <f>WORKDAY(DATE(2028,7-1,25),-3)</f>
        <v/>
      </c>
      <c r="BD2" s="8">
        <f>IF(BC$1="","",BDP(BC$1,"LAST_TRADEABLE_DT"))</f>
        <v/>
      </c>
      <c r="BL2" s="8">
        <f>WORKDAY(DATE(2028,8-1,25),-3)</f>
        <v/>
      </c>
      <c r="BM2" s="8">
        <f>IF(BL$1="","",BDP(BL$1,"LAST_TRADEABLE_DT"))</f>
        <v/>
      </c>
      <c r="BU2" s="8">
        <f>WORKDAY(DATE(2028,9-1,25),-3)</f>
        <v/>
      </c>
      <c r="BV2" s="8">
        <f>IF(BU$1="","",BDP(BU$1,"LAST_TRADEABLE_DT"))</f>
        <v/>
      </c>
      <c r="CD2" s="8">
        <f>WORKDAY(DATE(2028,10-1,25),-3)</f>
        <v/>
      </c>
      <c r="CE2" s="8">
        <f>IF(CD$1="","",BDP(CD$1,"LAST_TRADEABLE_DT"))</f>
        <v/>
      </c>
      <c r="CM2" s="8">
        <f>WORKDAY(DATE(2028,11-1,25),-3)</f>
        <v/>
      </c>
      <c r="CN2" s="8">
        <f>IF(CM$1="","",BDP(CM$1,"LAST_TRADEABLE_DT"))</f>
        <v/>
      </c>
      <c r="CV2" s="8">
        <f>WORKDAY(DATE(2028,12-1,25),-3)</f>
        <v/>
      </c>
      <c r="CW2" s="8">
        <f>IF(CV$1="","",BDP(CV$1,"LAST_TRADEABLE_DT"))</f>
        <v/>
      </c>
    </row>
    <row r="3">
      <c r="A3" s="5" t="inlineStr">
        <is>
          <t>Date</t>
        </is>
      </c>
      <c r="B3" s="5" t="inlineStr">
        <is>
          <t>PX_OPEN</t>
        </is>
      </c>
      <c r="C3" s="5" t="inlineStr">
        <is>
          <t>PX_HIGH</t>
        </is>
      </c>
      <c r="D3" s="5" t="inlineStr">
        <is>
          <t>PX_LOW</t>
        </is>
      </c>
      <c r="E3" s="5" t="inlineStr">
        <is>
          <t>PX_LAST</t>
        </is>
      </c>
      <c r="F3" s="5" t="inlineStr">
        <is>
          <t>PX_SETTLE</t>
        </is>
      </c>
      <c r="G3" s="5" t="inlineStr">
        <is>
          <t>PX_VOLUME</t>
        </is>
      </c>
      <c r="H3" s="5" t="inlineStr">
        <is>
          <t>OPEN_INT</t>
        </is>
      </c>
      <c r="J3" s="5" t="inlineStr">
        <is>
          <t>Date</t>
        </is>
      </c>
      <c r="K3" s="5" t="inlineStr">
        <is>
          <t>PX_OPEN</t>
        </is>
      </c>
      <c r="L3" s="5" t="inlineStr">
        <is>
          <t>PX_HIGH</t>
        </is>
      </c>
      <c r="M3" s="5" t="inlineStr">
        <is>
          <t>PX_LOW</t>
        </is>
      </c>
      <c r="N3" s="5" t="inlineStr">
        <is>
          <t>PX_LAST</t>
        </is>
      </c>
      <c r="O3" s="5" t="inlineStr">
        <is>
          <t>PX_SETTLE</t>
        </is>
      </c>
      <c r="P3" s="5" t="inlineStr">
        <is>
          <t>PX_VOLUME</t>
        </is>
      </c>
      <c r="Q3" s="5" t="inlineStr">
        <is>
          <t>OPEN_INT</t>
        </is>
      </c>
      <c r="S3" s="5" t="inlineStr">
        <is>
          <t>Date</t>
        </is>
      </c>
      <c r="T3" s="5" t="inlineStr">
        <is>
          <t>PX_OPEN</t>
        </is>
      </c>
      <c r="U3" s="5" t="inlineStr">
        <is>
          <t>PX_HIGH</t>
        </is>
      </c>
      <c r="V3" s="5" t="inlineStr">
        <is>
          <t>PX_LOW</t>
        </is>
      </c>
      <c r="W3" s="5" t="inlineStr">
        <is>
          <t>PX_LAST</t>
        </is>
      </c>
      <c r="X3" s="5" t="inlineStr">
        <is>
          <t>PX_SETTLE</t>
        </is>
      </c>
      <c r="Y3" s="5" t="inlineStr">
        <is>
          <t>PX_VOLUME</t>
        </is>
      </c>
      <c r="Z3" s="5" t="inlineStr">
        <is>
          <t>OPEN_INT</t>
        </is>
      </c>
      <c r="AB3" s="5" t="inlineStr">
        <is>
          <t>Date</t>
        </is>
      </c>
      <c r="AC3" s="5" t="inlineStr">
        <is>
          <t>PX_OPEN</t>
        </is>
      </c>
      <c r="AD3" s="5" t="inlineStr">
        <is>
          <t>PX_HIGH</t>
        </is>
      </c>
      <c r="AE3" s="5" t="inlineStr">
        <is>
          <t>PX_LOW</t>
        </is>
      </c>
      <c r="AF3" s="5" t="inlineStr">
        <is>
          <t>PX_LAST</t>
        </is>
      </c>
      <c r="AG3" s="5" t="inlineStr">
        <is>
          <t>PX_SETTLE</t>
        </is>
      </c>
      <c r="AH3" s="5" t="inlineStr">
        <is>
          <t>PX_VOLUME</t>
        </is>
      </c>
      <c r="AI3" s="5" t="inlineStr">
        <is>
          <t>OPEN_INT</t>
        </is>
      </c>
      <c r="AK3" s="5" t="inlineStr">
        <is>
          <t>Date</t>
        </is>
      </c>
      <c r="AL3" s="5" t="inlineStr">
        <is>
          <t>PX_OPEN</t>
        </is>
      </c>
      <c r="AM3" s="5" t="inlineStr">
        <is>
          <t>PX_HIGH</t>
        </is>
      </c>
      <c r="AN3" s="5" t="inlineStr">
        <is>
          <t>PX_LOW</t>
        </is>
      </c>
      <c r="AO3" s="5" t="inlineStr">
        <is>
          <t>PX_LAST</t>
        </is>
      </c>
      <c r="AP3" s="5" t="inlineStr">
        <is>
          <t>PX_SETTLE</t>
        </is>
      </c>
      <c r="AQ3" s="5" t="inlineStr">
        <is>
          <t>PX_VOLUME</t>
        </is>
      </c>
      <c r="AR3" s="5" t="inlineStr">
        <is>
          <t>OPEN_INT</t>
        </is>
      </c>
      <c r="AT3" s="5" t="inlineStr">
        <is>
          <t>Date</t>
        </is>
      </c>
      <c r="AU3" s="5" t="inlineStr">
        <is>
          <t>PX_OPEN</t>
        </is>
      </c>
      <c r="AV3" s="5" t="inlineStr">
        <is>
          <t>PX_HIGH</t>
        </is>
      </c>
      <c r="AW3" s="5" t="inlineStr">
        <is>
          <t>PX_LOW</t>
        </is>
      </c>
      <c r="AX3" s="5" t="inlineStr">
        <is>
          <t>PX_LAST</t>
        </is>
      </c>
      <c r="AY3" s="5" t="inlineStr">
        <is>
          <t>PX_SETTLE</t>
        </is>
      </c>
      <c r="AZ3" s="5" t="inlineStr">
        <is>
          <t>PX_VOLUME</t>
        </is>
      </c>
      <c r="BA3" s="5" t="inlineStr">
        <is>
          <t>OPEN_INT</t>
        </is>
      </c>
      <c r="BC3" s="5" t="inlineStr">
        <is>
          <t>Date</t>
        </is>
      </c>
      <c r="BD3" s="5" t="inlineStr">
        <is>
          <t>PX_OPEN</t>
        </is>
      </c>
      <c r="BE3" s="5" t="inlineStr">
        <is>
          <t>PX_HIGH</t>
        </is>
      </c>
      <c r="BF3" s="5" t="inlineStr">
        <is>
          <t>PX_LOW</t>
        </is>
      </c>
      <c r="BG3" s="5" t="inlineStr">
        <is>
          <t>PX_LAST</t>
        </is>
      </c>
      <c r="BH3" s="5" t="inlineStr">
        <is>
          <t>PX_SETTLE</t>
        </is>
      </c>
      <c r="BI3" s="5" t="inlineStr">
        <is>
          <t>PX_VOLUME</t>
        </is>
      </c>
      <c r="BJ3" s="5" t="inlineStr">
        <is>
          <t>OPEN_INT</t>
        </is>
      </c>
      <c r="BL3" s="5" t="inlineStr">
        <is>
          <t>Date</t>
        </is>
      </c>
      <c r="BM3" s="5" t="inlineStr">
        <is>
          <t>PX_OPEN</t>
        </is>
      </c>
      <c r="BN3" s="5" t="inlineStr">
        <is>
          <t>PX_HIGH</t>
        </is>
      </c>
      <c r="BO3" s="5" t="inlineStr">
        <is>
          <t>PX_LOW</t>
        </is>
      </c>
      <c r="BP3" s="5" t="inlineStr">
        <is>
          <t>PX_LAST</t>
        </is>
      </c>
      <c r="BQ3" s="5" t="inlineStr">
        <is>
          <t>PX_SETTLE</t>
        </is>
      </c>
      <c r="BR3" s="5" t="inlineStr">
        <is>
          <t>PX_VOLUME</t>
        </is>
      </c>
      <c r="BS3" s="5" t="inlineStr">
        <is>
          <t>OPEN_INT</t>
        </is>
      </c>
      <c r="BU3" s="5" t="inlineStr">
        <is>
          <t>Date</t>
        </is>
      </c>
      <c r="BV3" s="5" t="inlineStr">
        <is>
          <t>PX_OPEN</t>
        </is>
      </c>
      <c r="BW3" s="5" t="inlineStr">
        <is>
          <t>PX_HIGH</t>
        </is>
      </c>
      <c r="BX3" s="5" t="inlineStr">
        <is>
          <t>PX_LOW</t>
        </is>
      </c>
      <c r="BY3" s="5" t="inlineStr">
        <is>
          <t>PX_LAST</t>
        </is>
      </c>
      <c r="BZ3" s="5" t="inlineStr">
        <is>
          <t>PX_SETTLE</t>
        </is>
      </c>
      <c r="CA3" s="5" t="inlineStr">
        <is>
          <t>PX_VOLUME</t>
        </is>
      </c>
      <c r="CB3" s="5" t="inlineStr">
        <is>
          <t>OPEN_INT</t>
        </is>
      </c>
      <c r="CD3" s="5" t="inlineStr">
        <is>
          <t>Date</t>
        </is>
      </c>
      <c r="CE3" s="5" t="inlineStr">
        <is>
          <t>PX_OPEN</t>
        </is>
      </c>
      <c r="CF3" s="5" t="inlineStr">
        <is>
          <t>PX_HIGH</t>
        </is>
      </c>
      <c r="CG3" s="5" t="inlineStr">
        <is>
          <t>PX_LOW</t>
        </is>
      </c>
      <c r="CH3" s="5" t="inlineStr">
        <is>
          <t>PX_LAST</t>
        </is>
      </c>
      <c r="CI3" s="5" t="inlineStr">
        <is>
          <t>PX_SETTLE</t>
        </is>
      </c>
      <c r="CJ3" s="5" t="inlineStr">
        <is>
          <t>PX_VOLUME</t>
        </is>
      </c>
      <c r="CK3" s="5" t="inlineStr">
        <is>
          <t>OPEN_INT</t>
        </is>
      </c>
      <c r="CM3" s="5" t="inlineStr">
        <is>
          <t>Date</t>
        </is>
      </c>
      <c r="CN3" s="5" t="inlineStr">
        <is>
          <t>PX_OPEN</t>
        </is>
      </c>
      <c r="CO3" s="5" t="inlineStr">
        <is>
          <t>PX_HIGH</t>
        </is>
      </c>
      <c r="CP3" s="5" t="inlineStr">
        <is>
          <t>PX_LOW</t>
        </is>
      </c>
      <c r="CQ3" s="5" t="inlineStr">
        <is>
          <t>PX_LAST</t>
        </is>
      </c>
      <c r="CR3" s="5" t="inlineStr">
        <is>
          <t>PX_SETTLE</t>
        </is>
      </c>
      <c r="CS3" s="5" t="inlineStr">
        <is>
          <t>PX_VOLUME</t>
        </is>
      </c>
      <c r="CT3" s="5" t="inlineStr">
        <is>
          <t>OPEN_INT</t>
        </is>
      </c>
      <c r="CV3" s="5" t="inlineStr">
        <is>
          <t>Date</t>
        </is>
      </c>
      <c r="CW3" s="5" t="inlineStr">
        <is>
          <t>PX_OPEN</t>
        </is>
      </c>
      <c r="CX3" s="5" t="inlineStr">
        <is>
          <t>PX_HIGH</t>
        </is>
      </c>
      <c r="CY3" s="5" t="inlineStr">
        <is>
          <t>PX_LOW</t>
        </is>
      </c>
      <c r="CZ3" s="5" t="inlineStr">
        <is>
          <t>PX_LAST</t>
        </is>
      </c>
      <c r="DA3" s="5" t="inlineStr">
        <is>
          <t>PX_SETTLE</t>
        </is>
      </c>
      <c r="DB3" s="5" t="inlineStr">
        <is>
          <t>PX_VOLUME</t>
        </is>
      </c>
      <c r="DC3" s="5" t="inlineStr">
        <is>
          <t>OPEN_INT</t>
        </is>
      </c>
    </row>
    <row r="4">
      <c r="A4" s="4">
        <f>BDH(A$1,B$3:H$3,Settings!$C$12,IF(Settings!$D$12="","",Settings!$D$12),"Dir=V","Dts=S","Sort=A","Days=T","Fill=B")</f>
        <v/>
      </c>
      <c r="J4" s="4">
        <f>BDH(J$1,K$3:Q$3,Settings!$C$12,IF(Settings!$D$12="","",Settings!$D$12),"Dir=V","Dts=S","Sort=A","Days=T","Fill=B")</f>
        <v/>
      </c>
      <c r="S4" s="4">
        <f>BDH(S$1,T$3:Z$3,Settings!$C$12,IF(Settings!$D$12="","",Settings!$D$12),"Dir=V","Dts=S","Sort=A","Days=T","Fill=B")</f>
        <v/>
      </c>
      <c r="AB4" s="4">
        <f>BDH(AB$1,AC$3:AI$3,Settings!$C$12,IF(Settings!$D$12="","",Settings!$D$12),"Dir=V","Dts=S","Sort=A","Days=T","Fill=B")</f>
        <v/>
      </c>
      <c r="AK4" s="4">
        <f>BDH(AK$1,AL$3:AR$3,Settings!$C$12,IF(Settings!$D$12="","",Settings!$D$12),"Dir=V","Dts=S","Sort=A","Days=T","Fill=B")</f>
        <v/>
      </c>
      <c r="AT4" s="4">
        <f>BDH(AT$1,AU$3:BA$3,Settings!$C$12,IF(Settings!$D$12="","",Settings!$D$12),"Dir=V","Dts=S","Sort=A","Days=T","Fill=B")</f>
        <v/>
      </c>
      <c r="BC4" s="4">
        <f>BDH(BC$1,BD$3:BJ$3,Settings!$C$12,IF(Settings!$D$12="","",Settings!$D$12),"Dir=V","Dts=S","Sort=A","Days=T","Fill=B")</f>
        <v/>
      </c>
      <c r="BL4" s="4">
        <f>BDH(BL$1,BM$3:BS$3,Settings!$C$12,IF(Settings!$D$12="","",Settings!$D$12),"Dir=V","Dts=S","Sort=A","Days=T","Fill=B")</f>
        <v/>
      </c>
      <c r="BU4" s="4">
        <f>BDH(BU$1,BV$3:CB$3,Settings!$C$12,IF(Settings!$D$12="","",Settings!$D$12),"Dir=V","Dts=S","Sort=A","Days=T","Fill=B")</f>
        <v/>
      </c>
      <c r="CD4" s="4">
        <f>BDH(CD$1,CE$3:CK$3,Settings!$C$12,IF(Settings!$D$12="","",Settings!$D$12),"Dir=V","Dts=S","Sort=A","Days=T","Fill=B")</f>
        <v/>
      </c>
      <c r="CM4" s="4">
        <f>BDH(CM$1,CN$3:CT$3,Settings!$C$12,IF(Settings!$D$12="","",Settings!$D$12),"Dir=V","Dts=S","Sort=A","Days=T","Fill=B")</f>
        <v/>
      </c>
      <c r="CV4" s="4">
        <f>BDH(CV$1,CW$3:DC$3,Settings!$C$12,IF(Settings!$D$12="","",Settings!$D$12),"Dir=V","Dts=S","Sort=A","Days=T","Fill=B")</f>
        <v/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C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1" customWidth="1" min="7" max="7"/>
    <col width="10" customWidth="1" min="8" max="8"/>
    <col width="12" customWidth="1" min="10" max="10"/>
    <col width="10" customWidth="1" min="11" max="11"/>
    <col width="10" customWidth="1" min="12" max="12"/>
    <col width="10" customWidth="1" min="13" max="13"/>
    <col width="10" customWidth="1" min="14" max="14"/>
    <col width="11" customWidth="1" min="15" max="15"/>
    <col width="11" customWidth="1" min="16" max="16"/>
    <col width="10" customWidth="1" min="17" max="17"/>
    <col width="12" customWidth="1" min="19" max="19"/>
    <col width="10" customWidth="1" min="20" max="20"/>
    <col width="10" customWidth="1" min="21" max="21"/>
    <col width="10" customWidth="1" min="22" max="22"/>
    <col width="10" customWidth="1" min="23" max="23"/>
    <col width="11" customWidth="1" min="24" max="24"/>
    <col width="11" customWidth="1" min="25" max="25"/>
    <col width="10" customWidth="1" min="26" max="26"/>
    <col width="12" customWidth="1" min="28" max="28"/>
    <col width="10" customWidth="1" min="29" max="29"/>
    <col width="10" customWidth="1" min="30" max="30"/>
    <col width="10" customWidth="1" min="31" max="31"/>
    <col width="10" customWidth="1" min="32" max="32"/>
    <col width="11" customWidth="1" min="33" max="33"/>
    <col width="11" customWidth="1" min="34" max="34"/>
    <col width="10" customWidth="1" min="35" max="35"/>
    <col width="12" customWidth="1" min="37" max="37"/>
    <col width="10" customWidth="1" min="38" max="38"/>
    <col width="10" customWidth="1" min="39" max="39"/>
    <col width="10" customWidth="1" min="40" max="40"/>
    <col width="10" customWidth="1" min="41" max="41"/>
    <col width="11" customWidth="1" min="42" max="42"/>
    <col width="11" customWidth="1" min="43" max="43"/>
    <col width="10" customWidth="1" min="44" max="44"/>
    <col width="12" customWidth="1" min="46" max="46"/>
    <col width="10" customWidth="1" min="47" max="47"/>
    <col width="10" customWidth="1" min="48" max="48"/>
    <col width="10" customWidth="1" min="49" max="49"/>
    <col width="10" customWidth="1" min="50" max="50"/>
    <col width="11" customWidth="1" min="51" max="51"/>
    <col width="11" customWidth="1" min="52" max="52"/>
    <col width="10" customWidth="1" min="53" max="53"/>
    <col width="12" customWidth="1" min="55" max="55"/>
    <col width="10" customWidth="1" min="56" max="56"/>
    <col width="10" customWidth="1" min="57" max="57"/>
    <col width="10" customWidth="1" min="58" max="58"/>
    <col width="10" customWidth="1" min="59" max="59"/>
    <col width="11" customWidth="1" min="60" max="60"/>
    <col width="11" customWidth="1" min="61" max="61"/>
    <col width="10" customWidth="1" min="62" max="62"/>
    <col width="12" customWidth="1" min="64" max="64"/>
    <col width="10" customWidth="1" min="65" max="65"/>
    <col width="10" customWidth="1" min="66" max="66"/>
    <col width="10" customWidth="1" min="67" max="67"/>
    <col width="10" customWidth="1" min="68" max="68"/>
    <col width="11" customWidth="1" min="69" max="69"/>
    <col width="11" customWidth="1" min="70" max="70"/>
    <col width="10" customWidth="1" min="71" max="71"/>
    <col width="12" customWidth="1" min="73" max="73"/>
    <col width="10" customWidth="1" min="74" max="74"/>
    <col width="10" customWidth="1" min="75" max="75"/>
    <col width="10" customWidth="1" min="76" max="76"/>
    <col width="10" customWidth="1" min="77" max="77"/>
    <col width="11" customWidth="1" min="78" max="78"/>
    <col width="11" customWidth="1" min="79" max="79"/>
    <col width="10" customWidth="1" min="80" max="80"/>
    <col width="12" customWidth="1" min="82" max="82"/>
    <col width="10" customWidth="1" min="83" max="83"/>
    <col width="10" customWidth="1" min="84" max="84"/>
    <col width="10" customWidth="1" min="85" max="85"/>
    <col width="10" customWidth="1" min="86" max="86"/>
    <col width="11" customWidth="1" min="87" max="87"/>
    <col width="11" customWidth="1" min="88" max="88"/>
    <col width="10" customWidth="1" min="89" max="89"/>
    <col width="12" customWidth="1" min="91" max="91"/>
    <col width="10" customWidth="1" min="92" max="92"/>
    <col width="10" customWidth="1" min="93" max="93"/>
    <col width="10" customWidth="1" min="94" max="94"/>
    <col width="10" customWidth="1" min="95" max="95"/>
    <col width="11" customWidth="1" min="96" max="96"/>
    <col width="11" customWidth="1" min="97" max="97"/>
    <col width="10" customWidth="1" min="98" max="98"/>
    <col width="12" customWidth="1" min="100" max="100"/>
    <col width="10" customWidth="1" min="101" max="101"/>
    <col width="10" customWidth="1" min="102" max="102"/>
    <col width="10" customWidth="1" min="103" max="103"/>
    <col width="10" customWidth="1" min="104" max="104"/>
    <col width="11" customWidth="1" min="105" max="105"/>
    <col width="11" customWidth="1" min="106" max="106"/>
    <col width="10" customWidth="1" min="107" max="107"/>
  </cols>
  <sheetData>
    <row r="1">
      <c r="A1" s="2">
        <f>IF(Settings!$B$12="Y","CLF"&amp;IF(A$2&lt;Settings!$B$3,"29","9")&amp;" Comdty","")</f>
        <v/>
      </c>
      <c r="J1" s="2">
        <f>IF(Settings!$B$12="Y","CLG"&amp;IF(J$2&lt;Settings!$B$3,"29","9")&amp;" Comdty","")</f>
        <v/>
      </c>
      <c r="S1" s="2">
        <f>IF(Settings!$B$12="Y","CLH"&amp;IF(S$2&lt;Settings!$B$3,"29","9")&amp;" Comdty","")</f>
        <v/>
      </c>
      <c r="AB1" s="2">
        <f>IF(Settings!$B$12="Y","CLJ"&amp;IF(AB$2&lt;Settings!$B$3,"29","9")&amp;" Comdty","")</f>
        <v/>
      </c>
      <c r="AK1" s="2">
        <f>IF(Settings!$B$12="Y","CLK"&amp;IF(AK$2&lt;Settings!$B$3,"29","9")&amp;" Comdty","")</f>
        <v/>
      </c>
      <c r="AT1" s="2">
        <f>IF(Settings!$B$12="Y","CLM"&amp;IF(AT$2&lt;Settings!$B$3,"29","9")&amp;" Comdty","")</f>
        <v/>
      </c>
      <c r="BC1" s="2">
        <f>IF(Settings!$B$12="Y","CLN"&amp;IF(BC$2&lt;Settings!$B$3,"29","9")&amp;" Comdty","")</f>
        <v/>
      </c>
      <c r="BL1" s="2">
        <f>IF(Settings!$B$12="Y","CLQ"&amp;IF(BL$2&lt;Settings!$B$3,"29","9")&amp;" Comdty","")</f>
        <v/>
      </c>
      <c r="BU1" s="2">
        <f>IF(Settings!$B$12="Y","CLU"&amp;IF(BU$2&lt;Settings!$B$3,"29","9")&amp;" Comdty","")</f>
        <v/>
      </c>
      <c r="CD1" s="2">
        <f>IF(Settings!$B$12="Y","CLV"&amp;IF(CD$2&lt;Settings!$B$3,"29","9")&amp;" Comdty","")</f>
        <v/>
      </c>
      <c r="CM1" s="2">
        <f>IF(Settings!$B$12="Y","CLX"&amp;IF(CM$2&lt;Settings!$B$3,"29","9")&amp;" Comdty","")</f>
        <v/>
      </c>
      <c r="CV1" s="2">
        <f>IF(Settings!$B$12="Y","CLZ"&amp;IF(CV$2&lt;Settings!$B$3,"29","9")&amp;" Comdty","")</f>
        <v/>
      </c>
    </row>
    <row r="2">
      <c r="A2" s="8">
        <f>WORKDAY(DATE(2029,1-1,25),-3)</f>
        <v/>
      </c>
      <c r="B2" s="8">
        <f>IF(A$1="","",BDP(A$1,"LAST_TRADEABLE_DT"))</f>
        <v/>
      </c>
      <c r="J2" s="8">
        <f>WORKDAY(DATE(2029,2-1,25),-3)</f>
        <v/>
      </c>
      <c r="K2" s="8">
        <f>IF(J$1="","",BDP(J$1,"LAST_TRADEABLE_DT"))</f>
        <v/>
      </c>
      <c r="S2" s="8">
        <f>WORKDAY(DATE(2029,3-1,25),-3)</f>
        <v/>
      </c>
      <c r="T2" s="8">
        <f>IF(S$1="","",BDP(S$1,"LAST_TRADEABLE_DT"))</f>
        <v/>
      </c>
      <c r="AB2" s="8">
        <f>WORKDAY(DATE(2029,4-1,25),-3)</f>
        <v/>
      </c>
      <c r="AC2" s="8">
        <f>IF(AB$1="","",BDP(AB$1,"LAST_TRADEABLE_DT"))</f>
        <v/>
      </c>
      <c r="AK2" s="8">
        <f>WORKDAY(DATE(2029,5-1,25),-3)</f>
        <v/>
      </c>
      <c r="AL2" s="8">
        <f>IF(AK$1="","",BDP(AK$1,"LAST_TRADEABLE_DT"))</f>
        <v/>
      </c>
      <c r="AT2" s="8">
        <f>WORKDAY(DATE(2029,6-1,25),-3)</f>
        <v/>
      </c>
      <c r="AU2" s="8">
        <f>IF(AT$1="","",BDP(AT$1,"LAST_TRADEABLE_DT"))</f>
        <v/>
      </c>
      <c r="BC2" s="8">
        <f>WORKDAY(DATE(2029,7-1,25),-3)</f>
        <v/>
      </c>
      <c r="BD2" s="8">
        <f>IF(BC$1="","",BDP(BC$1,"LAST_TRADEABLE_DT"))</f>
        <v/>
      </c>
      <c r="BL2" s="8">
        <f>WORKDAY(DATE(2029,8-1,25),-3)</f>
        <v/>
      </c>
      <c r="BM2" s="8">
        <f>IF(BL$1="","",BDP(BL$1,"LAST_TRADEABLE_DT"))</f>
        <v/>
      </c>
      <c r="BU2" s="8">
        <f>WORKDAY(DATE(2029,9-1,25),-3)</f>
        <v/>
      </c>
      <c r="BV2" s="8">
        <f>IF(BU$1="","",BDP(BU$1,"LAST_TRADEABLE_DT"))</f>
        <v/>
      </c>
      <c r="CD2" s="8">
        <f>WORKDAY(DATE(2029,10-1,25),-3)</f>
        <v/>
      </c>
      <c r="CE2" s="8">
        <f>IF(CD$1="","",BDP(CD$1,"LAST_TRADEABLE_DT"))</f>
        <v/>
      </c>
      <c r="CM2" s="8">
        <f>WORKDAY(DATE(2029,11-1,25),-3)</f>
        <v/>
      </c>
      <c r="CN2" s="8">
        <f>IF(CM$1="","",BDP(CM$1,"LAST_TRADEABLE_DT"))</f>
        <v/>
      </c>
      <c r="CV2" s="8">
        <f>WORKDAY(DATE(2029,12-1,25),-3)</f>
        <v/>
      </c>
      <c r="CW2" s="8">
        <f>IF(CV$1="","",BDP(CV$1,"LAST_TRADEABLE_DT"))</f>
        <v/>
      </c>
    </row>
    <row r="3">
      <c r="A3" s="5" t="inlineStr">
        <is>
          <t>Date</t>
        </is>
      </c>
      <c r="B3" s="5" t="inlineStr">
        <is>
          <t>PX_OPEN</t>
        </is>
      </c>
      <c r="C3" s="5" t="inlineStr">
        <is>
          <t>PX_HIGH</t>
        </is>
      </c>
      <c r="D3" s="5" t="inlineStr">
        <is>
          <t>PX_LOW</t>
        </is>
      </c>
      <c r="E3" s="5" t="inlineStr">
        <is>
          <t>PX_LAST</t>
        </is>
      </c>
      <c r="F3" s="5" t="inlineStr">
        <is>
          <t>PX_SETTLE</t>
        </is>
      </c>
      <c r="G3" s="5" t="inlineStr">
        <is>
          <t>PX_VOLUME</t>
        </is>
      </c>
      <c r="H3" s="5" t="inlineStr">
        <is>
          <t>OPEN_INT</t>
        </is>
      </c>
      <c r="J3" s="5" t="inlineStr">
        <is>
          <t>Date</t>
        </is>
      </c>
      <c r="K3" s="5" t="inlineStr">
        <is>
          <t>PX_OPEN</t>
        </is>
      </c>
      <c r="L3" s="5" t="inlineStr">
        <is>
          <t>PX_HIGH</t>
        </is>
      </c>
      <c r="M3" s="5" t="inlineStr">
        <is>
          <t>PX_LOW</t>
        </is>
      </c>
      <c r="N3" s="5" t="inlineStr">
        <is>
          <t>PX_LAST</t>
        </is>
      </c>
      <c r="O3" s="5" t="inlineStr">
        <is>
          <t>PX_SETTLE</t>
        </is>
      </c>
      <c r="P3" s="5" t="inlineStr">
        <is>
          <t>PX_VOLUME</t>
        </is>
      </c>
      <c r="Q3" s="5" t="inlineStr">
        <is>
          <t>OPEN_INT</t>
        </is>
      </c>
      <c r="S3" s="5" t="inlineStr">
        <is>
          <t>Date</t>
        </is>
      </c>
      <c r="T3" s="5" t="inlineStr">
        <is>
          <t>PX_OPEN</t>
        </is>
      </c>
      <c r="U3" s="5" t="inlineStr">
        <is>
          <t>PX_HIGH</t>
        </is>
      </c>
      <c r="V3" s="5" t="inlineStr">
        <is>
          <t>PX_LOW</t>
        </is>
      </c>
      <c r="W3" s="5" t="inlineStr">
        <is>
          <t>PX_LAST</t>
        </is>
      </c>
      <c r="X3" s="5" t="inlineStr">
        <is>
          <t>PX_SETTLE</t>
        </is>
      </c>
      <c r="Y3" s="5" t="inlineStr">
        <is>
          <t>PX_VOLUME</t>
        </is>
      </c>
      <c r="Z3" s="5" t="inlineStr">
        <is>
          <t>OPEN_INT</t>
        </is>
      </c>
      <c r="AB3" s="5" t="inlineStr">
        <is>
          <t>Date</t>
        </is>
      </c>
      <c r="AC3" s="5" t="inlineStr">
        <is>
          <t>PX_OPEN</t>
        </is>
      </c>
      <c r="AD3" s="5" t="inlineStr">
        <is>
          <t>PX_HIGH</t>
        </is>
      </c>
      <c r="AE3" s="5" t="inlineStr">
        <is>
          <t>PX_LOW</t>
        </is>
      </c>
      <c r="AF3" s="5" t="inlineStr">
        <is>
          <t>PX_LAST</t>
        </is>
      </c>
      <c r="AG3" s="5" t="inlineStr">
        <is>
          <t>PX_SETTLE</t>
        </is>
      </c>
      <c r="AH3" s="5" t="inlineStr">
        <is>
          <t>PX_VOLUME</t>
        </is>
      </c>
      <c r="AI3" s="5" t="inlineStr">
        <is>
          <t>OPEN_INT</t>
        </is>
      </c>
      <c r="AK3" s="5" t="inlineStr">
        <is>
          <t>Date</t>
        </is>
      </c>
      <c r="AL3" s="5" t="inlineStr">
        <is>
          <t>PX_OPEN</t>
        </is>
      </c>
      <c r="AM3" s="5" t="inlineStr">
        <is>
          <t>PX_HIGH</t>
        </is>
      </c>
      <c r="AN3" s="5" t="inlineStr">
        <is>
          <t>PX_LOW</t>
        </is>
      </c>
      <c r="AO3" s="5" t="inlineStr">
        <is>
          <t>PX_LAST</t>
        </is>
      </c>
      <c r="AP3" s="5" t="inlineStr">
        <is>
          <t>PX_SETTLE</t>
        </is>
      </c>
      <c r="AQ3" s="5" t="inlineStr">
        <is>
          <t>PX_VOLUME</t>
        </is>
      </c>
      <c r="AR3" s="5" t="inlineStr">
        <is>
          <t>OPEN_INT</t>
        </is>
      </c>
      <c r="AT3" s="5" t="inlineStr">
        <is>
          <t>Date</t>
        </is>
      </c>
      <c r="AU3" s="5" t="inlineStr">
        <is>
          <t>PX_OPEN</t>
        </is>
      </c>
      <c r="AV3" s="5" t="inlineStr">
        <is>
          <t>PX_HIGH</t>
        </is>
      </c>
      <c r="AW3" s="5" t="inlineStr">
        <is>
          <t>PX_LOW</t>
        </is>
      </c>
      <c r="AX3" s="5" t="inlineStr">
        <is>
          <t>PX_LAST</t>
        </is>
      </c>
      <c r="AY3" s="5" t="inlineStr">
        <is>
          <t>PX_SETTLE</t>
        </is>
      </c>
      <c r="AZ3" s="5" t="inlineStr">
        <is>
          <t>PX_VOLUME</t>
        </is>
      </c>
      <c r="BA3" s="5" t="inlineStr">
        <is>
          <t>OPEN_INT</t>
        </is>
      </c>
      <c r="BC3" s="5" t="inlineStr">
        <is>
          <t>Date</t>
        </is>
      </c>
      <c r="BD3" s="5" t="inlineStr">
        <is>
          <t>PX_OPEN</t>
        </is>
      </c>
      <c r="BE3" s="5" t="inlineStr">
        <is>
          <t>PX_HIGH</t>
        </is>
      </c>
      <c r="BF3" s="5" t="inlineStr">
        <is>
          <t>PX_LOW</t>
        </is>
      </c>
      <c r="BG3" s="5" t="inlineStr">
        <is>
          <t>PX_LAST</t>
        </is>
      </c>
      <c r="BH3" s="5" t="inlineStr">
        <is>
          <t>PX_SETTLE</t>
        </is>
      </c>
      <c r="BI3" s="5" t="inlineStr">
        <is>
          <t>PX_VOLUME</t>
        </is>
      </c>
      <c r="BJ3" s="5" t="inlineStr">
        <is>
          <t>OPEN_INT</t>
        </is>
      </c>
      <c r="BL3" s="5" t="inlineStr">
        <is>
          <t>Date</t>
        </is>
      </c>
      <c r="BM3" s="5" t="inlineStr">
        <is>
          <t>PX_OPEN</t>
        </is>
      </c>
      <c r="BN3" s="5" t="inlineStr">
        <is>
          <t>PX_HIGH</t>
        </is>
      </c>
      <c r="BO3" s="5" t="inlineStr">
        <is>
          <t>PX_LOW</t>
        </is>
      </c>
      <c r="BP3" s="5" t="inlineStr">
        <is>
          <t>PX_LAST</t>
        </is>
      </c>
      <c r="BQ3" s="5" t="inlineStr">
        <is>
          <t>PX_SETTLE</t>
        </is>
      </c>
      <c r="BR3" s="5" t="inlineStr">
        <is>
          <t>PX_VOLUME</t>
        </is>
      </c>
      <c r="BS3" s="5" t="inlineStr">
        <is>
          <t>OPEN_INT</t>
        </is>
      </c>
      <c r="BU3" s="5" t="inlineStr">
        <is>
          <t>Date</t>
        </is>
      </c>
      <c r="BV3" s="5" t="inlineStr">
        <is>
          <t>PX_OPEN</t>
        </is>
      </c>
      <c r="BW3" s="5" t="inlineStr">
        <is>
          <t>PX_HIGH</t>
        </is>
      </c>
      <c r="BX3" s="5" t="inlineStr">
        <is>
          <t>PX_LOW</t>
        </is>
      </c>
      <c r="BY3" s="5" t="inlineStr">
        <is>
          <t>PX_LAST</t>
        </is>
      </c>
      <c r="BZ3" s="5" t="inlineStr">
        <is>
          <t>PX_SETTLE</t>
        </is>
      </c>
      <c r="CA3" s="5" t="inlineStr">
        <is>
          <t>PX_VOLUME</t>
        </is>
      </c>
      <c r="CB3" s="5" t="inlineStr">
        <is>
          <t>OPEN_INT</t>
        </is>
      </c>
      <c r="CD3" s="5" t="inlineStr">
        <is>
          <t>Date</t>
        </is>
      </c>
      <c r="CE3" s="5" t="inlineStr">
        <is>
          <t>PX_OPEN</t>
        </is>
      </c>
      <c r="CF3" s="5" t="inlineStr">
        <is>
          <t>PX_HIGH</t>
        </is>
      </c>
      <c r="CG3" s="5" t="inlineStr">
        <is>
          <t>PX_LOW</t>
        </is>
      </c>
      <c r="CH3" s="5" t="inlineStr">
        <is>
          <t>PX_LAST</t>
        </is>
      </c>
      <c r="CI3" s="5" t="inlineStr">
        <is>
          <t>PX_SETTLE</t>
        </is>
      </c>
      <c r="CJ3" s="5" t="inlineStr">
        <is>
          <t>PX_VOLUME</t>
        </is>
      </c>
      <c r="CK3" s="5" t="inlineStr">
        <is>
          <t>OPEN_INT</t>
        </is>
      </c>
      <c r="CM3" s="5" t="inlineStr">
        <is>
          <t>Date</t>
        </is>
      </c>
      <c r="CN3" s="5" t="inlineStr">
        <is>
          <t>PX_OPEN</t>
        </is>
      </c>
      <c r="CO3" s="5" t="inlineStr">
        <is>
          <t>PX_HIGH</t>
        </is>
      </c>
      <c r="CP3" s="5" t="inlineStr">
        <is>
          <t>PX_LOW</t>
        </is>
      </c>
      <c r="CQ3" s="5" t="inlineStr">
        <is>
          <t>PX_LAST</t>
        </is>
      </c>
      <c r="CR3" s="5" t="inlineStr">
        <is>
          <t>PX_SETTLE</t>
        </is>
      </c>
      <c r="CS3" s="5" t="inlineStr">
        <is>
          <t>PX_VOLUME</t>
        </is>
      </c>
      <c r="CT3" s="5" t="inlineStr">
        <is>
          <t>OPEN_INT</t>
        </is>
      </c>
      <c r="CV3" s="5" t="inlineStr">
        <is>
          <t>Date</t>
        </is>
      </c>
      <c r="CW3" s="5" t="inlineStr">
        <is>
          <t>PX_OPEN</t>
        </is>
      </c>
      <c r="CX3" s="5" t="inlineStr">
        <is>
          <t>PX_HIGH</t>
        </is>
      </c>
      <c r="CY3" s="5" t="inlineStr">
        <is>
          <t>PX_LOW</t>
        </is>
      </c>
      <c r="CZ3" s="5" t="inlineStr">
        <is>
          <t>PX_LAST</t>
        </is>
      </c>
      <c r="DA3" s="5" t="inlineStr">
        <is>
          <t>PX_SETTLE</t>
        </is>
      </c>
      <c r="DB3" s="5" t="inlineStr">
        <is>
          <t>PX_VOLUME</t>
        </is>
      </c>
      <c r="DC3" s="5" t="inlineStr">
        <is>
          <t>OPEN_INT</t>
        </is>
      </c>
    </row>
    <row r="4">
      <c r="A4" s="4">
        <f>BDH(A$1,B$3:H$3,Settings!$C$12,IF(Settings!$D$12="","",Settings!$D$12),"Dir=V","Dts=S","Sort=A","Days=T","Fill=B")</f>
        <v/>
      </c>
      <c r="J4" s="4">
        <f>BDH(J$1,K$3:Q$3,Settings!$C$12,IF(Settings!$D$12="","",Settings!$D$12),"Dir=V","Dts=S","Sort=A","Days=T","Fill=B")</f>
        <v/>
      </c>
      <c r="S4" s="4">
        <f>BDH(S$1,T$3:Z$3,Settings!$C$12,IF(Settings!$D$12="","",Settings!$D$12),"Dir=V","Dts=S","Sort=A","Days=T","Fill=B")</f>
        <v/>
      </c>
      <c r="AB4" s="4">
        <f>BDH(AB$1,AC$3:AI$3,Settings!$C$12,IF(Settings!$D$12="","",Settings!$D$12),"Dir=V","Dts=S","Sort=A","Days=T","Fill=B")</f>
        <v/>
      </c>
      <c r="AK4" s="4">
        <f>BDH(AK$1,AL$3:AR$3,Settings!$C$12,IF(Settings!$D$12="","",Settings!$D$12),"Dir=V","Dts=S","Sort=A","Days=T","Fill=B")</f>
        <v/>
      </c>
      <c r="AT4" s="4">
        <f>BDH(AT$1,AU$3:BA$3,Settings!$C$12,IF(Settings!$D$12="","",Settings!$D$12),"Dir=V","Dts=S","Sort=A","Days=T","Fill=B")</f>
        <v/>
      </c>
      <c r="BC4" s="4">
        <f>BDH(BC$1,BD$3:BJ$3,Settings!$C$12,IF(Settings!$D$12="","",Settings!$D$12),"Dir=V","Dts=S","Sort=A","Days=T","Fill=B")</f>
        <v/>
      </c>
      <c r="BL4" s="4">
        <f>BDH(BL$1,BM$3:BS$3,Settings!$C$12,IF(Settings!$D$12="","",Settings!$D$12),"Dir=V","Dts=S","Sort=A","Days=T","Fill=B")</f>
        <v/>
      </c>
      <c r="BU4" s="4">
        <f>BDH(BU$1,BV$3:CB$3,Settings!$C$12,IF(Settings!$D$12="","",Settings!$D$12),"Dir=V","Dts=S","Sort=A","Days=T","Fill=B")</f>
        <v/>
      </c>
      <c r="CD4" s="4">
        <f>BDH(CD$1,CE$3:CK$3,Settings!$C$12,IF(Settings!$D$12="","",Settings!$D$12),"Dir=V","Dts=S","Sort=A","Days=T","Fill=B")</f>
        <v/>
      </c>
      <c r="CM4" s="4">
        <f>BDH(CM$1,CN$3:CT$3,Settings!$C$12,IF(Settings!$D$12="","",Settings!$D$12),"Dir=V","Dts=S","Sort=A","Days=T","Fill=B")</f>
        <v/>
      </c>
      <c r="CV4" s="4">
        <f>BDH(CV$1,CW$3:DC$3,Settings!$C$12,IF(Settings!$D$12="","",Settings!$D$12),"Dir=V","Dts=S","Sort=A","Days=T","Fill=B")</f>
        <v/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C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1" customWidth="1" min="7" max="7"/>
    <col width="10" customWidth="1" min="8" max="8"/>
    <col width="12" customWidth="1" min="10" max="10"/>
    <col width="10" customWidth="1" min="11" max="11"/>
    <col width="10" customWidth="1" min="12" max="12"/>
    <col width="10" customWidth="1" min="13" max="13"/>
    <col width="10" customWidth="1" min="14" max="14"/>
    <col width="11" customWidth="1" min="15" max="15"/>
    <col width="11" customWidth="1" min="16" max="16"/>
    <col width="10" customWidth="1" min="17" max="17"/>
    <col width="12" customWidth="1" min="19" max="19"/>
    <col width="10" customWidth="1" min="20" max="20"/>
    <col width="10" customWidth="1" min="21" max="21"/>
    <col width="10" customWidth="1" min="22" max="22"/>
    <col width="10" customWidth="1" min="23" max="23"/>
    <col width="11" customWidth="1" min="24" max="24"/>
    <col width="11" customWidth="1" min="25" max="25"/>
    <col width="10" customWidth="1" min="26" max="26"/>
    <col width="12" customWidth="1" min="28" max="28"/>
    <col width="10" customWidth="1" min="29" max="29"/>
    <col width="10" customWidth="1" min="30" max="30"/>
    <col width="10" customWidth="1" min="31" max="31"/>
    <col width="10" customWidth="1" min="32" max="32"/>
    <col width="11" customWidth="1" min="33" max="33"/>
    <col width="11" customWidth="1" min="34" max="34"/>
    <col width="10" customWidth="1" min="35" max="35"/>
    <col width="12" customWidth="1" min="37" max="37"/>
    <col width="10" customWidth="1" min="38" max="38"/>
    <col width="10" customWidth="1" min="39" max="39"/>
    <col width="10" customWidth="1" min="40" max="40"/>
    <col width="10" customWidth="1" min="41" max="41"/>
    <col width="11" customWidth="1" min="42" max="42"/>
    <col width="11" customWidth="1" min="43" max="43"/>
    <col width="10" customWidth="1" min="44" max="44"/>
    <col width="12" customWidth="1" min="46" max="46"/>
    <col width="10" customWidth="1" min="47" max="47"/>
    <col width="10" customWidth="1" min="48" max="48"/>
    <col width="10" customWidth="1" min="49" max="49"/>
    <col width="10" customWidth="1" min="50" max="50"/>
    <col width="11" customWidth="1" min="51" max="51"/>
    <col width="11" customWidth="1" min="52" max="52"/>
    <col width="10" customWidth="1" min="53" max="53"/>
    <col width="12" customWidth="1" min="55" max="55"/>
    <col width="10" customWidth="1" min="56" max="56"/>
    <col width="10" customWidth="1" min="57" max="57"/>
    <col width="10" customWidth="1" min="58" max="58"/>
    <col width="10" customWidth="1" min="59" max="59"/>
    <col width="11" customWidth="1" min="60" max="60"/>
    <col width="11" customWidth="1" min="61" max="61"/>
    <col width="10" customWidth="1" min="62" max="62"/>
    <col width="12" customWidth="1" min="64" max="64"/>
    <col width="10" customWidth="1" min="65" max="65"/>
    <col width="10" customWidth="1" min="66" max="66"/>
    <col width="10" customWidth="1" min="67" max="67"/>
    <col width="10" customWidth="1" min="68" max="68"/>
    <col width="11" customWidth="1" min="69" max="69"/>
    <col width="11" customWidth="1" min="70" max="70"/>
    <col width="10" customWidth="1" min="71" max="71"/>
    <col width="12" customWidth="1" min="73" max="73"/>
    <col width="10" customWidth="1" min="74" max="74"/>
    <col width="10" customWidth="1" min="75" max="75"/>
    <col width="10" customWidth="1" min="76" max="76"/>
    <col width="10" customWidth="1" min="77" max="77"/>
    <col width="11" customWidth="1" min="78" max="78"/>
    <col width="11" customWidth="1" min="79" max="79"/>
    <col width="10" customWidth="1" min="80" max="80"/>
    <col width="12" customWidth="1" min="82" max="82"/>
    <col width="10" customWidth="1" min="83" max="83"/>
    <col width="10" customWidth="1" min="84" max="84"/>
    <col width="10" customWidth="1" min="85" max="85"/>
    <col width="10" customWidth="1" min="86" max="86"/>
    <col width="11" customWidth="1" min="87" max="87"/>
    <col width="11" customWidth="1" min="88" max="88"/>
    <col width="10" customWidth="1" min="89" max="89"/>
    <col width="12" customWidth="1" min="91" max="91"/>
    <col width="10" customWidth="1" min="92" max="92"/>
    <col width="10" customWidth="1" min="93" max="93"/>
    <col width="10" customWidth="1" min="94" max="94"/>
    <col width="10" customWidth="1" min="95" max="95"/>
    <col width="11" customWidth="1" min="96" max="96"/>
    <col width="11" customWidth="1" min="97" max="97"/>
    <col width="10" customWidth="1" min="98" max="98"/>
    <col width="12" customWidth="1" min="100" max="100"/>
    <col width="10" customWidth="1" min="101" max="101"/>
    <col width="10" customWidth="1" min="102" max="102"/>
    <col width="10" customWidth="1" min="103" max="103"/>
    <col width="10" customWidth="1" min="104" max="104"/>
    <col width="11" customWidth="1" min="105" max="105"/>
    <col width="11" customWidth="1" min="106" max="106"/>
    <col width="10" customWidth="1" min="107" max="107"/>
  </cols>
  <sheetData>
    <row r="1">
      <c r="A1" s="2">
        <f>IF(Settings!$B$13="Y","COF"&amp;IF(A$2&lt;Settings!$B$3,"16","6")&amp;" Comdty","")</f>
        <v/>
      </c>
      <c r="J1" s="2">
        <f>IF(Settings!$B$13="Y","COG"&amp;IF(J$2&lt;Settings!$B$3,"16","6")&amp;" Comdty","")</f>
        <v/>
      </c>
      <c r="S1" s="2">
        <f>IF(Settings!$B$13="Y","COH"&amp;IF(S$2&lt;Settings!$B$3,"16","6")&amp;" Comdty","")</f>
        <v/>
      </c>
      <c r="AB1" s="2">
        <f>IF(Settings!$B$13="Y","COJ"&amp;IF(AB$2&lt;Settings!$B$3,"16","6")&amp;" Comdty","")</f>
        <v/>
      </c>
      <c r="AK1" s="2">
        <f>IF(Settings!$B$13="Y","COK"&amp;IF(AK$2&lt;Settings!$B$3,"16","6")&amp;" Comdty","")</f>
        <v/>
      </c>
      <c r="AT1" s="2">
        <f>IF(Settings!$B$13="Y","COM"&amp;IF(AT$2&lt;Settings!$B$3,"16","6")&amp;" Comdty","")</f>
        <v/>
      </c>
      <c r="BC1" s="2">
        <f>IF(Settings!$B$13="Y","CON"&amp;IF(BC$2&lt;Settings!$B$3,"16","6")&amp;" Comdty","")</f>
        <v/>
      </c>
      <c r="BL1" s="2">
        <f>IF(Settings!$B$13="Y","COQ"&amp;IF(BL$2&lt;Settings!$B$3,"16","6")&amp;" Comdty","")</f>
        <v/>
      </c>
      <c r="BU1" s="2">
        <f>IF(Settings!$B$13="Y","COU"&amp;IF(BU$2&lt;Settings!$B$3,"16","6")&amp;" Comdty","")</f>
        <v/>
      </c>
      <c r="CD1" s="2">
        <f>IF(Settings!$B$13="Y","COV"&amp;IF(CD$2&lt;Settings!$B$3,"16","6")&amp;" Comdty","")</f>
        <v/>
      </c>
      <c r="CM1" s="2">
        <f>IF(Settings!$B$13="Y","COX"&amp;IF(CM$2&lt;Settings!$B$3,"16","6")&amp;" Comdty","")</f>
        <v/>
      </c>
      <c r="CV1" s="2">
        <f>IF(Settings!$B$13="Y","COZ"&amp;IF(CV$2&lt;Settings!$B$3,"16","6")&amp;" Comdty","")</f>
        <v/>
      </c>
    </row>
    <row r="2">
      <c r="A2" s="8">
        <f>WORKDAY(DATE(2016,1-1,1),-1)</f>
        <v/>
      </c>
      <c r="B2" s="8">
        <f>IF(A$1="","",BDP(A$1,"LAST_TRADEABLE_DT"))</f>
        <v/>
      </c>
      <c r="J2" s="8">
        <f>WORKDAY(DATE(2016,2-1,1),-1)</f>
        <v/>
      </c>
      <c r="K2" s="8">
        <f>IF(J$1="","",BDP(J$1,"LAST_TRADEABLE_DT"))</f>
        <v/>
      </c>
      <c r="S2" s="8">
        <f>WORKDAY(DATE(2016,3-1,1),-1)</f>
        <v/>
      </c>
      <c r="T2" s="8">
        <f>IF(S$1="","",BDP(S$1,"LAST_TRADEABLE_DT"))</f>
        <v/>
      </c>
      <c r="AB2" s="8">
        <f>WORKDAY(DATE(2016,4-1,1),-1)</f>
        <v/>
      </c>
      <c r="AC2" s="8">
        <f>IF(AB$1="","",BDP(AB$1,"LAST_TRADEABLE_DT"))</f>
        <v/>
      </c>
      <c r="AK2" s="8">
        <f>WORKDAY(DATE(2016,5-1,1),-1)</f>
        <v/>
      </c>
      <c r="AL2" s="8">
        <f>IF(AK$1="","",BDP(AK$1,"LAST_TRADEABLE_DT"))</f>
        <v/>
      </c>
      <c r="AT2" s="8">
        <f>WORKDAY(DATE(2016,6-1,1),-1)</f>
        <v/>
      </c>
      <c r="AU2" s="8">
        <f>IF(AT$1="","",BDP(AT$1,"LAST_TRADEABLE_DT"))</f>
        <v/>
      </c>
      <c r="BC2" s="8">
        <f>WORKDAY(DATE(2016,7-1,1),-1)</f>
        <v/>
      </c>
      <c r="BD2" s="8">
        <f>IF(BC$1="","",BDP(BC$1,"LAST_TRADEABLE_DT"))</f>
        <v/>
      </c>
      <c r="BL2" s="8">
        <f>WORKDAY(DATE(2016,8-1,1),-1)</f>
        <v/>
      </c>
      <c r="BM2" s="8">
        <f>IF(BL$1="","",BDP(BL$1,"LAST_TRADEABLE_DT"))</f>
        <v/>
      </c>
      <c r="BU2" s="8">
        <f>WORKDAY(DATE(2016,9-1,1),-1)</f>
        <v/>
      </c>
      <c r="BV2" s="8">
        <f>IF(BU$1="","",BDP(BU$1,"LAST_TRADEABLE_DT"))</f>
        <v/>
      </c>
      <c r="CD2" s="8">
        <f>WORKDAY(DATE(2016,10-1,1),-1)</f>
        <v/>
      </c>
      <c r="CE2" s="8">
        <f>IF(CD$1="","",BDP(CD$1,"LAST_TRADEABLE_DT"))</f>
        <v/>
      </c>
      <c r="CM2" s="8">
        <f>WORKDAY(DATE(2016,11-1,1),-1)</f>
        <v/>
      </c>
      <c r="CN2" s="8">
        <f>IF(CM$1="","",BDP(CM$1,"LAST_TRADEABLE_DT"))</f>
        <v/>
      </c>
      <c r="CV2" s="8">
        <f>WORKDAY(DATE(2016,12-1,1),-1)</f>
        <v/>
      </c>
      <c r="CW2" s="8">
        <f>IF(CV$1="","",BDP(CV$1,"LAST_TRADEABLE_DT"))</f>
        <v/>
      </c>
    </row>
    <row r="3">
      <c r="A3" s="5" t="inlineStr">
        <is>
          <t>Date</t>
        </is>
      </c>
      <c r="B3" s="5" t="inlineStr">
        <is>
          <t>PX_OPEN</t>
        </is>
      </c>
      <c r="C3" s="5" t="inlineStr">
        <is>
          <t>PX_HIGH</t>
        </is>
      </c>
      <c r="D3" s="5" t="inlineStr">
        <is>
          <t>PX_LOW</t>
        </is>
      </c>
      <c r="E3" s="5" t="inlineStr">
        <is>
          <t>PX_LAST</t>
        </is>
      </c>
      <c r="F3" s="5" t="inlineStr">
        <is>
          <t>PX_SETTLE</t>
        </is>
      </c>
      <c r="G3" s="5" t="inlineStr">
        <is>
          <t>PX_VOLUME</t>
        </is>
      </c>
      <c r="H3" s="5" t="inlineStr">
        <is>
          <t>OPEN_INT</t>
        </is>
      </c>
      <c r="J3" s="5" t="inlineStr">
        <is>
          <t>Date</t>
        </is>
      </c>
      <c r="K3" s="5" t="inlineStr">
        <is>
          <t>PX_OPEN</t>
        </is>
      </c>
      <c r="L3" s="5" t="inlineStr">
        <is>
          <t>PX_HIGH</t>
        </is>
      </c>
      <c r="M3" s="5" t="inlineStr">
        <is>
          <t>PX_LOW</t>
        </is>
      </c>
      <c r="N3" s="5" t="inlineStr">
        <is>
          <t>PX_LAST</t>
        </is>
      </c>
      <c r="O3" s="5" t="inlineStr">
        <is>
          <t>PX_SETTLE</t>
        </is>
      </c>
      <c r="P3" s="5" t="inlineStr">
        <is>
          <t>PX_VOLUME</t>
        </is>
      </c>
      <c r="Q3" s="5" t="inlineStr">
        <is>
          <t>OPEN_INT</t>
        </is>
      </c>
      <c r="S3" s="5" t="inlineStr">
        <is>
          <t>Date</t>
        </is>
      </c>
      <c r="T3" s="5" t="inlineStr">
        <is>
          <t>PX_OPEN</t>
        </is>
      </c>
      <c r="U3" s="5" t="inlineStr">
        <is>
          <t>PX_HIGH</t>
        </is>
      </c>
      <c r="V3" s="5" t="inlineStr">
        <is>
          <t>PX_LOW</t>
        </is>
      </c>
      <c r="W3" s="5" t="inlineStr">
        <is>
          <t>PX_LAST</t>
        </is>
      </c>
      <c r="X3" s="5" t="inlineStr">
        <is>
          <t>PX_SETTLE</t>
        </is>
      </c>
      <c r="Y3" s="5" t="inlineStr">
        <is>
          <t>PX_VOLUME</t>
        </is>
      </c>
      <c r="Z3" s="5" t="inlineStr">
        <is>
          <t>OPEN_INT</t>
        </is>
      </c>
      <c r="AB3" s="5" t="inlineStr">
        <is>
          <t>Date</t>
        </is>
      </c>
      <c r="AC3" s="5" t="inlineStr">
        <is>
          <t>PX_OPEN</t>
        </is>
      </c>
      <c r="AD3" s="5" t="inlineStr">
        <is>
          <t>PX_HIGH</t>
        </is>
      </c>
      <c r="AE3" s="5" t="inlineStr">
        <is>
          <t>PX_LOW</t>
        </is>
      </c>
      <c r="AF3" s="5" t="inlineStr">
        <is>
          <t>PX_LAST</t>
        </is>
      </c>
      <c r="AG3" s="5" t="inlineStr">
        <is>
          <t>PX_SETTLE</t>
        </is>
      </c>
      <c r="AH3" s="5" t="inlineStr">
        <is>
          <t>PX_VOLUME</t>
        </is>
      </c>
      <c r="AI3" s="5" t="inlineStr">
        <is>
          <t>OPEN_INT</t>
        </is>
      </c>
      <c r="AK3" s="5" t="inlineStr">
        <is>
          <t>Date</t>
        </is>
      </c>
      <c r="AL3" s="5" t="inlineStr">
        <is>
          <t>PX_OPEN</t>
        </is>
      </c>
      <c r="AM3" s="5" t="inlineStr">
        <is>
          <t>PX_HIGH</t>
        </is>
      </c>
      <c r="AN3" s="5" t="inlineStr">
        <is>
          <t>PX_LOW</t>
        </is>
      </c>
      <c r="AO3" s="5" t="inlineStr">
        <is>
          <t>PX_LAST</t>
        </is>
      </c>
      <c r="AP3" s="5" t="inlineStr">
        <is>
          <t>PX_SETTLE</t>
        </is>
      </c>
      <c r="AQ3" s="5" t="inlineStr">
        <is>
          <t>PX_VOLUME</t>
        </is>
      </c>
      <c r="AR3" s="5" t="inlineStr">
        <is>
          <t>OPEN_INT</t>
        </is>
      </c>
      <c r="AT3" s="5" t="inlineStr">
        <is>
          <t>Date</t>
        </is>
      </c>
      <c r="AU3" s="5" t="inlineStr">
        <is>
          <t>PX_OPEN</t>
        </is>
      </c>
      <c r="AV3" s="5" t="inlineStr">
        <is>
          <t>PX_HIGH</t>
        </is>
      </c>
      <c r="AW3" s="5" t="inlineStr">
        <is>
          <t>PX_LOW</t>
        </is>
      </c>
      <c r="AX3" s="5" t="inlineStr">
        <is>
          <t>PX_LAST</t>
        </is>
      </c>
      <c r="AY3" s="5" t="inlineStr">
        <is>
          <t>PX_SETTLE</t>
        </is>
      </c>
      <c r="AZ3" s="5" t="inlineStr">
        <is>
          <t>PX_VOLUME</t>
        </is>
      </c>
      <c r="BA3" s="5" t="inlineStr">
        <is>
          <t>OPEN_INT</t>
        </is>
      </c>
      <c r="BC3" s="5" t="inlineStr">
        <is>
          <t>Date</t>
        </is>
      </c>
      <c r="BD3" s="5" t="inlineStr">
        <is>
          <t>PX_OPEN</t>
        </is>
      </c>
      <c r="BE3" s="5" t="inlineStr">
        <is>
          <t>PX_HIGH</t>
        </is>
      </c>
      <c r="BF3" s="5" t="inlineStr">
        <is>
          <t>PX_LOW</t>
        </is>
      </c>
      <c r="BG3" s="5" t="inlineStr">
        <is>
          <t>PX_LAST</t>
        </is>
      </c>
      <c r="BH3" s="5" t="inlineStr">
        <is>
          <t>PX_SETTLE</t>
        </is>
      </c>
      <c r="BI3" s="5" t="inlineStr">
        <is>
          <t>PX_VOLUME</t>
        </is>
      </c>
      <c r="BJ3" s="5" t="inlineStr">
        <is>
          <t>OPEN_INT</t>
        </is>
      </c>
      <c r="BL3" s="5" t="inlineStr">
        <is>
          <t>Date</t>
        </is>
      </c>
      <c r="BM3" s="5" t="inlineStr">
        <is>
          <t>PX_OPEN</t>
        </is>
      </c>
      <c r="BN3" s="5" t="inlineStr">
        <is>
          <t>PX_HIGH</t>
        </is>
      </c>
      <c r="BO3" s="5" t="inlineStr">
        <is>
          <t>PX_LOW</t>
        </is>
      </c>
      <c r="BP3" s="5" t="inlineStr">
        <is>
          <t>PX_LAST</t>
        </is>
      </c>
      <c r="BQ3" s="5" t="inlineStr">
        <is>
          <t>PX_SETTLE</t>
        </is>
      </c>
      <c r="BR3" s="5" t="inlineStr">
        <is>
          <t>PX_VOLUME</t>
        </is>
      </c>
      <c r="BS3" s="5" t="inlineStr">
        <is>
          <t>OPEN_INT</t>
        </is>
      </c>
      <c r="BU3" s="5" t="inlineStr">
        <is>
          <t>Date</t>
        </is>
      </c>
      <c r="BV3" s="5" t="inlineStr">
        <is>
          <t>PX_OPEN</t>
        </is>
      </c>
      <c r="BW3" s="5" t="inlineStr">
        <is>
          <t>PX_HIGH</t>
        </is>
      </c>
      <c r="BX3" s="5" t="inlineStr">
        <is>
          <t>PX_LOW</t>
        </is>
      </c>
      <c r="BY3" s="5" t="inlineStr">
        <is>
          <t>PX_LAST</t>
        </is>
      </c>
      <c r="BZ3" s="5" t="inlineStr">
        <is>
          <t>PX_SETTLE</t>
        </is>
      </c>
      <c r="CA3" s="5" t="inlineStr">
        <is>
          <t>PX_VOLUME</t>
        </is>
      </c>
      <c r="CB3" s="5" t="inlineStr">
        <is>
          <t>OPEN_INT</t>
        </is>
      </c>
      <c r="CD3" s="5" t="inlineStr">
        <is>
          <t>Date</t>
        </is>
      </c>
      <c r="CE3" s="5" t="inlineStr">
        <is>
          <t>PX_OPEN</t>
        </is>
      </c>
      <c r="CF3" s="5" t="inlineStr">
        <is>
          <t>PX_HIGH</t>
        </is>
      </c>
      <c r="CG3" s="5" t="inlineStr">
        <is>
          <t>PX_LOW</t>
        </is>
      </c>
      <c r="CH3" s="5" t="inlineStr">
        <is>
          <t>PX_LAST</t>
        </is>
      </c>
      <c r="CI3" s="5" t="inlineStr">
        <is>
          <t>PX_SETTLE</t>
        </is>
      </c>
      <c r="CJ3" s="5" t="inlineStr">
        <is>
          <t>PX_VOLUME</t>
        </is>
      </c>
      <c r="CK3" s="5" t="inlineStr">
        <is>
          <t>OPEN_INT</t>
        </is>
      </c>
      <c r="CM3" s="5" t="inlineStr">
        <is>
          <t>Date</t>
        </is>
      </c>
      <c r="CN3" s="5" t="inlineStr">
        <is>
          <t>PX_OPEN</t>
        </is>
      </c>
      <c r="CO3" s="5" t="inlineStr">
        <is>
          <t>PX_HIGH</t>
        </is>
      </c>
      <c r="CP3" s="5" t="inlineStr">
        <is>
          <t>PX_LOW</t>
        </is>
      </c>
      <c r="CQ3" s="5" t="inlineStr">
        <is>
          <t>PX_LAST</t>
        </is>
      </c>
      <c r="CR3" s="5" t="inlineStr">
        <is>
          <t>PX_SETTLE</t>
        </is>
      </c>
      <c r="CS3" s="5" t="inlineStr">
        <is>
          <t>PX_VOLUME</t>
        </is>
      </c>
      <c r="CT3" s="5" t="inlineStr">
        <is>
          <t>OPEN_INT</t>
        </is>
      </c>
      <c r="CV3" s="5" t="inlineStr">
        <is>
          <t>Date</t>
        </is>
      </c>
      <c r="CW3" s="5" t="inlineStr">
        <is>
          <t>PX_OPEN</t>
        </is>
      </c>
      <c r="CX3" s="5" t="inlineStr">
        <is>
          <t>PX_HIGH</t>
        </is>
      </c>
      <c r="CY3" s="5" t="inlineStr">
        <is>
          <t>PX_LOW</t>
        </is>
      </c>
      <c r="CZ3" s="5" t="inlineStr">
        <is>
          <t>PX_LAST</t>
        </is>
      </c>
      <c r="DA3" s="5" t="inlineStr">
        <is>
          <t>PX_SETTLE</t>
        </is>
      </c>
      <c r="DB3" s="5" t="inlineStr">
        <is>
          <t>PX_VOLUME</t>
        </is>
      </c>
      <c r="DC3" s="5" t="inlineStr">
        <is>
          <t>OPEN_INT</t>
        </is>
      </c>
    </row>
    <row r="4">
      <c r="A4" s="4">
        <f>BDH(A$1,B$3:H$3,Settings!$C$13,IF(Settings!$D$13="","",Settings!$D$13),"Dir=V","Dts=S","Sort=A","Days=T","Fill=B")</f>
        <v/>
      </c>
      <c r="J4" s="4">
        <f>BDH(J$1,K$3:Q$3,Settings!$C$13,IF(Settings!$D$13="","",Settings!$D$13),"Dir=V","Dts=S","Sort=A","Days=T","Fill=B")</f>
        <v/>
      </c>
      <c r="S4" s="4">
        <f>BDH(S$1,T$3:Z$3,Settings!$C$13,IF(Settings!$D$13="","",Settings!$D$13),"Dir=V","Dts=S","Sort=A","Days=T","Fill=B")</f>
        <v/>
      </c>
      <c r="AB4" s="4">
        <f>BDH(AB$1,AC$3:AI$3,Settings!$C$13,IF(Settings!$D$13="","",Settings!$D$13),"Dir=V","Dts=S","Sort=A","Days=T","Fill=B")</f>
        <v/>
      </c>
      <c r="AK4" s="4">
        <f>BDH(AK$1,AL$3:AR$3,Settings!$C$13,IF(Settings!$D$13="","",Settings!$D$13),"Dir=V","Dts=S","Sort=A","Days=T","Fill=B")</f>
        <v/>
      </c>
      <c r="AT4" s="4">
        <f>BDH(AT$1,AU$3:BA$3,Settings!$C$13,IF(Settings!$D$13="","",Settings!$D$13),"Dir=V","Dts=S","Sort=A","Days=T","Fill=B")</f>
        <v/>
      </c>
      <c r="BC4" s="4">
        <f>BDH(BC$1,BD$3:BJ$3,Settings!$C$13,IF(Settings!$D$13="","",Settings!$D$13),"Dir=V","Dts=S","Sort=A","Days=T","Fill=B")</f>
        <v/>
      </c>
      <c r="BL4" s="4">
        <f>BDH(BL$1,BM$3:BS$3,Settings!$C$13,IF(Settings!$D$13="","",Settings!$D$13),"Dir=V","Dts=S","Sort=A","Days=T","Fill=B")</f>
        <v/>
      </c>
      <c r="BU4" s="4">
        <f>BDH(BU$1,BV$3:CB$3,Settings!$C$13,IF(Settings!$D$13="","",Settings!$D$13),"Dir=V","Dts=S","Sort=A","Days=T","Fill=B")</f>
        <v/>
      </c>
      <c r="CD4" s="4">
        <f>BDH(CD$1,CE$3:CK$3,Settings!$C$13,IF(Settings!$D$13="","",Settings!$D$13),"Dir=V","Dts=S","Sort=A","Days=T","Fill=B")</f>
        <v/>
      </c>
      <c r="CM4" s="4">
        <f>BDH(CM$1,CN$3:CT$3,Settings!$C$13,IF(Settings!$D$13="","",Settings!$D$13),"Dir=V","Dts=S","Sort=A","Days=T","Fill=B")</f>
        <v/>
      </c>
      <c r="CV4" s="4">
        <f>BDH(CV$1,CW$3:DC$3,Settings!$C$13,IF(Settings!$D$13="","",Settings!$D$13),"Dir=V","Dts=S","Sort=A","Days=T","Fill=B")</f>
        <v/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C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1" customWidth="1" min="7" max="7"/>
    <col width="10" customWidth="1" min="8" max="8"/>
    <col width="12" customWidth="1" min="10" max="10"/>
    <col width="10" customWidth="1" min="11" max="11"/>
    <col width="10" customWidth="1" min="12" max="12"/>
    <col width="10" customWidth="1" min="13" max="13"/>
    <col width="10" customWidth="1" min="14" max="14"/>
    <col width="11" customWidth="1" min="15" max="15"/>
    <col width="11" customWidth="1" min="16" max="16"/>
    <col width="10" customWidth="1" min="17" max="17"/>
    <col width="12" customWidth="1" min="19" max="19"/>
    <col width="10" customWidth="1" min="20" max="20"/>
    <col width="10" customWidth="1" min="21" max="21"/>
    <col width="10" customWidth="1" min="22" max="22"/>
    <col width="10" customWidth="1" min="23" max="23"/>
    <col width="11" customWidth="1" min="24" max="24"/>
    <col width="11" customWidth="1" min="25" max="25"/>
    <col width="10" customWidth="1" min="26" max="26"/>
    <col width="12" customWidth="1" min="28" max="28"/>
    <col width="10" customWidth="1" min="29" max="29"/>
    <col width="10" customWidth="1" min="30" max="30"/>
    <col width="10" customWidth="1" min="31" max="31"/>
    <col width="10" customWidth="1" min="32" max="32"/>
    <col width="11" customWidth="1" min="33" max="33"/>
    <col width="11" customWidth="1" min="34" max="34"/>
    <col width="10" customWidth="1" min="35" max="35"/>
    <col width="12" customWidth="1" min="37" max="37"/>
    <col width="10" customWidth="1" min="38" max="38"/>
    <col width="10" customWidth="1" min="39" max="39"/>
    <col width="10" customWidth="1" min="40" max="40"/>
    <col width="10" customWidth="1" min="41" max="41"/>
    <col width="11" customWidth="1" min="42" max="42"/>
    <col width="11" customWidth="1" min="43" max="43"/>
    <col width="10" customWidth="1" min="44" max="44"/>
    <col width="12" customWidth="1" min="46" max="46"/>
    <col width="10" customWidth="1" min="47" max="47"/>
    <col width="10" customWidth="1" min="48" max="48"/>
    <col width="10" customWidth="1" min="49" max="49"/>
    <col width="10" customWidth="1" min="50" max="50"/>
    <col width="11" customWidth="1" min="51" max="51"/>
    <col width="11" customWidth="1" min="52" max="52"/>
    <col width="10" customWidth="1" min="53" max="53"/>
    <col width="12" customWidth="1" min="55" max="55"/>
    <col width="10" customWidth="1" min="56" max="56"/>
    <col width="10" customWidth="1" min="57" max="57"/>
    <col width="10" customWidth="1" min="58" max="58"/>
    <col width="10" customWidth="1" min="59" max="59"/>
    <col width="11" customWidth="1" min="60" max="60"/>
    <col width="11" customWidth="1" min="61" max="61"/>
    <col width="10" customWidth="1" min="62" max="62"/>
    <col width="12" customWidth="1" min="64" max="64"/>
    <col width="10" customWidth="1" min="65" max="65"/>
    <col width="10" customWidth="1" min="66" max="66"/>
    <col width="10" customWidth="1" min="67" max="67"/>
    <col width="10" customWidth="1" min="68" max="68"/>
    <col width="11" customWidth="1" min="69" max="69"/>
    <col width="11" customWidth="1" min="70" max="70"/>
    <col width="10" customWidth="1" min="71" max="71"/>
    <col width="12" customWidth="1" min="73" max="73"/>
    <col width="10" customWidth="1" min="74" max="74"/>
    <col width="10" customWidth="1" min="75" max="75"/>
    <col width="10" customWidth="1" min="76" max="76"/>
    <col width="10" customWidth="1" min="77" max="77"/>
    <col width="11" customWidth="1" min="78" max="78"/>
    <col width="11" customWidth="1" min="79" max="79"/>
    <col width="10" customWidth="1" min="80" max="80"/>
    <col width="12" customWidth="1" min="82" max="82"/>
    <col width="10" customWidth="1" min="83" max="83"/>
    <col width="10" customWidth="1" min="84" max="84"/>
    <col width="10" customWidth="1" min="85" max="85"/>
    <col width="10" customWidth="1" min="86" max="86"/>
    <col width="11" customWidth="1" min="87" max="87"/>
    <col width="11" customWidth="1" min="88" max="88"/>
    <col width="10" customWidth="1" min="89" max="89"/>
    <col width="12" customWidth="1" min="91" max="91"/>
    <col width="10" customWidth="1" min="92" max="92"/>
    <col width="10" customWidth="1" min="93" max="93"/>
    <col width="10" customWidth="1" min="94" max="94"/>
    <col width="10" customWidth="1" min="95" max="95"/>
    <col width="11" customWidth="1" min="96" max="96"/>
    <col width="11" customWidth="1" min="97" max="97"/>
    <col width="10" customWidth="1" min="98" max="98"/>
    <col width="12" customWidth="1" min="100" max="100"/>
    <col width="10" customWidth="1" min="101" max="101"/>
    <col width="10" customWidth="1" min="102" max="102"/>
    <col width="10" customWidth="1" min="103" max="103"/>
    <col width="10" customWidth="1" min="104" max="104"/>
    <col width="11" customWidth="1" min="105" max="105"/>
    <col width="11" customWidth="1" min="106" max="106"/>
    <col width="10" customWidth="1" min="107" max="107"/>
  </cols>
  <sheetData>
    <row r="1">
      <c r="A1" s="2">
        <f>IF(Settings!$B$13="Y","COF"&amp;IF(A$2&lt;Settings!$B$3,"17","7")&amp;" Comdty","")</f>
        <v/>
      </c>
      <c r="J1" s="2">
        <f>IF(Settings!$B$13="Y","COG"&amp;IF(J$2&lt;Settings!$B$3,"17","7")&amp;" Comdty","")</f>
        <v/>
      </c>
      <c r="S1" s="2">
        <f>IF(Settings!$B$13="Y","COH"&amp;IF(S$2&lt;Settings!$B$3,"17","7")&amp;" Comdty","")</f>
        <v/>
      </c>
      <c r="AB1" s="2">
        <f>IF(Settings!$B$13="Y","COJ"&amp;IF(AB$2&lt;Settings!$B$3,"17","7")&amp;" Comdty","")</f>
        <v/>
      </c>
      <c r="AK1" s="2">
        <f>IF(Settings!$B$13="Y","COK"&amp;IF(AK$2&lt;Settings!$B$3,"17","7")&amp;" Comdty","")</f>
        <v/>
      </c>
      <c r="AT1" s="2">
        <f>IF(Settings!$B$13="Y","COM"&amp;IF(AT$2&lt;Settings!$B$3,"17","7")&amp;" Comdty","")</f>
        <v/>
      </c>
      <c r="BC1" s="2">
        <f>IF(Settings!$B$13="Y","CON"&amp;IF(BC$2&lt;Settings!$B$3,"17","7")&amp;" Comdty","")</f>
        <v/>
      </c>
      <c r="BL1" s="2">
        <f>IF(Settings!$B$13="Y","COQ"&amp;IF(BL$2&lt;Settings!$B$3,"17","7")&amp;" Comdty","")</f>
        <v/>
      </c>
      <c r="BU1" s="2">
        <f>IF(Settings!$B$13="Y","COU"&amp;IF(BU$2&lt;Settings!$B$3,"17","7")&amp;" Comdty","")</f>
        <v/>
      </c>
      <c r="CD1" s="2">
        <f>IF(Settings!$B$13="Y","COV"&amp;IF(CD$2&lt;Settings!$B$3,"17","7")&amp;" Comdty","")</f>
        <v/>
      </c>
      <c r="CM1" s="2">
        <f>IF(Settings!$B$13="Y","COX"&amp;IF(CM$2&lt;Settings!$B$3,"17","7")&amp;" Comdty","")</f>
        <v/>
      </c>
      <c r="CV1" s="2">
        <f>IF(Settings!$B$13="Y","COZ"&amp;IF(CV$2&lt;Settings!$B$3,"17","7")&amp;" Comdty","")</f>
        <v/>
      </c>
    </row>
    <row r="2">
      <c r="A2" s="8">
        <f>WORKDAY(DATE(2017,1-1,1),-1)</f>
        <v/>
      </c>
      <c r="B2" s="8">
        <f>IF(A$1="","",BDP(A$1,"LAST_TRADEABLE_DT"))</f>
        <v/>
      </c>
      <c r="J2" s="8">
        <f>WORKDAY(DATE(2017,2-1,1),-1)</f>
        <v/>
      </c>
      <c r="K2" s="8">
        <f>IF(J$1="","",BDP(J$1,"LAST_TRADEABLE_DT"))</f>
        <v/>
      </c>
      <c r="S2" s="8">
        <f>WORKDAY(DATE(2017,3-1,1),-1)</f>
        <v/>
      </c>
      <c r="T2" s="8">
        <f>IF(S$1="","",BDP(S$1,"LAST_TRADEABLE_DT"))</f>
        <v/>
      </c>
      <c r="AB2" s="8">
        <f>WORKDAY(DATE(2017,4-1,1),-1)</f>
        <v/>
      </c>
      <c r="AC2" s="8">
        <f>IF(AB$1="","",BDP(AB$1,"LAST_TRADEABLE_DT"))</f>
        <v/>
      </c>
      <c r="AK2" s="8">
        <f>WORKDAY(DATE(2017,5-1,1),-1)</f>
        <v/>
      </c>
      <c r="AL2" s="8">
        <f>IF(AK$1="","",BDP(AK$1,"LAST_TRADEABLE_DT"))</f>
        <v/>
      </c>
      <c r="AT2" s="8">
        <f>WORKDAY(DATE(2017,6-1,1),-1)</f>
        <v/>
      </c>
      <c r="AU2" s="8">
        <f>IF(AT$1="","",BDP(AT$1,"LAST_TRADEABLE_DT"))</f>
        <v/>
      </c>
      <c r="BC2" s="8">
        <f>WORKDAY(DATE(2017,7-1,1),-1)</f>
        <v/>
      </c>
      <c r="BD2" s="8">
        <f>IF(BC$1="","",BDP(BC$1,"LAST_TRADEABLE_DT"))</f>
        <v/>
      </c>
      <c r="BL2" s="8">
        <f>WORKDAY(DATE(2017,8-1,1),-1)</f>
        <v/>
      </c>
      <c r="BM2" s="8">
        <f>IF(BL$1="","",BDP(BL$1,"LAST_TRADEABLE_DT"))</f>
        <v/>
      </c>
      <c r="BU2" s="8">
        <f>WORKDAY(DATE(2017,9-1,1),-1)</f>
        <v/>
      </c>
      <c r="BV2" s="8">
        <f>IF(BU$1="","",BDP(BU$1,"LAST_TRADEABLE_DT"))</f>
        <v/>
      </c>
      <c r="CD2" s="8">
        <f>WORKDAY(DATE(2017,10-1,1),-1)</f>
        <v/>
      </c>
      <c r="CE2" s="8">
        <f>IF(CD$1="","",BDP(CD$1,"LAST_TRADEABLE_DT"))</f>
        <v/>
      </c>
      <c r="CM2" s="8">
        <f>WORKDAY(DATE(2017,11-1,1),-1)</f>
        <v/>
      </c>
      <c r="CN2" s="8">
        <f>IF(CM$1="","",BDP(CM$1,"LAST_TRADEABLE_DT"))</f>
        <v/>
      </c>
      <c r="CV2" s="8">
        <f>WORKDAY(DATE(2017,12-1,1),-1)</f>
        <v/>
      </c>
      <c r="CW2" s="8">
        <f>IF(CV$1="","",BDP(CV$1,"LAST_TRADEABLE_DT"))</f>
        <v/>
      </c>
    </row>
    <row r="3">
      <c r="A3" s="5" t="inlineStr">
        <is>
          <t>Date</t>
        </is>
      </c>
      <c r="B3" s="5" t="inlineStr">
        <is>
          <t>PX_OPEN</t>
        </is>
      </c>
      <c r="C3" s="5" t="inlineStr">
        <is>
          <t>PX_HIGH</t>
        </is>
      </c>
      <c r="D3" s="5" t="inlineStr">
        <is>
          <t>PX_LOW</t>
        </is>
      </c>
      <c r="E3" s="5" t="inlineStr">
        <is>
          <t>PX_LAST</t>
        </is>
      </c>
      <c r="F3" s="5" t="inlineStr">
        <is>
          <t>PX_SETTLE</t>
        </is>
      </c>
      <c r="G3" s="5" t="inlineStr">
        <is>
          <t>PX_VOLUME</t>
        </is>
      </c>
      <c r="H3" s="5" t="inlineStr">
        <is>
          <t>OPEN_INT</t>
        </is>
      </c>
      <c r="J3" s="5" t="inlineStr">
        <is>
          <t>Date</t>
        </is>
      </c>
      <c r="K3" s="5" t="inlineStr">
        <is>
          <t>PX_OPEN</t>
        </is>
      </c>
      <c r="L3" s="5" t="inlineStr">
        <is>
          <t>PX_HIGH</t>
        </is>
      </c>
      <c r="M3" s="5" t="inlineStr">
        <is>
          <t>PX_LOW</t>
        </is>
      </c>
      <c r="N3" s="5" t="inlineStr">
        <is>
          <t>PX_LAST</t>
        </is>
      </c>
      <c r="O3" s="5" t="inlineStr">
        <is>
          <t>PX_SETTLE</t>
        </is>
      </c>
      <c r="P3" s="5" t="inlineStr">
        <is>
          <t>PX_VOLUME</t>
        </is>
      </c>
      <c r="Q3" s="5" t="inlineStr">
        <is>
          <t>OPEN_INT</t>
        </is>
      </c>
      <c r="S3" s="5" t="inlineStr">
        <is>
          <t>Date</t>
        </is>
      </c>
      <c r="T3" s="5" t="inlineStr">
        <is>
          <t>PX_OPEN</t>
        </is>
      </c>
      <c r="U3" s="5" t="inlineStr">
        <is>
          <t>PX_HIGH</t>
        </is>
      </c>
      <c r="V3" s="5" t="inlineStr">
        <is>
          <t>PX_LOW</t>
        </is>
      </c>
      <c r="W3" s="5" t="inlineStr">
        <is>
          <t>PX_LAST</t>
        </is>
      </c>
      <c r="X3" s="5" t="inlineStr">
        <is>
          <t>PX_SETTLE</t>
        </is>
      </c>
      <c r="Y3" s="5" t="inlineStr">
        <is>
          <t>PX_VOLUME</t>
        </is>
      </c>
      <c r="Z3" s="5" t="inlineStr">
        <is>
          <t>OPEN_INT</t>
        </is>
      </c>
      <c r="AB3" s="5" t="inlineStr">
        <is>
          <t>Date</t>
        </is>
      </c>
      <c r="AC3" s="5" t="inlineStr">
        <is>
          <t>PX_OPEN</t>
        </is>
      </c>
      <c r="AD3" s="5" t="inlineStr">
        <is>
          <t>PX_HIGH</t>
        </is>
      </c>
      <c r="AE3" s="5" t="inlineStr">
        <is>
          <t>PX_LOW</t>
        </is>
      </c>
      <c r="AF3" s="5" t="inlineStr">
        <is>
          <t>PX_LAST</t>
        </is>
      </c>
      <c r="AG3" s="5" t="inlineStr">
        <is>
          <t>PX_SETTLE</t>
        </is>
      </c>
      <c r="AH3" s="5" t="inlineStr">
        <is>
          <t>PX_VOLUME</t>
        </is>
      </c>
      <c r="AI3" s="5" t="inlineStr">
        <is>
          <t>OPEN_INT</t>
        </is>
      </c>
      <c r="AK3" s="5" t="inlineStr">
        <is>
          <t>Date</t>
        </is>
      </c>
      <c r="AL3" s="5" t="inlineStr">
        <is>
          <t>PX_OPEN</t>
        </is>
      </c>
      <c r="AM3" s="5" t="inlineStr">
        <is>
          <t>PX_HIGH</t>
        </is>
      </c>
      <c r="AN3" s="5" t="inlineStr">
        <is>
          <t>PX_LOW</t>
        </is>
      </c>
      <c r="AO3" s="5" t="inlineStr">
        <is>
          <t>PX_LAST</t>
        </is>
      </c>
      <c r="AP3" s="5" t="inlineStr">
        <is>
          <t>PX_SETTLE</t>
        </is>
      </c>
      <c r="AQ3" s="5" t="inlineStr">
        <is>
          <t>PX_VOLUME</t>
        </is>
      </c>
      <c r="AR3" s="5" t="inlineStr">
        <is>
          <t>OPEN_INT</t>
        </is>
      </c>
      <c r="AT3" s="5" t="inlineStr">
        <is>
          <t>Date</t>
        </is>
      </c>
      <c r="AU3" s="5" t="inlineStr">
        <is>
          <t>PX_OPEN</t>
        </is>
      </c>
      <c r="AV3" s="5" t="inlineStr">
        <is>
          <t>PX_HIGH</t>
        </is>
      </c>
      <c r="AW3" s="5" t="inlineStr">
        <is>
          <t>PX_LOW</t>
        </is>
      </c>
      <c r="AX3" s="5" t="inlineStr">
        <is>
          <t>PX_LAST</t>
        </is>
      </c>
      <c r="AY3" s="5" t="inlineStr">
        <is>
          <t>PX_SETTLE</t>
        </is>
      </c>
      <c r="AZ3" s="5" t="inlineStr">
        <is>
          <t>PX_VOLUME</t>
        </is>
      </c>
      <c r="BA3" s="5" t="inlineStr">
        <is>
          <t>OPEN_INT</t>
        </is>
      </c>
      <c r="BC3" s="5" t="inlineStr">
        <is>
          <t>Date</t>
        </is>
      </c>
      <c r="BD3" s="5" t="inlineStr">
        <is>
          <t>PX_OPEN</t>
        </is>
      </c>
      <c r="BE3" s="5" t="inlineStr">
        <is>
          <t>PX_HIGH</t>
        </is>
      </c>
      <c r="BF3" s="5" t="inlineStr">
        <is>
          <t>PX_LOW</t>
        </is>
      </c>
      <c r="BG3" s="5" t="inlineStr">
        <is>
          <t>PX_LAST</t>
        </is>
      </c>
      <c r="BH3" s="5" t="inlineStr">
        <is>
          <t>PX_SETTLE</t>
        </is>
      </c>
      <c r="BI3" s="5" t="inlineStr">
        <is>
          <t>PX_VOLUME</t>
        </is>
      </c>
      <c r="BJ3" s="5" t="inlineStr">
        <is>
          <t>OPEN_INT</t>
        </is>
      </c>
      <c r="BL3" s="5" t="inlineStr">
        <is>
          <t>Date</t>
        </is>
      </c>
      <c r="BM3" s="5" t="inlineStr">
        <is>
          <t>PX_OPEN</t>
        </is>
      </c>
      <c r="BN3" s="5" t="inlineStr">
        <is>
          <t>PX_HIGH</t>
        </is>
      </c>
      <c r="BO3" s="5" t="inlineStr">
        <is>
          <t>PX_LOW</t>
        </is>
      </c>
      <c r="BP3" s="5" t="inlineStr">
        <is>
          <t>PX_LAST</t>
        </is>
      </c>
      <c r="BQ3" s="5" t="inlineStr">
        <is>
          <t>PX_SETTLE</t>
        </is>
      </c>
      <c r="BR3" s="5" t="inlineStr">
        <is>
          <t>PX_VOLUME</t>
        </is>
      </c>
      <c r="BS3" s="5" t="inlineStr">
        <is>
          <t>OPEN_INT</t>
        </is>
      </c>
      <c r="BU3" s="5" t="inlineStr">
        <is>
          <t>Date</t>
        </is>
      </c>
      <c r="BV3" s="5" t="inlineStr">
        <is>
          <t>PX_OPEN</t>
        </is>
      </c>
      <c r="BW3" s="5" t="inlineStr">
        <is>
          <t>PX_HIGH</t>
        </is>
      </c>
      <c r="BX3" s="5" t="inlineStr">
        <is>
          <t>PX_LOW</t>
        </is>
      </c>
      <c r="BY3" s="5" t="inlineStr">
        <is>
          <t>PX_LAST</t>
        </is>
      </c>
      <c r="BZ3" s="5" t="inlineStr">
        <is>
          <t>PX_SETTLE</t>
        </is>
      </c>
      <c r="CA3" s="5" t="inlineStr">
        <is>
          <t>PX_VOLUME</t>
        </is>
      </c>
      <c r="CB3" s="5" t="inlineStr">
        <is>
          <t>OPEN_INT</t>
        </is>
      </c>
      <c r="CD3" s="5" t="inlineStr">
        <is>
          <t>Date</t>
        </is>
      </c>
      <c r="CE3" s="5" t="inlineStr">
        <is>
          <t>PX_OPEN</t>
        </is>
      </c>
      <c r="CF3" s="5" t="inlineStr">
        <is>
          <t>PX_HIGH</t>
        </is>
      </c>
      <c r="CG3" s="5" t="inlineStr">
        <is>
          <t>PX_LOW</t>
        </is>
      </c>
      <c r="CH3" s="5" t="inlineStr">
        <is>
          <t>PX_LAST</t>
        </is>
      </c>
      <c r="CI3" s="5" t="inlineStr">
        <is>
          <t>PX_SETTLE</t>
        </is>
      </c>
      <c r="CJ3" s="5" t="inlineStr">
        <is>
          <t>PX_VOLUME</t>
        </is>
      </c>
      <c r="CK3" s="5" t="inlineStr">
        <is>
          <t>OPEN_INT</t>
        </is>
      </c>
      <c r="CM3" s="5" t="inlineStr">
        <is>
          <t>Date</t>
        </is>
      </c>
      <c r="CN3" s="5" t="inlineStr">
        <is>
          <t>PX_OPEN</t>
        </is>
      </c>
      <c r="CO3" s="5" t="inlineStr">
        <is>
          <t>PX_HIGH</t>
        </is>
      </c>
      <c r="CP3" s="5" t="inlineStr">
        <is>
          <t>PX_LOW</t>
        </is>
      </c>
      <c r="CQ3" s="5" t="inlineStr">
        <is>
          <t>PX_LAST</t>
        </is>
      </c>
      <c r="CR3" s="5" t="inlineStr">
        <is>
          <t>PX_SETTLE</t>
        </is>
      </c>
      <c r="CS3" s="5" t="inlineStr">
        <is>
          <t>PX_VOLUME</t>
        </is>
      </c>
      <c r="CT3" s="5" t="inlineStr">
        <is>
          <t>OPEN_INT</t>
        </is>
      </c>
      <c r="CV3" s="5" t="inlineStr">
        <is>
          <t>Date</t>
        </is>
      </c>
      <c r="CW3" s="5" t="inlineStr">
        <is>
          <t>PX_OPEN</t>
        </is>
      </c>
      <c r="CX3" s="5" t="inlineStr">
        <is>
          <t>PX_HIGH</t>
        </is>
      </c>
      <c r="CY3" s="5" t="inlineStr">
        <is>
          <t>PX_LOW</t>
        </is>
      </c>
      <c r="CZ3" s="5" t="inlineStr">
        <is>
          <t>PX_LAST</t>
        </is>
      </c>
      <c r="DA3" s="5" t="inlineStr">
        <is>
          <t>PX_SETTLE</t>
        </is>
      </c>
      <c r="DB3" s="5" t="inlineStr">
        <is>
          <t>PX_VOLUME</t>
        </is>
      </c>
      <c r="DC3" s="5" t="inlineStr">
        <is>
          <t>OPEN_INT</t>
        </is>
      </c>
    </row>
    <row r="4">
      <c r="A4" s="4">
        <f>BDH(A$1,B$3:H$3,Settings!$C$13,IF(Settings!$D$13="","",Settings!$D$13),"Dir=V","Dts=S","Sort=A","Days=T","Fill=B")</f>
        <v/>
      </c>
      <c r="J4" s="4">
        <f>BDH(J$1,K$3:Q$3,Settings!$C$13,IF(Settings!$D$13="","",Settings!$D$13),"Dir=V","Dts=S","Sort=A","Days=T","Fill=B")</f>
        <v/>
      </c>
      <c r="S4" s="4">
        <f>BDH(S$1,T$3:Z$3,Settings!$C$13,IF(Settings!$D$13="","",Settings!$D$13),"Dir=V","Dts=S","Sort=A","Days=T","Fill=B")</f>
        <v/>
      </c>
      <c r="AB4" s="4">
        <f>BDH(AB$1,AC$3:AI$3,Settings!$C$13,IF(Settings!$D$13="","",Settings!$D$13),"Dir=V","Dts=S","Sort=A","Days=T","Fill=B")</f>
        <v/>
      </c>
      <c r="AK4" s="4">
        <f>BDH(AK$1,AL$3:AR$3,Settings!$C$13,IF(Settings!$D$13="","",Settings!$D$13),"Dir=V","Dts=S","Sort=A","Days=T","Fill=B")</f>
        <v/>
      </c>
      <c r="AT4" s="4">
        <f>BDH(AT$1,AU$3:BA$3,Settings!$C$13,IF(Settings!$D$13="","",Settings!$D$13),"Dir=V","Dts=S","Sort=A","Days=T","Fill=B")</f>
        <v/>
      </c>
      <c r="BC4" s="4">
        <f>BDH(BC$1,BD$3:BJ$3,Settings!$C$13,IF(Settings!$D$13="","",Settings!$D$13),"Dir=V","Dts=S","Sort=A","Days=T","Fill=B")</f>
        <v/>
      </c>
      <c r="BL4" s="4">
        <f>BDH(BL$1,BM$3:BS$3,Settings!$C$13,IF(Settings!$D$13="","",Settings!$D$13),"Dir=V","Dts=S","Sort=A","Days=T","Fill=B")</f>
        <v/>
      </c>
      <c r="BU4" s="4">
        <f>BDH(BU$1,BV$3:CB$3,Settings!$C$13,IF(Settings!$D$13="","",Settings!$D$13),"Dir=V","Dts=S","Sort=A","Days=T","Fill=B")</f>
        <v/>
      </c>
      <c r="CD4" s="4">
        <f>BDH(CD$1,CE$3:CK$3,Settings!$C$13,IF(Settings!$D$13="","",Settings!$D$13),"Dir=V","Dts=S","Sort=A","Days=T","Fill=B")</f>
        <v/>
      </c>
      <c r="CM4" s="4">
        <f>BDH(CM$1,CN$3:CT$3,Settings!$C$13,IF(Settings!$D$13="","",Settings!$D$13),"Dir=V","Dts=S","Sort=A","Days=T","Fill=B")</f>
        <v/>
      </c>
      <c r="CV4" s="4">
        <f>BDH(CV$1,CW$3:DC$3,Settings!$C$13,IF(Settings!$D$13="","",Settings!$D$13),"Dir=V","Dts=S","Sort=A","Days=T","Fill=B")</f>
        <v/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C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1" customWidth="1" min="7" max="7"/>
    <col width="10" customWidth="1" min="8" max="8"/>
    <col width="12" customWidth="1" min="10" max="10"/>
    <col width="10" customWidth="1" min="11" max="11"/>
    <col width="10" customWidth="1" min="12" max="12"/>
    <col width="10" customWidth="1" min="13" max="13"/>
    <col width="10" customWidth="1" min="14" max="14"/>
    <col width="11" customWidth="1" min="15" max="15"/>
    <col width="11" customWidth="1" min="16" max="16"/>
    <col width="10" customWidth="1" min="17" max="17"/>
    <col width="12" customWidth="1" min="19" max="19"/>
    <col width="10" customWidth="1" min="20" max="20"/>
    <col width="10" customWidth="1" min="21" max="21"/>
    <col width="10" customWidth="1" min="22" max="22"/>
    <col width="10" customWidth="1" min="23" max="23"/>
    <col width="11" customWidth="1" min="24" max="24"/>
    <col width="11" customWidth="1" min="25" max="25"/>
    <col width="10" customWidth="1" min="26" max="26"/>
    <col width="12" customWidth="1" min="28" max="28"/>
    <col width="10" customWidth="1" min="29" max="29"/>
    <col width="10" customWidth="1" min="30" max="30"/>
    <col width="10" customWidth="1" min="31" max="31"/>
    <col width="10" customWidth="1" min="32" max="32"/>
    <col width="11" customWidth="1" min="33" max="33"/>
    <col width="11" customWidth="1" min="34" max="34"/>
    <col width="10" customWidth="1" min="35" max="35"/>
    <col width="12" customWidth="1" min="37" max="37"/>
    <col width="10" customWidth="1" min="38" max="38"/>
    <col width="10" customWidth="1" min="39" max="39"/>
    <col width="10" customWidth="1" min="40" max="40"/>
    <col width="10" customWidth="1" min="41" max="41"/>
    <col width="11" customWidth="1" min="42" max="42"/>
    <col width="11" customWidth="1" min="43" max="43"/>
    <col width="10" customWidth="1" min="44" max="44"/>
    <col width="12" customWidth="1" min="46" max="46"/>
    <col width="10" customWidth="1" min="47" max="47"/>
    <col width="10" customWidth="1" min="48" max="48"/>
    <col width="10" customWidth="1" min="49" max="49"/>
    <col width="10" customWidth="1" min="50" max="50"/>
    <col width="11" customWidth="1" min="51" max="51"/>
    <col width="11" customWidth="1" min="52" max="52"/>
    <col width="10" customWidth="1" min="53" max="53"/>
    <col width="12" customWidth="1" min="55" max="55"/>
    <col width="10" customWidth="1" min="56" max="56"/>
    <col width="10" customWidth="1" min="57" max="57"/>
    <col width="10" customWidth="1" min="58" max="58"/>
    <col width="10" customWidth="1" min="59" max="59"/>
    <col width="11" customWidth="1" min="60" max="60"/>
    <col width="11" customWidth="1" min="61" max="61"/>
    <col width="10" customWidth="1" min="62" max="62"/>
    <col width="12" customWidth="1" min="64" max="64"/>
    <col width="10" customWidth="1" min="65" max="65"/>
    <col width="10" customWidth="1" min="66" max="66"/>
    <col width="10" customWidth="1" min="67" max="67"/>
    <col width="10" customWidth="1" min="68" max="68"/>
    <col width="11" customWidth="1" min="69" max="69"/>
    <col width="11" customWidth="1" min="70" max="70"/>
    <col width="10" customWidth="1" min="71" max="71"/>
    <col width="12" customWidth="1" min="73" max="73"/>
    <col width="10" customWidth="1" min="74" max="74"/>
    <col width="10" customWidth="1" min="75" max="75"/>
    <col width="10" customWidth="1" min="76" max="76"/>
    <col width="10" customWidth="1" min="77" max="77"/>
    <col width="11" customWidth="1" min="78" max="78"/>
    <col width="11" customWidth="1" min="79" max="79"/>
    <col width="10" customWidth="1" min="80" max="80"/>
    <col width="12" customWidth="1" min="82" max="82"/>
    <col width="10" customWidth="1" min="83" max="83"/>
    <col width="10" customWidth="1" min="84" max="84"/>
    <col width="10" customWidth="1" min="85" max="85"/>
    <col width="10" customWidth="1" min="86" max="86"/>
    <col width="11" customWidth="1" min="87" max="87"/>
    <col width="11" customWidth="1" min="88" max="88"/>
    <col width="10" customWidth="1" min="89" max="89"/>
    <col width="12" customWidth="1" min="91" max="91"/>
    <col width="10" customWidth="1" min="92" max="92"/>
    <col width="10" customWidth="1" min="93" max="93"/>
    <col width="10" customWidth="1" min="94" max="94"/>
    <col width="10" customWidth="1" min="95" max="95"/>
    <col width="11" customWidth="1" min="96" max="96"/>
    <col width="11" customWidth="1" min="97" max="97"/>
    <col width="10" customWidth="1" min="98" max="98"/>
    <col width="12" customWidth="1" min="100" max="100"/>
    <col width="10" customWidth="1" min="101" max="101"/>
    <col width="10" customWidth="1" min="102" max="102"/>
    <col width="10" customWidth="1" min="103" max="103"/>
    <col width="10" customWidth="1" min="104" max="104"/>
    <col width="11" customWidth="1" min="105" max="105"/>
    <col width="11" customWidth="1" min="106" max="106"/>
    <col width="10" customWidth="1" min="107" max="107"/>
  </cols>
  <sheetData>
    <row r="1">
      <c r="A1" s="2">
        <f>IF(Settings!$B$13="Y","COF"&amp;IF(A$2&lt;Settings!$B$3,"18","8")&amp;" Comdty","")</f>
        <v/>
      </c>
      <c r="J1" s="2">
        <f>IF(Settings!$B$13="Y","COG"&amp;IF(J$2&lt;Settings!$B$3,"18","8")&amp;" Comdty","")</f>
        <v/>
      </c>
      <c r="S1" s="2">
        <f>IF(Settings!$B$13="Y","COH"&amp;IF(S$2&lt;Settings!$B$3,"18","8")&amp;" Comdty","")</f>
        <v/>
      </c>
      <c r="AB1" s="2">
        <f>IF(Settings!$B$13="Y","COJ"&amp;IF(AB$2&lt;Settings!$B$3,"18","8")&amp;" Comdty","")</f>
        <v/>
      </c>
      <c r="AK1" s="2">
        <f>IF(Settings!$B$13="Y","COK"&amp;IF(AK$2&lt;Settings!$B$3,"18","8")&amp;" Comdty","")</f>
        <v/>
      </c>
      <c r="AT1" s="2">
        <f>IF(Settings!$B$13="Y","COM"&amp;IF(AT$2&lt;Settings!$B$3,"18","8")&amp;" Comdty","")</f>
        <v/>
      </c>
      <c r="BC1" s="2">
        <f>IF(Settings!$B$13="Y","CON"&amp;IF(BC$2&lt;Settings!$B$3,"18","8")&amp;" Comdty","")</f>
        <v/>
      </c>
      <c r="BL1" s="2">
        <f>IF(Settings!$B$13="Y","COQ"&amp;IF(BL$2&lt;Settings!$B$3,"18","8")&amp;" Comdty","")</f>
        <v/>
      </c>
      <c r="BU1" s="2">
        <f>IF(Settings!$B$13="Y","COU"&amp;IF(BU$2&lt;Settings!$B$3,"18","8")&amp;" Comdty","")</f>
        <v/>
      </c>
      <c r="CD1" s="2">
        <f>IF(Settings!$B$13="Y","COV"&amp;IF(CD$2&lt;Settings!$B$3,"18","8")&amp;" Comdty","")</f>
        <v/>
      </c>
      <c r="CM1" s="2">
        <f>IF(Settings!$B$13="Y","COX"&amp;IF(CM$2&lt;Settings!$B$3,"18","8")&amp;" Comdty","")</f>
        <v/>
      </c>
      <c r="CV1" s="2">
        <f>IF(Settings!$B$13="Y","COZ"&amp;IF(CV$2&lt;Settings!$B$3,"18","8")&amp;" Comdty","")</f>
        <v/>
      </c>
    </row>
    <row r="2">
      <c r="A2" s="8">
        <f>WORKDAY(DATE(2018,1-1,1),-1)</f>
        <v/>
      </c>
      <c r="B2" s="8">
        <f>IF(A$1="","",BDP(A$1,"LAST_TRADEABLE_DT"))</f>
        <v/>
      </c>
      <c r="J2" s="8">
        <f>WORKDAY(DATE(2018,2-1,1),-1)</f>
        <v/>
      </c>
      <c r="K2" s="8">
        <f>IF(J$1="","",BDP(J$1,"LAST_TRADEABLE_DT"))</f>
        <v/>
      </c>
      <c r="S2" s="8">
        <f>WORKDAY(DATE(2018,3-1,1),-1)</f>
        <v/>
      </c>
      <c r="T2" s="8">
        <f>IF(S$1="","",BDP(S$1,"LAST_TRADEABLE_DT"))</f>
        <v/>
      </c>
      <c r="AB2" s="8">
        <f>WORKDAY(DATE(2018,4-1,1),-1)</f>
        <v/>
      </c>
      <c r="AC2" s="8">
        <f>IF(AB$1="","",BDP(AB$1,"LAST_TRADEABLE_DT"))</f>
        <v/>
      </c>
      <c r="AK2" s="8">
        <f>WORKDAY(DATE(2018,5-1,1),-1)</f>
        <v/>
      </c>
      <c r="AL2" s="8">
        <f>IF(AK$1="","",BDP(AK$1,"LAST_TRADEABLE_DT"))</f>
        <v/>
      </c>
      <c r="AT2" s="8">
        <f>WORKDAY(DATE(2018,6-1,1),-1)</f>
        <v/>
      </c>
      <c r="AU2" s="8">
        <f>IF(AT$1="","",BDP(AT$1,"LAST_TRADEABLE_DT"))</f>
        <v/>
      </c>
      <c r="BC2" s="8">
        <f>WORKDAY(DATE(2018,7-1,1),-1)</f>
        <v/>
      </c>
      <c r="BD2" s="8">
        <f>IF(BC$1="","",BDP(BC$1,"LAST_TRADEABLE_DT"))</f>
        <v/>
      </c>
      <c r="BL2" s="8">
        <f>WORKDAY(DATE(2018,8-1,1),-1)</f>
        <v/>
      </c>
      <c r="BM2" s="8">
        <f>IF(BL$1="","",BDP(BL$1,"LAST_TRADEABLE_DT"))</f>
        <v/>
      </c>
      <c r="BU2" s="8">
        <f>WORKDAY(DATE(2018,9-1,1),-1)</f>
        <v/>
      </c>
      <c r="BV2" s="8">
        <f>IF(BU$1="","",BDP(BU$1,"LAST_TRADEABLE_DT"))</f>
        <v/>
      </c>
      <c r="CD2" s="8">
        <f>WORKDAY(DATE(2018,10-1,1),-1)</f>
        <v/>
      </c>
      <c r="CE2" s="8">
        <f>IF(CD$1="","",BDP(CD$1,"LAST_TRADEABLE_DT"))</f>
        <v/>
      </c>
      <c r="CM2" s="8">
        <f>WORKDAY(DATE(2018,11-1,1),-1)</f>
        <v/>
      </c>
      <c r="CN2" s="8">
        <f>IF(CM$1="","",BDP(CM$1,"LAST_TRADEABLE_DT"))</f>
        <v/>
      </c>
      <c r="CV2" s="8">
        <f>WORKDAY(DATE(2018,12-1,1),-1)</f>
        <v/>
      </c>
      <c r="CW2" s="8">
        <f>IF(CV$1="","",BDP(CV$1,"LAST_TRADEABLE_DT"))</f>
        <v/>
      </c>
    </row>
    <row r="3">
      <c r="A3" s="5" t="inlineStr">
        <is>
          <t>Date</t>
        </is>
      </c>
      <c r="B3" s="5" t="inlineStr">
        <is>
          <t>PX_OPEN</t>
        </is>
      </c>
      <c r="C3" s="5" t="inlineStr">
        <is>
          <t>PX_HIGH</t>
        </is>
      </c>
      <c r="D3" s="5" t="inlineStr">
        <is>
          <t>PX_LOW</t>
        </is>
      </c>
      <c r="E3" s="5" t="inlineStr">
        <is>
          <t>PX_LAST</t>
        </is>
      </c>
      <c r="F3" s="5" t="inlineStr">
        <is>
          <t>PX_SETTLE</t>
        </is>
      </c>
      <c r="G3" s="5" t="inlineStr">
        <is>
          <t>PX_VOLUME</t>
        </is>
      </c>
      <c r="H3" s="5" t="inlineStr">
        <is>
          <t>OPEN_INT</t>
        </is>
      </c>
      <c r="J3" s="5" t="inlineStr">
        <is>
          <t>Date</t>
        </is>
      </c>
      <c r="K3" s="5" t="inlineStr">
        <is>
          <t>PX_OPEN</t>
        </is>
      </c>
      <c r="L3" s="5" t="inlineStr">
        <is>
          <t>PX_HIGH</t>
        </is>
      </c>
      <c r="M3" s="5" t="inlineStr">
        <is>
          <t>PX_LOW</t>
        </is>
      </c>
      <c r="N3" s="5" t="inlineStr">
        <is>
          <t>PX_LAST</t>
        </is>
      </c>
      <c r="O3" s="5" t="inlineStr">
        <is>
          <t>PX_SETTLE</t>
        </is>
      </c>
      <c r="P3" s="5" t="inlineStr">
        <is>
          <t>PX_VOLUME</t>
        </is>
      </c>
      <c r="Q3" s="5" t="inlineStr">
        <is>
          <t>OPEN_INT</t>
        </is>
      </c>
      <c r="S3" s="5" t="inlineStr">
        <is>
          <t>Date</t>
        </is>
      </c>
      <c r="T3" s="5" t="inlineStr">
        <is>
          <t>PX_OPEN</t>
        </is>
      </c>
      <c r="U3" s="5" t="inlineStr">
        <is>
          <t>PX_HIGH</t>
        </is>
      </c>
      <c r="V3" s="5" t="inlineStr">
        <is>
          <t>PX_LOW</t>
        </is>
      </c>
      <c r="W3" s="5" t="inlineStr">
        <is>
          <t>PX_LAST</t>
        </is>
      </c>
      <c r="X3" s="5" t="inlineStr">
        <is>
          <t>PX_SETTLE</t>
        </is>
      </c>
      <c r="Y3" s="5" t="inlineStr">
        <is>
          <t>PX_VOLUME</t>
        </is>
      </c>
      <c r="Z3" s="5" t="inlineStr">
        <is>
          <t>OPEN_INT</t>
        </is>
      </c>
      <c r="AB3" s="5" t="inlineStr">
        <is>
          <t>Date</t>
        </is>
      </c>
      <c r="AC3" s="5" t="inlineStr">
        <is>
          <t>PX_OPEN</t>
        </is>
      </c>
      <c r="AD3" s="5" t="inlineStr">
        <is>
          <t>PX_HIGH</t>
        </is>
      </c>
      <c r="AE3" s="5" t="inlineStr">
        <is>
          <t>PX_LOW</t>
        </is>
      </c>
      <c r="AF3" s="5" t="inlineStr">
        <is>
          <t>PX_LAST</t>
        </is>
      </c>
      <c r="AG3" s="5" t="inlineStr">
        <is>
          <t>PX_SETTLE</t>
        </is>
      </c>
      <c r="AH3" s="5" t="inlineStr">
        <is>
          <t>PX_VOLUME</t>
        </is>
      </c>
      <c r="AI3" s="5" t="inlineStr">
        <is>
          <t>OPEN_INT</t>
        </is>
      </c>
      <c r="AK3" s="5" t="inlineStr">
        <is>
          <t>Date</t>
        </is>
      </c>
      <c r="AL3" s="5" t="inlineStr">
        <is>
          <t>PX_OPEN</t>
        </is>
      </c>
      <c r="AM3" s="5" t="inlineStr">
        <is>
          <t>PX_HIGH</t>
        </is>
      </c>
      <c r="AN3" s="5" t="inlineStr">
        <is>
          <t>PX_LOW</t>
        </is>
      </c>
      <c r="AO3" s="5" t="inlineStr">
        <is>
          <t>PX_LAST</t>
        </is>
      </c>
      <c r="AP3" s="5" t="inlineStr">
        <is>
          <t>PX_SETTLE</t>
        </is>
      </c>
      <c r="AQ3" s="5" t="inlineStr">
        <is>
          <t>PX_VOLUME</t>
        </is>
      </c>
      <c r="AR3" s="5" t="inlineStr">
        <is>
          <t>OPEN_INT</t>
        </is>
      </c>
      <c r="AT3" s="5" t="inlineStr">
        <is>
          <t>Date</t>
        </is>
      </c>
      <c r="AU3" s="5" t="inlineStr">
        <is>
          <t>PX_OPEN</t>
        </is>
      </c>
      <c r="AV3" s="5" t="inlineStr">
        <is>
          <t>PX_HIGH</t>
        </is>
      </c>
      <c r="AW3" s="5" t="inlineStr">
        <is>
          <t>PX_LOW</t>
        </is>
      </c>
      <c r="AX3" s="5" t="inlineStr">
        <is>
          <t>PX_LAST</t>
        </is>
      </c>
      <c r="AY3" s="5" t="inlineStr">
        <is>
          <t>PX_SETTLE</t>
        </is>
      </c>
      <c r="AZ3" s="5" t="inlineStr">
        <is>
          <t>PX_VOLUME</t>
        </is>
      </c>
      <c r="BA3" s="5" t="inlineStr">
        <is>
          <t>OPEN_INT</t>
        </is>
      </c>
      <c r="BC3" s="5" t="inlineStr">
        <is>
          <t>Date</t>
        </is>
      </c>
      <c r="BD3" s="5" t="inlineStr">
        <is>
          <t>PX_OPEN</t>
        </is>
      </c>
      <c r="BE3" s="5" t="inlineStr">
        <is>
          <t>PX_HIGH</t>
        </is>
      </c>
      <c r="BF3" s="5" t="inlineStr">
        <is>
          <t>PX_LOW</t>
        </is>
      </c>
      <c r="BG3" s="5" t="inlineStr">
        <is>
          <t>PX_LAST</t>
        </is>
      </c>
      <c r="BH3" s="5" t="inlineStr">
        <is>
          <t>PX_SETTLE</t>
        </is>
      </c>
      <c r="BI3" s="5" t="inlineStr">
        <is>
          <t>PX_VOLUME</t>
        </is>
      </c>
      <c r="BJ3" s="5" t="inlineStr">
        <is>
          <t>OPEN_INT</t>
        </is>
      </c>
      <c r="BL3" s="5" t="inlineStr">
        <is>
          <t>Date</t>
        </is>
      </c>
      <c r="BM3" s="5" t="inlineStr">
        <is>
          <t>PX_OPEN</t>
        </is>
      </c>
      <c r="BN3" s="5" t="inlineStr">
        <is>
          <t>PX_HIGH</t>
        </is>
      </c>
      <c r="BO3" s="5" t="inlineStr">
        <is>
          <t>PX_LOW</t>
        </is>
      </c>
      <c r="BP3" s="5" t="inlineStr">
        <is>
          <t>PX_LAST</t>
        </is>
      </c>
      <c r="BQ3" s="5" t="inlineStr">
        <is>
          <t>PX_SETTLE</t>
        </is>
      </c>
      <c r="BR3" s="5" t="inlineStr">
        <is>
          <t>PX_VOLUME</t>
        </is>
      </c>
      <c r="BS3" s="5" t="inlineStr">
        <is>
          <t>OPEN_INT</t>
        </is>
      </c>
      <c r="BU3" s="5" t="inlineStr">
        <is>
          <t>Date</t>
        </is>
      </c>
      <c r="BV3" s="5" t="inlineStr">
        <is>
          <t>PX_OPEN</t>
        </is>
      </c>
      <c r="BW3" s="5" t="inlineStr">
        <is>
          <t>PX_HIGH</t>
        </is>
      </c>
      <c r="BX3" s="5" t="inlineStr">
        <is>
          <t>PX_LOW</t>
        </is>
      </c>
      <c r="BY3" s="5" t="inlineStr">
        <is>
          <t>PX_LAST</t>
        </is>
      </c>
      <c r="BZ3" s="5" t="inlineStr">
        <is>
          <t>PX_SETTLE</t>
        </is>
      </c>
      <c r="CA3" s="5" t="inlineStr">
        <is>
          <t>PX_VOLUME</t>
        </is>
      </c>
      <c r="CB3" s="5" t="inlineStr">
        <is>
          <t>OPEN_INT</t>
        </is>
      </c>
      <c r="CD3" s="5" t="inlineStr">
        <is>
          <t>Date</t>
        </is>
      </c>
      <c r="CE3" s="5" t="inlineStr">
        <is>
          <t>PX_OPEN</t>
        </is>
      </c>
      <c r="CF3" s="5" t="inlineStr">
        <is>
          <t>PX_HIGH</t>
        </is>
      </c>
      <c r="CG3" s="5" t="inlineStr">
        <is>
          <t>PX_LOW</t>
        </is>
      </c>
      <c r="CH3" s="5" t="inlineStr">
        <is>
          <t>PX_LAST</t>
        </is>
      </c>
      <c r="CI3" s="5" t="inlineStr">
        <is>
          <t>PX_SETTLE</t>
        </is>
      </c>
      <c r="CJ3" s="5" t="inlineStr">
        <is>
          <t>PX_VOLUME</t>
        </is>
      </c>
      <c r="CK3" s="5" t="inlineStr">
        <is>
          <t>OPEN_INT</t>
        </is>
      </c>
      <c r="CM3" s="5" t="inlineStr">
        <is>
          <t>Date</t>
        </is>
      </c>
      <c r="CN3" s="5" t="inlineStr">
        <is>
          <t>PX_OPEN</t>
        </is>
      </c>
      <c r="CO3" s="5" t="inlineStr">
        <is>
          <t>PX_HIGH</t>
        </is>
      </c>
      <c r="CP3" s="5" t="inlineStr">
        <is>
          <t>PX_LOW</t>
        </is>
      </c>
      <c r="CQ3" s="5" t="inlineStr">
        <is>
          <t>PX_LAST</t>
        </is>
      </c>
      <c r="CR3" s="5" t="inlineStr">
        <is>
          <t>PX_SETTLE</t>
        </is>
      </c>
      <c r="CS3" s="5" t="inlineStr">
        <is>
          <t>PX_VOLUME</t>
        </is>
      </c>
      <c r="CT3" s="5" t="inlineStr">
        <is>
          <t>OPEN_INT</t>
        </is>
      </c>
      <c r="CV3" s="5" t="inlineStr">
        <is>
          <t>Date</t>
        </is>
      </c>
      <c r="CW3" s="5" t="inlineStr">
        <is>
          <t>PX_OPEN</t>
        </is>
      </c>
      <c r="CX3" s="5" t="inlineStr">
        <is>
          <t>PX_HIGH</t>
        </is>
      </c>
      <c r="CY3" s="5" t="inlineStr">
        <is>
          <t>PX_LOW</t>
        </is>
      </c>
      <c r="CZ3" s="5" t="inlineStr">
        <is>
          <t>PX_LAST</t>
        </is>
      </c>
      <c r="DA3" s="5" t="inlineStr">
        <is>
          <t>PX_SETTLE</t>
        </is>
      </c>
      <c r="DB3" s="5" t="inlineStr">
        <is>
          <t>PX_VOLUME</t>
        </is>
      </c>
      <c r="DC3" s="5" t="inlineStr">
        <is>
          <t>OPEN_INT</t>
        </is>
      </c>
    </row>
    <row r="4">
      <c r="A4" s="4">
        <f>BDH(A$1,B$3:H$3,Settings!$C$13,IF(Settings!$D$13="","",Settings!$D$13),"Dir=V","Dts=S","Sort=A","Days=T","Fill=B")</f>
        <v/>
      </c>
      <c r="J4" s="4">
        <f>BDH(J$1,K$3:Q$3,Settings!$C$13,IF(Settings!$D$13="","",Settings!$D$13),"Dir=V","Dts=S","Sort=A","Days=T","Fill=B")</f>
        <v/>
      </c>
      <c r="S4" s="4">
        <f>BDH(S$1,T$3:Z$3,Settings!$C$13,IF(Settings!$D$13="","",Settings!$D$13),"Dir=V","Dts=S","Sort=A","Days=T","Fill=B")</f>
        <v/>
      </c>
      <c r="AB4" s="4">
        <f>BDH(AB$1,AC$3:AI$3,Settings!$C$13,IF(Settings!$D$13="","",Settings!$D$13),"Dir=V","Dts=S","Sort=A","Days=T","Fill=B")</f>
        <v/>
      </c>
      <c r="AK4" s="4">
        <f>BDH(AK$1,AL$3:AR$3,Settings!$C$13,IF(Settings!$D$13="","",Settings!$D$13),"Dir=V","Dts=S","Sort=A","Days=T","Fill=B")</f>
        <v/>
      </c>
      <c r="AT4" s="4">
        <f>BDH(AT$1,AU$3:BA$3,Settings!$C$13,IF(Settings!$D$13="","",Settings!$D$13),"Dir=V","Dts=S","Sort=A","Days=T","Fill=B")</f>
        <v/>
      </c>
      <c r="BC4" s="4">
        <f>BDH(BC$1,BD$3:BJ$3,Settings!$C$13,IF(Settings!$D$13="","",Settings!$D$13),"Dir=V","Dts=S","Sort=A","Days=T","Fill=B")</f>
        <v/>
      </c>
      <c r="BL4" s="4">
        <f>BDH(BL$1,BM$3:BS$3,Settings!$C$13,IF(Settings!$D$13="","",Settings!$D$13),"Dir=V","Dts=S","Sort=A","Days=T","Fill=B")</f>
        <v/>
      </c>
      <c r="BU4" s="4">
        <f>BDH(BU$1,BV$3:CB$3,Settings!$C$13,IF(Settings!$D$13="","",Settings!$D$13),"Dir=V","Dts=S","Sort=A","Days=T","Fill=B")</f>
        <v/>
      </c>
      <c r="CD4" s="4">
        <f>BDH(CD$1,CE$3:CK$3,Settings!$C$13,IF(Settings!$D$13="","",Settings!$D$13),"Dir=V","Dts=S","Sort=A","Days=T","Fill=B")</f>
        <v/>
      </c>
      <c r="CM4" s="4">
        <f>BDH(CM$1,CN$3:CT$3,Settings!$C$13,IF(Settings!$D$13="","",Settings!$D$13),"Dir=V","Dts=S","Sort=A","Days=T","Fill=B")</f>
        <v/>
      </c>
      <c r="CV4" s="4">
        <f>BDH(CV$1,CW$3:DC$3,Settings!$C$13,IF(Settings!$D$13="","",Settings!$D$13),"Dir=V","Dts=S","Sort=A","Days=T","Fill=B")</f>
        <v/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C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1" customWidth="1" min="7" max="7"/>
    <col width="10" customWidth="1" min="8" max="8"/>
    <col width="12" customWidth="1" min="10" max="10"/>
    <col width="10" customWidth="1" min="11" max="11"/>
    <col width="10" customWidth="1" min="12" max="12"/>
    <col width="10" customWidth="1" min="13" max="13"/>
    <col width="10" customWidth="1" min="14" max="14"/>
    <col width="11" customWidth="1" min="15" max="15"/>
    <col width="11" customWidth="1" min="16" max="16"/>
    <col width="10" customWidth="1" min="17" max="17"/>
    <col width="12" customWidth="1" min="19" max="19"/>
    <col width="10" customWidth="1" min="20" max="20"/>
    <col width="10" customWidth="1" min="21" max="21"/>
    <col width="10" customWidth="1" min="22" max="22"/>
    <col width="10" customWidth="1" min="23" max="23"/>
    <col width="11" customWidth="1" min="24" max="24"/>
    <col width="11" customWidth="1" min="25" max="25"/>
    <col width="10" customWidth="1" min="26" max="26"/>
    <col width="12" customWidth="1" min="28" max="28"/>
    <col width="10" customWidth="1" min="29" max="29"/>
    <col width="10" customWidth="1" min="30" max="30"/>
    <col width="10" customWidth="1" min="31" max="31"/>
    <col width="10" customWidth="1" min="32" max="32"/>
    <col width="11" customWidth="1" min="33" max="33"/>
    <col width="11" customWidth="1" min="34" max="34"/>
    <col width="10" customWidth="1" min="35" max="35"/>
    <col width="12" customWidth="1" min="37" max="37"/>
    <col width="10" customWidth="1" min="38" max="38"/>
    <col width="10" customWidth="1" min="39" max="39"/>
    <col width="10" customWidth="1" min="40" max="40"/>
    <col width="10" customWidth="1" min="41" max="41"/>
    <col width="11" customWidth="1" min="42" max="42"/>
    <col width="11" customWidth="1" min="43" max="43"/>
    <col width="10" customWidth="1" min="44" max="44"/>
    <col width="12" customWidth="1" min="46" max="46"/>
    <col width="10" customWidth="1" min="47" max="47"/>
    <col width="10" customWidth="1" min="48" max="48"/>
    <col width="10" customWidth="1" min="49" max="49"/>
    <col width="10" customWidth="1" min="50" max="50"/>
    <col width="11" customWidth="1" min="51" max="51"/>
    <col width="11" customWidth="1" min="52" max="52"/>
    <col width="10" customWidth="1" min="53" max="53"/>
    <col width="12" customWidth="1" min="55" max="55"/>
    <col width="10" customWidth="1" min="56" max="56"/>
    <col width="10" customWidth="1" min="57" max="57"/>
    <col width="10" customWidth="1" min="58" max="58"/>
    <col width="10" customWidth="1" min="59" max="59"/>
    <col width="11" customWidth="1" min="60" max="60"/>
    <col width="11" customWidth="1" min="61" max="61"/>
    <col width="10" customWidth="1" min="62" max="62"/>
    <col width="12" customWidth="1" min="64" max="64"/>
    <col width="10" customWidth="1" min="65" max="65"/>
    <col width="10" customWidth="1" min="66" max="66"/>
    <col width="10" customWidth="1" min="67" max="67"/>
    <col width="10" customWidth="1" min="68" max="68"/>
    <col width="11" customWidth="1" min="69" max="69"/>
    <col width="11" customWidth="1" min="70" max="70"/>
    <col width="10" customWidth="1" min="71" max="71"/>
    <col width="12" customWidth="1" min="73" max="73"/>
    <col width="10" customWidth="1" min="74" max="74"/>
    <col width="10" customWidth="1" min="75" max="75"/>
    <col width="10" customWidth="1" min="76" max="76"/>
    <col width="10" customWidth="1" min="77" max="77"/>
    <col width="11" customWidth="1" min="78" max="78"/>
    <col width="11" customWidth="1" min="79" max="79"/>
    <col width="10" customWidth="1" min="80" max="80"/>
    <col width="12" customWidth="1" min="82" max="82"/>
    <col width="10" customWidth="1" min="83" max="83"/>
    <col width="10" customWidth="1" min="84" max="84"/>
    <col width="10" customWidth="1" min="85" max="85"/>
    <col width="10" customWidth="1" min="86" max="86"/>
    <col width="11" customWidth="1" min="87" max="87"/>
    <col width="11" customWidth="1" min="88" max="88"/>
    <col width="10" customWidth="1" min="89" max="89"/>
    <col width="12" customWidth="1" min="91" max="91"/>
    <col width="10" customWidth="1" min="92" max="92"/>
    <col width="10" customWidth="1" min="93" max="93"/>
    <col width="10" customWidth="1" min="94" max="94"/>
    <col width="10" customWidth="1" min="95" max="95"/>
    <col width="11" customWidth="1" min="96" max="96"/>
    <col width="11" customWidth="1" min="97" max="97"/>
    <col width="10" customWidth="1" min="98" max="98"/>
    <col width="12" customWidth="1" min="100" max="100"/>
    <col width="10" customWidth="1" min="101" max="101"/>
    <col width="10" customWidth="1" min="102" max="102"/>
    <col width="10" customWidth="1" min="103" max="103"/>
    <col width="10" customWidth="1" min="104" max="104"/>
    <col width="11" customWidth="1" min="105" max="105"/>
    <col width="11" customWidth="1" min="106" max="106"/>
    <col width="10" customWidth="1" min="107" max="107"/>
  </cols>
  <sheetData>
    <row r="1">
      <c r="A1" s="2">
        <f>IF(Settings!$B$13="Y","COF"&amp;IF(A$2&lt;Settings!$B$3,"19","9")&amp;" Comdty","")</f>
        <v/>
      </c>
      <c r="J1" s="2">
        <f>IF(Settings!$B$13="Y","COG"&amp;IF(J$2&lt;Settings!$B$3,"19","9")&amp;" Comdty","")</f>
        <v/>
      </c>
      <c r="S1" s="2">
        <f>IF(Settings!$B$13="Y","COH"&amp;IF(S$2&lt;Settings!$B$3,"19","9")&amp;" Comdty","")</f>
        <v/>
      </c>
      <c r="AB1" s="2">
        <f>IF(Settings!$B$13="Y","COJ"&amp;IF(AB$2&lt;Settings!$B$3,"19","9")&amp;" Comdty","")</f>
        <v/>
      </c>
      <c r="AK1" s="2">
        <f>IF(Settings!$B$13="Y","COK"&amp;IF(AK$2&lt;Settings!$B$3,"19","9")&amp;" Comdty","")</f>
        <v/>
      </c>
      <c r="AT1" s="2">
        <f>IF(Settings!$B$13="Y","COM"&amp;IF(AT$2&lt;Settings!$B$3,"19","9")&amp;" Comdty","")</f>
        <v/>
      </c>
      <c r="BC1" s="2">
        <f>IF(Settings!$B$13="Y","CON"&amp;IF(BC$2&lt;Settings!$B$3,"19","9")&amp;" Comdty","")</f>
        <v/>
      </c>
      <c r="BL1" s="2">
        <f>IF(Settings!$B$13="Y","COQ"&amp;IF(BL$2&lt;Settings!$B$3,"19","9")&amp;" Comdty","")</f>
        <v/>
      </c>
      <c r="BU1" s="2">
        <f>IF(Settings!$B$13="Y","COU"&amp;IF(BU$2&lt;Settings!$B$3,"19","9")&amp;" Comdty","")</f>
        <v/>
      </c>
      <c r="CD1" s="2">
        <f>IF(Settings!$B$13="Y","COV"&amp;IF(CD$2&lt;Settings!$B$3,"19","9")&amp;" Comdty","")</f>
        <v/>
      </c>
      <c r="CM1" s="2">
        <f>IF(Settings!$B$13="Y","COX"&amp;IF(CM$2&lt;Settings!$B$3,"19","9")&amp;" Comdty","")</f>
        <v/>
      </c>
      <c r="CV1" s="2">
        <f>IF(Settings!$B$13="Y","COZ"&amp;IF(CV$2&lt;Settings!$B$3,"19","9")&amp;" Comdty","")</f>
        <v/>
      </c>
    </row>
    <row r="2">
      <c r="A2" s="8">
        <f>WORKDAY(DATE(2019,1-1,1),-1)</f>
        <v/>
      </c>
      <c r="B2" s="8">
        <f>IF(A$1="","",BDP(A$1,"LAST_TRADEABLE_DT"))</f>
        <v/>
      </c>
      <c r="J2" s="8">
        <f>WORKDAY(DATE(2019,2-1,1),-1)</f>
        <v/>
      </c>
      <c r="K2" s="8">
        <f>IF(J$1="","",BDP(J$1,"LAST_TRADEABLE_DT"))</f>
        <v/>
      </c>
      <c r="S2" s="8">
        <f>WORKDAY(DATE(2019,3-1,1),-1)</f>
        <v/>
      </c>
      <c r="T2" s="8">
        <f>IF(S$1="","",BDP(S$1,"LAST_TRADEABLE_DT"))</f>
        <v/>
      </c>
      <c r="AB2" s="8">
        <f>WORKDAY(DATE(2019,4-1,1),-1)</f>
        <v/>
      </c>
      <c r="AC2" s="8">
        <f>IF(AB$1="","",BDP(AB$1,"LAST_TRADEABLE_DT"))</f>
        <v/>
      </c>
      <c r="AK2" s="8">
        <f>WORKDAY(DATE(2019,5-1,1),-1)</f>
        <v/>
      </c>
      <c r="AL2" s="8">
        <f>IF(AK$1="","",BDP(AK$1,"LAST_TRADEABLE_DT"))</f>
        <v/>
      </c>
      <c r="AT2" s="8">
        <f>WORKDAY(DATE(2019,6-1,1),-1)</f>
        <v/>
      </c>
      <c r="AU2" s="8">
        <f>IF(AT$1="","",BDP(AT$1,"LAST_TRADEABLE_DT"))</f>
        <v/>
      </c>
      <c r="BC2" s="8">
        <f>WORKDAY(DATE(2019,7-1,1),-1)</f>
        <v/>
      </c>
      <c r="BD2" s="8">
        <f>IF(BC$1="","",BDP(BC$1,"LAST_TRADEABLE_DT"))</f>
        <v/>
      </c>
      <c r="BL2" s="8">
        <f>WORKDAY(DATE(2019,8-1,1),-1)</f>
        <v/>
      </c>
      <c r="BM2" s="8">
        <f>IF(BL$1="","",BDP(BL$1,"LAST_TRADEABLE_DT"))</f>
        <v/>
      </c>
      <c r="BU2" s="8">
        <f>WORKDAY(DATE(2019,9-1,1),-1)</f>
        <v/>
      </c>
      <c r="BV2" s="8">
        <f>IF(BU$1="","",BDP(BU$1,"LAST_TRADEABLE_DT"))</f>
        <v/>
      </c>
      <c r="CD2" s="8">
        <f>WORKDAY(DATE(2019,10-1,1),-1)</f>
        <v/>
      </c>
      <c r="CE2" s="8">
        <f>IF(CD$1="","",BDP(CD$1,"LAST_TRADEABLE_DT"))</f>
        <v/>
      </c>
      <c r="CM2" s="8">
        <f>WORKDAY(DATE(2019,11-1,1),-1)</f>
        <v/>
      </c>
      <c r="CN2" s="8">
        <f>IF(CM$1="","",BDP(CM$1,"LAST_TRADEABLE_DT"))</f>
        <v/>
      </c>
      <c r="CV2" s="8">
        <f>WORKDAY(DATE(2019,12-1,1),-1)</f>
        <v/>
      </c>
      <c r="CW2" s="8">
        <f>IF(CV$1="","",BDP(CV$1,"LAST_TRADEABLE_DT"))</f>
        <v/>
      </c>
    </row>
    <row r="3">
      <c r="A3" s="5" t="inlineStr">
        <is>
          <t>Date</t>
        </is>
      </c>
      <c r="B3" s="5" t="inlineStr">
        <is>
          <t>PX_OPEN</t>
        </is>
      </c>
      <c r="C3" s="5" t="inlineStr">
        <is>
          <t>PX_HIGH</t>
        </is>
      </c>
      <c r="D3" s="5" t="inlineStr">
        <is>
          <t>PX_LOW</t>
        </is>
      </c>
      <c r="E3" s="5" t="inlineStr">
        <is>
          <t>PX_LAST</t>
        </is>
      </c>
      <c r="F3" s="5" t="inlineStr">
        <is>
          <t>PX_SETTLE</t>
        </is>
      </c>
      <c r="G3" s="5" t="inlineStr">
        <is>
          <t>PX_VOLUME</t>
        </is>
      </c>
      <c r="H3" s="5" t="inlineStr">
        <is>
          <t>OPEN_INT</t>
        </is>
      </c>
      <c r="J3" s="5" t="inlineStr">
        <is>
          <t>Date</t>
        </is>
      </c>
      <c r="K3" s="5" t="inlineStr">
        <is>
          <t>PX_OPEN</t>
        </is>
      </c>
      <c r="L3" s="5" t="inlineStr">
        <is>
          <t>PX_HIGH</t>
        </is>
      </c>
      <c r="M3" s="5" t="inlineStr">
        <is>
          <t>PX_LOW</t>
        </is>
      </c>
      <c r="N3" s="5" t="inlineStr">
        <is>
          <t>PX_LAST</t>
        </is>
      </c>
      <c r="O3" s="5" t="inlineStr">
        <is>
          <t>PX_SETTLE</t>
        </is>
      </c>
      <c r="P3" s="5" t="inlineStr">
        <is>
          <t>PX_VOLUME</t>
        </is>
      </c>
      <c r="Q3" s="5" t="inlineStr">
        <is>
          <t>OPEN_INT</t>
        </is>
      </c>
      <c r="S3" s="5" t="inlineStr">
        <is>
          <t>Date</t>
        </is>
      </c>
      <c r="T3" s="5" t="inlineStr">
        <is>
          <t>PX_OPEN</t>
        </is>
      </c>
      <c r="U3" s="5" t="inlineStr">
        <is>
          <t>PX_HIGH</t>
        </is>
      </c>
      <c r="V3" s="5" t="inlineStr">
        <is>
          <t>PX_LOW</t>
        </is>
      </c>
      <c r="W3" s="5" t="inlineStr">
        <is>
          <t>PX_LAST</t>
        </is>
      </c>
      <c r="X3" s="5" t="inlineStr">
        <is>
          <t>PX_SETTLE</t>
        </is>
      </c>
      <c r="Y3" s="5" t="inlineStr">
        <is>
          <t>PX_VOLUME</t>
        </is>
      </c>
      <c r="Z3" s="5" t="inlineStr">
        <is>
          <t>OPEN_INT</t>
        </is>
      </c>
      <c r="AB3" s="5" t="inlineStr">
        <is>
          <t>Date</t>
        </is>
      </c>
      <c r="AC3" s="5" t="inlineStr">
        <is>
          <t>PX_OPEN</t>
        </is>
      </c>
      <c r="AD3" s="5" t="inlineStr">
        <is>
          <t>PX_HIGH</t>
        </is>
      </c>
      <c r="AE3" s="5" t="inlineStr">
        <is>
          <t>PX_LOW</t>
        </is>
      </c>
      <c r="AF3" s="5" t="inlineStr">
        <is>
          <t>PX_LAST</t>
        </is>
      </c>
      <c r="AG3" s="5" t="inlineStr">
        <is>
          <t>PX_SETTLE</t>
        </is>
      </c>
      <c r="AH3" s="5" t="inlineStr">
        <is>
          <t>PX_VOLUME</t>
        </is>
      </c>
      <c r="AI3" s="5" t="inlineStr">
        <is>
          <t>OPEN_INT</t>
        </is>
      </c>
      <c r="AK3" s="5" t="inlineStr">
        <is>
          <t>Date</t>
        </is>
      </c>
      <c r="AL3" s="5" t="inlineStr">
        <is>
          <t>PX_OPEN</t>
        </is>
      </c>
      <c r="AM3" s="5" t="inlineStr">
        <is>
          <t>PX_HIGH</t>
        </is>
      </c>
      <c r="AN3" s="5" t="inlineStr">
        <is>
          <t>PX_LOW</t>
        </is>
      </c>
      <c r="AO3" s="5" t="inlineStr">
        <is>
          <t>PX_LAST</t>
        </is>
      </c>
      <c r="AP3" s="5" t="inlineStr">
        <is>
          <t>PX_SETTLE</t>
        </is>
      </c>
      <c r="AQ3" s="5" t="inlineStr">
        <is>
          <t>PX_VOLUME</t>
        </is>
      </c>
      <c r="AR3" s="5" t="inlineStr">
        <is>
          <t>OPEN_INT</t>
        </is>
      </c>
      <c r="AT3" s="5" t="inlineStr">
        <is>
          <t>Date</t>
        </is>
      </c>
      <c r="AU3" s="5" t="inlineStr">
        <is>
          <t>PX_OPEN</t>
        </is>
      </c>
      <c r="AV3" s="5" t="inlineStr">
        <is>
          <t>PX_HIGH</t>
        </is>
      </c>
      <c r="AW3" s="5" t="inlineStr">
        <is>
          <t>PX_LOW</t>
        </is>
      </c>
      <c r="AX3" s="5" t="inlineStr">
        <is>
          <t>PX_LAST</t>
        </is>
      </c>
      <c r="AY3" s="5" t="inlineStr">
        <is>
          <t>PX_SETTLE</t>
        </is>
      </c>
      <c r="AZ3" s="5" t="inlineStr">
        <is>
          <t>PX_VOLUME</t>
        </is>
      </c>
      <c r="BA3" s="5" t="inlineStr">
        <is>
          <t>OPEN_INT</t>
        </is>
      </c>
      <c r="BC3" s="5" t="inlineStr">
        <is>
          <t>Date</t>
        </is>
      </c>
      <c r="BD3" s="5" t="inlineStr">
        <is>
          <t>PX_OPEN</t>
        </is>
      </c>
      <c r="BE3" s="5" t="inlineStr">
        <is>
          <t>PX_HIGH</t>
        </is>
      </c>
      <c r="BF3" s="5" t="inlineStr">
        <is>
          <t>PX_LOW</t>
        </is>
      </c>
      <c r="BG3" s="5" t="inlineStr">
        <is>
          <t>PX_LAST</t>
        </is>
      </c>
      <c r="BH3" s="5" t="inlineStr">
        <is>
          <t>PX_SETTLE</t>
        </is>
      </c>
      <c r="BI3" s="5" t="inlineStr">
        <is>
          <t>PX_VOLUME</t>
        </is>
      </c>
      <c r="BJ3" s="5" t="inlineStr">
        <is>
          <t>OPEN_INT</t>
        </is>
      </c>
      <c r="BL3" s="5" t="inlineStr">
        <is>
          <t>Date</t>
        </is>
      </c>
      <c r="BM3" s="5" t="inlineStr">
        <is>
          <t>PX_OPEN</t>
        </is>
      </c>
      <c r="BN3" s="5" t="inlineStr">
        <is>
          <t>PX_HIGH</t>
        </is>
      </c>
      <c r="BO3" s="5" t="inlineStr">
        <is>
          <t>PX_LOW</t>
        </is>
      </c>
      <c r="BP3" s="5" t="inlineStr">
        <is>
          <t>PX_LAST</t>
        </is>
      </c>
      <c r="BQ3" s="5" t="inlineStr">
        <is>
          <t>PX_SETTLE</t>
        </is>
      </c>
      <c r="BR3" s="5" t="inlineStr">
        <is>
          <t>PX_VOLUME</t>
        </is>
      </c>
      <c r="BS3" s="5" t="inlineStr">
        <is>
          <t>OPEN_INT</t>
        </is>
      </c>
      <c r="BU3" s="5" t="inlineStr">
        <is>
          <t>Date</t>
        </is>
      </c>
      <c r="BV3" s="5" t="inlineStr">
        <is>
          <t>PX_OPEN</t>
        </is>
      </c>
      <c r="BW3" s="5" t="inlineStr">
        <is>
          <t>PX_HIGH</t>
        </is>
      </c>
      <c r="BX3" s="5" t="inlineStr">
        <is>
          <t>PX_LOW</t>
        </is>
      </c>
      <c r="BY3" s="5" t="inlineStr">
        <is>
          <t>PX_LAST</t>
        </is>
      </c>
      <c r="BZ3" s="5" t="inlineStr">
        <is>
          <t>PX_SETTLE</t>
        </is>
      </c>
      <c r="CA3" s="5" t="inlineStr">
        <is>
          <t>PX_VOLUME</t>
        </is>
      </c>
      <c r="CB3" s="5" t="inlineStr">
        <is>
          <t>OPEN_INT</t>
        </is>
      </c>
      <c r="CD3" s="5" t="inlineStr">
        <is>
          <t>Date</t>
        </is>
      </c>
      <c r="CE3" s="5" t="inlineStr">
        <is>
          <t>PX_OPEN</t>
        </is>
      </c>
      <c r="CF3" s="5" t="inlineStr">
        <is>
          <t>PX_HIGH</t>
        </is>
      </c>
      <c r="CG3" s="5" t="inlineStr">
        <is>
          <t>PX_LOW</t>
        </is>
      </c>
      <c r="CH3" s="5" t="inlineStr">
        <is>
          <t>PX_LAST</t>
        </is>
      </c>
      <c r="CI3" s="5" t="inlineStr">
        <is>
          <t>PX_SETTLE</t>
        </is>
      </c>
      <c r="CJ3" s="5" t="inlineStr">
        <is>
          <t>PX_VOLUME</t>
        </is>
      </c>
      <c r="CK3" s="5" t="inlineStr">
        <is>
          <t>OPEN_INT</t>
        </is>
      </c>
      <c r="CM3" s="5" t="inlineStr">
        <is>
          <t>Date</t>
        </is>
      </c>
      <c r="CN3" s="5" t="inlineStr">
        <is>
          <t>PX_OPEN</t>
        </is>
      </c>
      <c r="CO3" s="5" t="inlineStr">
        <is>
          <t>PX_HIGH</t>
        </is>
      </c>
      <c r="CP3" s="5" t="inlineStr">
        <is>
          <t>PX_LOW</t>
        </is>
      </c>
      <c r="CQ3" s="5" t="inlineStr">
        <is>
          <t>PX_LAST</t>
        </is>
      </c>
      <c r="CR3" s="5" t="inlineStr">
        <is>
          <t>PX_SETTLE</t>
        </is>
      </c>
      <c r="CS3" s="5" t="inlineStr">
        <is>
          <t>PX_VOLUME</t>
        </is>
      </c>
      <c r="CT3" s="5" t="inlineStr">
        <is>
          <t>OPEN_INT</t>
        </is>
      </c>
      <c r="CV3" s="5" t="inlineStr">
        <is>
          <t>Date</t>
        </is>
      </c>
      <c r="CW3" s="5" t="inlineStr">
        <is>
          <t>PX_OPEN</t>
        </is>
      </c>
      <c r="CX3" s="5" t="inlineStr">
        <is>
          <t>PX_HIGH</t>
        </is>
      </c>
      <c r="CY3" s="5" t="inlineStr">
        <is>
          <t>PX_LOW</t>
        </is>
      </c>
      <c r="CZ3" s="5" t="inlineStr">
        <is>
          <t>PX_LAST</t>
        </is>
      </c>
      <c r="DA3" s="5" t="inlineStr">
        <is>
          <t>PX_SETTLE</t>
        </is>
      </c>
      <c r="DB3" s="5" t="inlineStr">
        <is>
          <t>PX_VOLUME</t>
        </is>
      </c>
      <c r="DC3" s="5" t="inlineStr">
        <is>
          <t>OPEN_INT</t>
        </is>
      </c>
    </row>
    <row r="4">
      <c r="A4" s="4">
        <f>BDH(A$1,B$3:H$3,Settings!$C$13,IF(Settings!$D$13="","",Settings!$D$13),"Dir=V","Dts=S","Sort=A","Days=T","Fill=B")</f>
        <v/>
      </c>
      <c r="J4" s="4">
        <f>BDH(J$1,K$3:Q$3,Settings!$C$13,IF(Settings!$D$13="","",Settings!$D$13),"Dir=V","Dts=S","Sort=A","Days=T","Fill=B")</f>
        <v/>
      </c>
      <c r="S4" s="4">
        <f>BDH(S$1,T$3:Z$3,Settings!$C$13,IF(Settings!$D$13="","",Settings!$D$13),"Dir=V","Dts=S","Sort=A","Days=T","Fill=B")</f>
        <v/>
      </c>
      <c r="AB4" s="4">
        <f>BDH(AB$1,AC$3:AI$3,Settings!$C$13,IF(Settings!$D$13="","",Settings!$D$13),"Dir=V","Dts=S","Sort=A","Days=T","Fill=B")</f>
        <v/>
      </c>
      <c r="AK4" s="4">
        <f>BDH(AK$1,AL$3:AR$3,Settings!$C$13,IF(Settings!$D$13="","",Settings!$D$13),"Dir=V","Dts=S","Sort=A","Days=T","Fill=B")</f>
        <v/>
      </c>
      <c r="AT4" s="4">
        <f>BDH(AT$1,AU$3:BA$3,Settings!$C$13,IF(Settings!$D$13="","",Settings!$D$13),"Dir=V","Dts=S","Sort=A","Days=T","Fill=B")</f>
        <v/>
      </c>
      <c r="BC4" s="4">
        <f>BDH(BC$1,BD$3:BJ$3,Settings!$C$13,IF(Settings!$D$13="","",Settings!$D$13),"Dir=V","Dts=S","Sort=A","Days=T","Fill=B")</f>
        <v/>
      </c>
      <c r="BL4" s="4">
        <f>BDH(BL$1,BM$3:BS$3,Settings!$C$13,IF(Settings!$D$13="","",Settings!$D$13),"Dir=V","Dts=S","Sort=A","Days=T","Fill=B")</f>
        <v/>
      </c>
      <c r="BU4" s="4">
        <f>BDH(BU$1,BV$3:CB$3,Settings!$C$13,IF(Settings!$D$13="","",Settings!$D$13),"Dir=V","Dts=S","Sort=A","Days=T","Fill=B")</f>
        <v/>
      </c>
      <c r="CD4" s="4">
        <f>BDH(CD$1,CE$3:CK$3,Settings!$C$13,IF(Settings!$D$13="","",Settings!$D$13),"Dir=V","Dts=S","Sort=A","Days=T","Fill=B")</f>
        <v/>
      </c>
      <c r="CM4" s="4">
        <f>BDH(CM$1,CN$3:CT$3,Settings!$C$13,IF(Settings!$D$13="","",Settings!$D$13),"Dir=V","Dts=S","Sort=A","Days=T","Fill=B")</f>
        <v/>
      </c>
      <c r="CV4" s="4">
        <f>BDH(CV$1,CW$3:DC$3,Settings!$C$13,IF(Settings!$D$13="","",Settings!$D$13),"Dir=V","Dts=S","Sort=A","Days=T","Fill=B")</f>
        <v/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C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1" customWidth="1" min="7" max="7"/>
    <col width="10" customWidth="1" min="8" max="8"/>
    <col width="12" customWidth="1" min="10" max="10"/>
    <col width="10" customWidth="1" min="11" max="11"/>
    <col width="10" customWidth="1" min="12" max="12"/>
    <col width="10" customWidth="1" min="13" max="13"/>
    <col width="10" customWidth="1" min="14" max="14"/>
    <col width="11" customWidth="1" min="15" max="15"/>
    <col width="11" customWidth="1" min="16" max="16"/>
    <col width="10" customWidth="1" min="17" max="17"/>
    <col width="12" customWidth="1" min="19" max="19"/>
    <col width="10" customWidth="1" min="20" max="20"/>
    <col width="10" customWidth="1" min="21" max="21"/>
    <col width="10" customWidth="1" min="22" max="22"/>
    <col width="10" customWidth="1" min="23" max="23"/>
    <col width="11" customWidth="1" min="24" max="24"/>
    <col width="11" customWidth="1" min="25" max="25"/>
    <col width="10" customWidth="1" min="26" max="26"/>
    <col width="12" customWidth="1" min="28" max="28"/>
    <col width="10" customWidth="1" min="29" max="29"/>
    <col width="10" customWidth="1" min="30" max="30"/>
    <col width="10" customWidth="1" min="31" max="31"/>
    <col width="10" customWidth="1" min="32" max="32"/>
    <col width="11" customWidth="1" min="33" max="33"/>
    <col width="11" customWidth="1" min="34" max="34"/>
    <col width="10" customWidth="1" min="35" max="35"/>
    <col width="12" customWidth="1" min="37" max="37"/>
    <col width="10" customWidth="1" min="38" max="38"/>
    <col width="10" customWidth="1" min="39" max="39"/>
    <col width="10" customWidth="1" min="40" max="40"/>
    <col width="10" customWidth="1" min="41" max="41"/>
    <col width="11" customWidth="1" min="42" max="42"/>
    <col width="11" customWidth="1" min="43" max="43"/>
    <col width="10" customWidth="1" min="44" max="44"/>
    <col width="12" customWidth="1" min="46" max="46"/>
    <col width="10" customWidth="1" min="47" max="47"/>
    <col width="10" customWidth="1" min="48" max="48"/>
    <col width="10" customWidth="1" min="49" max="49"/>
    <col width="10" customWidth="1" min="50" max="50"/>
    <col width="11" customWidth="1" min="51" max="51"/>
    <col width="11" customWidth="1" min="52" max="52"/>
    <col width="10" customWidth="1" min="53" max="53"/>
    <col width="12" customWidth="1" min="55" max="55"/>
    <col width="10" customWidth="1" min="56" max="56"/>
    <col width="10" customWidth="1" min="57" max="57"/>
    <col width="10" customWidth="1" min="58" max="58"/>
    <col width="10" customWidth="1" min="59" max="59"/>
    <col width="11" customWidth="1" min="60" max="60"/>
    <col width="11" customWidth="1" min="61" max="61"/>
    <col width="10" customWidth="1" min="62" max="62"/>
    <col width="12" customWidth="1" min="64" max="64"/>
    <col width="10" customWidth="1" min="65" max="65"/>
    <col width="10" customWidth="1" min="66" max="66"/>
    <col width="10" customWidth="1" min="67" max="67"/>
    <col width="10" customWidth="1" min="68" max="68"/>
    <col width="11" customWidth="1" min="69" max="69"/>
    <col width="11" customWidth="1" min="70" max="70"/>
    <col width="10" customWidth="1" min="71" max="71"/>
    <col width="12" customWidth="1" min="73" max="73"/>
    <col width="10" customWidth="1" min="74" max="74"/>
    <col width="10" customWidth="1" min="75" max="75"/>
    <col width="10" customWidth="1" min="76" max="76"/>
    <col width="10" customWidth="1" min="77" max="77"/>
    <col width="11" customWidth="1" min="78" max="78"/>
    <col width="11" customWidth="1" min="79" max="79"/>
    <col width="10" customWidth="1" min="80" max="80"/>
    <col width="12" customWidth="1" min="82" max="82"/>
    <col width="10" customWidth="1" min="83" max="83"/>
    <col width="10" customWidth="1" min="84" max="84"/>
    <col width="10" customWidth="1" min="85" max="85"/>
    <col width="10" customWidth="1" min="86" max="86"/>
    <col width="11" customWidth="1" min="87" max="87"/>
    <col width="11" customWidth="1" min="88" max="88"/>
    <col width="10" customWidth="1" min="89" max="89"/>
    <col width="12" customWidth="1" min="91" max="91"/>
    <col width="10" customWidth="1" min="92" max="92"/>
    <col width="10" customWidth="1" min="93" max="93"/>
    <col width="10" customWidth="1" min="94" max="94"/>
    <col width="10" customWidth="1" min="95" max="95"/>
    <col width="11" customWidth="1" min="96" max="96"/>
    <col width="11" customWidth="1" min="97" max="97"/>
    <col width="10" customWidth="1" min="98" max="98"/>
    <col width="12" customWidth="1" min="100" max="100"/>
    <col width="10" customWidth="1" min="101" max="101"/>
    <col width="10" customWidth="1" min="102" max="102"/>
    <col width="10" customWidth="1" min="103" max="103"/>
    <col width="10" customWidth="1" min="104" max="104"/>
    <col width="11" customWidth="1" min="105" max="105"/>
    <col width="11" customWidth="1" min="106" max="106"/>
    <col width="10" customWidth="1" min="107" max="107"/>
  </cols>
  <sheetData>
    <row r="1">
      <c r="A1" s="2">
        <f>IF(Settings!$B$13="Y","COF"&amp;IF(A$2&lt;Settings!$B$3,"20","0")&amp;" Comdty","")</f>
        <v/>
      </c>
      <c r="J1" s="2">
        <f>IF(Settings!$B$13="Y","COG"&amp;IF(J$2&lt;Settings!$B$3,"20","0")&amp;" Comdty","")</f>
        <v/>
      </c>
      <c r="S1" s="2">
        <f>IF(Settings!$B$13="Y","COH"&amp;IF(S$2&lt;Settings!$B$3,"20","0")&amp;" Comdty","")</f>
        <v/>
      </c>
      <c r="AB1" s="2">
        <f>IF(Settings!$B$13="Y","COJ"&amp;IF(AB$2&lt;Settings!$B$3,"20","0")&amp;" Comdty","")</f>
        <v/>
      </c>
      <c r="AK1" s="2">
        <f>IF(Settings!$B$13="Y","COK"&amp;IF(AK$2&lt;Settings!$B$3,"20","0")&amp;" Comdty","")</f>
        <v/>
      </c>
      <c r="AT1" s="2">
        <f>IF(Settings!$B$13="Y","COM"&amp;IF(AT$2&lt;Settings!$B$3,"20","0")&amp;" Comdty","")</f>
        <v/>
      </c>
      <c r="BC1" s="2">
        <f>IF(Settings!$B$13="Y","CON"&amp;IF(BC$2&lt;Settings!$B$3,"20","0")&amp;" Comdty","")</f>
        <v/>
      </c>
      <c r="BL1" s="2">
        <f>IF(Settings!$B$13="Y","COQ"&amp;IF(BL$2&lt;Settings!$B$3,"20","0")&amp;" Comdty","")</f>
        <v/>
      </c>
      <c r="BU1" s="2">
        <f>IF(Settings!$B$13="Y","COU"&amp;IF(BU$2&lt;Settings!$B$3,"20","0")&amp;" Comdty","")</f>
        <v/>
      </c>
      <c r="CD1" s="2">
        <f>IF(Settings!$B$13="Y","COV"&amp;IF(CD$2&lt;Settings!$B$3,"20","0")&amp;" Comdty","")</f>
        <v/>
      </c>
      <c r="CM1" s="2">
        <f>IF(Settings!$B$13="Y","COX"&amp;IF(CM$2&lt;Settings!$B$3,"20","0")&amp;" Comdty","")</f>
        <v/>
      </c>
      <c r="CV1" s="2">
        <f>IF(Settings!$B$13="Y","COZ"&amp;IF(CV$2&lt;Settings!$B$3,"20","0")&amp;" Comdty","")</f>
        <v/>
      </c>
    </row>
    <row r="2">
      <c r="A2" s="8">
        <f>WORKDAY(DATE(2020,1-1,1),-1)</f>
        <v/>
      </c>
      <c r="B2" s="8">
        <f>IF(A$1="","",BDP(A$1,"LAST_TRADEABLE_DT"))</f>
        <v/>
      </c>
      <c r="J2" s="8">
        <f>WORKDAY(DATE(2020,2-1,1),-1)</f>
        <v/>
      </c>
      <c r="K2" s="8">
        <f>IF(J$1="","",BDP(J$1,"LAST_TRADEABLE_DT"))</f>
        <v/>
      </c>
      <c r="S2" s="8">
        <f>WORKDAY(DATE(2020,3-1,1),-1)</f>
        <v/>
      </c>
      <c r="T2" s="8">
        <f>IF(S$1="","",BDP(S$1,"LAST_TRADEABLE_DT"))</f>
        <v/>
      </c>
      <c r="AB2" s="8">
        <f>WORKDAY(DATE(2020,4-1,1),-1)</f>
        <v/>
      </c>
      <c r="AC2" s="8">
        <f>IF(AB$1="","",BDP(AB$1,"LAST_TRADEABLE_DT"))</f>
        <v/>
      </c>
      <c r="AK2" s="8">
        <f>WORKDAY(DATE(2020,5-1,1),-1)</f>
        <v/>
      </c>
      <c r="AL2" s="8">
        <f>IF(AK$1="","",BDP(AK$1,"LAST_TRADEABLE_DT"))</f>
        <v/>
      </c>
      <c r="AT2" s="8">
        <f>WORKDAY(DATE(2020,6-1,1),-1)</f>
        <v/>
      </c>
      <c r="AU2" s="8">
        <f>IF(AT$1="","",BDP(AT$1,"LAST_TRADEABLE_DT"))</f>
        <v/>
      </c>
      <c r="BC2" s="8">
        <f>WORKDAY(DATE(2020,7-1,1),-1)</f>
        <v/>
      </c>
      <c r="BD2" s="8">
        <f>IF(BC$1="","",BDP(BC$1,"LAST_TRADEABLE_DT"))</f>
        <v/>
      </c>
      <c r="BL2" s="8">
        <f>WORKDAY(DATE(2020,8-1,1),-1)</f>
        <v/>
      </c>
      <c r="BM2" s="8">
        <f>IF(BL$1="","",BDP(BL$1,"LAST_TRADEABLE_DT"))</f>
        <v/>
      </c>
      <c r="BU2" s="8">
        <f>WORKDAY(DATE(2020,9-1,1),-1)</f>
        <v/>
      </c>
      <c r="BV2" s="8">
        <f>IF(BU$1="","",BDP(BU$1,"LAST_TRADEABLE_DT"))</f>
        <v/>
      </c>
      <c r="CD2" s="8">
        <f>WORKDAY(DATE(2020,10-1,1),-1)</f>
        <v/>
      </c>
      <c r="CE2" s="8">
        <f>IF(CD$1="","",BDP(CD$1,"LAST_TRADEABLE_DT"))</f>
        <v/>
      </c>
      <c r="CM2" s="8">
        <f>WORKDAY(DATE(2020,11-1,1),-1)</f>
        <v/>
      </c>
      <c r="CN2" s="8">
        <f>IF(CM$1="","",BDP(CM$1,"LAST_TRADEABLE_DT"))</f>
        <v/>
      </c>
      <c r="CV2" s="8">
        <f>WORKDAY(DATE(2020,12-1,1),-1)</f>
        <v/>
      </c>
      <c r="CW2" s="8">
        <f>IF(CV$1="","",BDP(CV$1,"LAST_TRADEABLE_DT"))</f>
        <v/>
      </c>
    </row>
    <row r="3">
      <c r="A3" s="5" t="inlineStr">
        <is>
          <t>Date</t>
        </is>
      </c>
      <c r="B3" s="5" t="inlineStr">
        <is>
          <t>PX_OPEN</t>
        </is>
      </c>
      <c r="C3" s="5" t="inlineStr">
        <is>
          <t>PX_HIGH</t>
        </is>
      </c>
      <c r="D3" s="5" t="inlineStr">
        <is>
          <t>PX_LOW</t>
        </is>
      </c>
      <c r="E3" s="5" t="inlineStr">
        <is>
          <t>PX_LAST</t>
        </is>
      </c>
      <c r="F3" s="5" t="inlineStr">
        <is>
          <t>PX_SETTLE</t>
        </is>
      </c>
      <c r="G3" s="5" t="inlineStr">
        <is>
          <t>PX_VOLUME</t>
        </is>
      </c>
      <c r="H3" s="5" t="inlineStr">
        <is>
          <t>OPEN_INT</t>
        </is>
      </c>
      <c r="J3" s="5" t="inlineStr">
        <is>
          <t>Date</t>
        </is>
      </c>
      <c r="K3" s="5" t="inlineStr">
        <is>
          <t>PX_OPEN</t>
        </is>
      </c>
      <c r="L3" s="5" t="inlineStr">
        <is>
          <t>PX_HIGH</t>
        </is>
      </c>
      <c r="M3" s="5" t="inlineStr">
        <is>
          <t>PX_LOW</t>
        </is>
      </c>
      <c r="N3" s="5" t="inlineStr">
        <is>
          <t>PX_LAST</t>
        </is>
      </c>
      <c r="O3" s="5" t="inlineStr">
        <is>
          <t>PX_SETTLE</t>
        </is>
      </c>
      <c r="P3" s="5" t="inlineStr">
        <is>
          <t>PX_VOLUME</t>
        </is>
      </c>
      <c r="Q3" s="5" t="inlineStr">
        <is>
          <t>OPEN_INT</t>
        </is>
      </c>
      <c r="S3" s="5" t="inlineStr">
        <is>
          <t>Date</t>
        </is>
      </c>
      <c r="T3" s="5" t="inlineStr">
        <is>
          <t>PX_OPEN</t>
        </is>
      </c>
      <c r="U3" s="5" t="inlineStr">
        <is>
          <t>PX_HIGH</t>
        </is>
      </c>
      <c r="V3" s="5" t="inlineStr">
        <is>
          <t>PX_LOW</t>
        </is>
      </c>
      <c r="W3" s="5" t="inlineStr">
        <is>
          <t>PX_LAST</t>
        </is>
      </c>
      <c r="X3" s="5" t="inlineStr">
        <is>
          <t>PX_SETTLE</t>
        </is>
      </c>
      <c r="Y3" s="5" t="inlineStr">
        <is>
          <t>PX_VOLUME</t>
        </is>
      </c>
      <c r="Z3" s="5" t="inlineStr">
        <is>
          <t>OPEN_INT</t>
        </is>
      </c>
      <c r="AB3" s="5" t="inlineStr">
        <is>
          <t>Date</t>
        </is>
      </c>
      <c r="AC3" s="5" t="inlineStr">
        <is>
          <t>PX_OPEN</t>
        </is>
      </c>
      <c r="AD3" s="5" t="inlineStr">
        <is>
          <t>PX_HIGH</t>
        </is>
      </c>
      <c r="AE3" s="5" t="inlineStr">
        <is>
          <t>PX_LOW</t>
        </is>
      </c>
      <c r="AF3" s="5" t="inlineStr">
        <is>
          <t>PX_LAST</t>
        </is>
      </c>
      <c r="AG3" s="5" t="inlineStr">
        <is>
          <t>PX_SETTLE</t>
        </is>
      </c>
      <c r="AH3" s="5" t="inlineStr">
        <is>
          <t>PX_VOLUME</t>
        </is>
      </c>
      <c r="AI3" s="5" t="inlineStr">
        <is>
          <t>OPEN_INT</t>
        </is>
      </c>
      <c r="AK3" s="5" t="inlineStr">
        <is>
          <t>Date</t>
        </is>
      </c>
      <c r="AL3" s="5" t="inlineStr">
        <is>
          <t>PX_OPEN</t>
        </is>
      </c>
      <c r="AM3" s="5" t="inlineStr">
        <is>
          <t>PX_HIGH</t>
        </is>
      </c>
      <c r="AN3" s="5" t="inlineStr">
        <is>
          <t>PX_LOW</t>
        </is>
      </c>
      <c r="AO3" s="5" t="inlineStr">
        <is>
          <t>PX_LAST</t>
        </is>
      </c>
      <c r="AP3" s="5" t="inlineStr">
        <is>
          <t>PX_SETTLE</t>
        </is>
      </c>
      <c r="AQ3" s="5" t="inlineStr">
        <is>
          <t>PX_VOLUME</t>
        </is>
      </c>
      <c r="AR3" s="5" t="inlineStr">
        <is>
          <t>OPEN_INT</t>
        </is>
      </c>
      <c r="AT3" s="5" t="inlineStr">
        <is>
          <t>Date</t>
        </is>
      </c>
      <c r="AU3" s="5" t="inlineStr">
        <is>
          <t>PX_OPEN</t>
        </is>
      </c>
      <c r="AV3" s="5" t="inlineStr">
        <is>
          <t>PX_HIGH</t>
        </is>
      </c>
      <c r="AW3" s="5" t="inlineStr">
        <is>
          <t>PX_LOW</t>
        </is>
      </c>
      <c r="AX3" s="5" t="inlineStr">
        <is>
          <t>PX_LAST</t>
        </is>
      </c>
      <c r="AY3" s="5" t="inlineStr">
        <is>
          <t>PX_SETTLE</t>
        </is>
      </c>
      <c r="AZ3" s="5" t="inlineStr">
        <is>
          <t>PX_VOLUME</t>
        </is>
      </c>
      <c r="BA3" s="5" t="inlineStr">
        <is>
          <t>OPEN_INT</t>
        </is>
      </c>
      <c r="BC3" s="5" t="inlineStr">
        <is>
          <t>Date</t>
        </is>
      </c>
      <c r="BD3" s="5" t="inlineStr">
        <is>
          <t>PX_OPEN</t>
        </is>
      </c>
      <c r="BE3" s="5" t="inlineStr">
        <is>
          <t>PX_HIGH</t>
        </is>
      </c>
      <c r="BF3" s="5" t="inlineStr">
        <is>
          <t>PX_LOW</t>
        </is>
      </c>
      <c r="BG3" s="5" t="inlineStr">
        <is>
          <t>PX_LAST</t>
        </is>
      </c>
      <c r="BH3" s="5" t="inlineStr">
        <is>
          <t>PX_SETTLE</t>
        </is>
      </c>
      <c r="BI3" s="5" t="inlineStr">
        <is>
          <t>PX_VOLUME</t>
        </is>
      </c>
      <c r="BJ3" s="5" t="inlineStr">
        <is>
          <t>OPEN_INT</t>
        </is>
      </c>
      <c r="BL3" s="5" t="inlineStr">
        <is>
          <t>Date</t>
        </is>
      </c>
      <c r="BM3" s="5" t="inlineStr">
        <is>
          <t>PX_OPEN</t>
        </is>
      </c>
      <c r="BN3" s="5" t="inlineStr">
        <is>
          <t>PX_HIGH</t>
        </is>
      </c>
      <c r="BO3" s="5" t="inlineStr">
        <is>
          <t>PX_LOW</t>
        </is>
      </c>
      <c r="BP3" s="5" t="inlineStr">
        <is>
          <t>PX_LAST</t>
        </is>
      </c>
      <c r="BQ3" s="5" t="inlineStr">
        <is>
          <t>PX_SETTLE</t>
        </is>
      </c>
      <c r="BR3" s="5" t="inlineStr">
        <is>
          <t>PX_VOLUME</t>
        </is>
      </c>
      <c r="BS3" s="5" t="inlineStr">
        <is>
          <t>OPEN_INT</t>
        </is>
      </c>
      <c r="BU3" s="5" t="inlineStr">
        <is>
          <t>Date</t>
        </is>
      </c>
      <c r="BV3" s="5" t="inlineStr">
        <is>
          <t>PX_OPEN</t>
        </is>
      </c>
      <c r="BW3" s="5" t="inlineStr">
        <is>
          <t>PX_HIGH</t>
        </is>
      </c>
      <c r="BX3" s="5" t="inlineStr">
        <is>
          <t>PX_LOW</t>
        </is>
      </c>
      <c r="BY3" s="5" t="inlineStr">
        <is>
          <t>PX_LAST</t>
        </is>
      </c>
      <c r="BZ3" s="5" t="inlineStr">
        <is>
          <t>PX_SETTLE</t>
        </is>
      </c>
      <c r="CA3" s="5" t="inlineStr">
        <is>
          <t>PX_VOLUME</t>
        </is>
      </c>
      <c r="CB3" s="5" t="inlineStr">
        <is>
          <t>OPEN_INT</t>
        </is>
      </c>
      <c r="CD3" s="5" t="inlineStr">
        <is>
          <t>Date</t>
        </is>
      </c>
      <c r="CE3" s="5" t="inlineStr">
        <is>
          <t>PX_OPEN</t>
        </is>
      </c>
      <c r="CF3" s="5" t="inlineStr">
        <is>
          <t>PX_HIGH</t>
        </is>
      </c>
      <c r="CG3" s="5" t="inlineStr">
        <is>
          <t>PX_LOW</t>
        </is>
      </c>
      <c r="CH3" s="5" t="inlineStr">
        <is>
          <t>PX_LAST</t>
        </is>
      </c>
      <c r="CI3" s="5" t="inlineStr">
        <is>
          <t>PX_SETTLE</t>
        </is>
      </c>
      <c r="CJ3" s="5" t="inlineStr">
        <is>
          <t>PX_VOLUME</t>
        </is>
      </c>
      <c r="CK3" s="5" t="inlineStr">
        <is>
          <t>OPEN_INT</t>
        </is>
      </c>
      <c r="CM3" s="5" t="inlineStr">
        <is>
          <t>Date</t>
        </is>
      </c>
      <c r="CN3" s="5" t="inlineStr">
        <is>
          <t>PX_OPEN</t>
        </is>
      </c>
      <c r="CO3" s="5" t="inlineStr">
        <is>
          <t>PX_HIGH</t>
        </is>
      </c>
      <c r="CP3" s="5" t="inlineStr">
        <is>
          <t>PX_LOW</t>
        </is>
      </c>
      <c r="CQ3" s="5" t="inlineStr">
        <is>
          <t>PX_LAST</t>
        </is>
      </c>
      <c r="CR3" s="5" t="inlineStr">
        <is>
          <t>PX_SETTLE</t>
        </is>
      </c>
      <c r="CS3" s="5" t="inlineStr">
        <is>
          <t>PX_VOLUME</t>
        </is>
      </c>
      <c r="CT3" s="5" t="inlineStr">
        <is>
          <t>OPEN_INT</t>
        </is>
      </c>
      <c r="CV3" s="5" t="inlineStr">
        <is>
          <t>Date</t>
        </is>
      </c>
      <c r="CW3" s="5" t="inlineStr">
        <is>
          <t>PX_OPEN</t>
        </is>
      </c>
      <c r="CX3" s="5" t="inlineStr">
        <is>
          <t>PX_HIGH</t>
        </is>
      </c>
      <c r="CY3" s="5" t="inlineStr">
        <is>
          <t>PX_LOW</t>
        </is>
      </c>
      <c r="CZ3" s="5" t="inlineStr">
        <is>
          <t>PX_LAST</t>
        </is>
      </c>
      <c r="DA3" s="5" t="inlineStr">
        <is>
          <t>PX_SETTLE</t>
        </is>
      </c>
      <c r="DB3" s="5" t="inlineStr">
        <is>
          <t>PX_VOLUME</t>
        </is>
      </c>
      <c r="DC3" s="5" t="inlineStr">
        <is>
          <t>OPEN_INT</t>
        </is>
      </c>
    </row>
    <row r="4">
      <c r="A4" s="4">
        <f>BDH(A$1,B$3:H$3,Settings!$C$13,IF(Settings!$D$13="","",Settings!$D$13),"Dir=V","Dts=S","Sort=A","Days=T","Fill=B")</f>
        <v/>
      </c>
      <c r="J4" s="4">
        <f>BDH(J$1,K$3:Q$3,Settings!$C$13,IF(Settings!$D$13="","",Settings!$D$13),"Dir=V","Dts=S","Sort=A","Days=T","Fill=B")</f>
        <v/>
      </c>
      <c r="S4" s="4">
        <f>BDH(S$1,T$3:Z$3,Settings!$C$13,IF(Settings!$D$13="","",Settings!$D$13),"Dir=V","Dts=S","Sort=A","Days=T","Fill=B")</f>
        <v/>
      </c>
      <c r="AB4" s="4">
        <f>BDH(AB$1,AC$3:AI$3,Settings!$C$13,IF(Settings!$D$13="","",Settings!$D$13),"Dir=V","Dts=S","Sort=A","Days=T","Fill=B")</f>
        <v/>
      </c>
      <c r="AK4" s="4">
        <f>BDH(AK$1,AL$3:AR$3,Settings!$C$13,IF(Settings!$D$13="","",Settings!$D$13),"Dir=V","Dts=S","Sort=A","Days=T","Fill=B")</f>
        <v/>
      </c>
      <c r="AT4" s="4">
        <f>BDH(AT$1,AU$3:BA$3,Settings!$C$13,IF(Settings!$D$13="","",Settings!$D$13),"Dir=V","Dts=S","Sort=A","Days=T","Fill=B")</f>
        <v/>
      </c>
      <c r="BC4" s="4">
        <f>BDH(BC$1,BD$3:BJ$3,Settings!$C$13,IF(Settings!$D$13="","",Settings!$D$13),"Dir=V","Dts=S","Sort=A","Days=T","Fill=B")</f>
        <v/>
      </c>
      <c r="BL4" s="4">
        <f>BDH(BL$1,BM$3:BS$3,Settings!$C$13,IF(Settings!$D$13="","",Settings!$D$13),"Dir=V","Dts=S","Sort=A","Days=T","Fill=B")</f>
        <v/>
      </c>
      <c r="BU4" s="4">
        <f>BDH(BU$1,BV$3:CB$3,Settings!$C$13,IF(Settings!$D$13="","",Settings!$D$13),"Dir=V","Dts=S","Sort=A","Days=T","Fill=B")</f>
        <v/>
      </c>
      <c r="CD4" s="4">
        <f>BDH(CD$1,CE$3:CK$3,Settings!$C$13,IF(Settings!$D$13="","",Settings!$D$13),"Dir=V","Dts=S","Sort=A","Days=T","Fill=B")</f>
        <v/>
      </c>
      <c r="CM4" s="4">
        <f>BDH(CM$1,CN$3:CT$3,Settings!$C$13,IF(Settings!$D$13="","",Settings!$D$13),"Dir=V","Dts=S","Sort=A","Days=T","Fill=B")</f>
        <v/>
      </c>
      <c r="CV4" s="4">
        <f>BDH(CV$1,CW$3:DC$3,Settings!$C$13,IF(Settings!$D$13="","",Settings!$D$13),"Dir=V","Dts=S","Sort=A","Days=T","Fill=B")</f>
        <v/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C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1" customWidth="1" min="7" max="7"/>
    <col width="10" customWidth="1" min="8" max="8"/>
    <col width="12" customWidth="1" min="10" max="10"/>
    <col width="10" customWidth="1" min="11" max="11"/>
    <col width="10" customWidth="1" min="12" max="12"/>
    <col width="10" customWidth="1" min="13" max="13"/>
    <col width="10" customWidth="1" min="14" max="14"/>
    <col width="11" customWidth="1" min="15" max="15"/>
    <col width="11" customWidth="1" min="16" max="16"/>
    <col width="10" customWidth="1" min="17" max="17"/>
    <col width="12" customWidth="1" min="19" max="19"/>
    <col width="10" customWidth="1" min="20" max="20"/>
    <col width="10" customWidth="1" min="21" max="21"/>
    <col width="10" customWidth="1" min="22" max="22"/>
    <col width="10" customWidth="1" min="23" max="23"/>
    <col width="11" customWidth="1" min="24" max="24"/>
    <col width="11" customWidth="1" min="25" max="25"/>
    <col width="10" customWidth="1" min="26" max="26"/>
    <col width="12" customWidth="1" min="28" max="28"/>
    <col width="10" customWidth="1" min="29" max="29"/>
    <col width="10" customWidth="1" min="30" max="30"/>
    <col width="10" customWidth="1" min="31" max="31"/>
    <col width="10" customWidth="1" min="32" max="32"/>
    <col width="11" customWidth="1" min="33" max="33"/>
    <col width="11" customWidth="1" min="34" max="34"/>
    <col width="10" customWidth="1" min="35" max="35"/>
    <col width="12" customWidth="1" min="37" max="37"/>
    <col width="10" customWidth="1" min="38" max="38"/>
    <col width="10" customWidth="1" min="39" max="39"/>
    <col width="10" customWidth="1" min="40" max="40"/>
    <col width="10" customWidth="1" min="41" max="41"/>
    <col width="11" customWidth="1" min="42" max="42"/>
    <col width="11" customWidth="1" min="43" max="43"/>
    <col width="10" customWidth="1" min="44" max="44"/>
    <col width="12" customWidth="1" min="46" max="46"/>
    <col width="10" customWidth="1" min="47" max="47"/>
    <col width="10" customWidth="1" min="48" max="48"/>
    <col width="10" customWidth="1" min="49" max="49"/>
    <col width="10" customWidth="1" min="50" max="50"/>
    <col width="11" customWidth="1" min="51" max="51"/>
    <col width="11" customWidth="1" min="52" max="52"/>
    <col width="10" customWidth="1" min="53" max="53"/>
    <col width="12" customWidth="1" min="55" max="55"/>
    <col width="10" customWidth="1" min="56" max="56"/>
    <col width="10" customWidth="1" min="57" max="57"/>
    <col width="10" customWidth="1" min="58" max="58"/>
    <col width="10" customWidth="1" min="59" max="59"/>
    <col width="11" customWidth="1" min="60" max="60"/>
    <col width="11" customWidth="1" min="61" max="61"/>
    <col width="10" customWidth="1" min="62" max="62"/>
    <col width="12" customWidth="1" min="64" max="64"/>
    <col width="10" customWidth="1" min="65" max="65"/>
    <col width="10" customWidth="1" min="66" max="66"/>
    <col width="10" customWidth="1" min="67" max="67"/>
    <col width="10" customWidth="1" min="68" max="68"/>
    <col width="11" customWidth="1" min="69" max="69"/>
    <col width="11" customWidth="1" min="70" max="70"/>
    <col width="10" customWidth="1" min="71" max="71"/>
    <col width="12" customWidth="1" min="73" max="73"/>
    <col width="10" customWidth="1" min="74" max="74"/>
    <col width="10" customWidth="1" min="75" max="75"/>
    <col width="10" customWidth="1" min="76" max="76"/>
    <col width="10" customWidth="1" min="77" max="77"/>
    <col width="11" customWidth="1" min="78" max="78"/>
    <col width="11" customWidth="1" min="79" max="79"/>
    <col width="10" customWidth="1" min="80" max="80"/>
    <col width="12" customWidth="1" min="82" max="82"/>
    <col width="10" customWidth="1" min="83" max="83"/>
    <col width="10" customWidth="1" min="84" max="84"/>
    <col width="10" customWidth="1" min="85" max="85"/>
    <col width="10" customWidth="1" min="86" max="86"/>
    <col width="11" customWidth="1" min="87" max="87"/>
    <col width="11" customWidth="1" min="88" max="88"/>
    <col width="10" customWidth="1" min="89" max="89"/>
    <col width="12" customWidth="1" min="91" max="91"/>
    <col width="10" customWidth="1" min="92" max="92"/>
    <col width="10" customWidth="1" min="93" max="93"/>
    <col width="10" customWidth="1" min="94" max="94"/>
    <col width="10" customWidth="1" min="95" max="95"/>
    <col width="11" customWidth="1" min="96" max="96"/>
    <col width="11" customWidth="1" min="97" max="97"/>
    <col width="10" customWidth="1" min="98" max="98"/>
    <col width="12" customWidth="1" min="100" max="100"/>
    <col width="10" customWidth="1" min="101" max="101"/>
    <col width="10" customWidth="1" min="102" max="102"/>
    <col width="10" customWidth="1" min="103" max="103"/>
    <col width="10" customWidth="1" min="104" max="104"/>
    <col width="11" customWidth="1" min="105" max="105"/>
    <col width="11" customWidth="1" min="106" max="106"/>
    <col width="10" customWidth="1" min="107" max="107"/>
  </cols>
  <sheetData>
    <row r="1">
      <c r="A1" s="2">
        <f>IF(Settings!$B$13="Y","COF"&amp;IF(A$2&lt;Settings!$B$3,"21","1")&amp;" Comdty","")</f>
        <v/>
      </c>
      <c r="J1" s="2">
        <f>IF(Settings!$B$13="Y","COG"&amp;IF(J$2&lt;Settings!$B$3,"21","1")&amp;" Comdty","")</f>
        <v/>
      </c>
      <c r="S1" s="2">
        <f>IF(Settings!$B$13="Y","COH"&amp;IF(S$2&lt;Settings!$B$3,"21","1")&amp;" Comdty","")</f>
        <v/>
      </c>
      <c r="AB1" s="2">
        <f>IF(Settings!$B$13="Y","COJ"&amp;IF(AB$2&lt;Settings!$B$3,"21","1")&amp;" Comdty","")</f>
        <v/>
      </c>
      <c r="AK1" s="2">
        <f>IF(Settings!$B$13="Y","COK"&amp;IF(AK$2&lt;Settings!$B$3,"21","1")&amp;" Comdty","")</f>
        <v/>
      </c>
      <c r="AT1" s="2">
        <f>IF(Settings!$B$13="Y","COM"&amp;IF(AT$2&lt;Settings!$B$3,"21","1")&amp;" Comdty","")</f>
        <v/>
      </c>
      <c r="BC1" s="2">
        <f>IF(Settings!$B$13="Y","CON"&amp;IF(BC$2&lt;Settings!$B$3,"21","1")&amp;" Comdty","")</f>
        <v/>
      </c>
      <c r="BL1" s="2">
        <f>IF(Settings!$B$13="Y","COQ"&amp;IF(BL$2&lt;Settings!$B$3,"21","1")&amp;" Comdty","")</f>
        <v/>
      </c>
      <c r="BU1" s="2">
        <f>IF(Settings!$B$13="Y","COU"&amp;IF(BU$2&lt;Settings!$B$3,"21","1")&amp;" Comdty","")</f>
        <v/>
      </c>
      <c r="CD1" s="2">
        <f>IF(Settings!$B$13="Y","COV"&amp;IF(CD$2&lt;Settings!$B$3,"21","1")&amp;" Comdty","")</f>
        <v/>
      </c>
      <c r="CM1" s="2">
        <f>IF(Settings!$B$13="Y","COX"&amp;IF(CM$2&lt;Settings!$B$3,"21","1")&amp;" Comdty","")</f>
        <v/>
      </c>
      <c r="CV1" s="2">
        <f>IF(Settings!$B$13="Y","COZ"&amp;IF(CV$2&lt;Settings!$B$3,"21","1")&amp;" Comdty","")</f>
        <v/>
      </c>
    </row>
    <row r="2">
      <c r="A2" s="8">
        <f>WORKDAY(DATE(2021,1-1,1),-1)</f>
        <v/>
      </c>
      <c r="B2" s="8">
        <f>IF(A$1="","",BDP(A$1,"LAST_TRADEABLE_DT"))</f>
        <v/>
      </c>
      <c r="J2" s="8">
        <f>WORKDAY(DATE(2021,2-1,1),-1)</f>
        <v/>
      </c>
      <c r="K2" s="8">
        <f>IF(J$1="","",BDP(J$1,"LAST_TRADEABLE_DT"))</f>
        <v/>
      </c>
      <c r="S2" s="8">
        <f>WORKDAY(DATE(2021,3-1,1),-1)</f>
        <v/>
      </c>
      <c r="T2" s="8">
        <f>IF(S$1="","",BDP(S$1,"LAST_TRADEABLE_DT"))</f>
        <v/>
      </c>
      <c r="AB2" s="8">
        <f>WORKDAY(DATE(2021,4-1,1),-1)</f>
        <v/>
      </c>
      <c r="AC2" s="8">
        <f>IF(AB$1="","",BDP(AB$1,"LAST_TRADEABLE_DT"))</f>
        <v/>
      </c>
      <c r="AK2" s="8">
        <f>WORKDAY(DATE(2021,5-1,1),-1)</f>
        <v/>
      </c>
      <c r="AL2" s="8">
        <f>IF(AK$1="","",BDP(AK$1,"LAST_TRADEABLE_DT"))</f>
        <v/>
      </c>
      <c r="AT2" s="8">
        <f>WORKDAY(DATE(2021,6-1,1),-1)</f>
        <v/>
      </c>
      <c r="AU2" s="8">
        <f>IF(AT$1="","",BDP(AT$1,"LAST_TRADEABLE_DT"))</f>
        <v/>
      </c>
      <c r="BC2" s="8">
        <f>WORKDAY(DATE(2021,7-1,1),-1)</f>
        <v/>
      </c>
      <c r="BD2" s="8">
        <f>IF(BC$1="","",BDP(BC$1,"LAST_TRADEABLE_DT"))</f>
        <v/>
      </c>
      <c r="BL2" s="8">
        <f>WORKDAY(DATE(2021,8-1,1),-1)</f>
        <v/>
      </c>
      <c r="BM2" s="8">
        <f>IF(BL$1="","",BDP(BL$1,"LAST_TRADEABLE_DT"))</f>
        <v/>
      </c>
      <c r="BU2" s="8">
        <f>WORKDAY(DATE(2021,9-1,1),-1)</f>
        <v/>
      </c>
      <c r="BV2" s="8">
        <f>IF(BU$1="","",BDP(BU$1,"LAST_TRADEABLE_DT"))</f>
        <v/>
      </c>
      <c r="CD2" s="8">
        <f>WORKDAY(DATE(2021,10-1,1),-1)</f>
        <v/>
      </c>
      <c r="CE2" s="8">
        <f>IF(CD$1="","",BDP(CD$1,"LAST_TRADEABLE_DT"))</f>
        <v/>
      </c>
      <c r="CM2" s="8">
        <f>WORKDAY(DATE(2021,11-1,1),-1)</f>
        <v/>
      </c>
      <c r="CN2" s="8">
        <f>IF(CM$1="","",BDP(CM$1,"LAST_TRADEABLE_DT"))</f>
        <v/>
      </c>
      <c r="CV2" s="8">
        <f>WORKDAY(DATE(2021,12-1,1),-1)</f>
        <v/>
      </c>
      <c r="CW2" s="8">
        <f>IF(CV$1="","",BDP(CV$1,"LAST_TRADEABLE_DT"))</f>
        <v/>
      </c>
    </row>
    <row r="3">
      <c r="A3" s="5" t="inlineStr">
        <is>
          <t>Date</t>
        </is>
      </c>
      <c r="B3" s="5" t="inlineStr">
        <is>
          <t>PX_OPEN</t>
        </is>
      </c>
      <c r="C3" s="5" t="inlineStr">
        <is>
          <t>PX_HIGH</t>
        </is>
      </c>
      <c r="D3" s="5" t="inlineStr">
        <is>
          <t>PX_LOW</t>
        </is>
      </c>
      <c r="E3" s="5" t="inlineStr">
        <is>
          <t>PX_LAST</t>
        </is>
      </c>
      <c r="F3" s="5" t="inlineStr">
        <is>
          <t>PX_SETTLE</t>
        </is>
      </c>
      <c r="G3" s="5" t="inlineStr">
        <is>
          <t>PX_VOLUME</t>
        </is>
      </c>
      <c r="H3" s="5" t="inlineStr">
        <is>
          <t>OPEN_INT</t>
        </is>
      </c>
      <c r="J3" s="5" t="inlineStr">
        <is>
          <t>Date</t>
        </is>
      </c>
      <c r="K3" s="5" t="inlineStr">
        <is>
          <t>PX_OPEN</t>
        </is>
      </c>
      <c r="L3" s="5" t="inlineStr">
        <is>
          <t>PX_HIGH</t>
        </is>
      </c>
      <c r="M3" s="5" t="inlineStr">
        <is>
          <t>PX_LOW</t>
        </is>
      </c>
      <c r="N3" s="5" t="inlineStr">
        <is>
          <t>PX_LAST</t>
        </is>
      </c>
      <c r="O3" s="5" t="inlineStr">
        <is>
          <t>PX_SETTLE</t>
        </is>
      </c>
      <c r="P3" s="5" t="inlineStr">
        <is>
          <t>PX_VOLUME</t>
        </is>
      </c>
      <c r="Q3" s="5" t="inlineStr">
        <is>
          <t>OPEN_INT</t>
        </is>
      </c>
      <c r="S3" s="5" t="inlineStr">
        <is>
          <t>Date</t>
        </is>
      </c>
      <c r="T3" s="5" t="inlineStr">
        <is>
          <t>PX_OPEN</t>
        </is>
      </c>
      <c r="U3" s="5" t="inlineStr">
        <is>
          <t>PX_HIGH</t>
        </is>
      </c>
      <c r="V3" s="5" t="inlineStr">
        <is>
          <t>PX_LOW</t>
        </is>
      </c>
      <c r="W3" s="5" t="inlineStr">
        <is>
          <t>PX_LAST</t>
        </is>
      </c>
      <c r="X3" s="5" t="inlineStr">
        <is>
          <t>PX_SETTLE</t>
        </is>
      </c>
      <c r="Y3" s="5" t="inlineStr">
        <is>
          <t>PX_VOLUME</t>
        </is>
      </c>
      <c r="Z3" s="5" t="inlineStr">
        <is>
          <t>OPEN_INT</t>
        </is>
      </c>
      <c r="AB3" s="5" t="inlineStr">
        <is>
          <t>Date</t>
        </is>
      </c>
      <c r="AC3" s="5" t="inlineStr">
        <is>
          <t>PX_OPEN</t>
        </is>
      </c>
      <c r="AD3" s="5" t="inlineStr">
        <is>
          <t>PX_HIGH</t>
        </is>
      </c>
      <c r="AE3" s="5" t="inlineStr">
        <is>
          <t>PX_LOW</t>
        </is>
      </c>
      <c r="AF3" s="5" t="inlineStr">
        <is>
          <t>PX_LAST</t>
        </is>
      </c>
      <c r="AG3" s="5" t="inlineStr">
        <is>
          <t>PX_SETTLE</t>
        </is>
      </c>
      <c r="AH3" s="5" t="inlineStr">
        <is>
          <t>PX_VOLUME</t>
        </is>
      </c>
      <c r="AI3" s="5" t="inlineStr">
        <is>
          <t>OPEN_INT</t>
        </is>
      </c>
      <c r="AK3" s="5" t="inlineStr">
        <is>
          <t>Date</t>
        </is>
      </c>
      <c r="AL3" s="5" t="inlineStr">
        <is>
          <t>PX_OPEN</t>
        </is>
      </c>
      <c r="AM3" s="5" t="inlineStr">
        <is>
          <t>PX_HIGH</t>
        </is>
      </c>
      <c r="AN3" s="5" t="inlineStr">
        <is>
          <t>PX_LOW</t>
        </is>
      </c>
      <c r="AO3" s="5" t="inlineStr">
        <is>
          <t>PX_LAST</t>
        </is>
      </c>
      <c r="AP3" s="5" t="inlineStr">
        <is>
          <t>PX_SETTLE</t>
        </is>
      </c>
      <c r="AQ3" s="5" t="inlineStr">
        <is>
          <t>PX_VOLUME</t>
        </is>
      </c>
      <c r="AR3" s="5" t="inlineStr">
        <is>
          <t>OPEN_INT</t>
        </is>
      </c>
      <c r="AT3" s="5" t="inlineStr">
        <is>
          <t>Date</t>
        </is>
      </c>
      <c r="AU3" s="5" t="inlineStr">
        <is>
          <t>PX_OPEN</t>
        </is>
      </c>
      <c r="AV3" s="5" t="inlineStr">
        <is>
          <t>PX_HIGH</t>
        </is>
      </c>
      <c r="AW3" s="5" t="inlineStr">
        <is>
          <t>PX_LOW</t>
        </is>
      </c>
      <c r="AX3" s="5" t="inlineStr">
        <is>
          <t>PX_LAST</t>
        </is>
      </c>
      <c r="AY3" s="5" t="inlineStr">
        <is>
          <t>PX_SETTLE</t>
        </is>
      </c>
      <c r="AZ3" s="5" t="inlineStr">
        <is>
          <t>PX_VOLUME</t>
        </is>
      </c>
      <c r="BA3" s="5" t="inlineStr">
        <is>
          <t>OPEN_INT</t>
        </is>
      </c>
      <c r="BC3" s="5" t="inlineStr">
        <is>
          <t>Date</t>
        </is>
      </c>
      <c r="BD3" s="5" t="inlineStr">
        <is>
          <t>PX_OPEN</t>
        </is>
      </c>
      <c r="BE3" s="5" t="inlineStr">
        <is>
          <t>PX_HIGH</t>
        </is>
      </c>
      <c r="BF3" s="5" t="inlineStr">
        <is>
          <t>PX_LOW</t>
        </is>
      </c>
      <c r="BG3" s="5" t="inlineStr">
        <is>
          <t>PX_LAST</t>
        </is>
      </c>
      <c r="BH3" s="5" t="inlineStr">
        <is>
          <t>PX_SETTLE</t>
        </is>
      </c>
      <c r="BI3" s="5" t="inlineStr">
        <is>
          <t>PX_VOLUME</t>
        </is>
      </c>
      <c r="BJ3" s="5" t="inlineStr">
        <is>
          <t>OPEN_INT</t>
        </is>
      </c>
      <c r="BL3" s="5" t="inlineStr">
        <is>
          <t>Date</t>
        </is>
      </c>
      <c r="BM3" s="5" t="inlineStr">
        <is>
          <t>PX_OPEN</t>
        </is>
      </c>
      <c r="BN3" s="5" t="inlineStr">
        <is>
          <t>PX_HIGH</t>
        </is>
      </c>
      <c r="BO3" s="5" t="inlineStr">
        <is>
          <t>PX_LOW</t>
        </is>
      </c>
      <c r="BP3" s="5" t="inlineStr">
        <is>
          <t>PX_LAST</t>
        </is>
      </c>
      <c r="BQ3" s="5" t="inlineStr">
        <is>
          <t>PX_SETTLE</t>
        </is>
      </c>
      <c r="BR3" s="5" t="inlineStr">
        <is>
          <t>PX_VOLUME</t>
        </is>
      </c>
      <c r="BS3" s="5" t="inlineStr">
        <is>
          <t>OPEN_INT</t>
        </is>
      </c>
      <c r="BU3" s="5" t="inlineStr">
        <is>
          <t>Date</t>
        </is>
      </c>
      <c r="BV3" s="5" t="inlineStr">
        <is>
          <t>PX_OPEN</t>
        </is>
      </c>
      <c r="BW3" s="5" t="inlineStr">
        <is>
          <t>PX_HIGH</t>
        </is>
      </c>
      <c r="BX3" s="5" t="inlineStr">
        <is>
          <t>PX_LOW</t>
        </is>
      </c>
      <c r="BY3" s="5" t="inlineStr">
        <is>
          <t>PX_LAST</t>
        </is>
      </c>
      <c r="BZ3" s="5" t="inlineStr">
        <is>
          <t>PX_SETTLE</t>
        </is>
      </c>
      <c r="CA3" s="5" t="inlineStr">
        <is>
          <t>PX_VOLUME</t>
        </is>
      </c>
      <c r="CB3" s="5" t="inlineStr">
        <is>
          <t>OPEN_INT</t>
        </is>
      </c>
      <c r="CD3" s="5" t="inlineStr">
        <is>
          <t>Date</t>
        </is>
      </c>
      <c r="CE3" s="5" t="inlineStr">
        <is>
          <t>PX_OPEN</t>
        </is>
      </c>
      <c r="CF3" s="5" t="inlineStr">
        <is>
          <t>PX_HIGH</t>
        </is>
      </c>
      <c r="CG3" s="5" t="inlineStr">
        <is>
          <t>PX_LOW</t>
        </is>
      </c>
      <c r="CH3" s="5" t="inlineStr">
        <is>
          <t>PX_LAST</t>
        </is>
      </c>
      <c r="CI3" s="5" t="inlineStr">
        <is>
          <t>PX_SETTLE</t>
        </is>
      </c>
      <c r="CJ3" s="5" t="inlineStr">
        <is>
          <t>PX_VOLUME</t>
        </is>
      </c>
      <c r="CK3" s="5" t="inlineStr">
        <is>
          <t>OPEN_INT</t>
        </is>
      </c>
      <c r="CM3" s="5" t="inlineStr">
        <is>
          <t>Date</t>
        </is>
      </c>
      <c r="CN3" s="5" t="inlineStr">
        <is>
          <t>PX_OPEN</t>
        </is>
      </c>
      <c r="CO3" s="5" t="inlineStr">
        <is>
          <t>PX_HIGH</t>
        </is>
      </c>
      <c r="CP3" s="5" t="inlineStr">
        <is>
          <t>PX_LOW</t>
        </is>
      </c>
      <c r="CQ3" s="5" t="inlineStr">
        <is>
          <t>PX_LAST</t>
        </is>
      </c>
      <c r="CR3" s="5" t="inlineStr">
        <is>
          <t>PX_SETTLE</t>
        </is>
      </c>
      <c r="CS3" s="5" t="inlineStr">
        <is>
          <t>PX_VOLUME</t>
        </is>
      </c>
      <c r="CT3" s="5" t="inlineStr">
        <is>
          <t>OPEN_INT</t>
        </is>
      </c>
      <c r="CV3" s="5" t="inlineStr">
        <is>
          <t>Date</t>
        </is>
      </c>
      <c r="CW3" s="5" t="inlineStr">
        <is>
          <t>PX_OPEN</t>
        </is>
      </c>
      <c r="CX3" s="5" t="inlineStr">
        <is>
          <t>PX_HIGH</t>
        </is>
      </c>
      <c r="CY3" s="5" t="inlineStr">
        <is>
          <t>PX_LOW</t>
        </is>
      </c>
      <c r="CZ3" s="5" t="inlineStr">
        <is>
          <t>PX_LAST</t>
        </is>
      </c>
      <c r="DA3" s="5" t="inlineStr">
        <is>
          <t>PX_SETTLE</t>
        </is>
      </c>
      <c r="DB3" s="5" t="inlineStr">
        <is>
          <t>PX_VOLUME</t>
        </is>
      </c>
      <c r="DC3" s="5" t="inlineStr">
        <is>
          <t>OPEN_INT</t>
        </is>
      </c>
    </row>
    <row r="4">
      <c r="A4" s="4">
        <f>BDH(A$1,B$3:H$3,Settings!$C$13,IF(Settings!$D$13="","",Settings!$D$13),"Dir=V","Dts=S","Sort=A","Days=T","Fill=B")</f>
        <v/>
      </c>
      <c r="J4" s="4">
        <f>BDH(J$1,K$3:Q$3,Settings!$C$13,IF(Settings!$D$13="","",Settings!$D$13),"Dir=V","Dts=S","Sort=A","Days=T","Fill=B")</f>
        <v/>
      </c>
      <c r="S4" s="4">
        <f>BDH(S$1,T$3:Z$3,Settings!$C$13,IF(Settings!$D$13="","",Settings!$D$13),"Dir=V","Dts=S","Sort=A","Days=T","Fill=B")</f>
        <v/>
      </c>
      <c r="AB4" s="4">
        <f>BDH(AB$1,AC$3:AI$3,Settings!$C$13,IF(Settings!$D$13="","",Settings!$D$13),"Dir=V","Dts=S","Sort=A","Days=T","Fill=B")</f>
        <v/>
      </c>
      <c r="AK4" s="4">
        <f>BDH(AK$1,AL$3:AR$3,Settings!$C$13,IF(Settings!$D$13="","",Settings!$D$13),"Dir=V","Dts=S","Sort=A","Days=T","Fill=B")</f>
        <v/>
      </c>
      <c r="AT4" s="4">
        <f>BDH(AT$1,AU$3:BA$3,Settings!$C$13,IF(Settings!$D$13="","",Settings!$D$13),"Dir=V","Dts=S","Sort=A","Days=T","Fill=B")</f>
        <v/>
      </c>
      <c r="BC4" s="4">
        <f>BDH(BC$1,BD$3:BJ$3,Settings!$C$13,IF(Settings!$D$13="","",Settings!$D$13),"Dir=V","Dts=S","Sort=A","Days=T","Fill=B")</f>
        <v/>
      </c>
      <c r="BL4" s="4">
        <f>BDH(BL$1,BM$3:BS$3,Settings!$C$13,IF(Settings!$D$13="","",Settings!$D$13),"Dir=V","Dts=S","Sort=A","Days=T","Fill=B")</f>
        <v/>
      </c>
      <c r="BU4" s="4">
        <f>BDH(BU$1,BV$3:CB$3,Settings!$C$13,IF(Settings!$D$13="","",Settings!$D$13),"Dir=V","Dts=S","Sort=A","Days=T","Fill=B")</f>
        <v/>
      </c>
      <c r="CD4" s="4">
        <f>BDH(CD$1,CE$3:CK$3,Settings!$C$13,IF(Settings!$D$13="","",Settings!$D$13),"Dir=V","Dts=S","Sort=A","Days=T","Fill=B")</f>
        <v/>
      </c>
      <c r="CM4" s="4">
        <f>BDH(CM$1,CN$3:CT$3,Settings!$C$13,IF(Settings!$D$13="","",Settings!$D$13),"Dir=V","Dts=S","Sort=A","Days=T","Fill=B")</f>
        <v/>
      </c>
      <c r="CV4" s="4">
        <f>BDH(CV$1,CW$3:DC$3,Settings!$C$13,IF(Settings!$D$13="","",Settings!$D$13),"Dir=V","Dts=S","Sort=A","Days=T","Fill=B")</f>
        <v/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C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1" customWidth="1" min="7" max="7"/>
    <col width="10" customWidth="1" min="8" max="8"/>
    <col width="12" customWidth="1" min="10" max="10"/>
    <col width="10" customWidth="1" min="11" max="11"/>
    <col width="10" customWidth="1" min="12" max="12"/>
    <col width="10" customWidth="1" min="13" max="13"/>
    <col width="10" customWidth="1" min="14" max="14"/>
    <col width="11" customWidth="1" min="15" max="15"/>
    <col width="11" customWidth="1" min="16" max="16"/>
    <col width="10" customWidth="1" min="17" max="17"/>
    <col width="12" customWidth="1" min="19" max="19"/>
    <col width="10" customWidth="1" min="20" max="20"/>
    <col width="10" customWidth="1" min="21" max="21"/>
    <col width="10" customWidth="1" min="22" max="22"/>
    <col width="10" customWidth="1" min="23" max="23"/>
    <col width="11" customWidth="1" min="24" max="24"/>
    <col width="11" customWidth="1" min="25" max="25"/>
    <col width="10" customWidth="1" min="26" max="26"/>
    <col width="12" customWidth="1" min="28" max="28"/>
    <col width="10" customWidth="1" min="29" max="29"/>
    <col width="10" customWidth="1" min="30" max="30"/>
    <col width="10" customWidth="1" min="31" max="31"/>
    <col width="10" customWidth="1" min="32" max="32"/>
    <col width="11" customWidth="1" min="33" max="33"/>
    <col width="11" customWidth="1" min="34" max="34"/>
    <col width="10" customWidth="1" min="35" max="35"/>
    <col width="12" customWidth="1" min="37" max="37"/>
    <col width="10" customWidth="1" min="38" max="38"/>
    <col width="10" customWidth="1" min="39" max="39"/>
    <col width="10" customWidth="1" min="40" max="40"/>
    <col width="10" customWidth="1" min="41" max="41"/>
    <col width="11" customWidth="1" min="42" max="42"/>
    <col width="11" customWidth="1" min="43" max="43"/>
    <col width="10" customWidth="1" min="44" max="44"/>
    <col width="12" customWidth="1" min="46" max="46"/>
    <col width="10" customWidth="1" min="47" max="47"/>
    <col width="10" customWidth="1" min="48" max="48"/>
    <col width="10" customWidth="1" min="49" max="49"/>
    <col width="10" customWidth="1" min="50" max="50"/>
    <col width="11" customWidth="1" min="51" max="51"/>
    <col width="11" customWidth="1" min="52" max="52"/>
    <col width="10" customWidth="1" min="53" max="53"/>
    <col width="12" customWidth="1" min="55" max="55"/>
    <col width="10" customWidth="1" min="56" max="56"/>
    <col width="10" customWidth="1" min="57" max="57"/>
    <col width="10" customWidth="1" min="58" max="58"/>
    <col width="10" customWidth="1" min="59" max="59"/>
    <col width="11" customWidth="1" min="60" max="60"/>
    <col width="11" customWidth="1" min="61" max="61"/>
    <col width="10" customWidth="1" min="62" max="62"/>
    <col width="12" customWidth="1" min="64" max="64"/>
    <col width="10" customWidth="1" min="65" max="65"/>
    <col width="10" customWidth="1" min="66" max="66"/>
    <col width="10" customWidth="1" min="67" max="67"/>
    <col width="10" customWidth="1" min="68" max="68"/>
    <col width="11" customWidth="1" min="69" max="69"/>
    <col width="11" customWidth="1" min="70" max="70"/>
    <col width="10" customWidth="1" min="71" max="71"/>
    <col width="12" customWidth="1" min="73" max="73"/>
    <col width="10" customWidth="1" min="74" max="74"/>
    <col width="10" customWidth="1" min="75" max="75"/>
    <col width="10" customWidth="1" min="76" max="76"/>
    <col width="10" customWidth="1" min="77" max="77"/>
    <col width="11" customWidth="1" min="78" max="78"/>
    <col width="11" customWidth="1" min="79" max="79"/>
    <col width="10" customWidth="1" min="80" max="80"/>
    <col width="12" customWidth="1" min="82" max="82"/>
    <col width="10" customWidth="1" min="83" max="83"/>
    <col width="10" customWidth="1" min="84" max="84"/>
    <col width="10" customWidth="1" min="85" max="85"/>
    <col width="10" customWidth="1" min="86" max="86"/>
    <col width="11" customWidth="1" min="87" max="87"/>
    <col width="11" customWidth="1" min="88" max="88"/>
    <col width="10" customWidth="1" min="89" max="89"/>
    <col width="12" customWidth="1" min="91" max="91"/>
    <col width="10" customWidth="1" min="92" max="92"/>
    <col width="10" customWidth="1" min="93" max="93"/>
    <col width="10" customWidth="1" min="94" max="94"/>
    <col width="10" customWidth="1" min="95" max="95"/>
    <col width="11" customWidth="1" min="96" max="96"/>
    <col width="11" customWidth="1" min="97" max="97"/>
    <col width="10" customWidth="1" min="98" max="98"/>
    <col width="12" customWidth="1" min="100" max="100"/>
    <col width="10" customWidth="1" min="101" max="101"/>
    <col width="10" customWidth="1" min="102" max="102"/>
    <col width="10" customWidth="1" min="103" max="103"/>
    <col width="10" customWidth="1" min="104" max="104"/>
    <col width="11" customWidth="1" min="105" max="105"/>
    <col width="11" customWidth="1" min="106" max="106"/>
    <col width="10" customWidth="1" min="107" max="107"/>
  </cols>
  <sheetData>
    <row r="1">
      <c r="A1" s="2">
        <f>IF(Settings!$B$13="Y","COF"&amp;IF(A$2&lt;Settings!$B$3,"22","2")&amp;" Comdty","")</f>
        <v/>
      </c>
      <c r="J1" s="2">
        <f>IF(Settings!$B$13="Y","COG"&amp;IF(J$2&lt;Settings!$B$3,"22","2")&amp;" Comdty","")</f>
        <v/>
      </c>
      <c r="S1" s="2">
        <f>IF(Settings!$B$13="Y","COH"&amp;IF(S$2&lt;Settings!$B$3,"22","2")&amp;" Comdty","")</f>
        <v/>
      </c>
      <c r="AB1" s="2">
        <f>IF(Settings!$B$13="Y","COJ"&amp;IF(AB$2&lt;Settings!$B$3,"22","2")&amp;" Comdty","")</f>
        <v/>
      </c>
      <c r="AK1" s="2">
        <f>IF(Settings!$B$13="Y","COK"&amp;IF(AK$2&lt;Settings!$B$3,"22","2")&amp;" Comdty","")</f>
        <v/>
      </c>
      <c r="AT1" s="2">
        <f>IF(Settings!$B$13="Y","COM"&amp;IF(AT$2&lt;Settings!$B$3,"22","2")&amp;" Comdty","")</f>
        <v/>
      </c>
      <c r="BC1" s="2">
        <f>IF(Settings!$B$13="Y","CON"&amp;IF(BC$2&lt;Settings!$B$3,"22","2")&amp;" Comdty","")</f>
        <v/>
      </c>
      <c r="BL1" s="2">
        <f>IF(Settings!$B$13="Y","COQ"&amp;IF(BL$2&lt;Settings!$B$3,"22","2")&amp;" Comdty","")</f>
        <v/>
      </c>
      <c r="BU1" s="2">
        <f>IF(Settings!$B$13="Y","COU"&amp;IF(BU$2&lt;Settings!$B$3,"22","2")&amp;" Comdty","")</f>
        <v/>
      </c>
      <c r="CD1" s="2">
        <f>IF(Settings!$B$13="Y","COV"&amp;IF(CD$2&lt;Settings!$B$3,"22","2")&amp;" Comdty","")</f>
        <v/>
      </c>
      <c r="CM1" s="2">
        <f>IF(Settings!$B$13="Y","COX"&amp;IF(CM$2&lt;Settings!$B$3,"22","2")&amp;" Comdty","")</f>
        <v/>
      </c>
      <c r="CV1" s="2">
        <f>IF(Settings!$B$13="Y","COZ"&amp;IF(CV$2&lt;Settings!$B$3,"22","2")&amp;" Comdty","")</f>
        <v/>
      </c>
    </row>
    <row r="2">
      <c r="A2" s="8">
        <f>WORKDAY(DATE(2022,1-1,1),-1)</f>
        <v/>
      </c>
      <c r="B2" s="8">
        <f>IF(A$1="","",BDP(A$1,"LAST_TRADEABLE_DT"))</f>
        <v/>
      </c>
      <c r="J2" s="8">
        <f>WORKDAY(DATE(2022,2-1,1),-1)</f>
        <v/>
      </c>
      <c r="K2" s="8">
        <f>IF(J$1="","",BDP(J$1,"LAST_TRADEABLE_DT"))</f>
        <v/>
      </c>
      <c r="S2" s="8">
        <f>WORKDAY(DATE(2022,3-1,1),-1)</f>
        <v/>
      </c>
      <c r="T2" s="8">
        <f>IF(S$1="","",BDP(S$1,"LAST_TRADEABLE_DT"))</f>
        <v/>
      </c>
      <c r="AB2" s="8">
        <f>WORKDAY(DATE(2022,4-1,1),-1)</f>
        <v/>
      </c>
      <c r="AC2" s="8">
        <f>IF(AB$1="","",BDP(AB$1,"LAST_TRADEABLE_DT"))</f>
        <v/>
      </c>
      <c r="AK2" s="8">
        <f>WORKDAY(DATE(2022,5-1,1),-1)</f>
        <v/>
      </c>
      <c r="AL2" s="8">
        <f>IF(AK$1="","",BDP(AK$1,"LAST_TRADEABLE_DT"))</f>
        <v/>
      </c>
      <c r="AT2" s="8">
        <f>WORKDAY(DATE(2022,6-1,1),-1)</f>
        <v/>
      </c>
      <c r="AU2" s="8">
        <f>IF(AT$1="","",BDP(AT$1,"LAST_TRADEABLE_DT"))</f>
        <v/>
      </c>
      <c r="BC2" s="8">
        <f>WORKDAY(DATE(2022,7-1,1),-1)</f>
        <v/>
      </c>
      <c r="BD2" s="8">
        <f>IF(BC$1="","",BDP(BC$1,"LAST_TRADEABLE_DT"))</f>
        <v/>
      </c>
      <c r="BL2" s="8">
        <f>WORKDAY(DATE(2022,8-1,1),-1)</f>
        <v/>
      </c>
      <c r="BM2" s="8">
        <f>IF(BL$1="","",BDP(BL$1,"LAST_TRADEABLE_DT"))</f>
        <v/>
      </c>
      <c r="BU2" s="8">
        <f>WORKDAY(DATE(2022,9-1,1),-1)</f>
        <v/>
      </c>
      <c r="BV2" s="8">
        <f>IF(BU$1="","",BDP(BU$1,"LAST_TRADEABLE_DT"))</f>
        <v/>
      </c>
      <c r="CD2" s="8">
        <f>WORKDAY(DATE(2022,10-1,1),-1)</f>
        <v/>
      </c>
      <c r="CE2" s="8">
        <f>IF(CD$1="","",BDP(CD$1,"LAST_TRADEABLE_DT"))</f>
        <v/>
      </c>
      <c r="CM2" s="8">
        <f>WORKDAY(DATE(2022,11-1,1),-1)</f>
        <v/>
      </c>
      <c r="CN2" s="8">
        <f>IF(CM$1="","",BDP(CM$1,"LAST_TRADEABLE_DT"))</f>
        <v/>
      </c>
      <c r="CV2" s="8">
        <f>WORKDAY(DATE(2022,12-1,1),-1)</f>
        <v/>
      </c>
      <c r="CW2" s="8">
        <f>IF(CV$1="","",BDP(CV$1,"LAST_TRADEABLE_DT"))</f>
        <v/>
      </c>
    </row>
    <row r="3">
      <c r="A3" s="5" t="inlineStr">
        <is>
          <t>Date</t>
        </is>
      </c>
      <c r="B3" s="5" t="inlineStr">
        <is>
          <t>PX_OPEN</t>
        </is>
      </c>
      <c r="C3" s="5" t="inlineStr">
        <is>
          <t>PX_HIGH</t>
        </is>
      </c>
      <c r="D3" s="5" t="inlineStr">
        <is>
          <t>PX_LOW</t>
        </is>
      </c>
      <c r="E3" s="5" t="inlineStr">
        <is>
          <t>PX_LAST</t>
        </is>
      </c>
      <c r="F3" s="5" t="inlineStr">
        <is>
          <t>PX_SETTLE</t>
        </is>
      </c>
      <c r="G3" s="5" t="inlineStr">
        <is>
          <t>PX_VOLUME</t>
        </is>
      </c>
      <c r="H3" s="5" t="inlineStr">
        <is>
          <t>OPEN_INT</t>
        </is>
      </c>
      <c r="J3" s="5" t="inlineStr">
        <is>
          <t>Date</t>
        </is>
      </c>
      <c r="K3" s="5" t="inlineStr">
        <is>
          <t>PX_OPEN</t>
        </is>
      </c>
      <c r="L3" s="5" t="inlineStr">
        <is>
          <t>PX_HIGH</t>
        </is>
      </c>
      <c r="M3" s="5" t="inlineStr">
        <is>
          <t>PX_LOW</t>
        </is>
      </c>
      <c r="N3" s="5" t="inlineStr">
        <is>
          <t>PX_LAST</t>
        </is>
      </c>
      <c r="O3" s="5" t="inlineStr">
        <is>
          <t>PX_SETTLE</t>
        </is>
      </c>
      <c r="P3" s="5" t="inlineStr">
        <is>
          <t>PX_VOLUME</t>
        </is>
      </c>
      <c r="Q3" s="5" t="inlineStr">
        <is>
          <t>OPEN_INT</t>
        </is>
      </c>
      <c r="S3" s="5" t="inlineStr">
        <is>
          <t>Date</t>
        </is>
      </c>
      <c r="T3" s="5" t="inlineStr">
        <is>
          <t>PX_OPEN</t>
        </is>
      </c>
      <c r="U3" s="5" t="inlineStr">
        <is>
          <t>PX_HIGH</t>
        </is>
      </c>
      <c r="V3" s="5" t="inlineStr">
        <is>
          <t>PX_LOW</t>
        </is>
      </c>
      <c r="W3" s="5" t="inlineStr">
        <is>
          <t>PX_LAST</t>
        </is>
      </c>
      <c r="X3" s="5" t="inlineStr">
        <is>
          <t>PX_SETTLE</t>
        </is>
      </c>
      <c r="Y3" s="5" t="inlineStr">
        <is>
          <t>PX_VOLUME</t>
        </is>
      </c>
      <c r="Z3" s="5" t="inlineStr">
        <is>
          <t>OPEN_INT</t>
        </is>
      </c>
      <c r="AB3" s="5" t="inlineStr">
        <is>
          <t>Date</t>
        </is>
      </c>
      <c r="AC3" s="5" t="inlineStr">
        <is>
          <t>PX_OPEN</t>
        </is>
      </c>
      <c r="AD3" s="5" t="inlineStr">
        <is>
          <t>PX_HIGH</t>
        </is>
      </c>
      <c r="AE3" s="5" t="inlineStr">
        <is>
          <t>PX_LOW</t>
        </is>
      </c>
      <c r="AF3" s="5" t="inlineStr">
        <is>
          <t>PX_LAST</t>
        </is>
      </c>
      <c r="AG3" s="5" t="inlineStr">
        <is>
          <t>PX_SETTLE</t>
        </is>
      </c>
      <c r="AH3" s="5" t="inlineStr">
        <is>
          <t>PX_VOLUME</t>
        </is>
      </c>
      <c r="AI3" s="5" t="inlineStr">
        <is>
          <t>OPEN_INT</t>
        </is>
      </c>
      <c r="AK3" s="5" t="inlineStr">
        <is>
          <t>Date</t>
        </is>
      </c>
      <c r="AL3" s="5" t="inlineStr">
        <is>
          <t>PX_OPEN</t>
        </is>
      </c>
      <c r="AM3" s="5" t="inlineStr">
        <is>
          <t>PX_HIGH</t>
        </is>
      </c>
      <c r="AN3" s="5" t="inlineStr">
        <is>
          <t>PX_LOW</t>
        </is>
      </c>
      <c r="AO3" s="5" t="inlineStr">
        <is>
          <t>PX_LAST</t>
        </is>
      </c>
      <c r="AP3" s="5" t="inlineStr">
        <is>
          <t>PX_SETTLE</t>
        </is>
      </c>
      <c r="AQ3" s="5" t="inlineStr">
        <is>
          <t>PX_VOLUME</t>
        </is>
      </c>
      <c r="AR3" s="5" t="inlineStr">
        <is>
          <t>OPEN_INT</t>
        </is>
      </c>
      <c r="AT3" s="5" t="inlineStr">
        <is>
          <t>Date</t>
        </is>
      </c>
      <c r="AU3" s="5" t="inlineStr">
        <is>
          <t>PX_OPEN</t>
        </is>
      </c>
      <c r="AV3" s="5" t="inlineStr">
        <is>
          <t>PX_HIGH</t>
        </is>
      </c>
      <c r="AW3" s="5" t="inlineStr">
        <is>
          <t>PX_LOW</t>
        </is>
      </c>
      <c r="AX3" s="5" t="inlineStr">
        <is>
          <t>PX_LAST</t>
        </is>
      </c>
      <c r="AY3" s="5" t="inlineStr">
        <is>
          <t>PX_SETTLE</t>
        </is>
      </c>
      <c r="AZ3" s="5" t="inlineStr">
        <is>
          <t>PX_VOLUME</t>
        </is>
      </c>
      <c r="BA3" s="5" t="inlineStr">
        <is>
          <t>OPEN_INT</t>
        </is>
      </c>
      <c r="BC3" s="5" t="inlineStr">
        <is>
          <t>Date</t>
        </is>
      </c>
      <c r="BD3" s="5" t="inlineStr">
        <is>
          <t>PX_OPEN</t>
        </is>
      </c>
      <c r="BE3" s="5" t="inlineStr">
        <is>
          <t>PX_HIGH</t>
        </is>
      </c>
      <c r="BF3" s="5" t="inlineStr">
        <is>
          <t>PX_LOW</t>
        </is>
      </c>
      <c r="BG3" s="5" t="inlineStr">
        <is>
          <t>PX_LAST</t>
        </is>
      </c>
      <c r="BH3" s="5" t="inlineStr">
        <is>
          <t>PX_SETTLE</t>
        </is>
      </c>
      <c r="BI3" s="5" t="inlineStr">
        <is>
          <t>PX_VOLUME</t>
        </is>
      </c>
      <c r="BJ3" s="5" t="inlineStr">
        <is>
          <t>OPEN_INT</t>
        </is>
      </c>
      <c r="BL3" s="5" t="inlineStr">
        <is>
          <t>Date</t>
        </is>
      </c>
      <c r="BM3" s="5" t="inlineStr">
        <is>
          <t>PX_OPEN</t>
        </is>
      </c>
      <c r="BN3" s="5" t="inlineStr">
        <is>
          <t>PX_HIGH</t>
        </is>
      </c>
      <c r="BO3" s="5" t="inlineStr">
        <is>
          <t>PX_LOW</t>
        </is>
      </c>
      <c r="BP3" s="5" t="inlineStr">
        <is>
          <t>PX_LAST</t>
        </is>
      </c>
      <c r="BQ3" s="5" t="inlineStr">
        <is>
          <t>PX_SETTLE</t>
        </is>
      </c>
      <c r="BR3" s="5" t="inlineStr">
        <is>
          <t>PX_VOLUME</t>
        </is>
      </c>
      <c r="BS3" s="5" t="inlineStr">
        <is>
          <t>OPEN_INT</t>
        </is>
      </c>
      <c r="BU3" s="5" t="inlineStr">
        <is>
          <t>Date</t>
        </is>
      </c>
      <c r="BV3" s="5" t="inlineStr">
        <is>
          <t>PX_OPEN</t>
        </is>
      </c>
      <c r="BW3" s="5" t="inlineStr">
        <is>
          <t>PX_HIGH</t>
        </is>
      </c>
      <c r="BX3" s="5" t="inlineStr">
        <is>
          <t>PX_LOW</t>
        </is>
      </c>
      <c r="BY3" s="5" t="inlineStr">
        <is>
          <t>PX_LAST</t>
        </is>
      </c>
      <c r="BZ3" s="5" t="inlineStr">
        <is>
          <t>PX_SETTLE</t>
        </is>
      </c>
      <c r="CA3" s="5" t="inlineStr">
        <is>
          <t>PX_VOLUME</t>
        </is>
      </c>
      <c r="CB3" s="5" t="inlineStr">
        <is>
          <t>OPEN_INT</t>
        </is>
      </c>
      <c r="CD3" s="5" t="inlineStr">
        <is>
          <t>Date</t>
        </is>
      </c>
      <c r="CE3" s="5" t="inlineStr">
        <is>
          <t>PX_OPEN</t>
        </is>
      </c>
      <c r="CF3" s="5" t="inlineStr">
        <is>
          <t>PX_HIGH</t>
        </is>
      </c>
      <c r="CG3" s="5" t="inlineStr">
        <is>
          <t>PX_LOW</t>
        </is>
      </c>
      <c r="CH3" s="5" t="inlineStr">
        <is>
          <t>PX_LAST</t>
        </is>
      </c>
      <c r="CI3" s="5" t="inlineStr">
        <is>
          <t>PX_SETTLE</t>
        </is>
      </c>
      <c r="CJ3" s="5" t="inlineStr">
        <is>
          <t>PX_VOLUME</t>
        </is>
      </c>
      <c r="CK3" s="5" t="inlineStr">
        <is>
          <t>OPEN_INT</t>
        </is>
      </c>
      <c r="CM3" s="5" t="inlineStr">
        <is>
          <t>Date</t>
        </is>
      </c>
      <c r="CN3" s="5" t="inlineStr">
        <is>
          <t>PX_OPEN</t>
        </is>
      </c>
      <c r="CO3" s="5" t="inlineStr">
        <is>
          <t>PX_HIGH</t>
        </is>
      </c>
      <c r="CP3" s="5" t="inlineStr">
        <is>
          <t>PX_LOW</t>
        </is>
      </c>
      <c r="CQ3" s="5" t="inlineStr">
        <is>
          <t>PX_LAST</t>
        </is>
      </c>
      <c r="CR3" s="5" t="inlineStr">
        <is>
          <t>PX_SETTLE</t>
        </is>
      </c>
      <c r="CS3" s="5" t="inlineStr">
        <is>
          <t>PX_VOLUME</t>
        </is>
      </c>
      <c r="CT3" s="5" t="inlineStr">
        <is>
          <t>OPEN_INT</t>
        </is>
      </c>
      <c r="CV3" s="5" t="inlineStr">
        <is>
          <t>Date</t>
        </is>
      </c>
      <c r="CW3" s="5" t="inlineStr">
        <is>
          <t>PX_OPEN</t>
        </is>
      </c>
      <c r="CX3" s="5" t="inlineStr">
        <is>
          <t>PX_HIGH</t>
        </is>
      </c>
      <c r="CY3" s="5" t="inlineStr">
        <is>
          <t>PX_LOW</t>
        </is>
      </c>
      <c r="CZ3" s="5" t="inlineStr">
        <is>
          <t>PX_LAST</t>
        </is>
      </c>
      <c r="DA3" s="5" t="inlineStr">
        <is>
          <t>PX_SETTLE</t>
        </is>
      </c>
      <c r="DB3" s="5" t="inlineStr">
        <is>
          <t>PX_VOLUME</t>
        </is>
      </c>
      <c r="DC3" s="5" t="inlineStr">
        <is>
          <t>OPEN_INT</t>
        </is>
      </c>
    </row>
    <row r="4">
      <c r="A4" s="4">
        <f>BDH(A$1,B$3:H$3,Settings!$C$13,IF(Settings!$D$13="","",Settings!$D$13),"Dir=V","Dts=S","Sort=A","Days=T","Fill=B")</f>
        <v/>
      </c>
      <c r="J4" s="4">
        <f>BDH(J$1,K$3:Q$3,Settings!$C$13,IF(Settings!$D$13="","",Settings!$D$13),"Dir=V","Dts=S","Sort=A","Days=T","Fill=B")</f>
        <v/>
      </c>
      <c r="S4" s="4">
        <f>BDH(S$1,T$3:Z$3,Settings!$C$13,IF(Settings!$D$13="","",Settings!$D$13),"Dir=V","Dts=S","Sort=A","Days=T","Fill=B")</f>
        <v/>
      </c>
      <c r="AB4" s="4">
        <f>BDH(AB$1,AC$3:AI$3,Settings!$C$13,IF(Settings!$D$13="","",Settings!$D$13),"Dir=V","Dts=S","Sort=A","Days=T","Fill=B")</f>
        <v/>
      </c>
      <c r="AK4" s="4">
        <f>BDH(AK$1,AL$3:AR$3,Settings!$C$13,IF(Settings!$D$13="","",Settings!$D$13),"Dir=V","Dts=S","Sort=A","Days=T","Fill=B")</f>
        <v/>
      </c>
      <c r="AT4" s="4">
        <f>BDH(AT$1,AU$3:BA$3,Settings!$C$13,IF(Settings!$D$13="","",Settings!$D$13),"Dir=V","Dts=S","Sort=A","Days=T","Fill=B")</f>
        <v/>
      </c>
      <c r="BC4" s="4">
        <f>BDH(BC$1,BD$3:BJ$3,Settings!$C$13,IF(Settings!$D$13="","",Settings!$D$13),"Dir=V","Dts=S","Sort=A","Days=T","Fill=B")</f>
        <v/>
      </c>
      <c r="BL4" s="4">
        <f>BDH(BL$1,BM$3:BS$3,Settings!$C$13,IF(Settings!$D$13="","",Settings!$D$13),"Dir=V","Dts=S","Sort=A","Days=T","Fill=B")</f>
        <v/>
      </c>
      <c r="BU4" s="4">
        <f>BDH(BU$1,BV$3:CB$3,Settings!$C$13,IF(Settings!$D$13="","",Settings!$D$13),"Dir=V","Dts=S","Sort=A","Days=T","Fill=B")</f>
        <v/>
      </c>
      <c r="CD4" s="4">
        <f>BDH(CD$1,CE$3:CK$3,Settings!$C$13,IF(Settings!$D$13="","",Settings!$D$13),"Dir=V","Dts=S","Sort=A","Days=T","Fill=B")</f>
        <v/>
      </c>
      <c r="CM4" s="4">
        <f>BDH(CM$1,CN$3:CT$3,Settings!$C$13,IF(Settings!$D$13="","",Settings!$D$13),"Dir=V","Dts=S","Sort=A","Days=T","Fill=B")</f>
        <v/>
      </c>
      <c r="CV4" s="4">
        <f>BDH(CV$1,CW$3:DC$3,Settings!$C$13,IF(Settings!$D$13="","",Settings!$D$13),"Dir=V","Dts=S","Sort=A","Days=T","Fill=B")</f>
        <v/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C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1" customWidth="1" min="7" max="7"/>
    <col width="10" customWidth="1" min="8" max="8"/>
    <col width="12" customWidth="1" min="10" max="10"/>
    <col width="10" customWidth="1" min="11" max="11"/>
    <col width="10" customWidth="1" min="12" max="12"/>
    <col width="10" customWidth="1" min="13" max="13"/>
    <col width="10" customWidth="1" min="14" max="14"/>
    <col width="11" customWidth="1" min="15" max="15"/>
    <col width="11" customWidth="1" min="16" max="16"/>
    <col width="10" customWidth="1" min="17" max="17"/>
    <col width="12" customWidth="1" min="19" max="19"/>
    <col width="10" customWidth="1" min="20" max="20"/>
    <col width="10" customWidth="1" min="21" max="21"/>
    <col width="10" customWidth="1" min="22" max="22"/>
    <col width="10" customWidth="1" min="23" max="23"/>
    <col width="11" customWidth="1" min="24" max="24"/>
    <col width="11" customWidth="1" min="25" max="25"/>
    <col width="10" customWidth="1" min="26" max="26"/>
    <col width="12" customWidth="1" min="28" max="28"/>
    <col width="10" customWidth="1" min="29" max="29"/>
    <col width="10" customWidth="1" min="30" max="30"/>
    <col width="10" customWidth="1" min="31" max="31"/>
    <col width="10" customWidth="1" min="32" max="32"/>
    <col width="11" customWidth="1" min="33" max="33"/>
    <col width="11" customWidth="1" min="34" max="34"/>
    <col width="10" customWidth="1" min="35" max="35"/>
    <col width="12" customWidth="1" min="37" max="37"/>
    <col width="10" customWidth="1" min="38" max="38"/>
    <col width="10" customWidth="1" min="39" max="39"/>
    <col width="10" customWidth="1" min="40" max="40"/>
    <col width="10" customWidth="1" min="41" max="41"/>
    <col width="11" customWidth="1" min="42" max="42"/>
    <col width="11" customWidth="1" min="43" max="43"/>
    <col width="10" customWidth="1" min="44" max="44"/>
    <col width="12" customWidth="1" min="46" max="46"/>
    <col width="10" customWidth="1" min="47" max="47"/>
    <col width="10" customWidth="1" min="48" max="48"/>
    <col width="10" customWidth="1" min="49" max="49"/>
    <col width="10" customWidth="1" min="50" max="50"/>
    <col width="11" customWidth="1" min="51" max="51"/>
    <col width="11" customWidth="1" min="52" max="52"/>
    <col width="10" customWidth="1" min="53" max="53"/>
    <col width="12" customWidth="1" min="55" max="55"/>
    <col width="10" customWidth="1" min="56" max="56"/>
    <col width="10" customWidth="1" min="57" max="57"/>
    <col width="10" customWidth="1" min="58" max="58"/>
    <col width="10" customWidth="1" min="59" max="59"/>
    <col width="11" customWidth="1" min="60" max="60"/>
    <col width="11" customWidth="1" min="61" max="61"/>
    <col width="10" customWidth="1" min="62" max="62"/>
    <col width="12" customWidth="1" min="64" max="64"/>
    <col width="10" customWidth="1" min="65" max="65"/>
    <col width="10" customWidth="1" min="66" max="66"/>
    <col width="10" customWidth="1" min="67" max="67"/>
    <col width="10" customWidth="1" min="68" max="68"/>
    <col width="11" customWidth="1" min="69" max="69"/>
    <col width="11" customWidth="1" min="70" max="70"/>
    <col width="10" customWidth="1" min="71" max="71"/>
    <col width="12" customWidth="1" min="73" max="73"/>
    <col width="10" customWidth="1" min="74" max="74"/>
    <col width="10" customWidth="1" min="75" max="75"/>
    <col width="10" customWidth="1" min="76" max="76"/>
    <col width="10" customWidth="1" min="77" max="77"/>
    <col width="11" customWidth="1" min="78" max="78"/>
    <col width="11" customWidth="1" min="79" max="79"/>
    <col width="10" customWidth="1" min="80" max="80"/>
    <col width="12" customWidth="1" min="82" max="82"/>
    <col width="10" customWidth="1" min="83" max="83"/>
    <col width="10" customWidth="1" min="84" max="84"/>
    <col width="10" customWidth="1" min="85" max="85"/>
    <col width="10" customWidth="1" min="86" max="86"/>
    <col width="11" customWidth="1" min="87" max="87"/>
    <col width="11" customWidth="1" min="88" max="88"/>
    <col width="10" customWidth="1" min="89" max="89"/>
    <col width="12" customWidth="1" min="91" max="91"/>
    <col width="10" customWidth="1" min="92" max="92"/>
    <col width="10" customWidth="1" min="93" max="93"/>
    <col width="10" customWidth="1" min="94" max="94"/>
    <col width="10" customWidth="1" min="95" max="95"/>
    <col width="11" customWidth="1" min="96" max="96"/>
    <col width="11" customWidth="1" min="97" max="97"/>
    <col width="10" customWidth="1" min="98" max="98"/>
    <col width="12" customWidth="1" min="100" max="100"/>
    <col width="10" customWidth="1" min="101" max="101"/>
    <col width="10" customWidth="1" min="102" max="102"/>
    <col width="10" customWidth="1" min="103" max="103"/>
    <col width="10" customWidth="1" min="104" max="104"/>
    <col width="11" customWidth="1" min="105" max="105"/>
    <col width="11" customWidth="1" min="106" max="106"/>
    <col width="10" customWidth="1" min="107" max="107"/>
  </cols>
  <sheetData>
    <row r="1">
      <c r="A1" s="2">
        <f>IF(Settings!$B$13="Y","COF"&amp;IF(A$2&lt;Settings!$B$3,"23","3")&amp;" Comdty","")</f>
        <v/>
      </c>
      <c r="J1" s="2">
        <f>IF(Settings!$B$13="Y","COG"&amp;IF(J$2&lt;Settings!$B$3,"23","3")&amp;" Comdty","")</f>
        <v/>
      </c>
      <c r="S1" s="2">
        <f>IF(Settings!$B$13="Y","COH"&amp;IF(S$2&lt;Settings!$B$3,"23","3")&amp;" Comdty","")</f>
        <v/>
      </c>
      <c r="AB1" s="2">
        <f>IF(Settings!$B$13="Y","COJ"&amp;IF(AB$2&lt;Settings!$B$3,"23","3")&amp;" Comdty","")</f>
        <v/>
      </c>
      <c r="AK1" s="2">
        <f>IF(Settings!$B$13="Y","COK"&amp;IF(AK$2&lt;Settings!$B$3,"23","3")&amp;" Comdty","")</f>
        <v/>
      </c>
      <c r="AT1" s="2">
        <f>IF(Settings!$B$13="Y","COM"&amp;IF(AT$2&lt;Settings!$B$3,"23","3")&amp;" Comdty","")</f>
        <v/>
      </c>
      <c r="BC1" s="2">
        <f>IF(Settings!$B$13="Y","CON"&amp;IF(BC$2&lt;Settings!$B$3,"23","3")&amp;" Comdty","")</f>
        <v/>
      </c>
      <c r="BL1" s="2">
        <f>IF(Settings!$B$13="Y","COQ"&amp;IF(BL$2&lt;Settings!$B$3,"23","3")&amp;" Comdty","")</f>
        <v/>
      </c>
      <c r="BU1" s="2">
        <f>IF(Settings!$B$13="Y","COU"&amp;IF(BU$2&lt;Settings!$B$3,"23","3")&amp;" Comdty","")</f>
        <v/>
      </c>
      <c r="CD1" s="2">
        <f>IF(Settings!$B$13="Y","COV"&amp;IF(CD$2&lt;Settings!$B$3,"23","3")&amp;" Comdty","")</f>
        <v/>
      </c>
      <c r="CM1" s="2">
        <f>IF(Settings!$B$13="Y","COX"&amp;IF(CM$2&lt;Settings!$B$3,"23","3")&amp;" Comdty","")</f>
        <v/>
      </c>
      <c r="CV1" s="2">
        <f>IF(Settings!$B$13="Y","COZ"&amp;IF(CV$2&lt;Settings!$B$3,"23","3")&amp;" Comdty","")</f>
        <v/>
      </c>
    </row>
    <row r="2">
      <c r="A2" s="8">
        <f>WORKDAY(DATE(2023,1-1,1),-1)</f>
        <v/>
      </c>
      <c r="B2" s="8">
        <f>IF(A$1="","",BDP(A$1,"LAST_TRADEABLE_DT"))</f>
        <v/>
      </c>
      <c r="J2" s="8">
        <f>WORKDAY(DATE(2023,2-1,1),-1)</f>
        <v/>
      </c>
      <c r="K2" s="8">
        <f>IF(J$1="","",BDP(J$1,"LAST_TRADEABLE_DT"))</f>
        <v/>
      </c>
      <c r="S2" s="8">
        <f>WORKDAY(DATE(2023,3-1,1),-1)</f>
        <v/>
      </c>
      <c r="T2" s="8">
        <f>IF(S$1="","",BDP(S$1,"LAST_TRADEABLE_DT"))</f>
        <v/>
      </c>
      <c r="AB2" s="8">
        <f>WORKDAY(DATE(2023,4-1,1),-1)</f>
        <v/>
      </c>
      <c r="AC2" s="8">
        <f>IF(AB$1="","",BDP(AB$1,"LAST_TRADEABLE_DT"))</f>
        <v/>
      </c>
      <c r="AK2" s="8">
        <f>WORKDAY(DATE(2023,5-1,1),-1)</f>
        <v/>
      </c>
      <c r="AL2" s="8">
        <f>IF(AK$1="","",BDP(AK$1,"LAST_TRADEABLE_DT"))</f>
        <v/>
      </c>
      <c r="AT2" s="8">
        <f>WORKDAY(DATE(2023,6-1,1),-1)</f>
        <v/>
      </c>
      <c r="AU2" s="8">
        <f>IF(AT$1="","",BDP(AT$1,"LAST_TRADEABLE_DT"))</f>
        <v/>
      </c>
      <c r="BC2" s="8">
        <f>WORKDAY(DATE(2023,7-1,1),-1)</f>
        <v/>
      </c>
      <c r="BD2" s="8">
        <f>IF(BC$1="","",BDP(BC$1,"LAST_TRADEABLE_DT"))</f>
        <v/>
      </c>
      <c r="BL2" s="8">
        <f>WORKDAY(DATE(2023,8-1,1),-1)</f>
        <v/>
      </c>
      <c r="BM2" s="8">
        <f>IF(BL$1="","",BDP(BL$1,"LAST_TRADEABLE_DT"))</f>
        <v/>
      </c>
      <c r="BU2" s="8">
        <f>WORKDAY(DATE(2023,9-1,1),-1)</f>
        <v/>
      </c>
      <c r="BV2" s="8">
        <f>IF(BU$1="","",BDP(BU$1,"LAST_TRADEABLE_DT"))</f>
        <v/>
      </c>
      <c r="CD2" s="8">
        <f>WORKDAY(DATE(2023,10-1,1),-1)</f>
        <v/>
      </c>
      <c r="CE2" s="8">
        <f>IF(CD$1="","",BDP(CD$1,"LAST_TRADEABLE_DT"))</f>
        <v/>
      </c>
      <c r="CM2" s="8">
        <f>WORKDAY(DATE(2023,11-1,1),-1)</f>
        <v/>
      </c>
      <c r="CN2" s="8">
        <f>IF(CM$1="","",BDP(CM$1,"LAST_TRADEABLE_DT"))</f>
        <v/>
      </c>
      <c r="CV2" s="8">
        <f>WORKDAY(DATE(2023,12-1,1),-1)</f>
        <v/>
      </c>
      <c r="CW2" s="8">
        <f>IF(CV$1="","",BDP(CV$1,"LAST_TRADEABLE_DT"))</f>
        <v/>
      </c>
    </row>
    <row r="3">
      <c r="A3" s="5" t="inlineStr">
        <is>
          <t>Date</t>
        </is>
      </c>
      <c r="B3" s="5" t="inlineStr">
        <is>
          <t>PX_OPEN</t>
        </is>
      </c>
      <c r="C3" s="5" t="inlineStr">
        <is>
          <t>PX_HIGH</t>
        </is>
      </c>
      <c r="D3" s="5" t="inlineStr">
        <is>
          <t>PX_LOW</t>
        </is>
      </c>
      <c r="E3" s="5" t="inlineStr">
        <is>
          <t>PX_LAST</t>
        </is>
      </c>
      <c r="F3" s="5" t="inlineStr">
        <is>
          <t>PX_SETTLE</t>
        </is>
      </c>
      <c r="G3" s="5" t="inlineStr">
        <is>
          <t>PX_VOLUME</t>
        </is>
      </c>
      <c r="H3" s="5" t="inlineStr">
        <is>
          <t>OPEN_INT</t>
        </is>
      </c>
      <c r="J3" s="5" t="inlineStr">
        <is>
          <t>Date</t>
        </is>
      </c>
      <c r="K3" s="5" t="inlineStr">
        <is>
          <t>PX_OPEN</t>
        </is>
      </c>
      <c r="L3" s="5" t="inlineStr">
        <is>
          <t>PX_HIGH</t>
        </is>
      </c>
      <c r="M3" s="5" t="inlineStr">
        <is>
          <t>PX_LOW</t>
        </is>
      </c>
      <c r="N3" s="5" t="inlineStr">
        <is>
          <t>PX_LAST</t>
        </is>
      </c>
      <c r="O3" s="5" t="inlineStr">
        <is>
          <t>PX_SETTLE</t>
        </is>
      </c>
      <c r="P3" s="5" t="inlineStr">
        <is>
          <t>PX_VOLUME</t>
        </is>
      </c>
      <c r="Q3" s="5" t="inlineStr">
        <is>
          <t>OPEN_INT</t>
        </is>
      </c>
      <c r="S3" s="5" t="inlineStr">
        <is>
          <t>Date</t>
        </is>
      </c>
      <c r="T3" s="5" t="inlineStr">
        <is>
          <t>PX_OPEN</t>
        </is>
      </c>
      <c r="U3" s="5" t="inlineStr">
        <is>
          <t>PX_HIGH</t>
        </is>
      </c>
      <c r="V3" s="5" t="inlineStr">
        <is>
          <t>PX_LOW</t>
        </is>
      </c>
      <c r="W3" s="5" t="inlineStr">
        <is>
          <t>PX_LAST</t>
        </is>
      </c>
      <c r="X3" s="5" t="inlineStr">
        <is>
          <t>PX_SETTLE</t>
        </is>
      </c>
      <c r="Y3" s="5" t="inlineStr">
        <is>
          <t>PX_VOLUME</t>
        </is>
      </c>
      <c r="Z3" s="5" t="inlineStr">
        <is>
          <t>OPEN_INT</t>
        </is>
      </c>
      <c r="AB3" s="5" t="inlineStr">
        <is>
          <t>Date</t>
        </is>
      </c>
      <c r="AC3" s="5" t="inlineStr">
        <is>
          <t>PX_OPEN</t>
        </is>
      </c>
      <c r="AD3" s="5" t="inlineStr">
        <is>
          <t>PX_HIGH</t>
        </is>
      </c>
      <c r="AE3" s="5" t="inlineStr">
        <is>
          <t>PX_LOW</t>
        </is>
      </c>
      <c r="AF3" s="5" t="inlineStr">
        <is>
          <t>PX_LAST</t>
        </is>
      </c>
      <c r="AG3" s="5" t="inlineStr">
        <is>
          <t>PX_SETTLE</t>
        </is>
      </c>
      <c r="AH3" s="5" t="inlineStr">
        <is>
          <t>PX_VOLUME</t>
        </is>
      </c>
      <c r="AI3" s="5" t="inlineStr">
        <is>
          <t>OPEN_INT</t>
        </is>
      </c>
      <c r="AK3" s="5" t="inlineStr">
        <is>
          <t>Date</t>
        </is>
      </c>
      <c r="AL3" s="5" t="inlineStr">
        <is>
          <t>PX_OPEN</t>
        </is>
      </c>
      <c r="AM3" s="5" t="inlineStr">
        <is>
          <t>PX_HIGH</t>
        </is>
      </c>
      <c r="AN3" s="5" t="inlineStr">
        <is>
          <t>PX_LOW</t>
        </is>
      </c>
      <c r="AO3" s="5" t="inlineStr">
        <is>
          <t>PX_LAST</t>
        </is>
      </c>
      <c r="AP3" s="5" t="inlineStr">
        <is>
          <t>PX_SETTLE</t>
        </is>
      </c>
      <c r="AQ3" s="5" t="inlineStr">
        <is>
          <t>PX_VOLUME</t>
        </is>
      </c>
      <c r="AR3" s="5" t="inlineStr">
        <is>
          <t>OPEN_INT</t>
        </is>
      </c>
      <c r="AT3" s="5" t="inlineStr">
        <is>
          <t>Date</t>
        </is>
      </c>
      <c r="AU3" s="5" t="inlineStr">
        <is>
          <t>PX_OPEN</t>
        </is>
      </c>
      <c r="AV3" s="5" t="inlineStr">
        <is>
          <t>PX_HIGH</t>
        </is>
      </c>
      <c r="AW3" s="5" t="inlineStr">
        <is>
          <t>PX_LOW</t>
        </is>
      </c>
      <c r="AX3" s="5" t="inlineStr">
        <is>
          <t>PX_LAST</t>
        </is>
      </c>
      <c r="AY3" s="5" t="inlineStr">
        <is>
          <t>PX_SETTLE</t>
        </is>
      </c>
      <c r="AZ3" s="5" t="inlineStr">
        <is>
          <t>PX_VOLUME</t>
        </is>
      </c>
      <c r="BA3" s="5" t="inlineStr">
        <is>
          <t>OPEN_INT</t>
        </is>
      </c>
      <c r="BC3" s="5" t="inlineStr">
        <is>
          <t>Date</t>
        </is>
      </c>
      <c r="BD3" s="5" t="inlineStr">
        <is>
          <t>PX_OPEN</t>
        </is>
      </c>
      <c r="BE3" s="5" t="inlineStr">
        <is>
          <t>PX_HIGH</t>
        </is>
      </c>
      <c r="BF3" s="5" t="inlineStr">
        <is>
          <t>PX_LOW</t>
        </is>
      </c>
      <c r="BG3" s="5" t="inlineStr">
        <is>
          <t>PX_LAST</t>
        </is>
      </c>
      <c r="BH3" s="5" t="inlineStr">
        <is>
          <t>PX_SETTLE</t>
        </is>
      </c>
      <c r="BI3" s="5" t="inlineStr">
        <is>
          <t>PX_VOLUME</t>
        </is>
      </c>
      <c r="BJ3" s="5" t="inlineStr">
        <is>
          <t>OPEN_INT</t>
        </is>
      </c>
      <c r="BL3" s="5" t="inlineStr">
        <is>
          <t>Date</t>
        </is>
      </c>
      <c r="BM3" s="5" t="inlineStr">
        <is>
          <t>PX_OPEN</t>
        </is>
      </c>
      <c r="BN3" s="5" t="inlineStr">
        <is>
          <t>PX_HIGH</t>
        </is>
      </c>
      <c r="BO3" s="5" t="inlineStr">
        <is>
          <t>PX_LOW</t>
        </is>
      </c>
      <c r="BP3" s="5" t="inlineStr">
        <is>
          <t>PX_LAST</t>
        </is>
      </c>
      <c r="BQ3" s="5" t="inlineStr">
        <is>
          <t>PX_SETTLE</t>
        </is>
      </c>
      <c r="BR3" s="5" t="inlineStr">
        <is>
          <t>PX_VOLUME</t>
        </is>
      </c>
      <c r="BS3" s="5" t="inlineStr">
        <is>
          <t>OPEN_INT</t>
        </is>
      </c>
      <c r="BU3" s="5" t="inlineStr">
        <is>
          <t>Date</t>
        </is>
      </c>
      <c r="BV3" s="5" t="inlineStr">
        <is>
          <t>PX_OPEN</t>
        </is>
      </c>
      <c r="BW3" s="5" t="inlineStr">
        <is>
          <t>PX_HIGH</t>
        </is>
      </c>
      <c r="BX3" s="5" t="inlineStr">
        <is>
          <t>PX_LOW</t>
        </is>
      </c>
      <c r="BY3" s="5" t="inlineStr">
        <is>
          <t>PX_LAST</t>
        </is>
      </c>
      <c r="BZ3" s="5" t="inlineStr">
        <is>
          <t>PX_SETTLE</t>
        </is>
      </c>
      <c r="CA3" s="5" t="inlineStr">
        <is>
          <t>PX_VOLUME</t>
        </is>
      </c>
      <c r="CB3" s="5" t="inlineStr">
        <is>
          <t>OPEN_INT</t>
        </is>
      </c>
      <c r="CD3" s="5" t="inlineStr">
        <is>
          <t>Date</t>
        </is>
      </c>
      <c r="CE3" s="5" t="inlineStr">
        <is>
          <t>PX_OPEN</t>
        </is>
      </c>
      <c r="CF3" s="5" t="inlineStr">
        <is>
          <t>PX_HIGH</t>
        </is>
      </c>
      <c r="CG3" s="5" t="inlineStr">
        <is>
          <t>PX_LOW</t>
        </is>
      </c>
      <c r="CH3" s="5" t="inlineStr">
        <is>
          <t>PX_LAST</t>
        </is>
      </c>
      <c r="CI3" s="5" t="inlineStr">
        <is>
          <t>PX_SETTLE</t>
        </is>
      </c>
      <c r="CJ3" s="5" t="inlineStr">
        <is>
          <t>PX_VOLUME</t>
        </is>
      </c>
      <c r="CK3" s="5" t="inlineStr">
        <is>
          <t>OPEN_INT</t>
        </is>
      </c>
      <c r="CM3" s="5" t="inlineStr">
        <is>
          <t>Date</t>
        </is>
      </c>
      <c r="CN3" s="5" t="inlineStr">
        <is>
          <t>PX_OPEN</t>
        </is>
      </c>
      <c r="CO3" s="5" t="inlineStr">
        <is>
          <t>PX_HIGH</t>
        </is>
      </c>
      <c r="CP3" s="5" t="inlineStr">
        <is>
          <t>PX_LOW</t>
        </is>
      </c>
      <c r="CQ3" s="5" t="inlineStr">
        <is>
          <t>PX_LAST</t>
        </is>
      </c>
      <c r="CR3" s="5" t="inlineStr">
        <is>
          <t>PX_SETTLE</t>
        </is>
      </c>
      <c r="CS3" s="5" t="inlineStr">
        <is>
          <t>PX_VOLUME</t>
        </is>
      </c>
      <c r="CT3" s="5" t="inlineStr">
        <is>
          <t>OPEN_INT</t>
        </is>
      </c>
      <c r="CV3" s="5" t="inlineStr">
        <is>
          <t>Date</t>
        </is>
      </c>
      <c r="CW3" s="5" t="inlineStr">
        <is>
          <t>PX_OPEN</t>
        </is>
      </c>
      <c r="CX3" s="5" t="inlineStr">
        <is>
          <t>PX_HIGH</t>
        </is>
      </c>
      <c r="CY3" s="5" t="inlineStr">
        <is>
          <t>PX_LOW</t>
        </is>
      </c>
      <c r="CZ3" s="5" t="inlineStr">
        <is>
          <t>PX_LAST</t>
        </is>
      </c>
      <c r="DA3" s="5" t="inlineStr">
        <is>
          <t>PX_SETTLE</t>
        </is>
      </c>
      <c r="DB3" s="5" t="inlineStr">
        <is>
          <t>PX_VOLUME</t>
        </is>
      </c>
      <c r="DC3" s="5" t="inlineStr">
        <is>
          <t>OPEN_INT</t>
        </is>
      </c>
    </row>
    <row r="4">
      <c r="A4" s="4">
        <f>BDH(A$1,B$3:H$3,Settings!$C$13,IF(Settings!$D$13="","",Settings!$D$13),"Dir=V","Dts=S","Sort=A","Days=T","Fill=B")</f>
        <v/>
      </c>
      <c r="J4" s="4">
        <f>BDH(J$1,K$3:Q$3,Settings!$C$13,IF(Settings!$D$13="","",Settings!$D$13),"Dir=V","Dts=S","Sort=A","Days=T","Fill=B")</f>
        <v/>
      </c>
      <c r="S4" s="4">
        <f>BDH(S$1,T$3:Z$3,Settings!$C$13,IF(Settings!$D$13="","",Settings!$D$13),"Dir=V","Dts=S","Sort=A","Days=T","Fill=B")</f>
        <v/>
      </c>
      <c r="AB4" s="4">
        <f>BDH(AB$1,AC$3:AI$3,Settings!$C$13,IF(Settings!$D$13="","",Settings!$D$13),"Dir=V","Dts=S","Sort=A","Days=T","Fill=B")</f>
        <v/>
      </c>
      <c r="AK4" s="4">
        <f>BDH(AK$1,AL$3:AR$3,Settings!$C$13,IF(Settings!$D$13="","",Settings!$D$13),"Dir=V","Dts=S","Sort=A","Days=T","Fill=B")</f>
        <v/>
      </c>
      <c r="AT4" s="4">
        <f>BDH(AT$1,AU$3:BA$3,Settings!$C$13,IF(Settings!$D$13="","",Settings!$D$13),"Dir=V","Dts=S","Sort=A","Days=T","Fill=B")</f>
        <v/>
      </c>
      <c r="BC4" s="4">
        <f>BDH(BC$1,BD$3:BJ$3,Settings!$C$13,IF(Settings!$D$13="","",Settings!$D$13),"Dir=V","Dts=S","Sort=A","Days=T","Fill=B")</f>
        <v/>
      </c>
      <c r="BL4" s="4">
        <f>BDH(BL$1,BM$3:BS$3,Settings!$C$13,IF(Settings!$D$13="","",Settings!$D$13),"Dir=V","Dts=S","Sort=A","Days=T","Fill=B")</f>
        <v/>
      </c>
      <c r="BU4" s="4">
        <f>BDH(BU$1,BV$3:CB$3,Settings!$C$13,IF(Settings!$D$13="","",Settings!$D$13),"Dir=V","Dts=S","Sort=A","Days=T","Fill=B")</f>
        <v/>
      </c>
      <c r="CD4" s="4">
        <f>BDH(CD$1,CE$3:CK$3,Settings!$C$13,IF(Settings!$D$13="","",Settings!$D$13),"Dir=V","Dts=S","Sort=A","Days=T","Fill=B")</f>
        <v/>
      </c>
      <c r="CM4" s="4">
        <f>BDH(CM$1,CN$3:CT$3,Settings!$C$13,IF(Settings!$D$13="","",Settings!$D$13),"Dir=V","Dts=S","Sort=A","Days=T","Fill=B")</f>
        <v/>
      </c>
      <c r="CV4" s="4">
        <f>BDH(CV$1,CW$3:DC$3,Settings!$C$13,IF(Settings!$D$13="","",Settings!$D$13),"Dir=V","Dts=S","Sort=A","Days=T","Fill=B")</f>
        <v/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C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1" customWidth="1" min="7" max="7"/>
    <col width="10" customWidth="1" min="8" max="8"/>
    <col width="12" customWidth="1" min="10" max="10"/>
    <col width="10" customWidth="1" min="11" max="11"/>
    <col width="10" customWidth="1" min="12" max="12"/>
    <col width="10" customWidth="1" min="13" max="13"/>
    <col width="10" customWidth="1" min="14" max="14"/>
    <col width="11" customWidth="1" min="15" max="15"/>
    <col width="11" customWidth="1" min="16" max="16"/>
    <col width="10" customWidth="1" min="17" max="17"/>
    <col width="12" customWidth="1" min="19" max="19"/>
    <col width="10" customWidth="1" min="20" max="20"/>
    <col width="10" customWidth="1" min="21" max="21"/>
    <col width="10" customWidth="1" min="22" max="22"/>
    <col width="10" customWidth="1" min="23" max="23"/>
    <col width="11" customWidth="1" min="24" max="24"/>
    <col width="11" customWidth="1" min="25" max="25"/>
    <col width="10" customWidth="1" min="26" max="26"/>
    <col width="12" customWidth="1" min="28" max="28"/>
    <col width="10" customWidth="1" min="29" max="29"/>
    <col width="10" customWidth="1" min="30" max="30"/>
    <col width="10" customWidth="1" min="31" max="31"/>
    <col width="10" customWidth="1" min="32" max="32"/>
    <col width="11" customWidth="1" min="33" max="33"/>
    <col width="11" customWidth="1" min="34" max="34"/>
    <col width="10" customWidth="1" min="35" max="35"/>
    <col width="12" customWidth="1" min="37" max="37"/>
    <col width="10" customWidth="1" min="38" max="38"/>
    <col width="10" customWidth="1" min="39" max="39"/>
    <col width="10" customWidth="1" min="40" max="40"/>
    <col width="10" customWidth="1" min="41" max="41"/>
    <col width="11" customWidth="1" min="42" max="42"/>
    <col width="11" customWidth="1" min="43" max="43"/>
    <col width="10" customWidth="1" min="44" max="44"/>
    <col width="12" customWidth="1" min="46" max="46"/>
    <col width="10" customWidth="1" min="47" max="47"/>
    <col width="10" customWidth="1" min="48" max="48"/>
    <col width="10" customWidth="1" min="49" max="49"/>
    <col width="10" customWidth="1" min="50" max="50"/>
    <col width="11" customWidth="1" min="51" max="51"/>
    <col width="11" customWidth="1" min="52" max="52"/>
    <col width="10" customWidth="1" min="53" max="53"/>
    <col width="12" customWidth="1" min="55" max="55"/>
    <col width="10" customWidth="1" min="56" max="56"/>
    <col width="10" customWidth="1" min="57" max="57"/>
    <col width="10" customWidth="1" min="58" max="58"/>
    <col width="10" customWidth="1" min="59" max="59"/>
    <col width="11" customWidth="1" min="60" max="60"/>
    <col width="11" customWidth="1" min="61" max="61"/>
    <col width="10" customWidth="1" min="62" max="62"/>
    <col width="12" customWidth="1" min="64" max="64"/>
    <col width="10" customWidth="1" min="65" max="65"/>
    <col width="10" customWidth="1" min="66" max="66"/>
    <col width="10" customWidth="1" min="67" max="67"/>
    <col width="10" customWidth="1" min="68" max="68"/>
    <col width="11" customWidth="1" min="69" max="69"/>
    <col width="11" customWidth="1" min="70" max="70"/>
    <col width="10" customWidth="1" min="71" max="71"/>
    <col width="12" customWidth="1" min="73" max="73"/>
    <col width="10" customWidth="1" min="74" max="74"/>
    <col width="10" customWidth="1" min="75" max="75"/>
    <col width="10" customWidth="1" min="76" max="76"/>
    <col width="10" customWidth="1" min="77" max="77"/>
    <col width="11" customWidth="1" min="78" max="78"/>
    <col width="11" customWidth="1" min="79" max="79"/>
    <col width="10" customWidth="1" min="80" max="80"/>
    <col width="12" customWidth="1" min="82" max="82"/>
    <col width="10" customWidth="1" min="83" max="83"/>
    <col width="10" customWidth="1" min="84" max="84"/>
    <col width="10" customWidth="1" min="85" max="85"/>
    <col width="10" customWidth="1" min="86" max="86"/>
    <col width="11" customWidth="1" min="87" max="87"/>
    <col width="11" customWidth="1" min="88" max="88"/>
    <col width="10" customWidth="1" min="89" max="89"/>
    <col width="12" customWidth="1" min="91" max="91"/>
    <col width="10" customWidth="1" min="92" max="92"/>
    <col width="10" customWidth="1" min="93" max="93"/>
    <col width="10" customWidth="1" min="94" max="94"/>
    <col width="10" customWidth="1" min="95" max="95"/>
    <col width="11" customWidth="1" min="96" max="96"/>
    <col width="11" customWidth="1" min="97" max="97"/>
    <col width="10" customWidth="1" min="98" max="98"/>
    <col width="12" customWidth="1" min="100" max="100"/>
    <col width="10" customWidth="1" min="101" max="101"/>
    <col width="10" customWidth="1" min="102" max="102"/>
    <col width="10" customWidth="1" min="103" max="103"/>
    <col width="10" customWidth="1" min="104" max="104"/>
    <col width="11" customWidth="1" min="105" max="105"/>
    <col width="11" customWidth="1" min="106" max="106"/>
    <col width="10" customWidth="1" min="107" max="107"/>
  </cols>
  <sheetData>
    <row r="1">
      <c r="A1" s="2">
        <f>IF(Settings!$B$13="Y","COF"&amp;IF(A$2&lt;Settings!$B$3,"24","4")&amp;" Comdty","")</f>
        <v/>
      </c>
      <c r="J1" s="2">
        <f>IF(Settings!$B$13="Y","COG"&amp;IF(J$2&lt;Settings!$B$3,"24","4")&amp;" Comdty","")</f>
        <v/>
      </c>
      <c r="S1" s="2">
        <f>IF(Settings!$B$13="Y","COH"&amp;IF(S$2&lt;Settings!$B$3,"24","4")&amp;" Comdty","")</f>
        <v/>
      </c>
      <c r="AB1" s="2">
        <f>IF(Settings!$B$13="Y","COJ"&amp;IF(AB$2&lt;Settings!$B$3,"24","4")&amp;" Comdty","")</f>
        <v/>
      </c>
      <c r="AK1" s="2">
        <f>IF(Settings!$B$13="Y","COK"&amp;IF(AK$2&lt;Settings!$B$3,"24","4")&amp;" Comdty","")</f>
        <v/>
      </c>
      <c r="AT1" s="2">
        <f>IF(Settings!$B$13="Y","COM"&amp;IF(AT$2&lt;Settings!$B$3,"24","4")&amp;" Comdty","")</f>
        <v/>
      </c>
      <c r="BC1" s="2">
        <f>IF(Settings!$B$13="Y","CON"&amp;IF(BC$2&lt;Settings!$B$3,"24","4")&amp;" Comdty","")</f>
        <v/>
      </c>
      <c r="BL1" s="2">
        <f>IF(Settings!$B$13="Y","COQ"&amp;IF(BL$2&lt;Settings!$B$3,"24","4")&amp;" Comdty","")</f>
        <v/>
      </c>
      <c r="BU1" s="2">
        <f>IF(Settings!$B$13="Y","COU"&amp;IF(BU$2&lt;Settings!$B$3,"24","4")&amp;" Comdty","")</f>
        <v/>
      </c>
      <c r="CD1" s="2">
        <f>IF(Settings!$B$13="Y","COV"&amp;IF(CD$2&lt;Settings!$B$3,"24","4")&amp;" Comdty","")</f>
        <v/>
      </c>
      <c r="CM1" s="2">
        <f>IF(Settings!$B$13="Y","COX"&amp;IF(CM$2&lt;Settings!$B$3,"24","4")&amp;" Comdty","")</f>
        <v/>
      </c>
      <c r="CV1" s="2">
        <f>IF(Settings!$B$13="Y","COZ"&amp;IF(CV$2&lt;Settings!$B$3,"24","4")&amp;" Comdty","")</f>
        <v/>
      </c>
    </row>
    <row r="2">
      <c r="A2" s="8">
        <f>WORKDAY(DATE(2024,1-1,1),-1)</f>
        <v/>
      </c>
      <c r="B2" s="8">
        <f>IF(A$1="","",BDP(A$1,"LAST_TRADEABLE_DT"))</f>
        <v/>
      </c>
      <c r="J2" s="8">
        <f>WORKDAY(DATE(2024,2-1,1),-1)</f>
        <v/>
      </c>
      <c r="K2" s="8">
        <f>IF(J$1="","",BDP(J$1,"LAST_TRADEABLE_DT"))</f>
        <v/>
      </c>
      <c r="S2" s="8">
        <f>WORKDAY(DATE(2024,3-1,1),-1)</f>
        <v/>
      </c>
      <c r="T2" s="8">
        <f>IF(S$1="","",BDP(S$1,"LAST_TRADEABLE_DT"))</f>
        <v/>
      </c>
      <c r="AB2" s="8">
        <f>WORKDAY(DATE(2024,4-1,1),-1)</f>
        <v/>
      </c>
      <c r="AC2" s="8">
        <f>IF(AB$1="","",BDP(AB$1,"LAST_TRADEABLE_DT"))</f>
        <v/>
      </c>
      <c r="AK2" s="8">
        <f>WORKDAY(DATE(2024,5-1,1),-1)</f>
        <v/>
      </c>
      <c r="AL2" s="8">
        <f>IF(AK$1="","",BDP(AK$1,"LAST_TRADEABLE_DT"))</f>
        <v/>
      </c>
      <c r="AT2" s="8">
        <f>WORKDAY(DATE(2024,6-1,1),-1)</f>
        <v/>
      </c>
      <c r="AU2" s="8">
        <f>IF(AT$1="","",BDP(AT$1,"LAST_TRADEABLE_DT"))</f>
        <v/>
      </c>
      <c r="BC2" s="8">
        <f>WORKDAY(DATE(2024,7-1,1),-1)</f>
        <v/>
      </c>
      <c r="BD2" s="8">
        <f>IF(BC$1="","",BDP(BC$1,"LAST_TRADEABLE_DT"))</f>
        <v/>
      </c>
      <c r="BL2" s="8">
        <f>WORKDAY(DATE(2024,8-1,1),-1)</f>
        <v/>
      </c>
      <c r="BM2" s="8">
        <f>IF(BL$1="","",BDP(BL$1,"LAST_TRADEABLE_DT"))</f>
        <v/>
      </c>
      <c r="BU2" s="8">
        <f>WORKDAY(DATE(2024,9-1,1),-1)</f>
        <v/>
      </c>
      <c r="BV2" s="8">
        <f>IF(BU$1="","",BDP(BU$1,"LAST_TRADEABLE_DT"))</f>
        <v/>
      </c>
      <c r="CD2" s="8">
        <f>WORKDAY(DATE(2024,10-1,1),-1)</f>
        <v/>
      </c>
      <c r="CE2" s="8">
        <f>IF(CD$1="","",BDP(CD$1,"LAST_TRADEABLE_DT"))</f>
        <v/>
      </c>
      <c r="CM2" s="8">
        <f>WORKDAY(DATE(2024,11-1,1),-1)</f>
        <v/>
      </c>
      <c r="CN2" s="8">
        <f>IF(CM$1="","",BDP(CM$1,"LAST_TRADEABLE_DT"))</f>
        <v/>
      </c>
      <c r="CV2" s="8">
        <f>WORKDAY(DATE(2024,12-1,1),-1)</f>
        <v/>
      </c>
      <c r="CW2" s="8">
        <f>IF(CV$1="","",BDP(CV$1,"LAST_TRADEABLE_DT"))</f>
        <v/>
      </c>
    </row>
    <row r="3">
      <c r="A3" s="5" t="inlineStr">
        <is>
          <t>Date</t>
        </is>
      </c>
      <c r="B3" s="5" t="inlineStr">
        <is>
          <t>PX_OPEN</t>
        </is>
      </c>
      <c r="C3" s="5" t="inlineStr">
        <is>
          <t>PX_HIGH</t>
        </is>
      </c>
      <c r="D3" s="5" t="inlineStr">
        <is>
          <t>PX_LOW</t>
        </is>
      </c>
      <c r="E3" s="5" t="inlineStr">
        <is>
          <t>PX_LAST</t>
        </is>
      </c>
      <c r="F3" s="5" t="inlineStr">
        <is>
          <t>PX_SETTLE</t>
        </is>
      </c>
      <c r="G3" s="5" t="inlineStr">
        <is>
          <t>PX_VOLUME</t>
        </is>
      </c>
      <c r="H3" s="5" t="inlineStr">
        <is>
          <t>OPEN_INT</t>
        </is>
      </c>
      <c r="J3" s="5" t="inlineStr">
        <is>
          <t>Date</t>
        </is>
      </c>
      <c r="K3" s="5" t="inlineStr">
        <is>
          <t>PX_OPEN</t>
        </is>
      </c>
      <c r="L3" s="5" t="inlineStr">
        <is>
          <t>PX_HIGH</t>
        </is>
      </c>
      <c r="M3" s="5" t="inlineStr">
        <is>
          <t>PX_LOW</t>
        </is>
      </c>
      <c r="N3" s="5" t="inlineStr">
        <is>
          <t>PX_LAST</t>
        </is>
      </c>
      <c r="O3" s="5" t="inlineStr">
        <is>
          <t>PX_SETTLE</t>
        </is>
      </c>
      <c r="P3" s="5" t="inlineStr">
        <is>
          <t>PX_VOLUME</t>
        </is>
      </c>
      <c r="Q3" s="5" t="inlineStr">
        <is>
          <t>OPEN_INT</t>
        </is>
      </c>
      <c r="S3" s="5" t="inlineStr">
        <is>
          <t>Date</t>
        </is>
      </c>
      <c r="T3" s="5" t="inlineStr">
        <is>
          <t>PX_OPEN</t>
        </is>
      </c>
      <c r="U3" s="5" t="inlineStr">
        <is>
          <t>PX_HIGH</t>
        </is>
      </c>
      <c r="V3" s="5" t="inlineStr">
        <is>
          <t>PX_LOW</t>
        </is>
      </c>
      <c r="W3" s="5" t="inlineStr">
        <is>
          <t>PX_LAST</t>
        </is>
      </c>
      <c r="X3" s="5" t="inlineStr">
        <is>
          <t>PX_SETTLE</t>
        </is>
      </c>
      <c r="Y3" s="5" t="inlineStr">
        <is>
          <t>PX_VOLUME</t>
        </is>
      </c>
      <c r="Z3" s="5" t="inlineStr">
        <is>
          <t>OPEN_INT</t>
        </is>
      </c>
      <c r="AB3" s="5" t="inlineStr">
        <is>
          <t>Date</t>
        </is>
      </c>
      <c r="AC3" s="5" t="inlineStr">
        <is>
          <t>PX_OPEN</t>
        </is>
      </c>
      <c r="AD3" s="5" t="inlineStr">
        <is>
          <t>PX_HIGH</t>
        </is>
      </c>
      <c r="AE3" s="5" t="inlineStr">
        <is>
          <t>PX_LOW</t>
        </is>
      </c>
      <c r="AF3" s="5" t="inlineStr">
        <is>
          <t>PX_LAST</t>
        </is>
      </c>
      <c r="AG3" s="5" t="inlineStr">
        <is>
          <t>PX_SETTLE</t>
        </is>
      </c>
      <c r="AH3" s="5" t="inlineStr">
        <is>
          <t>PX_VOLUME</t>
        </is>
      </c>
      <c r="AI3" s="5" t="inlineStr">
        <is>
          <t>OPEN_INT</t>
        </is>
      </c>
      <c r="AK3" s="5" t="inlineStr">
        <is>
          <t>Date</t>
        </is>
      </c>
      <c r="AL3" s="5" t="inlineStr">
        <is>
          <t>PX_OPEN</t>
        </is>
      </c>
      <c r="AM3" s="5" t="inlineStr">
        <is>
          <t>PX_HIGH</t>
        </is>
      </c>
      <c r="AN3" s="5" t="inlineStr">
        <is>
          <t>PX_LOW</t>
        </is>
      </c>
      <c r="AO3" s="5" t="inlineStr">
        <is>
          <t>PX_LAST</t>
        </is>
      </c>
      <c r="AP3" s="5" t="inlineStr">
        <is>
          <t>PX_SETTLE</t>
        </is>
      </c>
      <c r="AQ3" s="5" t="inlineStr">
        <is>
          <t>PX_VOLUME</t>
        </is>
      </c>
      <c r="AR3" s="5" t="inlineStr">
        <is>
          <t>OPEN_INT</t>
        </is>
      </c>
      <c r="AT3" s="5" t="inlineStr">
        <is>
          <t>Date</t>
        </is>
      </c>
      <c r="AU3" s="5" t="inlineStr">
        <is>
          <t>PX_OPEN</t>
        </is>
      </c>
      <c r="AV3" s="5" t="inlineStr">
        <is>
          <t>PX_HIGH</t>
        </is>
      </c>
      <c r="AW3" s="5" t="inlineStr">
        <is>
          <t>PX_LOW</t>
        </is>
      </c>
      <c r="AX3" s="5" t="inlineStr">
        <is>
          <t>PX_LAST</t>
        </is>
      </c>
      <c r="AY3" s="5" t="inlineStr">
        <is>
          <t>PX_SETTLE</t>
        </is>
      </c>
      <c r="AZ3" s="5" t="inlineStr">
        <is>
          <t>PX_VOLUME</t>
        </is>
      </c>
      <c r="BA3" s="5" t="inlineStr">
        <is>
          <t>OPEN_INT</t>
        </is>
      </c>
      <c r="BC3" s="5" t="inlineStr">
        <is>
          <t>Date</t>
        </is>
      </c>
      <c r="BD3" s="5" t="inlineStr">
        <is>
          <t>PX_OPEN</t>
        </is>
      </c>
      <c r="BE3" s="5" t="inlineStr">
        <is>
          <t>PX_HIGH</t>
        </is>
      </c>
      <c r="BF3" s="5" t="inlineStr">
        <is>
          <t>PX_LOW</t>
        </is>
      </c>
      <c r="BG3" s="5" t="inlineStr">
        <is>
          <t>PX_LAST</t>
        </is>
      </c>
      <c r="BH3" s="5" t="inlineStr">
        <is>
          <t>PX_SETTLE</t>
        </is>
      </c>
      <c r="BI3" s="5" t="inlineStr">
        <is>
          <t>PX_VOLUME</t>
        </is>
      </c>
      <c r="BJ3" s="5" t="inlineStr">
        <is>
          <t>OPEN_INT</t>
        </is>
      </c>
      <c r="BL3" s="5" t="inlineStr">
        <is>
          <t>Date</t>
        </is>
      </c>
      <c r="BM3" s="5" t="inlineStr">
        <is>
          <t>PX_OPEN</t>
        </is>
      </c>
      <c r="BN3" s="5" t="inlineStr">
        <is>
          <t>PX_HIGH</t>
        </is>
      </c>
      <c r="BO3" s="5" t="inlineStr">
        <is>
          <t>PX_LOW</t>
        </is>
      </c>
      <c r="BP3" s="5" t="inlineStr">
        <is>
          <t>PX_LAST</t>
        </is>
      </c>
      <c r="BQ3" s="5" t="inlineStr">
        <is>
          <t>PX_SETTLE</t>
        </is>
      </c>
      <c r="BR3" s="5" t="inlineStr">
        <is>
          <t>PX_VOLUME</t>
        </is>
      </c>
      <c r="BS3" s="5" t="inlineStr">
        <is>
          <t>OPEN_INT</t>
        </is>
      </c>
      <c r="BU3" s="5" t="inlineStr">
        <is>
          <t>Date</t>
        </is>
      </c>
      <c r="BV3" s="5" t="inlineStr">
        <is>
          <t>PX_OPEN</t>
        </is>
      </c>
      <c r="BW3" s="5" t="inlineStr">
        <is>
          <t>PX_HIGH</t>
        </is>
      </c>
      <c r="BX3" s="5" t="inlineStr">
        <is>
          <t>PX_LOW</t>
        </is>
      </c>
      <c r="BY3" s="5" t="inlineStr">
        <is>
          <t>PX_LAST</t>
        </is>
      </c>
      <c r="BZ3" s="5" t="inlineStr">
        <is>
          <t>PX_SETTLE</t>
        </is>
      </c>
      <c r="CA3" s="5" t="inlineStr">
        <is>
          <t>PX_VOLUME</t>
        </is>
      </c>
      <c r="CB3" s="5" t="inlineStr">
        <is>
          <t>OPEN_INT</t>
        </is>
      </c>
      <c r="CD3" s="5" t="inlineStr">
        <is>
          <t>Date</t>
        </is>
      </c>
      <c r="CE3" s="5" t="inlineStr">
        <is>
          <t>PX_OPEN</t>
        </is>
      </c>
      <c r="CF3" s="5" t="inlineStr">
        <is>
          <t>PX_HIGH</t>
        </is>
      </c>
      <c r="CG3" s="5" t="inlineStr">
        <is>
          <t>PX_LOW</t>
        </is>
      </c>
      <c r="CH3" s="5" t="inlineStr">
        <is>
          <t>PX_LAST</t>
        </is>
      </c>
      <c r="CI3" s="5" t="inlineStr">
        <is>
          <t>PX_SETTLE</t>
        </is>
      </c>
      <c r="CJ3" s="5" t="inlineStr">
        <is>
          <t>PX_VOLUME</t>
        </is>
      </c>
      <c r="CK3" s="5" t="inlineStr">
        <is>
          <t>OPEN_INT</t>
        </is>
      </c>
      <c r="CM3" s="5" t="inlineStr">
        <is>
          <t>Date</t>
        </is>
      </c>
      <c r="CN3" s="5" t="inlineStr">
        <is>
          <t>PX_OPEN</t>
        </is>
      </c>
      <c r="CO3" s="5" t="inlineStr">
        <is>
          <t>PX_HIGH</t>
        </is>
      </c>
      <c r="CP3" s="5" t="inlineStr">
        <is>
          <t>PX_LOW</t>
        </is>
      </c>
      <c r="CQ3" s="5" t="inlineStr">
        <is>
          <t>PX_LAST</t>
        </is>
      </c>
      <c r="CR3" s="5" t="inlineStr">
        <is>
          <t>PX_SETTLE</t>
        </is>
      </c>
      <c r="CS3" s="5" t="inlineStr">
        <is>
          <t>PX_VOLUME</t>
        </is>
      </c>
      <c r="CT3" s="5" t="inlineStr">
        <is>
          <t>OPEN_INT</t>
        </is>
      </c>
      <c r="CV3" s="5" t="inlineStr">
        <is>
          <t>Date</t>
        </is>
      </c>
      <c r="CW3" s="5" t="inlineStr">
        <is>
          <t>PX_OPEN</t>
        </is>
      </c>
      <c r="CX3" s="5" t="inlineStr">
        <is>
          <t>PX_HIGH</t>
        </is>
      </c>
      <c r="CY3" s="5" t="inlineStr">
        <is>
          <t>PX_LOW</t>
        </is>
      </c>
      <c r="CZ3" s="5" t="inlineStr">
        <is>
          <t>PX_LAST</t>
        </is>
      </c>
      <c r="DA3" s="5" t="inlineStr">
        <is>
          <t>PX_SETTLE</t>
        </is>
      </c>
      <c r="DB3" s="5" t="inlineStr">
        <is>
          <t>PX_VOLUME</t>
        </is>
      </c>
      <c r="DC3" s="5" t="inlineStr">
        <is>
          <t>OPEN_INT</t>
        </is>
      </c>
    </row>
    <row r="4">
      <c r="A4" s="4">
        <f>BDH(A$1,B$3:H$3,Settings!$C$13,IF(Settings!$D$13="","",Settings!$D$13),"Dir=V","Dts=S","Sort=A","Days=T","Fill=B")</f>
        <v/>
      </c>
      <c r="J4" s="4">
        <f>BDH(J$1,K$3:Q$3,Settings!$C$13,IF(Settings!$D$13="","",Settings!$D$13),"Dir=V","Dts=S","Sort=A","Days=T","Fill=B")</f>
        <v/>
      </c>
      <c r="S4" s="4">
        <f>BDH(S$1,T$3:Z$3,Settings!$C$13,IF(Settings!$D$13="","",Settings!$D$13),"Dir=V","Dts=S","Sort=A","Days=T","Fill=B")</f>
        <v/>
      </c>
      <c r="AB4" s="4">
        <f>BDH(AB$1,AC$3:AI$3,Settings!$C$13,IF(Settings!$D$13="","",Settings!$D$13),"Dir=V","Dts=S","Sort=A","Days=T","Fill=B")</f>
        <v/>
      </c>
      <c r="AK4" s="4">
        <f>BDH(AK$1,AL$3:AR$3,Settings!$C$13,IF(Settings!$D$13="","",Settings!$D$13),"Dir=V","Dts=S","Sort=A","Days=T","Fill=B")</f>
        <v/>
      </c>
      <c r="AT4" s="4">
        <f>BDH(AT$1,AU$3:BA$3,Settings!$C$13,IF(Settings!$D$13="","",Settings!$D$13),"Dir=V","Dts=S","Sort=A","Days=T","Fill=B")</f>
        <v/>
      </c>
      <c r="BC4" s="4">
        <f>BDH(BC$1,BD$3:BJ$3,Settings!$C$13,IF(Settings!$D$13="","",Settings!$D$13),"Dir=V","Dts=S","Sort=A","Days=T","Fill=B")</f>
        <v/>
      </c>
      <c r="BL4" s="4">
        <f>BDH(BL$1,BM$3:BS$3,Settings!$C$13,IF(Settings!$D$13="","",Settings!$D$13),"Dir=V","Dts=S","Sort=A","Days=T","Fill=B")</f>
        <v/>
      </c>
      <c r="BU4" s="4">
        <f>BDH(BU$1,BV$3:CB$3,Settings!$C$13,IF(Settings!$D$13="","",Settings!$D$13),"Dir=V","Dts=S","Sort=A","Days=T","Fill=B")</f>
        <v/>
      </c>
      <c r="CD4" s="4">
        <f>BDH(CD$1,CE$3:CK$3,Settings!$C$13,IF(Settings!$D$13="","",Settings!$D$13),"Dir=V","Dts=S","Sort=A","Days=T","Fill=B")</f>
        <v/>
      </c>
      <c r="CM4" s="4">
        <f>BDH(CM$1,CN$3:CT$3,Settings!$C$13,IF(Settings!$D$13="","",Settings!$D$13),"Dir=V","Dts=S","Sort=A","Days=T","Fill=B")</f>
        <v/>
      </c>
      <c r="CV4" s="4">
        <f>BDH(CV$1,CW$3:DC$3,Settings!$C$13,IF(Settings!$D$13="","",Settings!$D$13),"Dir=V","Dts=S","Sort=A","Days=T","Fill=B")</f>
        <v/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C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1" customWidth="1" min="7" max="7"/>
    <col width="10" customWidth="1" min="8" max="8"/>
    <col width="12" customWidth="1" min="10" max="10"/>
    <col width="10" customWidth="1" min="11" max="11"/>
    <col width="10" customWidth="1" min="12" max="12"/>
    <col width="10" customWidth="1" min="13" max="13"/>
    <col width="10" customWidth="1" min="14" max="14"/>
    <col width="11" customWidth="1" min="15" max="15"/>
    <col width="11" customWidth="1" min="16" max="16"/>
    <col width="10" customWidth="1" min="17" max="17"/>
    <col width="12" customWidth="1" min="19" max="19"/>
    <col width="10" customWidth="1" min="20" max="20"/>
    <col width="10" customWidth="1" min="21" max="21"/>
    <col width="10" customWidth="1" min="22" max="22"/>
    <col width="10" customWidth="1" min="23" max="23"/>
    <col width="11" customWidth="1" min="24" max="24"/>
    <col width="11" customWidth="1" min="25" max="25"/>
    <col width="10" customWidth="1" min="26" max="26"/>
    <col width="12" customWidth="1" min="28" max="28"/>
    <col width="10" customWidth="1" min="29" max="29"/>
    <col width="10" customWidth="1" min="30" max="30"/>
    <col width="10" customWidth="1" min="31" max="31"/>
    <col width="10" customWidth="1" min="32" max="32"/>
    <col width="11" customWidth="1" min="33" max="33"/>
    <col width="11" customWidth="1" min="34" max="34"/>
    <col width="10" customWidth="1" min="35" max="35"/>
    <col width="12" customWidth="1" min="37" max="37"/>
    <col width="10" customWidth="1" min="38" max="38"/>
    <col width="10" customWidth="1" min="39" max="39"/>
    <col width="10" customWidth="1" min="40" max="40"/>
    <col width="10" customWidth="1" min="41" max="41"/>
    <col width="11" customWidth="1" min="42" max="42"/>
    <col width="11" customWidth="1" min="43" max="43"/>
    <col width="10" customWidth="1" min="44" max="44"/>
    <col width="12" customWidth="1" min="46" max="46"/>
    <col width="10" customWidth="1" min="47" max="47"/>
    <col width="10" customWidth="1" min="48" max="48"/>
    <col width="10" customWidth="1" min="49" max="49"/>
    <col width="10" customWidth="1" min="50" max="50"/>
    <col width="11" customWidth="1" min="51" max="51"/>
    <col width="11" customWidth="1" min="52" max="52"/>
    <col width="10" customWidth="1" min="53" max="53"/>
    <col width="12" customWidth="1" min="55" max="55"/>
    <col width="10" customWidth="1" min="56" max="56"/>
    <col width="10" customWidth="1" min="57" max="57"/>
    <col width="10" customWidth="1" min="58" max="58"/>
    <col width="10" customWidth="1" min="59" max="59"/>
    <col width="11" customWidth="1" min="60" max="60"/>
    <col width="11" customWidth="1" min="61" max="61"/>
    <col width="10" customWidth="1" min="62" max="62"/>
    <col width="12" customWidth="1" min="64" max="64"/>
    <col width="10" customWidth="1" min="65" max="65"/>
    <col width="10" customWidth="1" min="66" max="66"/>
    <col width="10" customWidth="1" min="67" max="67"/>
    <col width="10" customWidth="1" min="68" max="68"/>
    <col width="11" customWidth="1" min="69" max="69"/>
    <col width="11" customWidth="1" min="70" max="70"/>
    <col width="10" customWidth="1" min="71" max="71"/>
    <col width="12" customWidth="1" min="73" max="73"/>
    <col width="10" customWidth="1" min="74" max="74"/>
    <col width="10" customWidth="1" min="75" max="75"/>
    <col width="10" customWidth="1" min="76" max="76"/>
    <col width="10" customWidth="1" min="77" max="77"/>
    <col width="11" customWidth="1" min="78" max="78"/>
    <col width="11" customWidth="1" min="79" max="79"/>
    <col width="10" customWidth="1" min="80" max="80"/>
    <col width="12" customWidth="1" min="82" max="82"/>
    <col width="10" customWidth="1" min="83" max="83"/>
    <col width="10" customWidth="1" min="84" max="84"/>
    <col width="10" customWidth="1" min="85" max="85"/>
    <col width="10" customWidth="1" min="86" max="86"/>
    <col width="11" customWidth="1" min="87" max="87"/>
    <col width="11" customWidth="1" min="88" max="88"/>
    <col width="10" customWidth="1" min="89" max="89"/>
    <col width="12" customWidth="1" min="91" max="91"/>
    <col width="10" customWidth="1" min="92" max="92"/>
    <col width="10" customWidth="1" min="93" max="93"/>
    <col width="10" customWidth="1" min="94" max="94"/>
    <col width="10" customWidth="1" min="95" max="95"/>
    <col width="11" customWidth="1" min="96" max="96"/>
    <col width="11" customWidth="1" min="97" max="97"/>
    <col width="10" customWidth="1" min="98" max="98"/>
    <col width="12" customWidth="1" min="100" max="100"/>
    <col width="10" customWidth="1" min="101" max="101"/>
    <col width="10" customWidth="1" min="102" max="102"/>
    <col width="10" customWidth="1" min="103" max="103"/>
    <col width="10" customWidth="1" min="104" max="104"/>
    <col width="11" customWidth="1" min="105" max="105"/>
    <col width="11" customWidth="1" min="106" max="106"/>
    <col width="10" customWidth="1" min="107" max="107"/>
  </cols>
  <sheetData>
    <row r="1">
      <c r="A1" s="2">
        <f>IF(Settings!$B$13="Y","COF"&amp;IF(A$2&lt;Settings!$B$3,"25","5")&amp;" Comdty","")</f>
        <v/>
      </c>
      <c r="J1" s="2">
        <f>IF(Settings!$B$13="Y","COG"&amp;IF(J$2&lt;Settings!$B$3,"25","5")&amp;" Comdty","")</f>
        <v/>
      </c>
      <c r="S1" s="2">
        <f>IF(Settings!$B$13="Y","COH"&amp;IF(S$2&lt;Settings!$B$3,"25","5")&amp;" Comdty","")</f>
        <v/>
      </c>
      <c r="AB1" s="2">
        <f>IF(Settings!$B$13="Y","COJ"&amp;IF(AB$2&lt;Settings!$B$3,"25","5")&amp;" Comdty","")</f>
        <v/>
      </c>
      <c r="AK1" s="2">
        <f>IF(Settings!$B$13="Y","COK"&amp;IF(AK$2&lt;Settings!$B$3,"25","5")&amp;" Comdty","")</f>
        <v/>
      </c>
      <c r="AT1" s="2">
        <f>IF(Settings!$B$13="Y","COM"&amp;IF(AT$2&lt;Settings!$B$3,"25","5")&amp;" Comdty","")</f>
        <v/>
      </c>
      <c r="BC1" s="2">
        <f>IF(Settings!$B$13="Y","CON"&amp;IF(BC$2&lt;Settings!$B$3,"25","5")&amp;" Comdty","")</f>
        <v/>
      </c>
      <c r="BL1" s="2">
        <f>IF(Settings!$B$13="Y","COQ"&amp;IF(BL$2&lt;Settings!$B$3,"25","5")&amp;" Comdty","")</f>
        <v/>
      </c>
      <c r="BU1" s="2">
        <f>IF(Settings!$B$13="Y","COU"&amp;IF(BU$2&lt;Settings!$B$3,"25","5")&amp;" Comdty","")</f>
        <v/>
      </c>
      <c r="CD1" s="2">
        <f>IF(Settings!$B$13="Y","COV"&amp;IF(CD$2&lt;Settings!$B$3,"25","5")&amp;" Comdty","")</f>
        <v/>
      </c>
      <c r="CM1" s="2">
        <f>IF(Settings!$B$13="Y","COX"&amp;IF(CM$2&lt;Settings!$B$3,"25","5")&amp;" Comdty","")</f>
        <v/>
      </c>
      <c r="CV1" s="2">
        <f>IF(Settings!$B$13="Y","COZ"&amp;IF(CV$2&lt;Settings!$B$3,"25","5")&amp;" Comdty","")</f>
        <v/>
      </c>
    </row>
    <row r="2">
      <c r="A2" s="8">
        <f>WORKDAY(DATE(2025,1-1,1),-1)</f>
        <v/>
      </c>
      <c r="B2" s="8">
        <f>IF(A$1="","",BDP(A$1,"LAST_TRADEABLE_DT"))</f>
        <v/>
      </c>
      <c r="J2" s="8">
        <f>WORKDAY(DATE(2025,2-1,1),-1)</f>
        <v/>
      </c>
      <c r="K2" s="8">
        <f>IF(J$1="","",BDP(J$1,"LAST_TRADEABLE_DT"))</f>
        <v/>
      </c>
      <c r="S2" s="8">
        <f>WORKDAY(DATE(2025,3-1,1),-1)</f>
        <v/>
      </c>
      <c r="T2" s="8">
        <f>IF(S$1="","",BDP(S$1,"LAST_TRADEABLE_DT"))</f>
        <v/>
      </c>
      <c r="AB2" s="8">
        <f>WORKDAY(DATE(2025,4-1,1),-1)</f>
        <v/>
      </c>
      <c r="AC2" s="8">
        <f>IF(AB$1="","",BDP(AB$1,"LAST_TRADEABLE_DT"))</f>
        <v/>
      </c>
      <c r="AK2" s="8">
        <f>WORKDAY(DATE(2025,5-1,1),-1)</f>
        <v/>
      </c>
      <c r="AL2" s="8">
        <f>IF(AK$1="","",BDP(AK$1,"LAST_TRADEABLE_DT"))</f>
        <v/>
      </c>
      <c r="AT2" s="8">
        <f>WORKDAY(DATE(2025,6-1,1),-1)</f>
        <v/>
      </c>
      <c r="AU2" s="8">
        <f>IF(AT$1="","",BDP(AT$1,"LAST_TRADEABLE_DT"))</f>
        <v/>
      </c>
      <c r="BC2" s="8">
        <f>WORKDAY(DATE(2025,7-1,1),-1)</f>
        <v/>
      </c>
      <c r="BD2" s="8">
        <f>IF(BC$1="","",BDP(BC$1,"LAST_TRADEABLE_DT"))</f>
        <v/>
      </c>
      <c r="BL2" s="8">
        <f>WORKDAY(DATE(2025,8-1,1),-1)</f>
        <v/>
      </c>
      <c r="BM2" s="8">
        <f>IF(BL$1="","",BDP(BL$1,"LAST_TRADEABLE_DT"))</f>
        <v/>
      </c>
      <c r="BU2" s="8">
        <f>WORKDAY(DATE(2025,9-1,1),-1)</f>
        <v/>
      </c>
      <c r="BV2" s="8">
        <f>IF(BU$1="","",BDP(BU$1,"LAST_TRADEABLE_DT"))</f>
        <v/>
      </c>
      <c r="CD2" s="8">
        <f>WORKDAY(DATE(2025,10-1,1),-1)</f>
        <v/>
      </c>
      <c r="CE2" s="8">
        <f>IF(CD$1="","",BDP(CD$1,"LAST_TRADEABLE_DT"))</f>
        <v/>
      </c>
      <c r="CM2" s="8">
        <f>WORKDAY(DATE(2025,11-1,1),-1)</f>
        <v/>
      </c>
      <c r="CN2" s="8">
        <f>IF(CM$1="","",BDP(CM$1,"LAST_TRADEABLE_DT"))</f>
        <v/>
      </c>
      <c r="CV2" s="8">
        <f>WORKDAY(DATE(2025,12-1,1),-1)</f>
        <v/>
      </c>
      <c r="CW2" s="8">
        <f>IF(CV$1="","",BDP(CV$1,"LAST_TRADEABLE_DT"))</f>
        <v/>
      </c>
    </row>
    <row r="3">
      <c r="A3" s="5" t="inlineStr">
        <is>
          <t>Date</t>
        </is>
      </c>
      <c r="B3" s="5" t="inlineStr">
        <is>
          <t>PX_OPEN</t>
        </is>
      </c>
      <c r="C3" s="5" t="inlineStr">
        <is>
          <t>PX_HIGH</t>
        </is>
      </c>
      <c r="D3" s="5" t="inlineStr">
        <is>
          <t>PX_LOW</t>
        </is>
      </c>
      <c r="E3" s="5" t="inlineStr">
        <is>
          <t>PX_LAST</t>
        </is>
      </c>
      <c r="F3" s="5" t="inlineStr">
        <is>
          <t>PX_SETTLE</t>
        </is>
      </c>
      <c r="G3" s="5" t="inlineStr">
        <is>
          <t>PX_VOLUME</t>
        </is>
      </c>
      <c r="H3" s="5" t="inlineStr">
        <is>
          <t>OPEN_INT</t>
        </is>
      </c>
      <c r="J3" s="5" t="inlineStr">
        <is>
          <t>Date</t>
        </is>
      </c>
      <c r="K3" s="5" t="inlineStr">
        <is>
          <t>PX_OPEN</t>
        </is>
      </c>
      <c r="L3" s="5" t="inlineStr">
        <is>
          <t>PX_HIGH</t>
        </is>
      </c>
      <c r="M3" s="5" t="inlineStr">
        <is>
          <t>PX_LOW</t>
        </is>
      </c>
      <c r="N3" s="5" t="inlineStr">
        <is>
          <t>PX_LAST</t>
        </is>
      </c>
      <c r="O3" s="5" t="inlineStr">
        <is>
          <t>PX_SETTLE</t>
        </is>
      </c>
      <c r="P3" s="5" t="inlineStr">
        <is>
          <t>PX_VOLUME</t>
        </is>
      </c>
      <c r="Q3" s="5" t="inlineStr">
        <is>
          <t>OPEN_INT</t>
        </is>
      </c>
      <c r="S3" s="5" t="inlineStr">
        <is>
          <t>Date</t>
        </is>
      </c>
      <c r="T3" s="5" t="inlineStr">
        <is>
          <t>PX_OPEN</t>
        </is>
      </c>
      <c r="U3" s="5" t="inlineStr">
        <is>
          <t>PX_HIGH</t>
        </is>
      </c>
      <c r="V3" s="5" t="inlineStr">
        <is>
          <t>PX_LOW</t>
        </is>
      </c>
      <c r="W3" s="5" t="inlineStr">
        <is>
          <t>PX_LAST</t>
        </is>
      </c>
      <c r="X3" s="5" t="inlineStr">
        <is>
          <t>PX_SETTLE</t>
        </is>
      </c>
      <c r="Y3" s="5" t="inlineStr">
        <is>
          <t>PX_VOLUME</t>
        </is>
      </c>
      <c r="Z3" s="5" t="inlineStr">
        <is>
          <t>OPEN_INT</t>
        </is>
      </c>
      <c r="AB3" s="5" t="inlineStr">
        <is>
          <t>Date</t>
        </is>
      </c>
      <c r="AC3" s="5" t="inlineStr">
        <is>
          <t>PX_OPEN</t>
        </is>
      </c>
      <c r="AD3" s="5" t="inlineStr">
        <is>
          <t>PX_HIGH</t>
        </is>
      </c>
      <c r="AE3" s="5" t="inlineStr">
        <is>
          <t>PX_LOW</t>
        </is>
      </c>
      <c r="AF3" s="5" t="inlineStr">
        <is>
          <t>PX_LAST</t>
        </is>
      </c>
      <c r="AG3" s="5" t="inlineStr">
        <is>
          <t>PX_SETTLE</t>
        </is>
      </c>
      <c r="AH3" s="5" t="inlineStr">
        <is>
          <t>PX_VOLUME</t>
        </is>
      </c>
      <c r="AI3" s="5" t="inlineStr">
        <is>
          <t>OPEN_INT</t>
        </is>
      </c>
      <c r="AK3" s="5" t="inlineStr">
        <is>
          <t>Date</t>
        </is>
      </c>
      <c r="AL3" s="5" t="inlineStr">
        <is>
          <t>PX_OPEN</t>
        </is>
      </c>
      <c r="AM3" s="5" t="inlineStr">
        <is>
          <t>PX_HIGH</t>
        </is>
      </c>
      <c r="AN3" s="5" t="inlineStr">
        <is>
          <t>PX_LOW</t>
        </is>
      </c>
      <c r="AO3" s="5" t="inlineStr">
        <is>
          <t>PX_LAST</t>
        </is>
      </c>
      <c r="AP3" s="5" t="inlineStr">
        <is>
          <t>PX_SETTLE</t>
        </is>
      </c>
      <c r="AQ3" s="5" t="inlineStr">
        <is>
          <t>PX_VOLUME</t>
        </is>
      </c>
      <c r="AR3" s="5" t="inlineStr">
        <is>
          <t>OPEN_INT</t>
        </is>
      </c>
      <c r="AT3" s="5" t="inlineStr">
        <is>
          <t>Date</t>
        </is>
      </c>
      <c r="AU3" s="5" t="inlineStr">
        <is>
          <t>PX_OPEN</t>
        </is>
      </c>
      <c r="AV3" s="5" t="inlineStr">
        <is>
          <t>PX_HIGH</t>
        </is>
      </c>
      <c r="AW3" s="5" t="inlineStr">
        <is>
          <t>PX_LOW</t>
        </is>
      </c>
      <c r="AX3" s="5" t="inlineStr">
        <is>
          <t>PX_LAST</t>
        </is>
      </c>
      <c r="AY3" s="5" t="inlineStr">
        <is>
          <t>PX_SETTLE</t>
        </is>
      </c>
      <c r="AZ3" s="5" t="inlineStr">
        <is>
          <t>PX_VOLUME</t>
        </is>
      </c>
      <c r="BA3" s="5" t="inlineStr">
        <is>
          <t>OPEN_INT</t>
        </is>
      </c>
      <c r="BC3" s="5" t="inlineStr">
        <is>
          <t>Date</t>
        </is>
      </c>
      <c r="BD3" s="5" t="inlineStr">
        <is>
          <t>PX_OPEN</t>
        </is>
      </c>
      <c r="BE3" s="5" t="inlineStr">
        <is>
          <t>PX_HIGH</t>
        </is>
      </c>
      <c r="BF3" s="5" t="inlineStr">
        <is>
          <t>PX_LOW</t>
        </is>
      </c>
      <c r="BG3" s="5" t="inlineStr">
        <is>
          <t>PX_LAST</t>
        </is>
      </c>
      <c r="BH3" s="5" t="inlineStr">
        <is>
          <t>PX_SETTLE</t>
        </is>
      </c>
      <c r="BI3" s="5" t="inlineStr">
        <is>
          <t>PX_VOLUME</t>
        </is>
      </c>
      <c r="BJ3" s="5" t="inlineStr">
        <is>
          <t>OPEN_INT</t>
        </is>
      </c>
      <c r="BL3" s="5" t="inlineStr">
        <is>
          <t>Date</t>
        </is>
      </c>
      <c r="BM3" s="5" t="inlineStr">
        <is>
          <t>PX_OPEN</t>
        </is>
      </c>
      <c r="BN3" s="5" t="inlineStr">
        <is>
          <t>PX_HIGH</t>
        </is>
      </c>
      <c r="BO3" s="5" t="inlineStr">
        <is>
          <t>PX_LOW</t>
        </is>
      </c>
      <c r="BP3" s="5" t="inlineStr">
        <is>
          <t>PX_LAST</t>
        </is>
      </c>
      <c r="BQ3" s="5" t="inlineStr">
        <is>
          <t>PX_SETTLE</t>
        </is>
      </c>
      <c r="BR3" s="5" t="inlineStr">
        <is>
          <t>PX_VOLUME</t>
        </is>
      </c>
      <c r="BS3" s="5" t="inlineStr">
        <is>
          <t>OPEN_INT</t>
        </is>
      </c>
      <c r="BU3" s="5" t="inlineStr">
        <is>
          <t>Date</t>
        </is>
      </c>
      <c r="BV3" s="5" t="inlineStr">
        <is>
          <t>PX_OPEN</t>
        </is>
      </c>
      <c r="BW3" s="5" t="inlineStr">
        <is>
          <t>PX_HIGH</t>
        </is>
      </c>
      <c r="BX3" s="5" t="inlineStr">
        <is>
          <t>PX_LOW</t>
        </is>
      </c>
      <c r="BY3" s="5" t="inlineStr">
        <is>
          <t>PX_LAST</t>
        </is>
      </c>
      <c r="BZ3" s="5" t="inlineStr">
        <is>
          <t>PX_SETTLE</t>
        </is>
      </c>
      <c r="CA3" s="5" t="inlineStr">
        <is>
          <t>PX_VOLUME</t>
        </is>
      </c>
      <c r="CB3" s="5" t="inlineStr">
        <is>
          <t>OPEN_INT</t>
        </is>
      </c>
      <c r="CD3" s="5" t="inlineStr">
        <is>
          <t>Date</t>
        </is>
      </c>
      <c r="CE3" s="5" t="inlineStr">
        <is>
          <t>PX_OPEN</t>
        </is>
      </c>
      <c r="CF3" s="5" t="inlineStr">
        <is>
          <t>PX_HIGH</t>
        </is>
      </c>
      <c r="CG3" s="5" t="inlineStr">
        <is>
          <t>PX_LOW</t>
        </is>
      </c>
      <c r="CH3" s="5" t="inlineStr">
        <is>
          <t>PX_LAST</t>
        </is>
      </c>
      <c r="CI3" s="5" t="inlineStr">
        <is>
          <t>PX_SETTLE</t>
        </is>
      </c>
      <c r="CJ3" s="5" t="inlineStr">
        <is>
          <t>PX_VOLUME</t>
        </is>
      </c>
      <c r="CK3" s="5" t="inlineStr">
        <is>
          <t>OPEN_INT</t>
        </is>
      </c>
      <c r="CM3" s="5" t="inlineStr">
        <is>
          <t>Date</t>
        </is>
      </c>
      <c r="CN3" s="5" t="inlineStr">
        <is>
          <t>PX_OPEN</t>
        </is>
      </c>
      <c r="CO3" s="5" t="inlineStr">
        <is>
          <t>PX_HIGH</t>
        </is>
      </c>
      <c r="CP3" s="5" t="inlineStr">
        <is>
          <t>PX_LOW</t>
        </is>
      </c>
      <c r="CQ3" s="5" t="inlineStr">
        <is>
          <t>PX_LAST</t>
        </is>
      </c>
      <c r="CR3" s="5" t="inlineStr">
        <is>
          <t>PX_SETTLE</t>
        </is>
      </c>
      <c r="CS3" s="5" t="inlineStr">
        <is>
          <t>PX_VOLUME</t>
        </is>
      </c>
      <c r="CT3" s="5" t="inlineStr">
        <is>
          <t>OPEN_INT</t>
        </is>
      </c>
      <c r="CV3" s="5" t="inlineStr">
        <is>
          <t>Date</t>
        </is>
      </c>
      <c r="CW3" s="5" t="inlineStr">
        <is>
          <t>PX_OPEN</t>
        </is>
      </c>
      <c r="CX3" s="5" t="inlineStr">
        <is>
          <t>PX_HIGH</t>
        </is>
      </c>
      <c r="CY3" s="5" t="inlineStr">
        <is>
          <t>PX_LOW</t>
        </is>
      </c>
      <c r="CZ3" s="5" t="inlineStr">
        <is>
          <t>PX_LAST</t>
        </is>
      </c>
      <c r="DA3" s="5" t="inlineStr">
        <is>
          <t>PX_SETTLE</t>
        </is>
      </c>
      <c r="DB3" s="5" t="inlineStr">
        <is>
          <t>PX_VOLUME</t>
        </is>
      </c>
      <c r="DC3" s="5" t="inlineStr">
        <is>
          <t>OPEN_INT</t>
        </is>
      </c>
    </row>
    <row r="4">
      <c r="A4" s="4">
        <f>BDH(A$1,B$3:H$3,Settings!$C$13,IF(Settings!$D$13="","",Settings!$D$13),"Dir=V","Dts=S","Sort=A","Days=T","Fill=B")</f>
        <v/>
      </c>
      <c r="J4" s="4">
        <f>BDH(J$1,K$3:Q$3,Settings!$C$13,IF(Settings!$D$13="","",Settings!$D$13),"Dir=V","Dts=S","Sort=A","Days=T","Fill=B")</f>
        <v/>
      </c>
      <c r="S4" s="4">
        <f>BDH(S$1,T$3:Z$3,Settings!$C$13,IF(Settings!$D$13="","",Settings!$D$13),"Dir=V","Dts=S","Sort=A","Days=T","Fill=B")</f>
        <v/>
      </c>
      <c r="AB4" s="4">
        <f>BDH(AB$1,AC$3:AI$3,Settings!$C$13,IF(Settings!$D$13="","",Settings!$D$13),"Dir=V","Dts=S","Sort=A","Days=T","Fill=B")</f>
        <v/>
      </c>
      <c r="AK4" s="4">
        <f>BDH(AK$1,AL$3:AR$3,Settings!$C$13,IF(Settings!$D$13="","",Settings!$D$13),"Dir=V","Dts=S","Sort=A","Days=T","Fill=B")</f>
        <v/>
      </c>
      <c r="AT4" s="4">
        <f>BDH(AT$1,AU$3:BA$3,Settings!$C$13,IF(Settings!$D$13="","",Settings!$D$13),"Dir=V","Dts=S","Sort=A","Days=T","Fill=B")</f>
        <v/>
      </c>
      <c r="BC4" s="4">
        <f>BDH(BC$1,BD$3:BJ$3,Settings!$C$13,IF(Settings!$D$13="","",Settings!$D$13),"Dir=V","Dts=S","Sort=A","Days=T","Fill=B")</f>
        <v/>
      </c>
      <c r="BL4" s="4">
        <f>BDH(BL$1,BM$3:BS$3,Settings!$C$13,IF(Settings!$D$13="","",Settings!$D$13),"Dir=V","Dts=S","Sort=A","Days=T","Fill=B")</f>
        <v/>
      </c>
      <c r="BU4" s="4">
        <f>BDH(BU$1,BV$3:CB$3,Settings!$C$13,IF(Settings!$D$13="","",Settings!$D$13),"Dir=V","Dts=S","Sort=A","Days=T","Fill=B")</f>
        <v/>
      </c>
      <c r="CD4" s="4">
        <f>BDH(CD$1,CE$3:CK$3,Settings!$C$13,IF(Settings!$D$13="","",Settings!$D$13),"Dir=V","Dts=S","Sort=A","Days=T","Fill=B")</f>
        <v/>
      </c>
      <c r="CM4" s="4">
        <f>BDH(CM$1,CN$3:CT$3,Settings!$C$13,IF(Settings!$D$13="","",Settings!$D$13),"Dir=V","Dts=S","Sort=A","Days=T","Fill=B")</f>
        <v/>
      </c>
      <c r="CV4" s="4">
        <f>BDH(CV$1,CW$3:DC$3,Settings!$C$13,IF(Settings!$D$13="","",Settings!$D$13),"Dir=V","Dts=S","Sort=A","Days=T","Fill=B")</f>
        <v/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C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1" customWidth="1" min="7" max="7"/>
    <col width="10" customWidth="1" min="8" max="8"/>
    <col width="12" customWidth="1" min="10" max="10"/>
    <col width="10" customWidth="1" min="11" max="11"/>
    <col width="10" customWidth="1" min="12" max="12"/>
    <col width="10" customWidth="1" min="13" max="13"/>
    <col width="10" customWidth="1" min="14" max="14"/>
    <col width="11" customWidth="1" min="15" max="15"/>
    <col width="11" customWidth="1" min="16" max="16"/>
    <col width="10" customWidth="1" min="17" max="17"/>
    <col width="12" customWidth="1" min="19" max="19"/>
    <col width="10" customWidth="1" min="20" max="20"/>
    <col width="10" customWidth="1" min="21" max="21"/>
    <col width="10" customWidth="1" min="22" max="22"/>
    <col width="10" customWidth="1" min="23" max="23"/>
    <col width="11" customWidth="1" min="24" max="24"/>
    <col width="11" customWidth="1" min="25" max="25"/>
    <col width="10" customWidth="1" min="26" max="26"/>
    <col width="12" customWidth="1" min="28" max="28"/>
    <col width="10" customWidth="1" min="29" max="29"/>
    <col width="10" customWidth="1" min="30" max="30"/>
    <col width="10" customWidth="1" min="31" max="31"/>
    <col width="10" customWidth="1" min="32" max="32"/>
    <col width="11" customWidth="1" min="33" max="33"/>
    <col width="11" customWidth="1" min="34" max="34"/>
    <col width="10" customWidth="1" min="35" max="35"/>
    <col width="12" customWidth="1" min="37" max="37"/>
    <col width="10" customWidth="1" min="38" max="38"/>
    <col width="10" customWidth="1" min="39" max="39"/>
    <col width="10" customWidth="1" min="40" max="40"/>
    <col width="10" customWidth="1" min="41" max="41"/>
    <col width="11" customWidth="1" min="42" max="42"/>
    <col width="11" customWidth="1" min="43" max="43"/>
    <col width="10" customWidth="1" min="44" max="44"/>
    <col width="12" customWidth="1" min="46" max="46"/>
    <col width="10" customWidth="1" min="47" max="47"/>
    <col width="10" customWidth="1" min="48" max="48"/>
    <col width="10" customWidth="1" min="49" max="49"/>
    <col width="10" customWidth="1" min="50" max="50"/>
    <col width="11" customWidth="1" min="51" max="51"/>
    <col width="11" customWidth="1" min="52" max="52"/>
    <col width="10" customWidth="1" min="53" max="53"/>
    <col width="12" customWidth="1" min="55" max="55"/>
    <col width="10" customWidth="1" min="56" max="56"/>
    <col width="10" customWidth="1" min="57" max="57"/>
    <col width="10" customWidth="1" min="58" max="58"/>
    <col width="10" customWidth="1" min="59" max="59"/>
    <col width="11" customWidth="1" min="60" max="60"/>
    <col width="11" customWidth="1" min="61" max="61"/>
    <col width="10" customWidth="1" min="62" max="62"/>
    <col width="12" customWidth="1" min="64" max="64"/>
    <col width="10" customWidth="1" min="65" max="65"/>
    <col width="10" customWidth="1" min="66" max="66"/>
    <col width="10" customWidth="1" min="67" max="67"/>
    <col width="10" customWidth="1" min="68" max="68"/>
    <col width="11" customWidth="1" min="69" max="69"/>
    <col width="11" customWidth="1" min="70" max="70"/>
    <col width="10" customWidth="1" min="71" max="71"/>
    <col width="12" customWidth="1" min="73" max="73"/>
    <col width="10" customWidth="1" min="74" max="74"/>
    <col width="10" customWidth="1" min="75" max="75"/>
    <col width="10" customWidth="1" min="76" max="76"/>
    <col width="10" customWidth="1" min="77" max="77"/>
    <col width="11" customWidth="1" min="78" max="78"/>
    <col width="11" customWidth="1" min="79" max="79"/>
    <col width="10" customWidth="1" min="80" max="80"/>
    <col width="12" customWidth="1" min="82" max="82"/>
    <col width="10" customWidth="1" min="83" max="83"/>
    <col width="10" customWidth="1" min="84" max="84"/>
    <col width="10" customWidth="1" min="85" max="85"/>
    <col width="10" customWidth="1" min="86" max="86"/>
    <col width="11" customWidth="1" min="87" max="87"/>
    <col width="11" customWidth="1" min="88" max="88"/>
    <col width="10" customWidth="1" min="89" max="89"/>
    <col width="12" customWidth="1" min="91" max="91"/>
    <col width="10" customWidth="1" min="92" max="92"/>
    <col width="10" customWidth="1" min="93" max="93"/>
    <col width="10" customWidth="1" min="94" max="94"/>
    <col width="10" customWidth="1" min="95" max="95"/>
    <col width="11" customWidth="1" min="96" max="96"/>
    <col width="11" customWidth="1" min="97" max="97"/>
    <col width="10" customWidth="1" min="98" max="98"/>
    <col width="12" customWidth="1" min="100" max="100"/>
    <col width="10" customWidth="1" min="101" max="101"/>
    <col width="10" customWidth="1" min="102" max="102"/>
    <col width="10" customWidth="1" min="103" max="103"/>
    <col width="10" customWidth="1" min="104" max="104"/>
    <col width="11" customWidth="1" min="105" max="105"/>
    <col width="11" customWidth="1" min="106" max="106"/>
    <col width="10" customWidth="1" min="107" max="107"/>
  </cols>
  <sheetData>
    <row r="1">
      <c r="A1" s="2">
        <f>IF(Settings!$B$13="Y","COF"&amp;IF(A$2&lt;Settings!$B$3,"26","6")&amp;" Comdty","")</f>
        <v/>
      </c>
      <c r="J1" s="2">
        <f>IF(Settings!$B$13="Y","COG"&amp;IF(J$2&lt;Settings!$B$3,"26","6")&amp;" Comdty","")</f>
        <v/>
      </c>
      <c r="S1" s="2">
        <f>IF(Settings!$B$13="Y","COH"&amp;IF(S$2&lt;Settings!$B$3,"26","6")&amp;" Comdty","")</f>
        <v/>
      </c>
      <c r="AB1" s="2">
        <f>IF(Settings!$B$13="Y","COJ"&amp;IF(AB$2&lt;Settings!$B$3,"26","6")&amp;" Comdty","")</f>
        <v/>
      </c>
      <c r="AK1" s="2">
        <f>IF(Settings!$B$13="Y","COK"&amp;IF(AK$2&lt;Settings!$B$3,"26","6")&amp;" Comdty","")</f>
        <v/>
      </c>
      <c r="AT1" s="2">
        <f>IF(Settings!$B$13="Y","COM"&amp;IF(AT$2&lt;Settings!$B$3,"26","6")&amp;" Comdty","")</f>
        <v/>
      </c>
      <c r="BC1" s="2">
        <f>IF(Settings!$B$13="Y","CON"&amp;IF(BC$2&lt;Settings!$B$3,"26","6")&amp;" Comdty","")</f>
        <v/>
      </c>
      <c r="BL1" s="2">
        <f>IF(Settings!$B$13="Y","COQ"&amp;IF(BL$2&lt;Settings!$B$3,"26","6")&amp;" Comdty","")</f>
        <v/>
      </c>
      <c r="BU1" s="2">
        <f>IF(Settings!$B$13="Y","COU"&amp;IF(BU$2&lt;Settings!$B$3,"26","6")&amp;" Comdty","")</f>
        <v/>
      </c>
      <c r="CD1" s="2">
        <f>IF(Settings!$B$13="Y","COV"&amp;IF(CD$2&lt;Settings!$B$3,"26","6")&amp;" Comdty","")</f>
        <v/>
      </c>
      <c r="CM1" s="2">
        <f>IF(Settings!$B$13="Y","COX"&amp;IF(CM$2&lt;Settings!$B$3,"26","6")&amp;" Comdty","")</f>
        <v/>
      </c>
      <c r="CV1" s="2">
        <f>IF(Settings!$B$13="Y","COZ"&amp;IF(CV$2&lt;Settings!$B$3,"26","6")&amp;" Comdty","")</f>
        <v/>
      </c>
    </row>
    <row r="2">
      <c r="A2" s="8">
        <f>WORKDAY(DATE(2026,1-1,1),-1)</f>
        <v/>
      </c>
      <c r="B2" s="8">
        <f>IF(A$1="","",BDP(A$1,"LAST_TRADEABLE_DT"))</f>
        <v/>
      </c>
      <c r="J2" s="8">
        <f>WORKDAY(DATE(2026,2-1,1),-1)</f>
        <v/>
      </c>
      <c r="K2" s="8">
        <f>IF(J$1="","",BDP(J$1,"LAST_TRADEABLE_DT"))</f>
        <v/>
      </c>
      <c r="S2" s="8">
        <f>WORKDAY(DATE(2026,3-1,1),-1)</f>
        <v/>
      </c>
      <c r="T2" s="8">
        <f>IF(S$1="","",BDP(S$1,"LAST_TRADEABLE_DT"))</f>
        <v/>
      </c>
      <c r="AB2" s="8">
        <f>WORKDAY(DATE(2026,4-1,1),-1)</f>
        <v/>
      </c>
      <c r="AC2" s="8">
        <f>IF(AB$1="","",BDP(AB$1,"LAST_TRADEABLE_DT"))</f>
        <v/>
      </c>
      <c r="AK2" s="8">
        <f>WORKDAY(DATE(2026,5-1,1),-1)</f>
        <v/>
      </c>
      <c r="AL2" s="8">
        <f>IF(AK$1="","",BDP(AK$1,"LAST_TRADEABLE_DT"))</f>
        <v/>
      </c>
      <c r="AT2" s="8">
        <f>WORKDAY(DATE(2026,6-1,1),-1)</f>
        <v/>
      </c>
      <c r="AU2" s="8">
        <f>IF(AT$1="","",BDP(AT$1,"LAST_TRADEABLE_DT"))</f>
        <v/>
      </c>
      <c r="BC2" s="8">
        <f>WORKDAY(DATE(2026,7-1,1),-1)</f>
        <v/>
      </c>
      <c r="BD2" s="8">
        <f>IF(BC$1="","",BDP(BC$1,"LAST_TRADEABLE_DT"))</f>
        <v/>
      </c>
      <c r="BL2" s="8">
        <f>WORKDAY(DATE(2026,8-1,1),-1)</f>
        <v/>
      </c>
      <c r="BM2" s="8">
        <f>IF(BL$1="","",BDP(BL$1,"LAST_TRADEABLE_DT"))</f>
        <v/>
      </c>
      <c r="BU2" s="8">
        <f>WORKDAY(DATE(2026,9-1,1),-1)</f>
        <v/>
      </c>
      <c r="BV2" s="8">
        <f>IF(BU$1="","",BDP(BU$1,"LAST_TRADEABLE_DT"))</f>
        <v/>
      </c>
      <c r="CD2" s="8">
        <f>WORKDAY(DATE(2026,10-1,1),-1)</f>
        <v/>
      </c>
      <c r="CE2" s="8">
        <f>IF(CD$1="","",BDP(CD$1,"LAST_TRADEABLE_DT"))</f>
        <v/>
      </c>
      <c r="CM2" s="8">
        <f>WORKDAY(DATE(2026,11-1,1),-1)</f>
        <v/>
      </c>
      <c r="CN2" s="8">
        <f>IF(CM$1="","",BDP(CM$1,"LAST_TRADEABLE_DT"))</f>
        <v/>
      </c>
      <c r="CV2" s="8">
        <f>WORKDAY(DATE(2026,12-1,1),-1)</f>
        <v/>
      </c>
      <c r="CW2" s="8">
        <f>IF(CV$1="","",BDP(CV$1,"LAST_TRADEABLE_DT"))</f>
        <v/>
      </c>
    </row>
    <row r="3">
      <c r="A3" s="5" t="inlineStr">
        <is>
          <t>Date</t>
        </is>
      </c>
      <c r="B3" s="5" t="inlineStr">
        <is>
          <t>PX_OPEN</t>
        </is>
      </c>
      <c r="C3" s="5" t="inlineStr">
        <is>
          <t>PX_HIGH</t>
        </is>
      </c>
      <c r="D3" s="5" t="inlineStr">
        <is>
          <t>PX_LOW</t>
        </is>
      </c>
      <c r="E3" s="5" t="inlineStr">
        <is>
          <t>PX_LAST</t>
        </is>
      </c>
      <c r="F3" s="5" t="inlineStr">
        <is>
          <t>PX_SETTLE</t>
        </is>
      </c>
      <c r="G3" s="5" t="inlineStr">
        <is>
          <t>PX_VOLUME</t>
        </is>
      </c>
      <c r="H3" s="5" t="inlineStr">
        <is>
          <t>OPEN_INT</t>
        </is>
      </c>
      <c r="J3" s="5" t="inlineStr">
        <is>
          <t>Date</t>
        </is>
      </c>
      <c r="K3" s="5" t="inlineStr">
        <is>
          <t>PX_OPEN</t>
        </is>
      </c>
      <c r="L3" s="5" t="inlineStr">
        <is>
          <t>PX_HIGH</t>
        </is>
      </c>
      <c r="M3" s="5" t="inlineStr">
        <is>
          <t>PX_LOW</t>
        </is>
      </c>
      <c r="N3" s="5" t="inlineStr">
        <is>
          <t>PX_LAST</t>
        </is>
      </c>
      <c r="O3" s="5" t="inlineStr">
        <is>
          <t>PX_SETTLE</t>
        </is>
      </c>
      <c r="P3" s="5" t="inlineStr">
        <is>
          <t>PX_VOLUME</t>
        </is>
      </c>
      <c r="Q3" s="5" t="inlineStr">
        <is>
          <t>OPEN_INT</t>
        </is>
      </c>
      <c r="S3" s="5" t="inlineStr">
        <is>
          <t>Date</t>
        </is>
      </c>
      <c r="T3" s="5" t="inlineStr">
        <is>
          <t>PX_OPEN</t>
        </is>
      </c>
      <c r="U3" s="5" t="inlineStr">
        <is>
          <t>PX_HIGH</t>
        </is>
      </c>
      <c r="V3" s="5" t="inlineStr">
        <is>
          <t>PX_LOW</t>
        </is>
      </c>
      <c r="W3" s="5" t="inlineStr">
        <is>
          <t>PX_LAST</t>
        </is>
      </c>
      <c r="X3" s="5" t="inlineStr">
        <is>
          <t>PX_SETTLE</t>
        </is>
      </c>
      <c r="Y3" s="5" t="inlineStr">
        <is>
          <t>PX_VOLUME</t>
        </is>
      </c>
      <c r="Z3" s="5" t="inlineStr">
        <is>
          <t>OPEN_INT</t>
        </is>
      </c>
      <c r="AB3" s="5" t="inlineStr">
        <is>
          <t>Date</t>
        </is>
      </c>
      <c r="AC3" s="5" t="inlineStr">
        <is>
          <t>PX_OPEN</t>
        </is>
      </c>
      <c r="AD3" s="5" t="inlineStr">
        <is>
          <t>PX_HIGH</t>
        </is>
      </c>
      <c r="AE3" s="5" t="inlineStr">
        <is>
          <t>PX_LOW</t>
        </is>
      </c>
      <c r="AF3" s="5" t="inlineStr">
        <is>
          <t>PX_LAST</t>
        </is>
      </c>
      <c r="AG3" s="5" t="inlineStr">
        <is>
          <t>PX_SETTLE</t>
        </is>
      </c>
      <c r="AH3" s="5" t="inlineStr">
        <is>
          <t>PX_VOLUME</t>
        </is>
      </c>
      <c r="AI3" s="5" t="inlineStr">
        <is>
          <t>OPEN_INT</t>
        </is>
      </c>
      <c r="AK3" s="5" t="inlineStr">
        <is>
          <t>Date</t>
        </is>
      </c>
      <c r="AL3" s="5" t="inlineStr">
        <is>
          <t>PX_OPEN</t>
        </is>
      </c>
      <c r="AM3" s="5" t="inlineStr">
        <is>
          <t>PX_HIGH</t>
        </is>
      </c>
      <c r="AN3" s="5" t="inlineStr">
        <is>
          <t>PX_LOW</t>
        </is>
      </c>
      <c r="AO3" s="5" t="inlineStr">
        <is>
          <t>PX_LAST</t>
        </is>
      </c>
      <c r="AP3" s="5" t="inlineStr">
        <is>
          <t>PX_SETTLE</t>
        </is>
      </c>
      <c r="AQ3" s="5" t="inlineStr">
        <is>
          <t>PX_VOLUME</t>
        </is>
      </c>
      <c r="AR3" s="5" t="inlineStr">
        <is>
          <t>OPEN_INT</t>
        </is>
      </c>
      <c r="AT3" s="5" t="inlineStr">
        <is>
          <t>Date</t>
        </is>
      </c>
      <c r="AU3" s="5" t="inlineStr">
        <is>
          <t>PX_OPEN</t>
        </is>
      </c>
      <c r="AV3" s="5" t="inlineStr">
        <is>
          <t>PX_HIGH</t>
        </is>
      </c>
      <c r="AW3" s="5" t="inlineStr">
        <is>
          <t>PX_LOW</t>
        </is>
      </c>
      <c r="AX3" s="5" t="inlineStr">
        <is>
          <t>PX_LAST</t>
        </is>
      </c>
      <c r="AY3" s="5" t="inlineStr">
        <is>
          <t>PX_SETTLE</t>
        </is>
      </c>
      <c r="AZ3" s="5" t="inlineStr">
        <is>
          <t>PX_VOLUME</t>
        </is>
      </c>
      <c r="BA3" s="5" t="inlineStr">
        <is>
          <t>OPEN_INT</t>
        </is>
      </c>
      <c r="BC3" s="5" t="inlineStr">
        <is>
          <t>Date</t>
        </is>
      </c>
      <c r="BD3" s="5" t="inlineStr">
        <is>
          <t>PX_OPEN</t>
        </is>
      </c>
      <c r="BE3" s="5" t="inlineStr">
        <is>
          <t>PX_HIGH</t>
        </is>
      </c>
      <c r="BF3" s="5" t="inlineStr">
        <is>
          <t>PX_LOW</t>
        </is>
      </c>
      <c r="BG3" s="5" t="inlineStr">
        <is>
          <t>PX_LAST</t>
        </is>
      </c>
      <c r="BH3" s="5" t="inlineStr">
        <is>
          <t>PX_SETTLE</t>
        </is>
      </c>
      <c r="BI3" s="5" t="inlineStr">
        <is>
          <t>PX_VOLUME</t>
        </is>
      </c>
      <c r="BJ3" s="5" t="inlineStr">
        <is>
          <t>OPEN_INT</t>
        </is>
      </c>
      <c r="BL3" s="5" t="inlineStr">
        <is>
          <t>Date</t>
        </is>
      </c>
      <c r="BM3" s="5" t="inlineStr">
        <is>
          <t>PX_OPEN</t>
        </is>
      </c>
      <c r="BN3" s="5" t="inlineStr">
        <is>
          <t>PX_HIGH</t>
        </is>
      </c>
      <c r="BO3" s="5" t="inlineStr">
        <is>
          <t>PX_LOW</t>
        </is>
      </c>
      <c r="BP3" s="5" t="inlineStr">
        <is>
          <t>PX_LAST</t>
        </is>
      </c>
      <c r="BQ3" s="5" t="inlineStr">
        <is>
          <t>PX_SETTLE</t>
        </is>
      </c>
      <c r="BR3" s="5" t="inlineStr">
        <is>
          <t>PX_VOLUME</t>
        </is>
      </c>
      <c r="BS3" s="5" t="inlineStr">
        <is>
          <t>OPEN_INT</t>
        </is>
      </c>
      <c r="BU3" s="5" t="inlineStr">
        <is>
          <t>Date</t>
        </is>
      </c>
      <c r="BV3" s="5" t="inlineStr">
        <is>
          <t>PX_OPEN</t>
        </is>
      </c>
      <c r="BW3" s="5" t="inlineStr">
        <is>
          <t>PX_HIGH</t>
        </is>
      </c>
      <c r="BX3" s="5" t="inlineStr">
        <is>
          <t>PX_LOW</t>
        </is>
      </c>
      <c r="BY3" s="5" t="inlineStr">
        <is>
          <t>PX_LAST</t>
        </is>
      </c>
      <c r="BZ3" s="5" t="inlineStr">
        <is>
          <t>PX_SETTLE</t>
        </is>
      </c>
      <c r="CA3" s="5" t="inlineStr">
        <is>
          <t>PX_VOLUME</t>
        </is>
      </c>
      <c r="CB3" s="5" t="inlineStr">
        <is>
          <t>OPEN_INT</t>
        </is>
      </c>
      <c r="CD3" s="5" t="inlineStr">
        <is>
          <t>Date</t>
        </is>
      </c>
      <c r="CE3" s="5" t="inlineStr">
        <is>
          <t>PX_OPEN</t>
        </is>
      </c>
      <c r="CF3" s="5" t="inlineStr">
        <is>
          <t>PX_HIGH</t>
        </is>
      </c>
      <c r="CG3" s="5" t="inlineStr">
        <is>
          <t>PX_LOW</t>
        </is>
      </c>
      <c r="CH3" s="5" t="inlineStr">
        <is>
          <t>PX_LAST</t>
        </is>
      </c>
      <c r="CI3" s="5" t="inlineStr">
        <is>
          <t>PX_SETTLE</t>
        </is>
      </c>
      <c r="CJ3" s="5" t="inlineStr">
        <is>
          <t>PX_VOLUME</t>
        </is>
      </c>
      <c r="CK3" s="5" t="inlineStr">
        <is>
          <t>OPEN_INT</t>
        </is>
      </c>
      <c r="CM3" s="5" t="inlineStr">
        <is>
          <t>Date</t>
        </is>
      </c>
      <c r="CN3" s="5" t="inlineStr">
        <is>
          <t>PX_OPEN</t>
        </is>
      </c>
      <c r="CO3" s="5" t="inlineStr">
        <is>
          <t>PX_HIGH</t>
        </is>
      </c>
      <c r="CP3" s="5" t="inlineStr">
        <is>
          <t>PX_LOW</t>
        </is>
      </c>
      <c r="CQ3" s="5" t="inlineStr">
        <is>
          <t>PX_LAST</t>
        </is>
      </c>
      <c r="CR3" s="5" t="inlineStr">
        <is>
          <t>PX_SETTLE</t>
        </is>
      </c>
      <c r="CS3" s="5" t="inlineStr">
        <is>
          <t>PX_VOLUME</t>
        </is>
      </c>
      <c r="CT3" s="5" t="inlineStr">
        <is>
          <t>OPEN_INT</t>
        </is>
      </c>
      <c r="CV3" s="5" t="inlineStr">
        <is>
          <t>Date</t>
        </is>
      </c>
      <c r="CW3" s="5" t="inlineStr">
        <is>
          <t>PX_OPEN</t>
        </is>
      </c>
      <c r="CX3" s="5" t="inlineStr">
        <is>
          <t>PX_HIGH</t>
        </is>
      </c>
      <c r="CY3" s="5" t="inlineStr">
        <is>
          <t>PX_LOW</t>
        </is>
      </c>
      <c r="CZ3" s="5" t="inlineStr">
        <is>
          <t>PX_LAST</t>
        </is>
      </c>
      <c r="DA3" s="5" t="inlineStr">
        <is>
          <t>PX_SETTLE</t>
        </is>
      </c>
      <c r="DB3" s="5" t="inlineStr">
        <is>
          <t>PX_VOLUME</t>
        </is>
      </c>
      <c r="DC3" s="5" t="inlineStr">
        <is>
          <t>OPEN_INT</t>
        </is>
      </c>
    </row>
    <row r="4">
      <c r="A4" s="4">
        <f>BDH(A$1,B$3:H$3,Settings!$C$13,IF(Settings!$D$13="","",Settings!$D$13),"Dir=V","Dts=S","Sort=A","Days=T","Fill=B")</f>
        <v/>
      </c>
      <c r="J4" s="4">
        <f>BDH(J$1,K$3:Q$3,Settings!$C$13,IF(Settings!$D$13="","",Settings!$D$13),"Dir=V","Dts=S","Sort=A","Days=T","Fill=B")</f>
        <v/>
      </c>
      <c r="S4" s="4">
        <f>BDH(S$1,T$3:Z$3,Settings!$C$13,IF(Settings!$D$13="","",Settings!$D$13),"Dir=V","Dts=S","Sort=A","Days=T","Fill=B")</f>
        <v/>
      </c>
      <c r="AB4" s="4">
        <f>BDH(AB$1,AC$3:AI$3,Settings!$C$13,IF(Settings!$D$13="","",Settings!$D$13),"Dir=V","Dts=S","Sort=A","Days=T","Fill=B")</f>
        <v/>
      </c>
      <c r="AK4" s="4">
        <f>BDH(AK$1,AL$3:AR$3,Settings!$C$13,IF(Settings!$D$13="","",Settings!$D$13),"Dir=V","Dts=S","Sort=A","Days=T","Fill=B")</f>
        <v/>
      </c>
      <c r="AT4" s="4">
        <f>BDH(AT$1,AU$3:BA$3,Settings!$C$13,IF(Settings!$D$13="","",Settings!$D$13),"Dir=V","Dts=S","Sort=A","Days=T","Fill=B")</f>
        <v/>
      </c>
      <c r="BC4" s="4">
        <f>BDH(BC$1,BD$3:BJ$3,Settings!$C$13,IF(Settings!$D$13="","",Settings!$D$13),"Dir=V","Dts=S","Sort=A","Days=T","Fill=B")</f>
        <v/>
      </c>
      <c r="BL4" s="4">
        <f>BDH(BL$1,BM$3:BS$3,Settings!$C$13,IF(Settings!$D$13="","",Settings!$D$13),"Dir=V","Dts=S","Sort=A","Days=T","Fill=B")</f>
        <v/>
      </c>
      <c r="BU4" s="4">
        <f>BDH(BU$1,BV$3:CB$3,Settings!$C$13,IF(Settings!$D$13="","",Settings!$D$13),"Dir=V","Dts=S","Sort=A","Days=T","Fill=B")</f>
        <v/>
      </c>
      <c r="CD4" s="4">
        <f>BDH(CD$1,CE$3:CK$3,Settings!$C$13,IF(Settings!$D$13="","",Settings!$D$13),"Dir=V","Dts=S","Sort=A","Days=T","Fill=B")</f>
        <v/>
      </c>
      <c r="CM4" s="4">
        <f>BDH(CM$1,CN$3:CT$3,Settings!$C$13,IF(Settings!$D$13="","",Settings!$D$13),"Dir=V","Dts=S","Sort=A","Days=T","Fill=B")</f>
        <v/>
      </c>
      <c r="CV4" s="4">
        <f>BDH(CV$1,CW$3:DC$3,Settings!$C$13,IF(Settings!$D$13="","",Settings!$D$13),"Dir=V","Dts=S","Sort=A","Days=T","Fill=B")</f>
        <v/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C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1" customWidth="1" min="7" max="7"/>
    <col width="10" customWidth="1" min="8" max="8"/>
    <col width="12" customWidth="1" min="10" max="10"/>
    <col width="10" customWidth="1" min="11" max="11"/>
    <col width="10" customWidth="1" min="12" max="12"/>
    <col width="10" customWidth="1" min="13" max="13"/>
    <col width="10" customWidth="1" min="14" max="14"/>
    <col width="11" customWidth="1" min="15" max="15"/>
    <col width="11" customWidth="1" min="16" max="16"/>
    <col width="10" customWidth="1" min="17" max="17"/>
    <col width="12" customWidth="1" min="19" max="19"/>
    <col width="10" customWidth="1" min="20" max="20"/>
    <col width="10" customWidth="1" min="21" max="21"/>
    <col width="10" customWidth="1" min="22" max="22"/>
    <col width="10" customWidth="1" min="23" max="23"/>
    <col width="11" customWidth="1" min="24" max="24"/>
    <col width="11" customWidth="1" min="25" max="25"/>
    <col width="10" customWidth="1" min="26" max="26"/>
    <col width="12" customWidth="1" min="28" max="28"/>
    <col width="10" customWidth="1" min="29" max="29"/>
    <col width="10" customWidth="1" min="30" max="30"/>
    <col width="10" customWidth="1" min="31" max="31"/>
    <col width="10" customWidth="1" min="32" max="32"/>
    <col width="11" customWidth="1" min="33" max="33"/>
    <col width="11" customWidth="1" min="34" max="34"/>
    <col width="10" customWidth="1" min="35" max="35"/>
    <col width="12" customWidth="1" min="37" max="37"/>
    <col width="10" customWidth="1" min="38" max="38"/>
    <col width="10" customWidth="1" min="39" max="39"/>
    <col width="10" customWidth="1" min="40" max="40"/>
    <col width="10" customWidth="1" min="41" max="41"/>
    <col width="11" customWidth="1" min="42" max="42"/>
    <col width="11" customWidth="1" min="43" max="43"/>
    <col width="10" customWidth="1" min="44" max="44"/>
    <col width="12" customWidth="1" min="46" max="46"/>
    <col width="10" customWidth="1" min="47" max="47"/>
    <col width="10" customWidth="1" min="48" max="48"/>
    <col width="10" customWidth="1" min="49" max="49"/>
    <col width="10" customWidth="1" min="50" max="50"/>
    <col width="11" customWidth="1" min="51" max="51"/>
    <col width="11" customWidth="1" min="52" max="52"/>
    <col width="10" customWidth="1" min="53" max="53"/>
    <col width="12" customWidth="1" min="55" max="55"/>
    <col width="10" customWidth="1" min="56" max="56"/>
    <col width="10" customWidth="1" min="57" max="57"/>
    <col width="10" customWidth="1" min="58" max="58"/>
    <col width="10" customWidth="1" min="59" max="59"/>
    <col width="11" customWidth="1" min="60" max="60"/>
    <col width="11" customWidth="1" min="61" max="61"/>
    <col width="10" customWidth="1" min="62" max="62"/>
    <col width="12" customWidth="1" min="64" max="64"/>
    <col width="10" customWidth="1" min="65" max="65"/>
    <col width="10" customWidth="1" min="66" max="66"/>
    <col width="10" customWidth="1" min="67" max="67"/>
    <col width="10" customWidth="1" min="68" max="68"/>
    <col width="11" customWidth="1" min="69" max="69"/>
    <col width="11" customWidth="1" min="70" max="70"/>
    <col width="10" customWidth="1" min="71" max="71"/>
    <col width="12" customWidth="1" min="73" max="73"/>
    <col width="10" customWidth="1" min="74" max="74"/>
    <col width="10" customWidth="1" min="75" max="75"/>
    <col width="10" customWidth="1" min="76" max="76"/>
    <col width="10" customWidth="1" min="77" max="77"/>
    <col width="11" customWidth="1" min="78" max="78"/>
    <col width="11" customWidth="1" min="79" max="79"/>
    <col width="10" customWidth="1" min="80" max="80"/>
    <col width="12" customWidth="1" min="82" max="82"/>
    <col width="10" customWidth="1" min="83" max="83"/>
    <col width="10" customWidth="1" min="84" max="84"/>
    <col width="10" customWidth="1" min="85" max="85"/>
    <col width="10" customWidth="1" min="86" max="86"/>
    <col width="11" customWidth="1" min="87" max="87"/>
    <col width="11" customWidth="1" min="88" max="88"/>
    <col width="10" customWidth="1" min="89" max="89"/>
    <col width="12" customWidth="1" min="91" max="91"/>
    <col width="10" customWidth="1" min="92" max="92"/>
    <col width="10" customWidth="1" min="93" max="93"/>
    <col width="10" customWidth="1" min="94" max="94"/>
    <col width="10" customWidth="1" min="95" max="95"/>
    <col width="11" customWidth="1" min="96" max="96"/>
    <col width="11" customWidth="1" min="97" max="97"/>
    <col width="10" customWidth="1" min="98" max="98"/>
    <col width="12" customWidth="1" min="100" max="100"/>
    <col width="10" customWidth="1" min="101" max="101"/>
    <col width="10" customWidth="1" min="102" max="102"/>
    <col width="10" customWidth="1" min="103" max="103"/>
    <col width="10" customWidth="1" min="104" max="104"/>
    <col width="11" customWidth="1" min="105" max="105"/>
    <col width="11" customWidth="1" min="106" max="106"/>
    <col width="10" customWidth="1" min="107" max="107"/>
  </cols>
  <sheetData>
    <row r="1">
      <c r="A1" s="2">
        <f>IF(Settings!$B$13="Y","COF"&amp;IF(A$2&lt;Settings!$B$3,"27","7")&amp;" Comdty","")</f>
        <v/>
      </c>
      <c r="J1" s="2">
        <f>IF(Settings!$B$13="Y","COG"&amp;IF(J$2&lt;Settings!$B$3,"27","7")&amp;" Comdty","")</f>
        <v/>
      </c>
      <c r="S1" s="2">
        <f>IF(Settings!$B$13="Y","COH"&amp;IF(S$2&lt;Settings!$B$3,"27","7")&amp;" Comdty","")</f>
        <v/>
      </c>
      <c r="AB1" s="2">
        <f>IF(Settings!$B$13="Y","COJ"&amp;IF(AB$2&lt;Settings!$B$3,"27","7")&amp;" Comdty","")</f>
        <v/>
      </c>
      <c r="AK1" s="2">
        <f>IF(Settings!$B$13="Y","COK"&amp;IF(AK$2&lt;Settings!$B$3,"27","7")&amp;" Comdty","")</f>
        <v/>
      </c>
      <c r="AT1" s="2">
        <f>IF(Settings!$B$13="Y","COM"&amp;IF(AT$2&lt;Settings!$B$3,"27","7")&amp;" Comdty","")</f>
        <v/>
      </c>
      <c r="BC1" s="2">
        <f>IF(Settings!$B$13="Y","CON"&amp;IF(BC$2&lt;Settings!$B$3,"27","7")&amp;" Comdty","")</f>
        <v/>
      </c>
      <c r="BL1" s="2">
        <f>IF(Settings!$B$13="Y","COQ"&amp;IF(BL$2&lt;Settings!$B$3,"27","7")&amp;" Comdty","")</f>
        <v/>
      </c>
      <c r="BU1" s="2">
        <f>IF(Settings!$B$13="Y","COU"&amp;IF(BU$2&lt;Settings!$B$3,"27","7")&amp;" Comdty","")</f>
        <v/>
      </c>
      <c r="CD1" s="2">
        <f>IF(Settings!$B$13="Y","COV"&amp;IF(CD$2&lt;Settings!$B$3,"27","7")&amp;" Comdty","")</f>
        <v/>
      </c>
      <c r="CM1" s="2">
        <f>IF(Settings!$B$13="Y","COX"&amp;IF(CM$2&lt;Settings!$B$3,"27","7")&amp;" Comdty","")</f>
        <v/>
      </c>
      <c r="CV1" s="2">
        <f>IF(Settings!$B$13="Y","COZ"&amp;IF(CV$2&lt;Settings!$B$3,"27","7")&amp;" Comdty","")</f>
        <v/>
      </c>
    </row>
    <row r="2">
      <c r="A2" s="8">
        <f>WORKDAY(DATE(2027,1-1,1),-1)</f>
        <v/>
      </c>
      <c r="B2" s="8">
        <f>IF(A$1="","",BDP(A$1,"LAST_TRADEABLE_DT"))</f>
        <v/>
      </c>
      <c r="J2" s="8">
        <f>WORKDAY(DATE(2027,2-1,1),-1)</f>
        <v/>
      </c>
      <c r="K2" s="8">
        <f>IF(J$1="","",BDP(J$1,"LAST_TRADEABLE_DT"))</f>
        <v/>
      </c>
      <c r="S2" s="8">
        <f>WORKDAY(DATE(2027,3-1,1),-1)</f>
        <v/>
      </c>
      <c r="T2" s="8">
        <f>IF(S$1="","",BDP(S$1,"LAST_TRADEABLE_DT"))</f>
        <v/>
      </c>
      <c r="AB2" s="8">
        <f>WORKDAY(DATE(2027,4-1,1),-1)</f>
        <v/>
      </c>
      <c r="AC2" s="8">
        <f>IF(AB$1="","",BDP(AB$1,"LAST_TRADEABLE_DT"))</f>
        <v/>
      </c>
      <c r="AK2" s="8">
        <f>WORKDAY(DATE(2027,5-1,1),-1)</f>
        <v/>
      </c>
      <c r="AL2" s="8">
        <f>IF(AK$1="","",BDP(AK$1,"LAST_TRADEABLE_DT"))</f>
        <v/>
      </c>
      <c r="AT2" s="8">
        <f>WORKDAY(DATE(2027,6-1,1),-1)</f>
        <v/>
      </c>
      <c r="AU2" s="8">
        <f>IF(AT$1="","",BDP(AT$1,"LAST_TRADEABLE_DT"))</f>
        <v/>
      </c>
      <c r="BC2" s="8">
        <f>WORKDAY(DATE(2027,7-1,1),-1)</f>
        <v/>
      </c>
      <c r="BD2" s="8">
        <f>IF(BC$1="","",BDP(BC$1,"LAST_TRADEABLE_DT"))</f>
        <v/>
      </c>
      <c r="BL2" s="8">
        <f>WORKDAY(DATE(2027,8-1,1),-1)</f>
        <v/>
      </c>
      <c r="BM2" s="8">
        <f>IF(BL$1="","",BDP(BL$1,"LAST_TRADEABLE_DT"))</f>
        <v/>
      </c>
      <c r="BU2" s="8">
        <f>WORKDAY(DATE(2027,9-1,1),-1)</f>
        <v/>
      </c>
      <c r="BV2" s="8">
        <f>IF(BU$1="","",BDP(BU$1,"LAST_TRADEABLE_DT"))</f>
        <v/>
      </c>
      <c r="CD2" s="8">
        <f>WORKDAY(DATE(2027,10-1,1),-1)</f>
        <v/>
      </c>
      <c r="CE2" s="8">
        <f>IF(CD$1="","",BDP(CD$1,"LAST_TRADEABLE_DT"))</f>
        <v/>
      </c>
      <c r="CM2" s="8">
        <f>WORKDAY(DATE(2027,11-1,1),-1)</f>
        <v/>
      </c>
      <c r="CN2" s="8">
        <f>IF(CM$1="","",BDP(CM$1,"LAST_TRADEABLE_DT"))</f>
        <v/>
      </c>
      <c r="CV2" s="8">
        <f>WORKDAY(DATE(2027,12-1,1),-1)</f>
        <v/>
      </c>
      <c r="CW2" s="8">
        <f>IF(CV$1="","",BDP(CV$1,"LAST_TRADEABLE_DT"))</f>
        <v/>
      </c>
    </row>
    <row r="3">
      <c r="A3" s="5" t="inlineStr">
        <is>
          <t>Date</t>
        </is>
      </c>
      <c r="B3" s="5" t="inlineStr">
        <is>
          <t>PX_OPEN</t>
        </is>
      </c>
      <c r="C3" s="5" t="inlineStr">
        <is>
          <t>PX_HIGH</t>
        </is>
      </c>
      <c r="D3" s="5" t="inlineStr">
        <is>
          <t>PX_LOW</t>
        </is>
      </c>
      <c r="E3" s="5" t="inlineStr">
        <is>
          <t>PX_LAST</t>
        </is>
      </c>
      <c r="F3" s="5" t="inlineStr">
        <is>
          <t>PX_SETTLE</t>
        </is>
      </c>
      <c r="G3" s="5" t="inlineStr">
        <is>
          <t>PX_VOLUME</t>
        </is>
      </c>
      <c r="H3" s="5" t="inlineStr">
        <is>
          <t>OPEN_INT</t>
        </is>
      </c>
      <c r="J3" s="5" t="inlineStr">
        <is>
          <t>Date</t>
        </is>
      </c>
      <c r="K3" s="5" t="inlineStr">
        <is>
          <t>PX_OPEN</t>
        </is>
      </c>
      <c r="L3" s="5" t="inlineStr">
        <is>
          <t>PX_HIGH</t>
        </is>
      </c>
      <c r="M3" s="5" t="inlineStr">
        <is>
          <t>PX_LOW</t>
        </is>
      </c>
      <c r="N3" s="5" t="inlineStr">
        <is>
          <t>PX_LAST</t>
        </is>
      </c>
      <c r="O3" s="5" t="inlineStr">
        <is>
          <t>PX_SETTLE</t>
        </is>
      </c>
      <c r="P3" s="5" t="inlineStr">
        <is>
          <t>PX_VOLUME</t>
        </is>
      </c>
      <c r="Q3" s="5" t="inlineStr">
        <is>
          <t>OPEN_INT</t>
        </is>
      </c>
      <c r="S3" s="5" t="inlineStr">
        <is>
          <t>Date</t>
        </is>
      </c>
      <c r="T3" s="5" t="inlineStr">
        <is>
          <t>PX_OPEN</t>
        </is>
      </c>
      <c r="U3" s="5" t="inlineStr">
        <is>
          <t>PX_HIGH</t>
        </is>
      </c>
      <c r="V3" s="5" t="inlineStr">
        <is>
          <t>PX_LOW</t>
        </is>
      </c>
      <c r="W3" s="5" t="inlineStr">
        <is>
          <t>PX_LAST</t>
        </is>
      </c>
      <c r="X3" s="5" t="inlineStr">
        <is>
          <t>PX_SETTLE</t>
        </is>
      </c>
      <c r="Y3" s="5" t="inlineStr">
        <is>
          <t>PX_VOLUME</t>
        </is>
      </c>
      <c r="Z3" s="5" t="inlineStr">
        <is>
          <t>OPEN_INT</t>
        </is>
      </c>
      <c r="AB3" s="5" t="inlineStr">
        <is>
          <t>Date</t>
        </is>
      </c>
      <c r="AC3" s="5" t="inlineStr">
        <is>
          <t>PX_OPEN</t>
        </is>
      </c>
      <c r="AD3" s="5" t="inlineStr">
        <is>
          <t>PX_HIGH</t>
        </is>
      </c>
      <c r="AE3" s="5" t="inlineStr">
        <is>
          <t>PX_LOW</t>
        </is>
      </c>
      <c r="AF3" s="5" t="inlineStr">
        <is>
          <t>PX_LAST</t>
        </is>
      </c>
      <c r="AG3" s="5" t="inlineStr">
        <is>
          <t>PX_SETTLE</t>
        </is>
      </c>
      <c r="AH3" s="5" t="inlineStr">
        <is>
          <t>PX_VOLUME</t>
        </is>
      </c>
      <c r="AI3" s="5" t="inlineStr">
        <is>
          <t>OPEN_INT</t>
        </is>
      </c>
      <c r="AK3" s="5" t="inlineStr">
        <is>
          <t>Date</t>
        </is>
      </c>
      <c r="AL3" s="5" t="inlineStr">
        <is>
          <t>PX_OPEN</t>
        </is>
      </c>
      <c r="AM3" s="5" t="inlineStr">
        <is>
          <t>PX_HIGH</t>
        </is>
      </c>
      <c r="AN3" s="5" t="inlineStr">
        <is>
          <t>PX_LOW</t>
        </is>
      </c>
      <c r="AO3" s="5" t="inlineStr">
        <is>
          <t>PX_LAST</t>
        </is>
      </c>
      <c r="AP3" s="5" t="inlineStr">
        <is>
          <t>PX_SETTLE</t>
        </is>
      </c>
      <c r="AQ3" s="5" t="inlineStr">
        <is>
          <t>PX_VOLUME</t>
        </is>
      </c>
      <c r="AR3" s="5" t="inlineStr">
        <is>
          <t>OPEN_INT</t>
        </is>
      </c>
      <c r="AT3" s="5" t="inlineStr">
        <is>
          <t>Date</t>
        </is>
      </c>
      <c r="AU3" s="5" t="inlineStr">
        <is>
          <t>PX_OPEN</t>
        </is>
      </c>
      <c r="AV3" s="5" t="inlineStr">
        <is>
          <t>PX_HIGH</t>
        </is>
      </c>
      <c r="AW3" s="5" t="inlineStr">
        <is>
          <t>PX_LOW</t>
        </is>
      </c>
      <c r="AX3" s="5" t="inlineStr">
        <is>
          <t>PX_LAST</t>
        </is>
      </c>
      <c r="AY3" s="5" t="inlineStr">
        <is>
          <t>PX_SETTLE</t>
        </is>
      </c>
      <c r="AZ3" s="5" t="inlineStr">
        <is>
          <t>PX_VOLUME</t>
        </is>
      </c>
      <c r="BA3" s="5" t="inlineStr">
        <is>
          <t>OPEN_INT</t>
        </is>
      </c>
      <c r="BC3" s="5" t="inlineStr">
        <is>
          <t>Date</t>
        </is>
      </c>
      <c r="BD3" s="5" t="inlineStr">
        <is>
          <t>PX_OPEN</t>
        </is>
      </c>
      <c r="BE3" s="5" t="inlineStr">
        <is>
          <t>PX_HIGH</t>
        </is>
      </c>
      <c r="BF3" s="5" t="inlineStr">
        <is>
          <t>PX_LOW</t>
        </is>
      </c>
      <c r="BG3" s="5" t="inlineStr">
        <is>
          <t>PX_LAST</t>
        </is>
      </c>
      <c r="BH3" s="5" t="inlineStr">
        <is>
          <t>PX_SETTLE</t>
        </is>
      </c>
      <c r="BI3" s="5" t="inlineStr">
        <is>
          <t>PX_VOLUME</t>
        </is>
      </c>
      <c r="BJ3" s="5" t="inlineStr">
        <is>
          <t>OPEN_INT</t>
        </is>
      </c>
      <c r="BL3" s="5" t="inlineStr">
        <is>
          <t>Date</t>
        </is>
      </c>
      <c r="BM3" s="5" t="inlineStr">
        <is>
          <t>PX_OPEN</t>
        </is>
      </c>
      <c r="BN3" s="5" t="inlineStr">
        <is>
          <t>PX_HIGH</t>
        </is>
      </c>
      <c r="BO3" s="5" t="inlineStr">
        <is>
          <t>PX_LOW</t>
        </is>
      </c>
      <c r="BP3" s="5" t="inlineStr">
        <is>
          <t>PX_LAST</t>
        </is>
      </c>
      <c r="BQ3" s="5" t="inlineStr">
        <is>
          <t>PX_SETTLE</t>
        </is>
      </c>
      <c r="BR3" s="5" t="inlineStr">
        <is>
          <t>PX_VOLUME</t>
        </is>
      </c>
      <c r="BS3" s="5" t="inlineStr">
        <is>
          <t>OPEN_INT</t>
        </is>
      </c>
      <c r="BU3" s="5" t="inlineStr">
        <is>
          <t>Date</t>
        </is>
      </c>
      <c r="BV3" s="5" t="inlineStr">
        <is>
          <t>PX_OPEN</t>
        </is>
      </c>
      <c r="BW3" s="5" t="inlineStr">
        <is>
          <t>PX_HIGH</t>
        </is>
      </c>
      <c r="BX3" s="5" t="inlineStr">
        <is>
          <t>PX_LOW</t>
        </is>
      </c>
      <c r="BY3" s="5" t="inlineStr">
        <is>
          <t>PX_LAST</t>
        </is>
      </c>
      <c r="BZ3" s="5" t="inlineStr">
        <is>
          <t>PX_SETTLE</t>
        </is>
      </c>
      <c r="CA3" s="5" t="inlineStr">
        <is>
          <t>PX_VOLUME</t>
        </is>
      </c>
      <c r="CB3" s="5" t="inlineStr">
        <is>
          <t>OPEN_INT</t>
        </is>
      </c>
      <c r="CD3" s="5" t="inlineStr">
        <is>
          <t>Date</t>
        </is>
      </c>
      <c r="CE3" s="5" t="inlineStr">
        <is>
          <t>PX_OPEN</t>
        </is>
      </c>
      <c r="CF3" s="5" t="inlineStr">
        <is>
          <t>PX_HIGH</t>
        </is>
      </c>
      <c r="CG3" s="5" t="inlineStr">
        <is>
          <t>PX_LOW</t>
        </is>
      </c>
      <c r="CH3" s="5" t="inlineStr">
        <is>
          <t>PX_LAST</t>
        </is>
      </c>
      <c r="CI3" s="5" t="inlineStr">
        <is>
          <t>PX_SETTLE</t>
        </is>
      </c>
      <c r="CJ3" s="5" t="inlineStr">
        <is>
          <t>PX_VOLUME</t>
        </is>
      </c>
      <c r="CK3" s="5" t="inlineStr">
        <is>
          <t>OPEN_INT</t>
        </is>
      </c>
      <c r="CM3" s="5" t="inlineStr">
        <is>
          <t>Date</t>
        </is>
      </c>
      <c r="CN3" s="5" t="inlineStr">
        <is>
          <t>PX_OPEN</t>
        </is>
      </c>
      <c r="CO3" s="5" t="inlineStr">
        <is>
          <t>PX_HIGH</t>
        </is>
      </c>
      <c r="CP3" s="5" t="inlineStr">
        <is>
          <t>PX_LOW</t>
        </is>
      </c>
      <c r="CQ3" s="5" t="inlineStr">
        <is>
          <t>PX_LAST</t>
        </is>
      </c>
      <c r="CR3" s="5" t="inlineStr">
        <is>
          <t>PX_SETTLE</t>
        </is>
      </c>
      <c r="CS3" s="5" t="inlineStr">
        <is>
          <t>PX_VOLUME</t>
        </is>
      </c>
      <c r="CT3" s="5" t="inlineStr">
        <is>
          <t>OPEN_INT</t>
        </is>
      </c>
      <c r="CV3" s="5" t="inlineStr">
        <is>
          <t>Date</t>
        </is>
      </c>
      <c r="CW3" s="5" t="inlineStr">
        <is>
          <t>PX_OPEN</t>
        </is>
      </c>
      <c r="CX3" s="5" t="inlineStr">
        <is>
          <t>PX_HIGH</t>
        </is>
      </c>
      <c r="CY3" s="5" t="inlineStr">
        <is>
          <t>PX_LOW</t>
        </is>
      </c>
      <c r="CZ3" s="5" t="inlineStr">
        <is>
          <t>PX_LAST</t>
        </is>
      </c>
      <c r="DA3" s="5" t="inlineStr">
        <is>
          <t>PX_SETTLE</t>
        </is>
      </c>
      <c r="DB3" s="5" t="inlineStr">
        <is>
          <t>PX_VOLUME</t>
        </is>
      </c>
      <c r="DC3" s="5" t="inlineStr">
        <is>
          <t>OPEN_INT</t>
        </is>
      </c>
    </row>
    <row r="4">
      <c r="A4" s="4">
        <f>BDH(A$1,B$3:H$3,Settings!$C$13,IF(Settings!$D$13="","",Settings!$D$13),"Dir=V","Dts=S","Sort=A","Days=T","Fill=B")</f>
        <v/>
      </c>
      <c r="J4" s="4">
        <f>BDH(J$1,K$3:Q$3,Settings!$C$13,IF(Settings!$D$13="","",Settings!$D$13),"Dir=V","Dts=S","Sort=A","Days=T","Fill=B")</f>
        <v/>
      </c>
      <c r="S4" s="4">
        <f>BDH(S$1,T$3:Z$3,Settings!$C$13,IF(Settings!$D$13="","",Settings!$D$13),"Dir=V","Dts=S","Sort=A","Days=T","Fill=B")</f>
        <v/>
      </c>
      <c r="AB4" s="4">
        <f>BDH(AB$1,AC$3:AI$3,Settings!$C$13,IF(Settings!$D$13="","",Settings!$D$13),"Dir=V","Dts=S","Sort=A","Days=T","Fill=B")</f>
        <v/>
      </c>
      <c r="AK4" s="4">
        <f>BDH(AK$1,AL$3:AR$3,Settings!$C$13,IF(Settings!$D$13="","",Settings!$D$13),"Dir=V","Dts=S","Sort=A","Days=T","Fill=B")</f>
        <v/>
      </c>
      <c r="AT4" s="4">
        <f>BDH(AT$1,AU$3:BA$3,Settings!$C$13,IF(Settings!$D$13="","",Settings!$D$13),"Dir=V","Dts=S","Sort=A","Days=T","Fill=B")</f>
        <v/>
      </c>
      <c r="BC4" s="4">
        <f>BDH(BC$1,BD$3:BJ$3,Settings!$C$13,IF(Settings!$D$13="","",Settings!$D$13),"Dir=V","Dts=S","Sort=A","Days=T","Fill=B")</f>
        <v/>
      </c>
      <c r="BL4" s="4">
        <f>BDH(BL$1,BM$3:BS$3,Settings!$C$13,IF(Settings!$D$13="","",Settings!$D$13),"Dir=V","Dts=S","Sort=A","Days=T","Fill=B")</f>
        <v/>
      </c>
      <c r="BU4" s="4">
        <f>BDH(BU$1,BV$3:CB$3,Settings!$C$13,IF(Settings!$D$13="","",Settings!$D$13),"Dir=V","Dts=S","Sort=A","Days=T","Fill=B")</f>
        <v/>
      </c>
      <c r="CD4" s="4">
        <f>BDH(CD$1,CE$3:CK$3,Settings!$C$13,IF(Settings!$D$13="","",Settings!$D$13),"Dir=V","Dts=S","Sort=A","Days=T","Fill=B")</f>
        <v/>
      </c>
      <c r="CM4" s="4">
        <f>BDH(CM$1,CN$3:CT$3,Settings!$C$13,IF(Settings!$D$13="","",Settings!$D$13),"Dir=V","Dts=S","Sort=A","Days=T","Fill=B")</f>
        <v/>
      </c>
      <c r="CV4" s="4">
        <f>BDH(CV$1,CW$3:DC$3,Settings!$C$13,IF(Settings!$D$13="","",Settings!$D$13),"Dir=V","Dts=S","Sort=A","Days=T","Fill=B")</f>
        <v/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C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1" customWidth="1" min="7" max="7"/>
    <col width="10" customWidth="1" min="8" max="8"/>
    <col width="12" customWidth="1" min="10" max="10"/>
    <col width="10" customWidth="1" min="11" max="11"/>
    <col width="10" customWidth="1" min="12" max="12"/>
    <col width="10" customWidth="1" min="13" max="13"/>
    <col width="10" customWidth="1" min="14" max="14"/>
    <col width="11" customWidth="1" min="15" max="15"/>
    <col width="11" customWidth="1" min="16" max="16"/>
    <col width="10" customWidth="1" min="17" max="17"/>
    <col width="12" customWidth="1" min="19" max="19"/>
    <col width="10" customWidth="1" min="20" max="20"/>
    <col width="10" customWidth="1" min="21" max="21"/>
    <col width="10" customWidth="1" min="22" max="22"/>
    <col width="10" customWidth="1" min="23" max="23"/>
    <col width="11" customWidth="1" min="24" max="24"/>
    <col width="11" customWidth="1" min="25" max="25"/>
    <col width="10" customWidth="1" min="26" max="26"/>
    <col width="12" customWidth="1" min="28" max="28"/>
    <col width="10" customWidth="1" min="29" max="29"/>
    <col width="10" customWidth="1" min="30" max="30"/>
    <col width="10" customWidth="1" min="31" max="31"/>
    <col width="10" customWidth="1" min="32" max="32"/>
    <col width="11" customWidth="1" min="33" max="33"/>
    <col width="11" customWidth="1" min="34" max="34"/>
    <col width="10" customWidth="1" min="35" max="35"/>
    <col width="12" customWidth="1" min="37" max="37"/>
    <col width="10" customWidth="1" min="38" max="38"/>
    <col width="10" customWidth="1" min="39" max="39"/>
    <col width="10" customWidth="1" min="40" max="40"/>
    <col width="10" customWidth="1" min="41" max="41"/>
    <col width="11" customWidth="1" min="42" max="42"/>
    <col width="11" customWidth="1" min="43" max="43"/>
    <col width="10" customWidth="1" min="44" max="44"/>
    <col width="12" customWidth="1" min="46" max="46"/>
    <col width="10" customWidth="1" min="47" max="47"/>
    <col width="10" customWidth="1" min="48" max="48"/>
    <col width="10" customWidth="1" min="49" max="49"/>
    <col width="10" customWidth="1" min="50" max="50"/>
    <col width="11" customWidth="1" min="51" max="51"/>
    <col width="11" customWidth="1" min="52" max="52"/>
    <col width="10" customWidth="1" min="53" max="53"/>
    <col width="12" customWidth="1" min="55" max="55"/>
    <col width="10" customWidth="1" min="56" max="56"/>
    <col width="10" customWidth="1" min="57" max="57"/>
    <col width="10" customWidth="1" min="58" max="58"/>
    <col width="10" customWidth="1" min="59" max="59"/>
    <col width="11" customWidth="1" min="60" max="60"/>
    <col width="11" customWidth="1" min="61" max="61"/>
    <col width="10" customWidth="1" min="62" max="62"/>
    <col width="12" customWidth="1" min="64" max="64"/>
    <col width="10" customWidth="1" min="65" max="65"/>
    <col width="10" customWidth="1" min="66" max="66"/>
    <col width="10" customWidth="1" min="67" max="67"/>
    <col width="10" customWidth="1" min="68" max="68"/>
    <col width="11" customWidth="1" min="69" max="69"/>
    <col width="11" customWidth="1" min="70" max="70"/>
    <col width="10" customWidth="1" min="71" max="71"/>
    <col width="12" customWidth="1" min="73" max="73"/>
    <col width="10" customWidth="1" min="74" max="74"/>
    <col width="10" customWidth="1" min="75" max="75"/>
    <col width="10" customWidth="1" min="76" max="76"/>
    <col width="10" customWidth="1" min="77" max="77"/>
    <col width="11" customWidth="1" min="78" max="78"/>
    <col width="11" customWidth="1" min="79" max="79"/>
    <col width="10" customWidth="1" min="80" max="80"/>
    <col width="12" customWidth="1" min="82" max="82"/>
    <col width="10" customWidth="1" min="83" max="83"/>
    <col width="10" customWidth="1" min="84" max="84"/>
    <col width="10" customWidth="1" min="85" max="85"/>
    <col width="10" customWidth="1" min="86" max="86"/>
    <col width="11" customWidth="1" min="87" max="87"/>
    <col width="11" customWidth="1" min="88" max="88"/>
    <col width="10" customWidth="1" min="89" max="89"/>
    <col width="12" customWidth="1" min="91" max="91"/>
    <col width="10" customWidth="1" min="92" max="92"/>
    <col width="10" customWidth="1" min="93" max="93"/>
    <col width="10" customWidth="1" min="94" max="94"/>
    <col width="10" customWidth="1" min="95" max="95"/>
    <col width="11" customWidth="1" min="96" max="96"/>
    <col width="11" customWidth="1" min="97" max="97"/>
    <col width="10" customWidth="1" min="98" max="98"/>
    <col width="12" customWidth="1" min="100" max="100"/>
    <col width="10" customWidth="1" min="101" max="101"/>
    <col width="10" customWidth="1" min="102" max="102"/>
    <col width="10" customWidth="1" min="103" max="103"/>
    <col width="10" customWidth="1" min="104" max="104"/>
    <col width="11" customWidth="1" min="105" max="105"/>
    <col width="11" customWidth="1" min="106" max="106"/>
    <col width="10" customWidth="1" min="107" max="107"/>
  </cols>
  <sheetData>
    <row r="1">
      <c r="A1" s="2">
        <f>IF(Settings!$B$13="Y","COF"&amp;IF(A$2&lt;Settings!$B$3,"28","8")&amp;" Comdty","")</f>
        <v/>
      </c>
      <c r="J1" s="2">
        <f>IF(Settings!$B$13="Y","COG"&amp;IF(J$2&lt;Settings!$B$3,"28","8")&amp;" Comdty","")</f>
        <v/>
      </c>
      <c r="S1" s="2">
        <f>IF(Settings!$B$13="Y","COH"&amp;IF(S$2&lt;Settings!$B$3,"28","8")&amp;" Comdty","")</f>
        <v/>
      </c>
      <c r="AB1" s="2">
        <f>IF(Settings!$B$13="Y","COJ"&amp;IF(AB$2&lt;Settings!$B$3,"28","8")&amp;" Comdty","")</f>
        <v/>
      </c>
      <c r="AK1" s="2">
        <f>IF(Settings!$B$13="Y","COK"&amp;IF(AK$2&lt;Settings!$B$3,"28","8")&amp;" Comdty","")</f>
        <v/>
      </c>
      <c r="AT1" s="2">
        <f>IF(Settings!$B$13="Y","COM"&amp;IF(AT$2&lt;Settings!$B$3,"28","8")&amp;" Comdty","")</f>
        <v/>
      </c>
      <c r="BC1" s="2">
        <f>IF(Settings!$B$13="Y","CON"&amp;IF(BC$2&lt;Settings!$B$3,"28","8")&amp;" Comdty","")</f>
        <v/>
      </c>
      <c r="BL1" s="2">
        <f>IF(Settings!$B$13="Y","COQ"&amp;IF(BL$2&lt;Settings!$B$3,"28","8")&amp;" Comdty","")</f>
        <v/>
      </c>
      <c r="BU1" s="2">
        <f>IF(Settings!$B$13="Y","COU"&amp;IF(BU$2&lt;Settings!$B$3,"28","8")&amp;" Comdty","")</f>
        <v/>
      </c>
      <c r="CD1" s="2">
        <f>IF(Settings!$B$13="Y","COV"&amp;IF(CD$2&lt;Settings!$B$3,"28","8")&amp;" Comdty","")</f>
        <v/>
      </c>
      <c r="CM1" s="2">
        <f>IF(Settings!$B$13="Y","COX"&amp;IF(CM$2&lt;Settings!$B$3,"28","8")&amp;" Comdty","")</f>
        <v/>
      </c>
      <c r="CV1" s="2">
        <f>IF(Settings!$B$13="Y","COZ"&amp;IF(CV$2&lt;Settings!$B$3,"28","8")&amp;" Comdty","")</f>
        <v/>
      </c>
    </row>
    <row r="2">
      <c r="A2" s="8">
        <f>WORKDAY(DATE(2028,1-1,1),-1)</f>
        <v/>
      </c>
      <c r="B2" s="8">
        <f>IF(A$1="","",BDP(A$1,"LAST_TRADEABLE_DT"))</f>
        <v/>
      </c>
      <c r="J2" s="8">
        <f>WORKDAY(DATE(2028,2-1,1),-1)</f>
        <v/>
      </c>
      <c r="K2" s="8">
        <f>IF(J$1="","",BDP(J$1,"LAST_TRADEABLE_DT"))</f>
        <v/>
      </c>
      <c r="S2" s="8">
        <f>WORKDAY(DATE(2028,3-1,1),-1)</f>
        <v/>
      </c>
      <c r="T2" s="8">
        <f>IF(S$1="","",BDP(S$1,"LAST_TRADEABLE_DT"))</f>
        <v/>
      </c>
      <c r="AB2" s="8">
        <f>WORKDAY(DATE(2028,4-1,1),-1)</f>
        <v/>
      </c>
      <c r="AC2" s="8">
        <f>IF(AB$1="","",BDP(AB$1,"LAST_TRADEABLE_DT"))</f>
        <v/>
      </c>
      <c r="AK2" s="8">
        <f>WORKDAY(DATE(2028,5-1,1),-1)</f>
        <v/>
      </c>
      <c r="AL2" s="8">
        <f>IF(AK$1="","",BDP(AK$1,"LAST_TRADEABLE_DT"))</f>
        <v/>
      </c>
      <c r="AT2" s="8">
        <f>WORKDAY(DATE(2028,6-1,1),-1)</f>
        <v/>
      </c>
      <c r="AU2" s="8">
        <f>IF(AT$1="","",BDP(AT$1,"LAST_TRADEABLE_DT"))</f>
        <v/>
      </c>
      <c r="BC2" s="8">
        <f>WORKDAY(DATE(2028,7-1,1),-1)</f>
        <v/>
      </c>
      <c r="BD2" s="8">
        <f>IF(BC$1="","",BDP(BC$1,"LAST_TRADEABLE_DT"))</f>
        <v/>
      </c>
      <c r="BL2" s="8">
        <f>WORKDAY(DATE(2028,8-1,1),-1)</f>
        <v/>
      </c>
      <c r="BM2" s="8">
        <f>IF(BL$1="","",BDP(BL$1,"LAST_TRADEABLE_DT"))</f>
        <v/>
      </c>
      <c r="BU2" s="8">
        <f>WORKDAY(DATE(2028,9-1,1),-1)</f>
        <v/>
      </c>
      <c r="BV2" s="8">
        <f>IF(BU$1="","",BDP(BU$1,"LAST_TRADEABLE_DT"))</f>
        <v/>
      </c>
      <c r="CD2" s="8">
        <f>WORKDAY(DATE(2028,10-1,1),-1)</f>
        <v/>
      </c>
      <c r="CE2" s="8">
        <f>IF(CD$1="","",BDP(CD$1,"LAST_TRADEABLE_DT"))</f>
        <v/>
      </c>
      <c r="CM2" s="8">
        <f>WORKDAY(DATE(2028,11-1,1),-1)</f>
        <v/>
      </c>
      <c r="CN2" s="8">
        <f>IF(CM$1="","",BDP(CM$1,"LAST_TRADEABLE_DT"))</f>
        <v/>
      </c>
      <c r="CV2" s="8">
        <f>WORKDAY(DATE(2028,12-1,1),-1)</f>
        <v/>
      </c>
      <c r="CW2" s="8">
        <f>IF(CV$1="","",BDP(CV$1,"LAST_TRADEABLE_DT"))</f>
        <v/>
      </c>
    </row>
    <row r="3">
      <c r="A3" s="5" t="inlineStr">
        <is>
          <t>Date</t>
        </is>
      </c>
      <c r="B3" s="5" t="inlineStr">
        <is>
          <t>PX_OPEN</t>
        </is>
      </c>
      <c r="C3" s="5" t="inlineStr">
        <is>
          <t>PX_HIGH</t>
        </is>
      </c>
      <c r="D3" s="5" t="inlineStr">
        <is>
          <t>PX_LOW</t>
        </is>
      </c>
      <c r="E3" s="5" t="inlineStr">
        <is>
          <t>PX_LAST</t>
        </is>
      </c>
      <c r="F3" s="5" t="inlineStr">
        <is>
          <t>PX_SETTLE</t>
        </is>
      </c>
      <c r="G3" s="5" t="inlineStr">
        <is>
          <t>PX_VOLUME</t>
        </is>
      </c>
      <c r="H3" s="5" t="inlineStr">
        <is>
          <t>OPEN_INT</t>
        </is>
      </c>
      <c r="J3" s="5" t="inlineStr">
        <is>
          <t>Date</t>
        </is>
      </c>
      <c r="K3" s="5" t="inlineStr">
        <is>
          <t>PX_OPEN</t>
        </is>
      </c>
      <c r="L3" s="5" t="inlineStr">
        <is>
          <t>PX_HIGH</t>
        </is>
      </c>
      <c r="M3" s="5" t="inlineStr">
        <is>
          <t>PX_LOW</t>
        </is>
      </c>
      <c r="N3" s="5" t="inlineStr">
        <is>
          <t>PX_LAST</t>
        </is>
      </c>
      <c r="O3" s="5" t="inlineStr">
        <is>
          <t>PX_SETTLE</t>
        </is>
      </c>
      <c r="P3" s="5" t="inlineStr">
        <is>
          <t>PX_VOLUME</t>
        </is>
      </c>
      <c r="Q3" s="5" t="inlineStr">
        <is>
          <t>OPEN_INT</t>
        </is>
      </c>
      <c r="S3" s="5" t="inlineStr">
        <is>
          <t>Date</t>
        </is>
      </c>
      <c r="T3" s="5" t="inlineStr">
        <is>
          <t>PX_OPEN</t>
        </is>
      </c>
      <c r="U3" s="5" t="inlineStr">
        <is>
          <t>PX_HIGH</t>
        </is>
      </c>
      <c r="V3" s="5" t="inlineStr">
        <is>
          <t>PX_LOW</t>
        </is>
      </c>
      <c r="W3" s="5" t="inlineStr">
        <is>
          <t>PX_LAST</t>
        </is>
      </c>
      <c r="X3" s="5" t="inlineStr">
        <is>
          <t>PX_SETTLE</t>
        </is>
      </c>
      <c r="Y3" s="5" t="inlineStr">
        <is>
          <t>PX_VOLUME</t>
        </is>
      </c>
      <c r="Z3" s="5" t="inlineStr">
        <is>
          <t>OPEN_INT</t>
        </is>
      </c>
      <c r="AB3" s="5" t="inlineStr">
        <is>
          <t>Date</t>
        </is>
      </c>
      <c r="AC3" s="5" t="inlineStr">
        <is>
          <t>PX_OPEN</t>
        </is>
      </c>
      <c r="AD3" s="5" t="inlineStr">
        <is>
          <t>PX_HIGH</t>
        </is>
      </c>
      <c r="AE3" s="5" t="inlineStr">
        <is>
          <t>PX_LOW</t>
        </is>
      </c>
      <c r="AF3" s="5" t="inlineStr">
        <is>
          <t>PX_LAST</t>
        </is>
      </c>
      <c r="AG3" s="5" t="inlineStr">
        <is>
          <t>PX_SETTLE</t>
        </is>
      </c>
      <c r="AH3" s="5" t="inlineStr">
        <is>
          <t>PX_VOLUME</t>
        </is>
      </c>
      <c r="AI3" s="5" t="inlineStr">
        <is>
          <t>OPEN_INT</t>
        </is>
      </c>
      <c r="AK3" s="5" t="inlineStr">
        <is>
          <t>Date</t>
        </is>
      </c>
      <c r="AL3" s="5" t="inlineStr">
        <is>
          <t>PX_OPEN</t>
        </is>
      </c>
      <c r="AM3" s="5" t="inlineStr">
        <is>
          <t>PX_HIGH</t>
        </is>
      </c>
      <c r="AN3" s="5" t="inlineStr">
        <is>
          <t>PX_LOW</t>
        </is>
      </c>
      <c r="AO3" s="5" t="inlineStr">
        <is>
          <t>PX_LAST</t>
        </is>
      </c>
      <c r="AP3" s="5" t="inlineStr">
        <is>
          <t>PX_SETTLE</t>
        </is>
      </c>
      <c r="AQ3" s="5" t="inlineStr">
        <is>
          <t>PX_VOLUME</t>
        </is>
      </c>
      <c r="AR3" s="5" t="inlineStr">
        <is>
          <t>OPEN_INT</t>
        </is>
      </c>
      <c r="AT3" s="5" t="inlineStr">
        <is>
          <t>Date</t>
        </is>
      </c>
      <c r="AU3" s="5" t="inlineStr">
        <is>
          <t>PX_OPEN</t>
        </is>
      </c>
      <c r="AV3" s="5" t="inlineStr">
        <is>
          <t>PX_HIGH</t>
        </is>
      </c>
      <c r="AW3" s="5" t="inlineStr">
        <is>
          <t>PX_LOW</t>
        </is>
      </c>
      <c r="AX3" s="5" t="inlineStr">
        <is>
          <t>PX_LAST</t>
        </is>
      </c>
      <c r="AY3" s="5" t="inlineStr">
        <is>
          <t>PX_SETTLE</t>
        </is>
      </c>
      <c r="AZ3" s="5" t="inlineStr">
        <is>
          <t>PX_VOLUME</t>
        </is>
      </c>
      <c r="BA3" s="5" t="inlineStr">
        <is>
          <t>OPEN_INT</t>
        </is>
      </c>
      <c r="BC3" s="5" t="inlineStr">
        <is>
          <t>Date</t>
        </is>
      </c>
      <c r="BD3" s="5" t="inlineStr">
        <is>
          <t>PX_OPEN</t>
        </is>
      </c>
      <c r="BE3" s="5" t="inlineStr">
        <is>
          <t>PX_HIGH</t>
        </is>
      </c>
      <c r="BF3" s="5" t="inlineStr">
        <is>
          <t>PX_LOW</t>
        </is>
      </c>
      <c r="BG3" s="5" t="inlineStr">
        <is>
          <t>PX_LAST</t>
        </is>
      </c>
      <c r="BH3" s="5" t="inlineStr">
        <is>
          <t>PX_SETTLE</t>
        </is>
      </c>
      <c r="BI3" s="5" t="inlineStr">
        <is>
          <t>PX_VOLUME</t>
        </is>
      </c>
      <c r="BJ3" s="5" t="inlineStr">
        <is>
          <t>OPEN_INT</t>
        </is>
      </c>
      <c r="BL3" s="5" t="inlineStr">
        <is>
          <t>Date</t>
        </is>
      </c>
      <c r="BM3" s="5" t="inlineStr">
        <is>
          <t>PX_OPEN</t>
        </is>
      </c>
      <c r="BN3" s="5" t="inlineStr">
        <is>
          <t>PX_HIGH</t>
        </is>
      </c>
      <c r="BO3" s="5" t="inlineStr">
        <is>
          <t>PX_LOW</t>
        </is>
      </c>
      <c r="BP3" s="5" t="inlineStr">
        <is>
          <t>PX_LAST</t>
        </is>
      </c>
      <c r="BQ3" s="5" t="inlineStr">
        <is>
          <t>PX_SETTLE</t>
        </is>
      </c>
      <c r="BR3" s="5" t="inlineStr">
        <is>
          <t>PX_VOLUME</t>
        </is>
      </c>
      <c r="BS3" s="5" t="inlineStr">
        <is>
          <t>OPEN_INT</t>
        </is>
      </c>
      <c r="BU3" s="5" t="inlineStr">
        <is>
          <t>Date</t>
        </is>
      </c>
      <c r="BV3" s="5" t="inlineStr">
        <is>
          <t>PX_OPEN</t>
        </is>
      </c>
      <c r="BW3" s="5" t="inlineStr">
        <is>
          <t>PX_HIGH</t>
        </is>
      </c>
      <c r="BX3" s="5" t="inlineStr">
        <is>
          <t>PX_LOW</t>
        </is>
      </c>
      <c r="BY3" s="5" t="inlineStr">
        <is>
          <t>PX_LAST</t>
        </is>
      </c>
      <c r="BZ3" s="5" t="inlineStr">
        <is>
          <t>PX_SETTLE</t>
        </is>
      </c>
      <c r="CA3" s="5" t="inlineStr">
        <is>
          <t>PX_VOLUME</t>
        </is>
      </c>
      <c r="CB3" s="5" t="inlineStr">
        <is>
          <t>OPEN_INT</t>
        </is>
      </c>
      <c r="CD3" s="5" t="inlineStr">
        <is>
          <t>Date</t>
        </is>
      </c>
      <c r="CE3" s="5" t="inlineStr">
        <is>
          <t>PX_OPEN</t>
        </is>
      </c>
      <c r="CF3" s="5" t="inlineStr">
        <is>
          <t>PX_HIGH</t>
        </is>
      </c>
      <c r="CG3" s="5" t="inlineStr">
        <is>
          <t>PX_LOW</t>
        </is>
      </c>
      <c r="CH3" s="5" t="inlineStr">
        <is>
          <t>PX_LAST</t>
        </is>
      </c>
      <c r="CI3" s="5" t="inlineStr">
        <is>
          <t>PX_SETTLE</t>
        </is>
      </c>
      <c r="CJ3" s="5" t="inlineStr">
        <is>
          <t>PX_VOLUME</t>
        </is>
      </c>
      <c r="CK3" s="5" t="inlineStr">
        <is>
          <t>OPEN_INT</t>
        </is>
      </c>
      <c r="CM3" s="5" t="inlineStr">
        <is>
          <t>Date</t>
        </is>
      </c>
      <c r="CN3" s="5" t="inlineStr">
        <is>
          <t>PX_OPEN</t>
        </is>
      </c>
      <c r="CO3" s="5" t="inlineStr">
        <is>
          <t>PX_HIGH</t>
        </is>
      </c>
      <c r="CP3" s="5" t="inlineStr">
        <is>
          <t>PX_LOW</t>
        </is>
      </c>
      <c r="CQ3" s="5" t="inlineStr">
        <is>
          <t>PX_LAST</t>
        </is>
      </c>
      <c r="CR3" s="5" t="inlineStr">
        <is>
          <t>PX_SETTLE</t>
        </is>
      </c>
      <c r="CS3" s="5" t="inlineStr">
        <is>
          <t>PX_VOLUME</t>
        </is>
      </c>
      <c r="CT3" s="5" t="inlineStr">
        <is>
          <t>OPEN_INT</t>
        </is>
      </c>
      <c r="CV3" s="5" t="inlineStr">
        <is>
          <t>Date</t>
        </is>
      </c>
      <c r="CW3" s="5" t="inlineStr">
        <is>
          <t>PX_OPEN</t>
        </is>
      </c>
      <c r="CX3" s="5" t="inlineStr">
        <is>
          <t>PX_HIGH</t>
        </is>
      </c>
      <c r="CY3" s="5" t="inlineStr">
        <is>
          <t>PX_LOW</t>
        </is>
      </c>
      <c r="CZ3" s="5" t="inlineStr">
        <is>
          <t>PX_LAST</t>
        </is>
      </c>
      <c r="DA3" s="5" t="inlineStr">
        <is>
          <t>PX_SETTLE</t>
        </is>
      </c>
      <c r="DB3" s="5" t="inlineStr">
        <is>
          <t>PX_VOLUME</t>
        </is>
      </c>
      <c r="DC3" s="5" t="inlineStr">
        <is>
          <t>OPEN_INT</t>
        </is>
      </c>
    </row>
    <row r="4">
      <c r="A4" s="4">
        <f>BDH(A$1,B$3:H$3,Settings!$C$13,IF(Settings!$D$13="","",Settings!$D$13),"Dir=V","Dts=S","Sort=A","Days=T","Fill=B")</f>
        <v/>
      </c>
      <c r="J4" s="4">
        <f>BDH(J$1,K$3:Q$3,Settings!$C$13,IF(Settings!$D$13="","",Settings!$D$13),"Dir=V","Dts=S","Sort=A","Days=T","Fill=B")</f>
        <v/>
      </c>
      <c r="S4" s="4">
        <f>BDH(S$1,T$3:Z$3,Settings!$C$13,IF(Settings!$D$13="","",Settings!$D$13),"Dir=V","Dts=S","Sort=A","Days=T","Fill=B")</f>
        <v/>
      </c>
      <c r="AB4" s="4">
        <f>BDH(AB$1,AC$3:AI$3,Settings!$C$13,IF(Settings!$D$13="","",Settings!$D$13),"Dir=V","Dts=S","Sort=A","Days=T","Fill=B")</f>
        <v/>
      </c>
      <c r="AK4" s="4">
        <f>BDH(AK$1,AL$3:AR$3,Settings!$C$13,IF(Settings!$D$13="","",Settings!$D$13),"Dir=V","Dts=S","Sort=A","Days=T","Fill=B")</f>
        <v/>
      </c>
      <c r="AT4" s="4">
        <f>BDH(AT$1,AU$3:BA$3,Settings!$C$13,IF(Settings!$D$13="","",Settings!$D$13),"Dir=V","Dts=S","Sort=A","Days=T","Fill=B")</f>
        <v/>
      </c>
      <c r="BC4" s="4">
        <f>BDH(BC$1,BD$3:BJ$3,Settings!$C$13,IF(Settings!$D$13="","",Settings!$D$13),"Dir=V","Dts=S","Sort=A","Days=T","Fill=B")</f>
        <v/>
      </c>
      <c r="BL4" s="4">
        <f>BDH(BL$1,BM$3:BS$3,Settings!$C$13,IF(Settings!$D$13="","",Settings!$D$13),"Dir=V","Dts=S","Sort=A","Days=T","Fill=B")</f>
        <v/>
      </c>
      <c r="BU4" s="4">
        <f>BDH(BU$1,BV$3:CB$3,Settings!$C$13,IF(Settings!$D$13="","",Settings!$D$13),"Dir=V","Dts=S","Sort=A","Days=T","Fill=B")</f>
        <v/>
      </c>
      <c r="CD4" s="4">
        <f>BDH(CD$1,CE$3:CK$3,Settings!$C$13,IF(Settings!$D$13="","",Settings!$D$13),"Dir=V","Dts=S","Sort=A","Days=T","Fill=B")</f>
        <v/>
      </c>
      <c r="CM4" s="4">
        <f>BDH(CM$1,CN$3:CT$3,Settings!$C$13,IF(Settings!$D$13="","",Settings!$D$13),"Dir=V","Dts=S","Sort=A","Days=T","Fill=B")</f>
        <v/>
      </c>
      <c r="CV4" s="4">
        <f>BDH(CV$1,CW$3:DC$3,Settings!$C$13,IF(Settings!$D$13="","",Settings!$D$13),"Dir=V","Dts=S","Sort=A","Days=T","Fill=B")</f>
        <v/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C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1" customWidth="1" min="7" max="7"/>
    <col width="10" customWidth="1" min="8" max="8"/>
    <col width="12" customWidth="1" min="10" max="10"/>
    <col width="10" customWidth="1" min="11" max="11"/>
    <col width="10" customWidth="1" min="12" max="12"/>
    <col width="10" customWidth="1" min="13" max="13"/>
    <col width="10" customWidth="1" min="14" max="14"/>
    <col width="11" customWidth="1" min="15" max="15"/>
    <col width="11" customWidth="1" min="16" max="16"/>
    <col width="10" customWidth="1" min="17" max="17"/>
    <col width="12" customWidth="1" min="19" max="19"/>
    <col width="10" customWidth="1" min="20" max="20"/>
    <col width="10" customWidth="1" min="21" max="21"/>
    <col width="10" customWidth="1" min="22" max="22"/>
    <col width="10" customWidth="1" min="23" max="23"/>
    <col width="11" customWidth="1" min="24" max="24"/>
    <col width="11" customWidth="1" min="25" max="25"/>
    <col width="10" customWidth="1" min="26" max="26"/>
    <col width="12" customWidth="1" min="28" max="28"/>
    <col width="10" customWidth="1" min="29" max="29"/>
    <col width="10" customWidth="1" min="30" max="30"/>
    <col width="10" customWidth="1" min="31" max="31"/>
    <col width="10" customWidth="1" min="32" max="32"/>
    <col width="11" customWidth="1" min="33" max="33"/>
    <col width="11" customWidth="1" min="34" max="34"/>
    <col width="10" customWidth="1" min="35" max="35"/>
    <col width="12" customWidth="1" min="37" max="37"/>
    <col width="10" customWidth="1" min="38" max="38"/>
    <col width="10" customWidth="1" min="39" max="39"/>
    <col width="10" customWidth="1" min="40" max="40"/>
    <col width="10" customWidth="1" min="41" max="41"/>
    <col width="11" customWidth="1" min="42" max="42"/>
    <col width="11" customWidth="1" min="43" max="43"/>
    <col width="10" customWidth="1" min="44" max="44"/>
    <col width="12" customWidth="1" min="46" max="46"/>
    <col width="10" customWidth="1" min="47" max="47"/>
    <col width="10" customWidth="1" min="48" max="48"/>
    <col width="10" customWidth="1" min="49" max="49"/>
    <col width="10" customWidth="1" min="50" max="50"/>
    <col width="11" customWidth="1" min="51" max="51"/>
    <col width="11" customWidth="1" min="52" max="52"/>
    <col width="10" customWidth="1" min="53" max="53"/>
    <col width="12" customWidth="1" min="55" max="55"/>
    <col width="10" customWidth="1" min="56" max="56"/>
    <col width="10" customWidth="1" min="57" max="57"/>
    <col width="10" customWidth="1" min="58" max="58"/>
    <col width="10" customWidth="1" min="59" max="59"/>
    <col width="11" customWidth="1" min="60" max="60"/>
    <col width="11" customWidth="1" min="61" max="61"/>
    <col width="10" customWidth="1" min="62" max="62"/>
    <col width="12" customWidth="1" min="64" max="64"/>
    <col width="10" customWidth="1" min="65" max="65"/>
    <col width="10" customWidth="1" min="66" max="66"/>
    <col width="10" customWidth="1" min="67" max="67"/>
    <col width="10" customWidth="1" min="68" max="68"/>
    <col width="11" customWidth="1" min="69" max="69"/>
    <col width="11" customWidth="1" min="70" max="70"/>
    <col width="10" customWidth="1" min="71" max="71"/>
    <col width="12" customWidth="1" min="73" max="73"/>
    <col width="10" customWidth="1" min="74" max="74"/>
    <col width="10" customWidth="1" min="75" max="75"/>
    <col width="10" customWidth="1" min="76" max="76"/>
    <col width="10" customWidth="1" min="77" max="77"/>
    <col width="11" customWidth="1" min="78" max="78"/>
    <col width="11" customWidth="1" min="79" max="79"/>
    <col width="10" customWidth="1" min="80" max="80"/>
    <col width="12" customWidth="1" min="82" max="82"/>
    <col width="10" customWidth="1" min="83" max="83"/>
    <col width="10" customWidth="1" min="84" max="84"/>
    <col width="10" customWidth="1" min="85" max="85"/>
    <col width="10" customWidth="1" min="86" max="86"/>
    <col width="11" customWidth="1" min="87" max="87"/>
    <col width="11" customWidth="1" min="88" max="88"/>
    <col width="10" customWidth="1" min="89" max="89"/>
    <col width="12" customWidth="1" min="91" max="91"/>
    <col width="10" customWidth="1" min="92" max="92"/>
    <col width="10" customWidth="1" min="93" max="93"/>
    <col width="10" customWidth="1" min="94" max="94"/>
    <col width="10" customWidth="1" min="95" max="95"/>
    <col width="11" customWidth="1" min="96" max="96"/>
    <col width="11" customWidth="1" min="97" max="97"/>
    <col width="10" customWidth="1" min="98" max="98"/>
    <col width="12" customWidth="1" min="100" max="100"/>
    <col width="10" customWidth="1" min="101" max="101"/>
    <col width="10" customWidth="1" min="102" max="102"/>
    <col width="10" customWidth="1" min="103" max="103"/>
    <col width="10" customWidth="1" min="104" max="104"/>
    <col width="11" customWidth="1" min="105" max="105"/>
    <col width="11" customWidth="1" min="106" max="106"/>
    <col width="10" customWidth="1" min="107" max="107"/>
  </cols>
  <sheetData>
    <row r="1">
      <c r="A1" s="2">
        <f>IF(Settings!$B$13="Y","COF"&amp;IF(A$2&lt;Settings!$B$3,"29","9")&amp;" Comdty","")</f>
        <v/>
      </c>
      <c r="J1" s="2">
        <f>IF(Settings!$B$13="Y","COG"&amp;IF(J$2&lt;Settings!$B$3,"29","9")&amp;" Comdty","")</f>
        <v/>
      </c>
      <c r="S1" s="2">
        <f>IF(Settings!$B$13="Y","COH"&amp;IF(S$2&lt;Settings!$B$3,"29","9")&amp;" Comdty","")</f>
        <v/>
      </c>
      <c r="AB1" s="2">
        <f>IF(Settings!$B$13="Y","COJ"&amp;IF(AB$2&lt;Settings!$B$3,"29","9")&amp;" Comdty","")</f>
        <v/>
      </c>
      <c r="AK1" s="2">
        <f>IF(Settings!$B$13="Y","COK"&amp;IF(AK$2&lt;Settings!$B$3,"29","9")&amp;" Comdty","")</f>
        <v/>
      </c>
      <c r="AT1" s="2">
        <f>IF(Settings!$B$13="Y","COM"&amp;IF(AT$2&lt;Settings!$B$3,"29","9")&amp;" Comdty","")</f>
        <v/>
      </c>
      <c r="BC1" s="2">
        <f>IF(Settings!$B$13="Y","CON"&amp;IF(BC$2&lt;Settings!$B$3,"29","9")&amp;" Comdty","")</f>
        <v/>
      </c>
      <c r="BL1" s="2">
        <f>IF(Settings!$B$13="Y","COQ"&amp;IF(BL$2&lt;Settings!$B$3,"29","9")&amp;" Comdty","")</f>
        <v/>
      </c>
      <c r="BU1" s="2">
        <f>IF(Settings!$B$13="Y","COU"&amp;IF(BU$2&lt;Settings!$B$3,"29","9")&amp;" Comdty","")</f>
        <v/>
      </c>
      <c r="CD1" s="2">
        <f>IF(Settings!$B$13="Y","COV"&amp;IF(CD$2&lt;Settings!$B$3,"29","9")&amp;" Comdty","")</f>
        <v/>
      </c>
      <c r="CM1" s="2">
        <f>IF(Settings!$B$13="Y","COX"&amp;IF(CM$2&lt;Settings!$B$3,"29","9")&amp;" Comdty","")</f>
        <v/>
      </c>
      <c r="CV1" s="2">
        <f>IF(Settings!$B$13="Y","COZ"&amp;IF(CV$2&lt;Settings!$B$3,"29","9")&amp;" Comdty","")</f>
        <v/>
      </c>
    </row>
    <row r="2">
      <c r="A2" s="8">
        <f>WORKDAY(DATE(2029,1-1,1),-1)</f>
        <v/>
      </c>
      <c r="B2" s="8">
        <f>IF(A$1="","",BDP(A$1,"LAST_TRADEABLE_DT"))</f>
        <v/>
      </c>
      <c r="J2" s="8">
        <f>WORKDAY(DATE(2029,2-1,1),-1)</f>
        <v/>
      </c>
      <c r="K2" s="8">
        <f>IF(J$1="","",BDP(J$1,"LAST_TRADEABLE_DT"))</f>
        <v/>
      </c>
      <c r="S2" s="8">
        <f>WORKDAY(DATE(2029,3-1,1),-1)</f>
        <v/>
      </c>
      <c r="T2" s="8">
        <f>IF(S$1="","",BDP(S$1,"LAST_TRADEABLE_DT"))</f>
        <v/>
      </c>
      <c r="AB2" s="8">
        <f>WORKDAY(DATE(2029,4-1,1),-1)</f>
        <v/>
      </c>
      <c r="AC2" s="8">
        <f>IF(AB$1="","",BDP(AB$1,"LAST_TRADEABLE_DT"))</f>
        <v/>
      </c>
      <c r="AK2" s="8">
        <f>WORKDAY(DATE(2029,5-1,1),-1)</f>
        <v/>
      </c>
      <c r="AL2" s="8">
        <f>IF(AK$1="","",BDP(AK$1,"LAST_TRADEABLE_DT"))</f>
        <v/>
      </c>
      <c r="AT2" s="8">
        <f>WORKDAY(DATE(2029,6-1,1),-1)</f>
        <v/>
      </c>
      <c r="AU2" s="8">
        <f>IF(AT$1="","",BDP(AT$1,"LAST_TRADEABLE_DT"))</f>
        <v/>
      </c>
      <c r="BC2" s="8">
        <f>WORKDAY(DATE(2029,7-1,1),-1)</f>
        <v/>
      </c>
      <c r="BD2" s="8">
        <f>IF(BC$1="","",BDP(BC$1,"LAST_TRADEABLE_DT"))</f>
        <v/>
      </c>
      <c r="BL2" s="8">
        <f>WORKDAY(DATE(2029,8-1,1),-1)</f>
        <v/>
      </c>
      <c r="BM2" s="8">
        <f>IF(BL$1="","",BDP(BL$1,"LAST_TRADEABLE_DT"))</f>
        <v/>
      </c>
      <c r="BU2" s="8">
        <f>WORKDAY(DATE(2029,9-1,1),-1)</f>
        <v/>
      </c>
      <c r="BV2" s="8">
        <f>IF(BU$1="","",BDP(BU$1,"LAST_TRADEABLE_DT"))</f>
        <v/>
      </c>
      <c r="CD2" s="8">
        <f>WORKDAY(DATE(2029,10-1,1),-1)</f>
        <v/>
      </c>
      <c r="CE2" s="8">
        <f>IF(CD$1="","",BDP(CD$1,"LAST_TRADEABLE_DT"))</f>
        <v/>
      </c>
      <c r="CM2" s="8">
        <f>WORKDAY(DATE(2029,11-1,1),-1)</f>
        <v/>
      </c>
      <c r="CN2" s="8">
        <f>IF(CM$1="","",BDP(CM$1,"LAST_TRADEABLE_DT"))</f>
        <v/>
      </c>
      <c r="CV2" s="8">
        <f>WORKDAY(DATE(2029,12-1,1),-1)</f>
        <v/>
      </c>
      <c r="CW2" s="8">
        <f>IF(CV$1="","",BDP(CV$1,"LAST_TRADEABLE_DT"))</f>
        <v/>
      </c>
    </row>
    <row r="3">
      <c r="A3" s="5" t="inlineStr">
        <is>
          <t>Date</t>
        </is>
      </c>
      <c r="B3" s="5" t="inlineStr">
        <is>
          <t>PX_OPEN</t>
        </is>
      </c>
      <c r="C3" s="5" t="inlineStr">
        <is>
          <t>PX_HIGH</t>
        </is>
      </c>
      <c r="D3" s="5" t="inlineStr">
        <is>
          <t>PX_LOW</t>
        </is>
      </c>
      <c r="E3" s="5" t="inlineStr">
        <is>
          <t>PX_LAST</t>
        </is>
      </c>
      <c r="F3" s="5" t="inlineStr">
        <is>
          <t>PX_SETTLE</t>
        </is>
      </c>
      <c r="G3" s="5" t="inlineStr">
        <is>
          <t>PX_VOLUME</t>
        </is>
      </c>
      <c r="H3" s="5" t="inlineStr">
        <is>
          <t>OPEN_INT</t>
        </is>
      </c>
      <c r="J3" s="5" t="inlineStr">
        <is>
          <t>Date</t>
        </is>
      </c>
      <c r="K3" s="5" t="inlineStr">
        <is>
          <t>PX_OPEN</t>
        </is>
      </c>
      <c r="L3" s="5" t="inlineStr">
        <is>
          <t>PX_HIGH</t>
        </is>
      </c>
      <c r="M3" s="5" t="inlineStr">
        <is>
          <t>PX_LOW</t>
        </is>
      </c>
      <c r="N3" s="5" t="inlineStr">
        <is>
          <t>PX_LAST</t>
        </is>
      </c>
      <c r="O3" s="5" t="inlineStr">
        <is>
          <t>PX_SETTLE</t>
        </is>
      </c>
      <c r="P3" s="5" t="inlineStr">
        <is>
          <t>PX_VOLUME</t>
        </is>
      </c>
      <c r="Q3" s="5" t="inlineStr">
        <is>
          <t>OPEN_INT</t>
        </is>
      </c>
      <c r="S3" s="5" t="inlineStr">
        <is>
          <t>Date</t>
        </is>
      </c>
      <c r="T3" s="5" t="inlineStr">
        <is>
          <t>PX_OPEN</t>
        </is>
      </c>
      <c r="U3" s="5" t="inlineStr">
        <is>
          <t>PX_HIGH</t>
        </is>
      </c>
      <c r="V3" s="5" t="inlineStr">
        <is>
          <t>PX_LOW</t>
        </is>
      </c>
      <c r="W3" s="5" t="inlineStr">
        <is>
          <t>PX_LAST</t>
        </is>
      </c>
      <c r="X3" s="5" t="inlineStr">
        <is>
          <t>PX_SETTLE</t>
        </is>
      </c>
      <c r="Y3" s="5" t="inlineStr">
        <is>
          <t>PX_VOLUME</t>
        </is>
      </c>
      <c r="Z3" s="5" t="inlineStr">
        <is>
          <t>OPEN_INT</t>
        </is>
      </c>
      <c r="AB3" s="5" t="inlineStr">
        <is>
          <t>Date</t>
        </is>
      </c>
      <c r="AC3" s="5" t="inlineStr">
        <is>
          <t>PX_OPEN</t>
        </is>
      </c>
      <c r="AD3" s="5" t="inlineStr">
        <is>
          <t>PX_HIGH</t>
        </is>
      </c>
      <c r="AE3" s="5" t="inlineStr">
        <is>
          <t>PX_LOW</t>
        </is>
      </c>
      <c r="AF3" s="5" t="inlineStr">
        <is>
          <t>PX_LAST</t>
        </is>
      </c>
      <c r="AG3" s="5" t="inlineStr">
        <is>
          <t>PX_SETTLE</t>
        </is>
      </c>
      <c r="AH3" s="5" t="inlineStr">
        <is>
          <t>PX_VOLUME</t>
        </is>
      </c>
      <c r="AI3" s="5" t="inlineStr">
        <is>
          <t>OPEN_INT</t>
        </is>
      </c>
      <c r="AK3" s="5" t="inlineStr">
        <is>
          <t>Date</t>
        </is>
      </c>
      <c r="AL3" s="5" t="inlineStr">
        <is>
          <t>PX_OPEN</t>
        </is>
      </c>
      <c r="AM3" s="5" t="inlineStr">
        <is>
          <t>PX_HIGH</t>
        </is>
      </c>
      <c r="AN3" s="5" t="inlineStr">
        <is>
          <t>PX_LOW</t>
        </is>
      </c>
      <c r="AO3" s="5" t="inlineStr">
        <is>
          <t>PX_LAST</t>
        </is>
      </c>
      <c r="AP3" s="5" t="inlineStr">
        <is>
          <t>PX_SETTLE</t>
        </is>
      </c>
      <c r="AQ3" s="5" t="inlineStr">
        <is>
          <t>PX_VOLUME</t>
        </is>
      </c>
      <c r="AR3" s="5" t="inlineStr">
        <is>
          <t>OPEN_INT</t>
        </is>
      </c>
      <c r="AT3" s="5" t="inlineStr">
        <is>
          <t>Date</t>
        </is>
      </c>
      <c r="AU3" s="5" t="inlineStr">
        <is>
          <t>PX_OPEN</t>
        </is>
      </c>
      <c r="AV3" s="5" t="inlineStr">
        <is>
          <t>PX_HIGH</t>
        </is>
      </c>
      <c r="AW3" s="5" t="inlineStr">
        <is>
          <t>PX_LOW</t>
        </is>
      </c>
      <c r="AX3" s="5" t="inlineStr">
        <is>
          <t>PX_LAST</t>
        </is>
      </c>
      <c r="AY3" s="5" t="inlineStr">
        <is>
          <t>PX_SETTLE</t>
        </is>
      </c>
      <c r="AZ3" s="5" t="inlineStr">
        <is>
          <t>PX_VOLUME</t>
        </is>
      </c>
      <c r="BA3" s="5" t="inlineStr">
        <is>
          <t>OPEN_INT</t>
        </is>
      </c>
      <c r="BC3" s="5" t="inlineStr">
        <is>
          <t>Date</t>
        </is>
      </c>
      <c r="BD3" s="5" t="inlineStr">
        <is>
          <t>PX_OPEN</t>
        </is>
      </c>
      <c r="BE3" s="5" t="inlineStr">
        <is>
          <t>PX_HIGH</t>
        </is>
      </c>
      <c r="BF3" s="5" t="inlineStr">
        <is>
          <t>PX_LOW</t>
        </is>
      </c>
      <c r="BG3" s="5" t="inlineStr">
        <is>
          <t>PX_LAST</t>
        </is>
      </c>
      <c r="BH3" s="5" t="inlineStr">
        <is>
          <t>PX_SETTLE</t>
        </is>
      </c>
      <c r="BI3" s="5" t="inlineStr">
        <is>
          <t>PX_VOLUME</t>
        </is>
      </c>
      <c r="BJ3" s="5" t="inlineStr">
        <is>
          <t>OPEN_INT</t>
        </is>
      </c>
      <c r="BL3" s="5" t="inlineStr">
        <is>
          <t>Date</t>
        </is>
      </c>
      <c r="BM3" s="5" t="inlineStr">
        <is>
          <t>PX_OPEN</t>
        </is>
      </c>
      <c r="BN3" s="5" t="inlineStr">
        <is>
          <t>PX_HIGH</t>
        </is>
      </c>
      <c r="BO3" s="5" t="inlineStr">
        <is>
          <t>PX_LOW</t>
        </is>
      </c>
      <c r="BP3" s="5" t="inlineStr">
        <is>
          <t>PX_LAST</t>
        </is>
      </c>
      <c r="BQ3" s="5" t="inlineStr">
        <is>
          <t>PX_SETTLE</t>
        </is>
      </c>
      <c r="BR3" s="5" t="inlineStr">
        <is>
          <t>PX_VOLUME</t>
        </is>
      </c>
      <c r="BS3" s="5" t="inlineStr">
        <is>
          <t>OPEN_INT</t>
        </is>
      </c>
      <c r="BU3" s="5" t="inlineStr">
        <is>
          <t>Date</t>
        </is>
      </c>
      <c r="BV3" s="5" t="inlineStr">
        <is>
          <t>PX_OPEN</t>
        </is>
      </c>
      <c r="BW3" s="5" t="inlineStr">
        <is>
          <t>PX_HIGH</t>
        </is>
      </c>
      <c r="BX3" s="5" t="inlineStr">
        <is>
          <t>PX_LOW</t>
        </is>
      </c>
      <c r="BY3" s="5" t="inlineStr">
        <is>
          <t>PX_LAST</t>
        </is>
      </c>
      <c r="BZ3" s="5" t="inlineStr">
        <is>
          <t>PX_SETTLE</t>
        </is>
      </c>
      <c r="CA3" s="5" t="inlineStr">
        <is>
          <t>PX_VOLUME</t>
        </is>
      </c>
      <c r="CB3" s="5" t="inlineStr">
        <is>
          <t>OPEN_INT</t>
        </is>
      </c>
      <c r="CD3" s="5" t="inlineStr">
        <is>
          <t>Date</t>
        </is>
      </c>
      <c r="CE3" s="5" t="inlineStr">
        <is>
          <t>PX_OPEN</t>
        </is>
      </c>
      <c r="CF3" s="5" t="inlineStr">
        <is>
          <t>PX_HIGH</t>
        </is>
      </c>
      <c r="CG3" s="5" t="inlineStr">
        <is>
          <t>PX_LOW</t>
        </is>
      </c>
      <c r="CH3" s="5" t="inlineStr">
        <is>
          <t>PX_LAST</t>
        </is>
      </c>
      <c r="CI3" s="5" t="inlineStr">
        <is>
          <t>PX_SETTLE</t>
        </is>
      </c>
      <c r="CJ3" s="5" t="inlineStr">
        <is>
          <t>PX_VOLUME</t>
        </is>
      </c>
      <c r="CK3" s="5" t="inlineStr">
        <is>
          <t>OPEN_INT</t>
        </is>
      </c>
      <c r="CM3" s="5" t="inlineStr">
        <is>
          <t>Date</t>
        </is>
      </c>
      <c r="CN3" s="5" t="inlineStr">
        <is>
          <t>PX_OPEN</t>
        </is>
      </c>
      <c r="CO3" s="5" t="inlineStr">
        <is>
          <t>PX_HIGH</t>
        </is>
      </c>
      <c r="CP3" s="5" t="inlineStr">
        <is>
          <t>PX_LOW</t>
        </is>
      </c>
      <c r="CQ3" s="5" t="inlineStr">
        <is>
          <t>PX_LAST</t>
        </is>
      </c>
      <c r="CR3" s="5" t="inlineStr">
        <is>
          <t>PX_SETTLE</t>
        </is>
      </c>
      <c r="CS3" s="5" t="inlineStr">
        <is>
          <t>PX_VOLUME</t>
        </is>
      </c>
      <c r="CT3" s="5" t="inlineStr">
        <is>
          <t>OPEN_INT</t>
        </is>
      </c>
      <c r="CV3" s="5" t="inlineStr">
        <is>
          <t>Date</t>
        </is>
      </c>
      <c r="CW3" s="5" t="inlineStr">
        <is>
          <t>PX_OPEN</t>
        </is>
      </c>
      <c r="CX3" s="5" t="inlineStr">
        <is>
          <t>PX_HIGH</t>
        </is>
      </c>
      <c r="CY3" s="5" t="inlineStr">
        <is>
          <t>PX_LOW</t>
        </is>
      </c>
      <c r="CZ3" s="5" t="inlineStr">
        <is>
          <t>PX_LAST</t>
        </is>
      </c>
      <c r="DA3" s="5" t="inlineStr">
        <is>
          <t>PX_SETTLE</t>
        </is>
      </c>
      <c r="DB3" s="5" t="inlineStr">
        <is>
          <t>PX_VOLUME</t>
        </is>
      </c>
      <c r="DC3" s="5" t="inlineStr">
        <is>
          <t>OPEN_INT</t>
        </is>
      </c>
    </row>
    <row r="4">
      <c r="A4" s="4">
        <f>BDH(A$1,B$3:H$3,Settings!$C$13,IF(Settings!$D$13="","",Settings!$D$13),"Dir=V","Dts=S","Sort=A","Days=T","Fill=B")</f>
        <v/>
      </c>
      <c r="J4" s="4">
        <f>BDH(J$1,K$3:Q$3,Settings!$C$13,IF(Settings!$D$13="","",Settings!$D$13),"Dir=V","Dts=S","Sort=A","Days=T","Fill=B")</f>
        <v/>
      </c>
      <c r="S4" s="4">
        <f>BDH(S$1,T$3:Z$3,Settings!$C$13,IF(Settings!$D$13="","",Settings!$D$13),"Dir=V","Dts=S","Sort=A","Days=T","Fill=B")</f>
        <v/>
      </c>
      <c r="AB4" s="4">
        <f>BDH(AB$1,AC$3:AI$3,Settings!$C$13,IF(Settings!$D$13="","",Settings!$D$13),"Dir=V","Dts=S","Sort=A","Days=T","Fill=B")</f>
        <v/>
      </c>
      <c r="AK4" s="4">
        <f>BDH(AK$1,AL$3:AR$3,Settings!$C$13,IF(Settings!$D$13="","",Settings!$D$13),"Dir=V","Dts=S","Sort=A","Days=T","Fill=B")</f>
        <v/>
      </c>
      <c r="AT4" s="4">
        <f>BDH(AT$1,AU$3:BA$3,Settings!$C$13,IF(Settings!$D$13="","",Settings!$D$13),"Dir=V","Dts=S","Sort=A","Days=T","Fill=B")</f>
        <v/>
      </c>
      <c r="BC4" s="4">
        <f>BDH(BC$1,BD$3:BJ$3,Settings!$C$13,IF(Settings!$D$13="","",Settings!$D$13),"Dir=V","Dts=S","Sort=A","Days=T","Fill=B")</f>
        <v/>
      </c>
      <c r="BL4" s="4">
        <f>BDH(BL$1,BM$3:BS$3,Settings!$C$13,IF(Settings!$D$13="","",Settings!$D$13),"Dir=V","Dts=S","Sort=A","Days=T","Fill=B")</f>
        <v/>
      </c>
      <c r="BU4" s="4">
        <f>BDH(BU$1,BV$3:CB$3,Settings!$C$13,IF(Settings!$D$13="","",Settings!$D$13),"Dir=V","Dts=S","Sort=A","Days=T","Fill=B")</f>
        <v/>
      </c>
      <c r="CD4" s="4">
        <f>BDH(CD$1,CE$3:CK$3,Settings!$C$13,IF(Settings!$D$13="","",Settings!$D$13),"Dir=V","Dts=S","Sort=A","Days=T","Fill=B")</f>
        <v/>
      </c>
      <c r="CM4" s="4">
        <f>BDH(CM$1,CN$3:CT$3,Settings!$C$13,IF(Settings!$D$13="","",Settings!$D$13),"Dir=V","Dts=S","Sort=A","Days=T","Fill=B")</f>
        <v/>
      </c>
      <c r="CV4" s="4">
        <f>BDH(CV$1,CW$3:DC$3,Settings!$C$13,IF(Settings!$D$13="","",Settings!$D$13),"Dir=V","Dts=S","Sort=A","Days=T","Fill=B")</f>
        <v/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VH10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2" customWidth="1" min="2" max="2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1" customWidth="1" min="15" max="15"/>
    <col width="11" customWidth="1" min="16" max="16"/>
    <col width="10" customWidth="1" min="17" max="17"/>
    <col width="11" customWidth="1" min="18" max="18"/>
    <col width="13" customWidth="1" min="19" max="19"/>
    <col width="12" customWidth="1" min="21" max="21"/>
    <col width="10" customWidth="1" min="22" max="22"/>
    <col width="10" customWidth="1" min="23" max="23"/>
    <col width="10" customWidth="1" min="24" max="24"/>
    <col width="10" customWidth="1" min="25" max="25"/>
    <col width="11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1" customWidth="1" min="32" max="32"/>
    <col width="11" customWidth="1" min="33" max="33"/>
    <col width="10" customWidth="1" min="34" max="34"/>
    <col width="11" customWidth="1" min="35" max="35"/>
    <col width="13" customWidth="1" min="36" max="36"/>
    <col width="12" customWidth="1" min="38" max="38"/>
    <col width="10" customWidth="1" min="39" max="39"/>
    <col width="10" customWidth="1" min="40" max="40"/>
    <col width="10" customWidth="1" min="41" max="41"/>
    <col width="10" customWidth="1" min="42" max="42"/>
    <col width="11" customWidth="1" min="43" max="43"/>
    <col width="11" customWidth="1" min="44" max="44"/>
    <col width="10" customWidth="1" min="45" max="45"/>
    <col width="10" customWidth="1" min="46" max="46"/>
    <col width="10" customWidth="1" min="47" max="47"/>
    <col width="10" customWidth="1" min="48" max="48"/>
    <col width="11" customWidth="1" min="49" max="49"/>
    <col width="11" customWidth="1" min="50" max="50"/>
    <col width="10" customWidth="1" min="51" max="51"/>
    <col width="11" customWidth="1" min="52" max="52"/>
    <col width="13" customWidth="1" min="53" max="53"/>
    <col width="12" customWidth="1" min="55" max="55"/>
    <col width="10" customWidth="1" min="56" max="56"/>
    <col width="10" customWidth="1" min="57" max="57"/>
    <col width="10" customWidth="1" min="58" max="58"/>
    <col width="10" customWidth="1" min="59" max="59"/>
    <col width="11" customWidth="1" min="60" max="60"/>
    <col width="11" customWidth="1" min="61" max="61"/>
    <col width="10" customWidth="1" min="62" max="62"/>
    <col width="10" customWidth="1" min="63" max="63"/>
    <col width="10" customWidth="1" min="64" max="64"/>
    <col width="10" customWidth="1" min="65" max="65"/>
    <col width="11" customWidth="1" min="66" max="66"/>
    <col width="11" customWidth="1" min="67" max="67"/>
    <col width="10" customWidth="1" min="68" max="68"/>
    <col width="11" customWidth="1" min="69" max="69"/>
    <col width="13" customWidth="1" min="70" max="70"/>
    <col width="12" customWidth="1" min="72" max="72"/>
    <col width="10" customWidth="1" min="73" max="73"/>
    <col width="10" customWidth="1" min="74" max="74"/>
    <col width="10" customWidth="1" min="75" max="75"/>
    <col width="10" customWidth="1" min="76" max="76"/>
    <col width="11" customWidth="1" min="77" max="77"/>
    <col width="11" customWidth="1" min="78" max="78"/>
    <col width="10" customWidth="1" min="79" max="79"/>
    <col width="10" customWidth="1" min="80" max="80"/>
    <col width="10" customWidth="1" min="81" max="81"/>
    <col width="10" customWidth="1" min="82" max="82"/>
    <col width="11" customWidth="1" min="83" max="83"/>
    <col width="11" customWidth="1" min="84" max="84"/>
    <col width="10" customWidth="1" min="85" max="85"/>
    <col width="11" customWidth="1" min="86" max="86"/>
    <col width="13" customWidth="1" min="87" max="87"/>
    <col width="12" customWidth="1" min="89" max="89"/>
    <col width="10" customWidth="1" min="90" max="90"/>
    <col width="10" customWidth="1" min="91" max="91"/>
    <col width="10" customWidth="1" min="92" max="92"/>
    <col width="10" customWidth="1" min="93" max="93"/>
    <col width="11" customWidth="1" min="94" max="94"/>
    <col width="11" customWidth="1" min="95" max="95"/>
    <col width="10" customWidth="1" min="96" max="96"/>
    <col width="10" customWidth="1" min="97" max="97"/>
    <col width="10" customWidth="1" min="98" max="98"/>
    <col width="10" customWidth="1" min="99" max="99"/>
    <col width="11" customWidth="1" min="100" max="100"/>
    <col width="11" customWidth="1" min="101" max="101"/>
    <col width="10" customWidth="1" min="102" max="102"/>
    <col width="11" customWidth="1" min="103" max="103"/>
    <col width="13" customWidth="1" min="104" max="104"/>
    <col width="12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1" customWidth="1" min="111" max="111"/>
    <col width="11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1" customWidth="1" min="117" max="117"/>
    <col width="11" customWidth="1" min="118" max="118"/>
    <col width="10" customWidth="1" min="119" max="119"/>
    <col width="11" customWidth="1" min="120" max="120"/>
    <col width="13" customWidth="1" min="121" max="121"/>
    <col width="12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1" customWidth="1" min="128" max="128"/>
    <col width="11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1" customWidth="1" min="134" max="134"/>
    <col width="11" customWidth="1" min="135" max="135"/>
    <col width="10" customWidth="1" min="136" max="136"/>
    <col width="11" customWidth="1" min="137" max="137"/>
    <col width="13" customWidth="1" min="138" max="138"/>
    <col width="12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1" customWidth="1" min="145" max="145"/>
    <col width="11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1" customWidth="1" min="151" max="151"/>
    <col width="11" customWidth="1" min="152" max="152"/>
    <col width="10" customWidth="1" min="153" max="153"/>
    <col width="11" customWidth="1" min="154" max="154"/>
    <col width="13" customWidth="1" min="155" max="155"/>
    <col width="12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1" customWidth="1" min="162" max="162"/>
    <col width="11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1" customWidth="1" min="168" max="168"/>
    <col width="11" customWidth="1" min="169" max="169"/>
    <col width="10" customWidth="1" min="170" max="170"/>
    <col width="11" customWidth="1" min="171" max="171"/>
    <col width="13" customWidth="1" min="172" max="172"/>
    <col width="12" customWidth="1" min="174" max="174"/>
    <col width="10" customWidth="1" min="175" max="175"/>
    <col width="10" customWidth="1" min="176" max="176"/>
    <col width="10" customWidth="1" min="177" max="177"/>
    <col width="10" customWidth="1" min="178" max="178"/>
    <col width="11" customWidth="1" min="179" max="179"/>
    <col width="11" customWidth="1" min="180" max="180"/>
    <col width="10" customWidth="1" min="181" max="181"/>
    <col width="10" customWidth="1" min="182" max="182"/>
    <col width="10" customWidth="1" min="183" max="183"/>
    <col width="10" customWidth="1" min="184" max="184"/>
    <col width="11" customWidth="1" min="185" max="185"/>
    <col width="11" customWidth="1" min="186" max="186"/>
    <col width="10" customWidth="1" min="187" max="187"/>
    <col width="11" customWidth="1" min="188" max="188"/>
    <col width="13" customWidth="1" min="189" max="189"/>
    <col width="12" customWidth="1" min="191" max="191"/>
    <col width="10" customWidth="1" min="192" max="192"/>
    <col width="10" customWidth="1" min="193" max="193"/>
    <col width="10" customWidth="1" min="194" max="194"/>
    <col width="10" customWidth="1" min="195" max="195"/>
    <col width="11" customWidth="1" min="196" max="196"/>
    <col width="11" customWidth="1" min="197" max="197"/>
    <col width="10" customWidth="1" min="198" max="198"/>
    <col width="10" customWidth="1" min="199" max="199"/>
    <col width="10" customWidth="1" min="200" max="200"/>
    <col width="10" customWidth="1" min="201" max="201"/>
    <col width="11" customWidth="1" min="202" max="202"/>
    <col width="11" customWidth="1" min="203" max="203"/>
    <col width="10" customWidth="1" min="204" max="204"/>
    <col width="11" customWidth="1" min="205" max="205"/>
    <col width="13" customWidth="1" min="206" max="206"/>
    <col width="12" customWidth="1" min="208" max="208"/>
    <col width="10" customWidth="1" min="209" max="209"/>
    <col width="10" customWidth="1" min="210" max="210"/>
    <col width="10" customWidth="1" min="211" max="211"/>
    <col width="10" customWidth="1" min="212" max="212"/>
    <col width="11" customWidth="1" min="213" max="213"/>
    <col width="11" customWidth="1" min="214" max="214"/>
    <col width="10" customWidth="1" min="215" max="215"/>
    <col width="10" customWidth="1" min="216" max="216"/>
    <col width="10" customWidth="1" min="217" max="217"/>
    <col width="10" customWidth="1" min="218" max="218"/>
    <col width="11" customWidth="1" min="219" max="219"/>
    <col width="11" customWidth="1" min="220" max="220"/>
    <col width="10" customWidth="1" min="221" max="221"/>
    <col width="11" customWidth="1" min="222" max="222"/>
    <col width="13" customWidth="1" min="223" max="223"/>
    <col width="12" customWidth="1" min="225" max="225"/>
    <col width="10" customWidth="1" min="226" max="226"/>
    <col width="10" customWidth="1" min="227" max="227"/>
    <col width="10" customWidth="1" min="228" max="228"/>
    <col width="10" customWidth="1" min="229" max="229"/>
    <col width="11" customWidth="1" min="230" max="230"/>
    <col width="11" customWidth="1" min="231" max="231"/>
    <col width="10" customWidth="1" min="232" max="232"/>
    <col width="10" customWidth="1" min="233" max="233"/>
    <col width="10" customWidth="1" min="234" max="234"/>
    <col width="10" customWidth="1" min="235" max="235"/>
    <col width="11" customWidth="1" min="236" max="236"/>
    <col width="11" customWidth="1" min="237" max="237"/>
    <col width="10" customWidth="1" min="238" max="238"/>
    <col width="11" customWidth="1" min="239" max="239"/>
    <col width="13" customWidth="1" min="240" max="240"/>
    <col width="12" customWidth="1" min="242" max="242"/>
    <col width="10" customWidth="1" min="243" max="243"/>
    <col width="10" customWidth="1" min="244" max="244"/>
    <col width="10" customWidth="1" min="245" max="245"/>
    <col width="10" customWidth="1" min="246" max="246"/>
    <col width="11" customWidth="1" min="247" max="247"/>
    <col width="11" customWidth="1" min="248" max="248"/>
    <col width="10" customWidth="1" min="249" max="249"/>
    <col width="10" customWidth="1" min="250" max="250"/>
    <col width="10" customWidth="1" min="251" max="251"/>
    <col width="10" customWidth="1" min="252" max="252"/>
    <col width="11" customWidth="1" min="253" max="253"/>
    <col width="11" customWidth="1" min="254" max="254"/>
    <col width="10" customWidth="1" min="255" max="255"/>
    <col width="11" customWidth="1" min="256" max="256"/>
    <col width="13" customWidth="1" min="257" max="257"/>
    <col width="12" customWidth="1" min="259" max="259"/>
    <col width="10" customWidth="1" min="260" max="260"/>
    <col width="10" customWidth="1" min="261" max="261"/>
    <col width="10" customWidth="1" min="262" max="262"/>
    <col width="10" customWidth="1" min="263" max="263"/>
    <col width="11" customWidth="1" min="264" max="264"/>
    <col width="11" customWidth="1" min="265" max="265"/>
    <col width="10" customWidth="1" min="266" max="266"/>
    <col width="10" customWidth="1" min="267" max="267"/>
    <col width="10" customWidth="1" min="268" max="268"/>
    <col width="10" customWidth="1" min="269" max="269"/>
    <col width="11" customWidth="1" min="270" max="270"/>
    <col width="11" customWidth="1" min="271" max="271"/>
    <col width="10" customWidth="1" min="272" max="272"/>
    <col width="11" customWidth="1" min="273" max="273"/>
    <col width="13" customWidth="1" min="274" max="274"/>
    <col width="12" customWidth="1" min="276" max="276"/>
    <col width="10" customWidth="1" min="277" max="277"/>
    <col width="10" customWidth="1" min="278" max="278"/>
    <col width="10" customWidth="1" min="279" max="279"/>
    <col width="10" customWidth="1" min="280" max="280"/>
    <col width="11" customWidth="1" min="281" max="281"/>
    <col width="11" customWidth="1" min="282" max="282"/>
    <col width="10" customWidth="1" min="283" max="283"/>
    <col width="10" customWidth="1" min="284" max="284"/>
    <col width="10" customWidth="1" min="285" max="285"/>
    <col width="10" customWidth="1" min="286" max="286"/>
    <col width="11" customWidth="1" min="287" max="287"/>
    <col width="11" customWidth="1" min="288" max="288"/>
    <col width="10" customWidth="1" min="289" max="289"/>
    <col width="11" customWidth="1" min="290" max="290"/>
    <col width="13" customWidth="1" min="291" max="291"/>
    <col width="12" customWidth="1" min="293" max="293"/>
    <col width="10" customWidth="1" min="294" max="294"/>
    <col width="10" customWidth="1" min="295" max="295"/>
    <col width="10" customWidth="1" min="296" max="296"/>
    <col width="10" customWidth="1" min="297" max="297"/>
    <col width="11" customWidth="1" min="298" max="298"/>
    <col width="11" customWidth="1" min="299" max="299"/>
    <col width="10" customWidth="1" min="300" max="300"/>
    <col width="10" customWidth="1" min="301" max="301"/>
    <col width="10" customWidth="1" min="302" max="302"/>
    <col width="10" customWidth="1" min="303" max="303"/>
    <col width="11" customWidth="1" min="304" max="304"/>
    <col width="11" customWidth="1" min="305" max="305"/>
    <col width="10" customWidth="1" min="306" max="306"/>
    <col width="11" customWidth="1" min="307" max="307"/>
    <col width="13" customWidth="1" min="308" max="308"/>
    <col width="12" customWidth="1" min="310" max="310"/>
    <col width="10" customWidth="1" min="311" max="311"/>
    <col width="10" customWidth="1" min="312" max="312"/>
    <col width="10" customWidth="1" min="313" max="313"/>
    <col width="10" customWidth="1" min="314" max="314"/>
    <col width="11" customWidth="1" min="315" max="315"/>
    <col width="11" customWidth="1" min="316" max="316"/>
    <col width="10" customWidth="1" min="317" max="317"/>
    <col width="10" customWidth="1" min="318" max="318"/>
    <col width="10" customWidth="1" min="319" max="319"/>
    <col width="10" customWidth="1" min="320" max="320"/>
    <col width="11" customWidth="1" min="321" max="321"/>
    <col width="11" customWidth="1" min="322" max="322"/>
    <col width="10" customWidth="1" min="323" max="323"/>
    <col width="11" customWidth="1" min="324" max="324"/>
    <col width="13" customWidth="1" min="325" max="325"/>
    <col width="12" customWidth="1" min="327" max="327"/>
    <col width="10" customWidth="1" min="328" max="328"/>
    <col width="10" customWidth="1" min="329" max="329"/>
    <col width="10" customWidth="1" min="330" max="330"/>
    <col width="10" customWidth="1" min="331" max="331"/>
    <col width="11" customWidth="1" min="332" max="332"/>
    <col width="11" customWidth="1" min="333" max="333"/>
    <col width="10" customWidth="1" min="334" max="334"/>
    <col width="10" customWidth="1" min="335" max="335"/>
    <col width="10" customWidth="1" min="336" max="336"/>
    <col width="10" customWidth="1" min="337" max="337"/>
    <col width="11" customWidth="1" min="338" max="338"/>
    <col width="11" customWidth="1" min="339" max="339"/>
    <col width="10" customWidth="1" min="340" max="340"/>
    <col width="11" customWidth="1" min="341" max="341"/>
    <col width="13" customWidth="1" min="342" max="342"/>
    <col width="12" customWidth="1" min="344" max="344"/>
    <col width="10" customWidth="1" min="345" max="345"/>
    <col width="10" customWidth="1" min="346" max="346"/>
    <col width="10" customWidth="1" min="347" max="347"/>
    <col width="10" customWidth="1" min="348" max="348"/>
    <col width="11" customWidth="1" min="349" max="349"/>
    <col width="11" customWidth="1" min="350" max="350"/>
    <col width="10" customWidth="1" min="351" max="351"/>
    <col width="10" customWidth="1" min="352" max="352"/>
    <col width="10" customWidth="1" min="353" max="353"/>
    <col width="10" customWidth="1" min="354" max="354"/>
    <col width="11" customWidth="1" min="355" max="355"/>
    <col width="11" customWidth="1" min="356" max="356"/>
    <col width="10" customWidth="1" min="357" max="357"/>
    <col width="11" customWidth="1" min="358" max="358"/>
    <col width="13" customWidth="1" min="359" max="359"/>
    <col width="12" customWidth="1" min="361" max="361"/>
    <col width="10" customWidth="1" min="362" max="362"/>
    <col width="10" customWidth="1" min="363" max="363"/>
    <col width="10" customWidth="1" min="364" max="364"/>
    <col width="10" customWidth="1" min="365" max="365"/>
    <col width="11" customWidth="1" min="366" max="366"/>
    <col width="11" customWidth="1" min="367" max="367"/>
    <col width="10" customWidth="1" min="368" max="368"/>
    <col width="10" customWidth="1" min="369" max="369"/>
    <col width="10" customWidth="1" min="370" max="370"/>
    <col width="10" customWidth="1" min="371" max="371"/>
    <col width="11" customWidth="1" min="372" max="372"/>
    <col width="11" customWidth="1" min="373" max="373"/>
    <col width="10" customWidth="1" min="374" max="374"/>
    <col width="11" customWidth="1" min="375" max="375"/>
    <col width="13" customWidth="1" min="376" max="376"/>
    <col width="12" customWidth="1" min="378" max="378"/>
    <col width="10" customWidth="1" min="379" max="379"/>
    <col width="10" customWidth="1" min="380" max="380"/>
    <col width="10" customWidth="1" min="381" max="381"/>
    <col width="10" customWidth="1" min="382" max="382"/>
    <col width="11" customWidth="1" min="383" max="383"/>
    <col width="11" customWidth="1" min="384" max="384"/>
    <col width="10" customWidth="1" min="385" max="385"/>
    <col width="10" customWidth="1" min="386" max="386"/>
    <col width="10" customWidth="1" min="387" max="387"/>
    <col width="10" customWidth="1" min="388" max="388"/>
    <col width="11" customWidth="1" min="389" max="389"/>
    <col width="11" customWidth="1" min="390" max="390"/>
    <col width="10" customWidth="1" min="391" max="391"/>
    <col width="11" customWidth="1" min="392" max="392"/>
    <col width="13" customWidth="1" min="393" max="393"/>
    <col width="12" customWidth="1" min="395" max="395"/>
    <col width="10" customWidth="1" min="396" max="396"/>
    <col width="10" customWidth="1" min="397" max="397"/>
    <col width="10" customWidth="1" min="398" max="398"/>
    <col width="10" customWidth="1" min="399" max="399"/>
    <col width="11" customWidth="1" min="400" max="400"/>
    <col width="11" customWidth="1" min="401" max="401"/>
    <col width="10" customWidth="1" min="402" max="402"/>
    <col width="10" customWidth="1" min="403" max="403"/>
    <col width="10" customWidth="1" min="404" max="404"/>
    <col width="10" customWidth="1" min="405" max="405"/>
    <col width="11" customWidth="1" min="406" max="406"/>
    <col width="11" customWidth="1" min="407" max="407"/>
    <col width="10" customWidth="1" min="408" max="408"/>
    <col width="11" customWidth="1" min="409" max="409"/>
    <col width="13" customWidth="1" min="410" max="410"/>
    <col width="12" customWidth="1" min="412" max="412"/>
    <col width="10" customWidth="1" min="413" max="413"/>
    <col width="10" customWidth="1" min="414" max="414"/>
    <col width="10" customWidth="1" min="415" max="415"/>
    <col width="10" customWidth="1" min="416" max="416"/>
    <col width="11" customWidth="1" min="417" max="417"/>
    <col width="11" customWidth="1" min="418" max="418"/>
    <col width="10" customWidth="1" min="419" max="419"/>
    <col width="10" customWidth="1" min="420" max="420"/>
    <col width="10" customWidth="1" min="421" max="421"/>
    <col width="10" customWidth="1" min="422" max="422"/>
    <col width="11" customWidth="1" min="423" max="423"/>
    <col width="11" customWidth="1" min="424" max="424"/>
    <col width="10" customWidth="1" min="425" max="425"/>
    <col width="11" customWidth="1" min="426" max="426"/>
    <col width="13" customWidth="1" min="427" max="427"/>
    <col width="12" customWidth="1" min="429" max="429"/>
    <col width="10" customWidth="1" min="430" max="430"/>
    <col width="10" customWidth="1" min="431" max="431"/>
    <col width="10" customWidth="1" min="432" max="432"/>
    <col width="10" customWidth="1" min="433" max="433"/>
    <col width="11" customWidth="1" min="434" max="434"/>
    <col width="11" customWidth="1" min="435" max="435"/>
    <col width="10" customWidth="1" min="436" max="436"/>
    <col width="10" customWidth="1" min="437" max="437"/>
    <col width="10" customWidth="1" min="438" max="438"/>
    <col width="10" customWidth="1" min="439" max="439"/>
    <col width="11" customWidth="1" min="440" max="440"/>
    <col width="11" customWidth="1" min="441" max="441"/>
    <col width="10" customWidth="1" min="442" max="442"/>
    <col width="11" customWidth="1" min="443" max="443"/>
    <col width="13" customWidth="1" min="444" max="444"/>
    <col width="12" customWidth="1" min="446" max="446"/>
    <col width="10" customWidth="1" min="447" max="447"/>
    <col width="10" customWidth="1" min="448" max="448"/>
    <col width="10" customWidth="1" min="449" max="449"/>
    <col width="10" customWidth="1" min="450" max="450"/>
    <col width="11" customWidth="1" min="451" max="451"/>
    <col width="11" customWidth="1" min="452" max="452"/>
    <col width="10" customWidth="1" min="453" max="453"/>
    <col width="10" customWidth="1" min="454" max="454"/>
    <col width="10" customWidth="1" min="455" max="455"/>
    <col width="10" customWidth="1" min="456" max="456"/>
    <col width="11" customWidth="1" min="457" max="457"/>
    <col width="11" customWidth="1" min="458" max="458"/>
    <col width="10" customWidth="1" min="459" max="459"/>
    <col width="11" customWidth="1" min="460" max="460"/>
    <col width="13" customWidth="1" min="461" max="461"/>
    <col width="12" customWidth="1" min="463" max="463"/>
    <col width="10" customWidth="1" min="464" max="464"/>
    <col width="10" customWidth="1" min="465" max="465"/>
    <col width="10" customWidth="1" min="466" max="466"/>
    <col width="10" customWidth="1" min="467" max="467"/>
    <col width="11" customWidth="1" min="468" max="468"/>
    <col width="11" customWidth="1" min="469" max="469"/>
    <col width="10" customWidth="1" min="470" max="470"/>
    <col width="10" customWidth="1" min="471" max="471"/>
    <col width="10" customWidth="1" min="472" max="472"/>
    <col width="10" customWidth="1" min="473" max="473"/>
    <col width="11" customWidth="1" min="474" max="474"/>
    <col width="11" customWidth="1" min="475" max="475"/>
    <col width="10" customWidth="1" min="476" max="476"/>
    <col width="11" customWidth="1" min="477" max="477"/>
    <col width="13" customWidth="1" min="478" max="478"/>
    <col width="12" customWidth="1" min="480" max="480"/>
    <col width="10" customWidth="1" min="481" max="481"/>
    <col width="10" customWidth="1" min="482" max="482"/>
    <col width="10" customWidth="1" min="483" max="483"/>
    <col width="10" customWidth="1" min="484" max="484"/>
    <col width="11" customWidth="1" min="485" max="485"/>
    <col width="11" customWidth="1" min="486" max="486"/>
    <col width="10" customWidth="1" min="487" max="487"/>
    <col width="10" customWidth="1" min="488" max="488"/>
    <col width="10" customWidth="1" min="489" max="489"/>
    <col width="10" customWidth="1" min="490" max="490"/>
    <col width="11" customWidth="1" min="491" max="491"/>
    <col width="11" customWidth="1" min="492" max="492"/>
    <col width="10" customWidth="1" min="493" max="493"/>
    <col width="11" customWidth="1" min="494" max="494"/>
    <col width="13" customWidth="1" min="495" max="495"/>
    <col width="12" customWidth="1" min="497" max="497"/>
    <col width="10" customWidth="1" min="498" max="498"/>
    <col width="10" customWidth="1" min="499" max="499"/>
    <col width="10" customWidth="1" min="500" max="500"/>
    <col width="10" customWidth="1" min="501" max="501"/>
    <col width="11" customWidth="1" min="502" max="502"/>
    <col width="11" customWidth="1" min="503" max="503"/>
    <col width="10" customWidth="1" min="504" max="504"/>
    <col width="10" customWidth="1" min="505" max="505"/>
    <col width="10" customWidth="1" min="506" max="506"/>
    <col width="10" customWidth="1" min="507" max="507"/>
    <col width="11" customWidth="1" min="508" max="508"/>
    <col width="11" customWidth="1" min="509" max="509"/>
    <col width="10" customWidth="1" min="510" max="510"/>
    <col width="11" customWidth="1" min="511" max="511"/>
    <col width="13" customWidth="1" min="512" max="512"/>
    <col width="12" customWidth="1" min="514" max="514"/>
    <col width="10" customWidth="1" min="515" max="515"/>
    <col width="10" customWidth="1" min="516" max="516"/>
    <col width="10" customWidth="1" min="517" max="517"/>
    <col width="10" customWidth="1" min="518" max="518"/>
    <col width="11" customWidth="1" min="519" max="519"/>
    <col width="11" customWidth="1" min="520" max="520"/>
    <col width="10" customWidth="1" min="521" max="521"/>
    <col width="10" customWidth="1" min="522" max="522"/>
    <col width="10" customWidth="1" min="523" max="523"/>
    <col width="10" customWidth="1" min="524" max="524"/>
    <col width="11" customWidth="1" min="525" max="525"/>
    <col width="11" customWidth="1" min="526" max="526"/>
    <col width="10" customWidth="1" min="527" max="527"/>
    <col width="11" customWidth="1" min="528" max="528"/>
    <col width="13" customWidth="1" min="529" max="529"/>
    <col width="12" customWidth="1" min="531" max="531"/>
    <col width="10" customWidth="1" min="532" max="532"/>
    <col width="10" customWidth="1" min="533" max="533"/>
    <col width="10" customWidth="1" min="534" max="534"/>
    <col width="10" customWidth="1" min="535" max="535"/>
    <col width="11" customWidth="1" min="536" max="536"/>
    <col width="11" customWidth="1" min="537" max="537"/>
    <col width="10" customWidth="1" min="538" max="538"/>
    <col width="10" customWidth="1" min="539" max="539"/>
    <col width="10" customWidth="1" min="540" max="540"/>
    <col width="10" customWidth="1" min="541" max="541"/>
    <col width="11" customWidth="1" min="542" max="542"/>
    <col width="11" customWidth="1" min="543" max="543"/>
    <col width="10" customWidth="1" min="544" max="544"/>
    <col width="11" customWidth="1" min="545" max="545"/>
    <col width="13" customWidth="1" min="546" max="546"/>
    <col width="12" customWidth="1" min="548" max="548"/>
    <col width="10" customWidth="1" min="549" max="549"/>
    <col width="10" customWidth="1" min="550" max="550"/>
    <col width="10" customWidth="1" min="551" max="551"/>
    <col width="10" customWidth="1" min="552" max="552"/>
    <col width="11" customWidth="1" min="553" max="553"/>
    <col width="11" customWidth="1" min="554" max="554"/>
    <col width="10" customWidth="1" min="555" max="555"/>
    <col width="10" customWidth="1" min="556" max="556"/>
    <col width="10" customWidth="1" min="557" max="557"/>
    <col width="10" customWidth="1" min="558" max="558"/>
    <col width="11" customWidth="1" min="559" max="559"/>
    <col width="11" customWidth="1" min="560" max="560"/>
    <col width="10" customWidth="1" min="561" max="561"/>
    <col width="11" customWidth="1" min="562" max="562"/>
    <col width="13" customWidth="1" min="563" max="563"/>
    <col width="12" customWidth="1" min="565" max="565"/>
    <col width="10" customWidth="1" min="566" max="566"/>
    <col width="10" customWidth="1" min="567" max="567"/>
    <col width="10" customWidth="1" min="568" max="568"/>
    <col width="10" customWidth="1" min="569" max="569"/>
    <col width="11" customWidth="1" min="570" max="570"/>
    <col width="11" customWidth="1" min="571" max="571"/>
    <col width="10" customWidth="1" min="572" max="572"/>
    <col width="10" customWidth="1" min="573" max="573"/>
    <col width="10" customWidth="1" min="574" max="574"/>
    <col width="10" customWidth="1" min="575" max="575"/>
    <col width="11" customWidth="1" min="576" max="576"/>
    <col width="11" customWidth="1" min="577" max="577"/>
    <col width="10" customWidth="1" min="578" max="578"/>
    <col width="11" customWidth="1" min="579" max="579"/>
    <col width="13" customWidth="1" min="580" max="580"/>
  </cols>
  <sheetData>
    <row r="1">
      <c r="A1" s="2" t="inlineStr">
        <is>
          <t>Contract month</t>
        </is>
      </c>
      <c r="B1" s="9" t="n">
        <v>1</v>
      </c>
      <c r="D1" s="2">
        <f>IF(ISNUMBER(B$8),"CL"&amp;MID("FGHJKMNQUVXZ",B$1,1)&amp;B$4&amp;"C "&amp;IF(Settings!$F$14=2,TEXT((B$8-8),"0.00"),(B$8-8))&amp;" Comdty","")</f>
        <v/>
      </c>
      <c r="U1" s="2">
        <f>IF(ISNUMBER(B$8),"CL"&amp;MID("FGHJKMNQUVXZ",B$1,1)&amp;B$4&amp;"P "&amp;IF(Settings!$F$14=2,TEXT((B$8-8),"0.00"),(B$8-8))&amp;" Comdty","")</f>
        <v/>
      </c>
      <c r="AL1" s="2">
        <f>IF(ISNUMBER(B$8),"CL"&amp;MID("FGHJKMNQUVXZ",B$1,1)&amp;B$4&amp;"C "&amp;IF(Settings!$F$14=2,TEXT((B$8-7),"0.00"),(B$8-7))&amp;" Comdty","")</f>
        <v/>
      </c>
      <c r="BC1" s="2">
        <f>IF(ISNUMBER(B$8),"CL"&amp;MID("FGHJKMNQUVXZ",B$1,1)&amp;B$4&amp;"P "&amp;IF(Settings!$F$14=2,TEXT((B$8-7),"0.00"),(B$8-7))&amp;" Comdty","")</f>
        <v/>
      </c>
      <c r="BT1" s="2">
        <f>IF(ISNUMBER(B$8),"CL"&amp;MID("FGHJKMNQUVXZ",B$1,1)&amp;B$4&amp;"C "&amp;IF(Settings!$F$14=2,TEXT((B$8-6),"0.00"),(B$8-6))&amp;" Comdty","")</f>
        <v/>
      </c>
      <c r="CK1" s="2">
        <f>IF(ISNUMBER(B$8),"CL"&amp;MID("FGHJKMNQUVXZ",B$1,1)&amp;B$4&amp;"P "&amp;IF(Settings!$F$14=2,TEXT((B$8-6),"0.00"),(B$8-6))&amp;" Comdty","")</f>
        <v/>
      </c>
      <c r="DB1" s="2">
        <f>IF(ISNUMBER(B$8),"CL"&amp;MID("FGHJKMNQUVXZ",B$1,1)&amp;B$4&amp;"C "&amp;IF(Settings!$F$14=2,TEXT((B$8-5),"0.00"),(B$8-5))&amp;" Comdty","")</f>
        <v/>
      </c>
      <c r="DS1" s="2">
        <f>IF(ISNUMBER(B$8),"CL"&amp;MID("FGHJKMNQUVXZ",B$1,1)&amp;B$4&amp;"P "&amp;IF(Settings!$F$14=2,TEXT((B$8-5),"0.00"),(B$8-5))&amp;" Comdty","")</f>
        <v/>
      </c>
      <c r="EJ1" s="2">
        <f>IF(ISNUMBER(B$8),"CL"&amp;MID("FGHJKMNQUVXZ",B$1,1)&amp;B$4&amp;"C "&amp;IF(Settings!$F$14=2,TEXT((B$8-4),"0.00"),(B$8-4))&amp;" Comdty","")</f>
        <v/>
      </c>
      <c r="FA1" s="2">
        <f>IF(ISNUMBER(B$8),"CL"&amp;MID("FGHJKMNQUVXZ",B$1,1)&amp;B$4&amp;"P "&amp;IF(Settings!$F$14=2,TEXT((B$8-4),"0.00"),(B$8-4))&amp;" Comdty","")</f>
        <v/>
      </c>
      <c r="FR1" s="2">
        <f>IF(ISNUMBER(B$8),"CL"&amp;MID("FGHJKMNQUVXZ",B$1,1)&amp;B$4&amp;"C "&amp;IF(Settings!$F$14=2,TEXT((B$8-3),"0.00"),(B$8-3))&amp;" Comdty","")</f>
        <v/>
      </c>
      <c r="GI1" s="2">
        <f>IF(ISNUMBER(B$8),"CL"&amp;MID("FGHJKMNQUVXZ",B$1,1)&amp;B$4&amp;"P "&amp;IF(Settings!$F$14=2,TEXT((B$8-3),"0.00"),(B$8-3))&amp;" Comdty","")</f>
        <v/>
      </c>
      <c r="GZ1" s="2">
        <f>IF(ISNUMBER(B$8),"CL"&amp;MID("FGHJKMNQUVXZ",B$1,1)&amp;B$4&amp;"C "&amp;IF(Settings!$F$14=2,TEXT((B$8-2),"0.00"),(B$8-2))&amp;" Comdty","")</f>
        <v/>
      </c>
      <c r="HQ1" s="2">
        <f>IF(ISNUMBER(B$8),"CL"&amp;MID("FGHJKMNQUVXZ",B$1,1)&amp;B$4&amp;"P "&amp;IF(Settings!$F$14=2,TEXT((B$8-2),"0.00"),(B$8-2))&amp;" Comdty","")</f>
        <v/>
      </c>
      <c r="IH1" s="2">
        <f>IF(ISNUMBER(B$8),"CL"&amp;MID("FGHJKMNQUVXZ",B$1,1)&amp;B$4&amp;"C "&amp;IF(Settings!$F$14=2,TEXT((B$8-1),"0.00"),(B$8-1))&amp;" Comdty","")</f>
        <v/>
      </c>
      <c r="IY1" s="2">
        <f>IF(ISNUMBER(B$8),"CL"&amp;MID("FGHJKMNQUVXZ",B$1,1)&amp;B$4&amp;"P "&amp;IF(Settings!$F$14=2,TEXT((B$8-1),"0.00"),(B$8-1))&amp;" Comdty","")</f>
        <v/>
      </c>
      <c r="JP1" s="2">
        <f>IF(ISNUMBER(B$8),"CL"&amp;MID("FGHJKMNQUVXZ",B$1,1)&amp;B$4&amp;"C "&amp;IF(Settings!$F$14=2,TEXT(B$8,"0.00"),B$8)&amp;" Comdty","")</f>
        <v/>
      </c>
      <c r="KG1" s="2">
        <f>IF(ISNUMBER(B$8),"CL"&amp;MID("FGHJKMNQUVXZ",B$1,1)&amp;B$4&amp;"P "&amp;IF(Settings!$F$14=2,TEXT(B$8,"0.00"),B$8)&amp;" Comdty","")</f>
        <v/>
      </c>
      <c r="KX1" s="2">
        <f>IF(ISNUMBER(B$8),"CL"&amp;MID("FGHJKMNQUVXZ",B$1,1)&amp;B$4&amp;"C "&amp;IF(Settings!$F$14=2,TEXT((B$8+1),"0.00"),(B$8+1))&amp;" Comdty","")</f>
        <v/>
      </c>
      <c r="LO1" s="2">
        <f>IF(ISNUMBER(B$8),"CL"&amp;MID("FGHJKMNQUVXZ",B$1,1)&amp;B$4&amp;"P "&amp;IF(Settings!$F$14=2,TEXT((B$8+1),"0.00"),(B$8+1))&amp;" Comdty","")</f>
        <v/>
      </c>
      <c r="MF1" s="2">
        <f>IF(ISNUMBER(B$8),"CL"&amp;MID("FGHJKMNQUVXZ",B$1,1)&amp;B$4&amp;"C "&amp;IF(Settings!$F$14=2,TEXT((B$8+2),"0.00"),(B$8+2))&amp;" Comdty","")</f>
        <v/>
      </c>
      <c r="MW1" s="2">
        <f>IF(ISNUMBER(B$8),"CL"&amp;MID("FGHJKMNQUVXZ",B$1,1)&amp;B$4&amp;"P "&amp;IF(Settings!$F$14=2,TEXT((B$8+2),"0.00"),(B$8+2))&amp;" Comdty","")</f>
        <v/>
      </c>
      <c r="NN1" s="2">
        <f>IF(ISNUMBER(B$8),"CL"&amp;MID("FGHJKMNQUVXZ",B$1,1)&amp;B$4&amp;"C "&amp;IF(Settings!$F$14=2,TEXT((B$8+3),"0.00"),(B$8+3))&amp;" Comdty","")</f>
        <v/>
      </c>
      <c r="OE1" s="2">
        <f>IF(ISNUMBER(B$8),"CL"&amp;MID("FGHJKMNQUVXZ",B$1,1)&amp;B$4&amp;"P "&amp;IF(Settings!$F$14=2,TEXT((B$8+3),"0.00"),(B$8+3))&amp;" Comdty","")</f>
        <v/>
      </c>
      <c r="OV1" s="2">
        <f>IF(ISNUMBER(B$8),"CL"&amp;MID("FGHJKMNQUVXZ",B$1,1)&amp;B$4&amp;"C "&amp;IF(Settings!$F$14=2,TEXT((B$8+4),"0.00"),(B$8+4))&amp;" Comdty","")</f>
        <v/>
      </c>
      <c r="PM1" s="2">
        <f>IF(ISNUMBER(B$8),"CL"&amp;MID("FGHJKMNQUVXZ",B$1,1)&amp;B$4&amp;"P "&amp;IF(Settings!$F$14=2,TEXT((B$8+4),"0.00"),(B$8+4))&amp;" Comdty","")</f>
        <v/>
      </c>
      <c r="QD1" s="2">
        <f>IF(ISNUMBER(B$8),"CL"&amp;MID("FGHJKMNQUVXZ",B$1,1)&amp;B$4&amp;"C "&amp;IF(Settings!$F$14=2,TEXT((B$8+5),"0.00"),(B$8+5))&amp;" Comdty","")</f>
        <v/>
      </c>
      <c r="QU1" s="2">
        <f>IF(ISNUMBER(B$8),"CL"&amp;MID("FGHJKMNQUVXZ",B$1,1)&amp;B$4&amp;"P "&amp;IF(Settings!$F$14=2,TEXT((B$8+5),"0.00"),(B$8+5))&amp;" Comdty","")</f>
        <v/>
      </c>
      <c r="RL1" s="2">
        <f>IF(ISNUMBER(B$8),"CL"&amp;MID("FGHJKMNQUVXZ",B$1,1)&amp;B$4&amp;"C "&amp;IF(Settings!$F$14=2,TEXT((B$8+6),"0.00"),(B$8+6))&amp;" Comdty","")</f>
        <v/>
      </c>
      <c r="SC1" s="2">
        <f>IF(ISNUMBER(B$8),"CL"&amp;MID("FGHJKMNQUVXZ",B$1,1)&amp;B$4&amp;"P "&amp;IF(Settings!$F$14=2,TEXT((B$8+6),"0.00"),(B$8+6))&amp;" Comdty","")</f>
        <v/>
      </c>
      <c r="ST1" s="2">
        <f>IF(ISNUMBER(B$8),"CL"&amp;MID("FGHJKMNQUVXZ",B$1,1)&amp;B$4&amp;"C "&amp;IF(Settings!$F$14=2,TEXT((B$8+7),"0.00"),(B$8+7))&amp;" Comdty","")</f>
        <v/>
      </c>
      <c r="TK1" s="2">
        <f>IF(ISNUMBER(B$8),"CL"&amp;MID("FGHJKMNQUVXZ",B$1,1)&amp;B$4&amp;"P "&amp;IF(Settings!$F$14=2,TEXT((B$8+7),"0.00"),(B$8+7))&amp;" Comdty","")</f>
        <v/>
      </c>
      <c r="UB1" s="2">
        <f>IF(ISNUMBER(B$8),"CL"&amp;MID("FGHJKMNQUVXZ",B$1,1)&amp;B$4&amp;"C "&amp;IF(Settings!$F$14=2,TEXT((B$8+8),"0.00"),(B$8+8))&amp;" Comdty","")</f>
        <v/>
      </c>
      <c r="US1" s="2">
        <f>IF(ISNUMBER(B$8),"CL"&amp;MID("FGHJKMNQUVXZ",B$1,1)&amp;B$4&amp;"P "&amp;IF(Settings!$F$14=2,TEXT((B$8+8),"0.00"),(B$8+8))&amp;" Comdty","")</f>
        <v/>
      </c>
    </row>
    <row r="2">
      <c r="A2" s="2" t="inlineStr">
        <is>
          <t>Futures last trade</t>
        </is>
      </c>
      <c r="B2" s="8">
        <f>WORKDAY(DATE(Settings!$E$14,B1-1,25),-3)</f>
        <v/>
      </c>
      <c r="D2" s="4" t="inlineStr">
        <is>
          <t>call -8 from ATM</t>
        </is>
      </c>
      <c r="U2" s="4" t="inlineStr">
        <is>
          <t>put -8 from ATM</t>
        </is>
      </c>
      <c r="AL2" s="4" t="inlineStr">
        <is>
          <t>call -7 from ATM</t>
        </is>
      </c>
      <c r="BC2" s="4" t="inlineStr">
        <is>
          <t>put -7 from ATM</t>
        </is>
      </c>
      <c r="BT2" s="4" t="inlineStr">
        <is>
          <t>call -6 from ATM</t>
        </is>
      </c>
      <c r="CK2" s="4" t="inlineStr">
        <is>
          <t>put -6 from ATM</t>
        </is>
      </c>
      <c r="DB2" s="4" t="inlineStr">
        <is>
          <t>call -5 from ATM</t>
        </is>
      </c>
      <c r="DS2" s="4" t="inlineStr">
        <is>
          <t>put -5 from ATM</t>
        </is>
      </c>
      <c r="EJ2" s="4" t="inlineStr">
        <is>
          <t>call -4 from ATM</t>
        </is>
      </c>
      <c r="FA2" s="4" t="inlineStr">
        <is>
          <t>put -4 from ATM</t>
        </is>
      </c>
      <c r="FR2" s="4" t="inlineStr">
        <is>
          <t>call -3 from ATM</t>
        </is>
      </c>
      <c r="GI2" s="4" t="inlineStr">
        <is>
          <t>put -3 from ATM</t>
        </is>
      </c>
      <c r="GZ2" s="4" t="inlineStr">
        <is>
          <t>call -2 from ATM</t>
        </is>
      </c>
      <c r="HQ2" s="4" t="inlineStr">
        <is>
          <t>put -2 from ATM</t>
        </is>
      </c>
      <c r="IH2" s="4" t="inlineStr">
        <is>
          <t>call -1 from ATM</t>
        </is>
      </c>
      <c r="IY2" s="4" t="inlineStr">
        <is>
          <t>put -1 from ATM</t>
        </is>
      </c>
      <c r="JP2" s="4" t="inlineStr">
        <is>
          <t>call +0 from ATM</t>
        </is>
      </c>
      <c r="KG2" s="4" t="inlineStr">
        <is>
          <t>put +0 from ATM</t>
        </is>
      </c>
      <c r="KX2" s="4" t="inlineStr">
        <is>
          <t>call +1 from ATM</t>
        </is>
      </c>
      <c r="LO2" s="4" t="inlineStr">
        <is>
          <t>put +1 from ATM</t>
        </is>
      </c>
      <c r="MF2" s="4" t="inlineStr">
        <is>
          <t>call +2 from ATM</t>
        </is>
      </c>
      <c r="MW2" s="4" t="inlineStr">
        <is>
          <t>put +2 from ATM</t>
        </is>
      </c>
      <c r="NN2" s="4" t="inlineStr">
        <is>
          <t>call +3 from ATM</t>
        </is>
      </c>
      <c r="OE2" s="4" t="inlineStr">
        <is>
          <t>put +3 from ATM</t>
        </is>
      </c>
      <c r="OV2" s="4" t="inlineStr">
        <is>
          <t>call +4 from ATM</t>
        </is>
      </c>
      <c r="PM2" s="4" t="inlineStr">
        <is>
          <t>put +4 from ATM</t>
        </is>
      </c>
      <c r="QD2" s="4" t="inlineStr">
        <is>
          <t>call +5 from ATM</t>
        </is>
      </c>
      <c r="QU2" s="4" t="inlineStr">
        <is>
          <t>put +5 from ATM</t>
        </is>
      </c>
      <c r="RL2" s="4" t="inlineStr">
        <is>
          <t>call +6 from ATM</t>
        </is>
      </c>
      <c r="SC2" s="4" t="inlineStr">
        <is>
          <t>put +6 from ATM</t>
        </is>
      </c>
      <c r="ST2" s="4" t="inlineStr">
        <is>
          <t>call +7 from ATM</t>
        </is>
      </c>
      <c r="TK2" s="4" t="inlineStr">
        <is>
          <t>put +7 from ATM</t>
        </is>
      </c>
      <c r="UB2" s="4" t="inlineStr">
        <is>
          <t>call +8 from ATM</t>
        </is>
      </c>
      <c r="US2" s="4" t="inlineStr">
        <is>
          <t>put +8 from ATM</t>
        </is>
      </c>
    </row>
    <row r="3">
      <c r="A3" s="2" t="inlineStr">
        <is>
          <t>Option expiry (approx)</t>
        </is>
      </c>
      <c r="B3" s="8">
        <f>WORKDAY(B2,-1)</f>
        <v/>
      </c>
      <c r="D3" s="5" t="inlineStr">
        <is>
          <t>Date</t>
        </is>
      </c>
      <c r="E3" s="5" t="inlineStr">
        <is>
          <t>PX_BID</t>
        </is>
      </c>
      <c r="F3" s="5" t="inlineStr">
        <is>
          <t>PX_ASK</t>
        </is>
      </c>
      <c r="G3" s="5" t="inlineStr">
        <is>
          <t>PX_MID</t>
        </is>
      </c>
      <c r="H3" s="5" t="inlineStr">
        <is>
          <t>PX_LAST</t>
        </is>
      </c>
      <c r="I3" s="5" t="inlineStr">
        <is>
          <t>PX_SETTLE</t>
        </is>
      </c>
      <c r="J3" s="5" t="inlineStr">
        <is>
          <t>PX_VOLUME</t>
        </is>
      </c>
      <c r="K3" s="5" t="inlineStr">
        <is>
          <t>OPEN_INT</t>
        </is>
      </c>
      <c r="L3" s="5" t="inlineStr">
        <is>
          <t>IVOL_MID</t>
        </is>
      </c>
      <c r="M3" s="5" t="inlineStr">
        <is>
          <t>IVOL_BID</t>
        </is>
      </c>
      <c r="N3" s="5" t="inlineStr">
        <is>
          <t>IVOL_ASK</t>
        </is>
      </c>
      <c r="O3" s="5" t="inlineStr">
        <is>
          <t>DELTA_MID</t>
        </is>
      </c>
      <c r="P3" s="5" t="inlineStr">
        <is>
          <t>GAMMA_MID</t>
        </is>
      </c>
      <c r="Q3" s="5" t="inlineStr">
        <is>
          <t>VEGA_MID</t>
        </is>
      </c>
      <c r="R3" s="5" t="inlineStr">
        <is>
          <t>THETA_MID</t>
        </is>
      </c>
      <c r="S3" s="5" t="inlineStr">
        <is>
          <t>OPT_UNDL_PX</t>
        </is>
      </c>
      <c r="U3" s="5" t="inlineStr">
        <is>
          <t>Date</t>
        </is>
      </c>
      <c r="V3" s="5" t="inlineStr">
        <is>
          <t>PX_BID</t>
        </is>
      </c>
      <c r="W3" s="5" t="inlineStr">
        <is>
          <t>PX_ASK</t>
        </is>
      </c>
      <c r="X3" s="5" t="inlineStr">
        <is>
          <t>PX_MID</t>
        </is>
      </c>
      <c r="Y3" s="5" t="inlineStr">
        <is>
          <t>PX_LAST</t>
        </is>
      </c>
      <c r="Z3" s="5" t="inlineStr">
        <is>
          <t>PX_SETTLE</t>
        </is>
      </c>
      <c r="AA3" s="5" t="inlineStr">
        <is>
          <t>PX_VOLUME</t>
        </is>
      </c>
      <c r="AB3" s="5" t="inlineStr">
        <is>
          <t>OPEN_INT</t>
        </is>
      </c>
      <c r="AC3" s="5" t="inlineStr">
        <is>
          <t>IVOL_MID</t>
        </is>
      </c>
      <c r="AD3" s="5" t="inlineStr">
        <is>
          <t>IVOL_BID</t>
        </is>
      </c>
      <c r="AE3" s="5" t="inlineStr">
        <is>
          <t>IVOL_ASK</t>
        </is>
      </c>
      <c r="AF3" s="5" t="inlineStr">
        <is>
          <t>DELTA_MID</t>
        </is>
      </c>
      <c r="AG3" s="5" t="inlineStr">
        <is>
          <t>GAMMA_MID</t>
        </is>
      </c>
      <c r="AH3" s="5" t="inlineStr">
        <is>
          <t>VEGA_MID</t>
        </is>
      </c>
      <c r="AI3" s="5" t="inlineStr">
        <is>
          <t>THETA_MID</t>
        </is>
      </c>
      <c r="AJ3" s="5" t="inlineStr">
        <is>
          <t>OPT_UNDL_PX</t>
        </is>
      </c>
      <c r="AL3" s="5" t="inlineStr">
        <is>
          <t>Date</t>
        </is>
      </c>
      <c r="AM3" s="5" t="inlineStr">
        <is>
          <t>PX_BID</t>
        </is>
      </c>
      <c r="AN3" s="5" t="inlineStr">
        <is>
          <t>PX_ASK</t>
        </is>
      </c>
      <c r="AO3" s="5" t="inlineStr">
        <is>
          <t>PX_MID</t>
        </is>
      </c>
      <c r="AP3" s="5" t="inlineStr">
        <is>
          <t>PX_LAST</t>
        </is>
      </c>
      <c r="AQ3" s="5" t="inlineStr">
        <is>
          <t>PX_SETTLE</t>
        </is>
      </c>
      <c r="AR3" s="5" t="inlineStr">
        <is>
          <t>PX_VOLUME</t>
        </is>
      </c>
      <c r="AS3" s="5" t="inlineStr">
        <is>
          <t>OPEN_INT</t>
        </is>
      </c>
      <c r="AT3" s="5" t="inlineStr">
        <is>
          <t>IVOL_MID</t>
        </is>
      </c>
      <c r="AU3" s="5" t="inlineStr">
        <is>
          <t>IVOL_BID</t>
        </is>
      </c>
      <c r="AV3" s="5" t="inlineStr">
        <is>
          <t>IVOL_ASK</t>
        </is>
      </c>
      <c r="AW3" s="5" t="inlineStr">
        <is>
          <t>DELTA_MID</t>
        </is>
      </c>
      <c r="AX3" s="5" t="inlineStr">
        <is>
          <t>GAMMA_MID</t>
        </is>
      </c>
      <c r="AY3" s="5" t="inlineStr">
        <is>
          <t>VEGA_MID</t>
        </is>
      </c>
      <c r="AZ3" s="5" t="inlineStr">
        <is>
          <t>THETA_MID</t>
        </is>
      </c>
      <c r="BA3" s="5" t="inlineStr">
        <is>
          <t>OPT_UNDL_PX</t>
        </is>
      </c>
      <c r="BC3" s="5" t="inlineStr">
        <is>
          <t>Date</t>
        </is>
      </c>
      <c r="BD3" s="5" t="inlineStr">
        <is>
          <t>PX_BID</t>
        </is>
      </c>
      <c r="BE3" s="5" t="inlineStr">
        <is>
          <t>PX_ASK</t>
        </is>
      </c>
      <c r="BF3" s="5" t="inlineStr">
        <is>
          <t>PX_MID</t>
        </is>
      </c>
      <c r="BG3" s="5" t="inlineStr">
        <is>
          <t>PX_LAST</t>
        </is>
      </c>
      <c r="BH3" s="5" t="inlineStr">
        <is>
          <t>PX_SETTLE</t>
        </is>
      </c>
      <c r="BI3" s="5" t="inlineStr">
        <is>
          <t>PX_VOLUME</t>
        </is>
      </c>
      <c r="BJ3" s="5" t="inlineStr">
        <is>
          <t>OPEN_INT</t>
        </is>
      </c>
      <c r="BK3" s="5" t="inlineStr">
        <is>
          <t>IVOL_MID</t>
        </is>
      </c>
      <c r="BL3" s="5" t="inlineStr">
        <is>
          <t>IVOL_BID</t>
        </is>
      </c>
      <c r="BM3" s="5" t="inlineStr">
        <is>
          <t>IVOL_ASK</t>
        </is>
      </c>
      <c r="BN3" s="5" t="inlineStr">
        <is>
          <t>DELTA_MID</t>
        </is>
      </c>
      <c r="BO3" s="5" t="inlineStr">
        <is>
          <t>GAMMA_MID</t>
        </is>
      </c>
      <c r="BP3" s="5" t="inlineStr">
        <is>
          <t>VEGA_MID</t>
        </is>
      </c>
      <c r="BQ3" s="5" t="inlineStr">
        <is>
          <t>THETA_MID</t>
        </is>
      </c>
      <c r="BR3" s="5" t="inlineStr">
        <is>
          <t>OPT_UNDL_PX</t>
        </is>
      </c>
      <c r="BT3" s="5" t="inlineStr">
        <is>
          <t>Date</t>
        </is>
      </c>
      <c r="BU3" s="5" t="inlineStr">
        <is>
          <t>PX_BID</t>
        </is>
      </c>
      <c r="BV3" s="5" t="inlineStr">
        <is>
          <t>PX_ASK</t>
        </is>
      </c>
      <c r="BW3" s="5" t="inlineStr">
        <is>
          <t>PX_MID</t>
        </is>
      </c>
      <c r="BX3" s="5" t="inlineStr">
        <is>
          <t>PX_LAST</t>
        </is>
      </c>
      <c r="BY3" s="5" t="inlineStr">
        <is>
          <t>PX_SETTLE</t>
        </is>
      </c>
      <c r="BZ3" s="5" t="inlineStr">
        <is>
          <t>PX_VOLUME</t>
        </is>
      </c>
      <c r="CA3" s="5" t="inlineStr">
        <is>
          <t>OPEN_INT</t>
        </is>
      </c>
      <c r="CB3" s="5" t="inlineStr">
        <is>
          <t>IVOL_MID</t>
        </is>
      </c>
      <c r="CC3" s="5" t="inlineStr">
        <is>
          <t>IVOL_BID</t>
        </is>
      </c>
      <c r="CD3" s="5" t="inlineStr">
        <is>
          <t>IVOL_ASK</t>
        </is>
      </c>
      <c r="CE3" s="5" t="inlineStr">
        <is>
          <t>DELTA_MID</t>
        </is>
      </c>
      <c r="CF3" s="5" t="inlineStr">
        <is>
          <t>GAMMA_MID</t>
        </is>
      </c>
      <c r="CG3" s="5" t="inlineStr">
        <is>
          <t>VEGA_MID</t>
        </is>
      </c>
      <c r="CH3" s="5" t="inlineStr">
        <is>
          <t>THETA_MID</t>
        </is>
      </c>
      <c r="CI3" s="5" t="inlineStr">
        <is>
          <t>OPT_UNDL_PX</t>
        </is>
      </c>
      <c r="CK3" s="5" t="inlineStr">
        <is>
          <t>Date</t>
        </is>
      </c>
      <c r="CL3" s="5" t="inlineStr">
        <is>
          <t>PX_BID</t>
        </is>
      </c>
      <c r="CM3" s="5" t="inlineStr">
        <is>
          <t>PX_ASK</t>
        </is>
      </c>
      <c r="CN3" s="5" t="inlineStr">
        <is>
          <t>PX_MID</t>
        </is>
      </c>
      <c r="CO3" s="5" t="inlineStr">
        <is>
          <t>PX_LAST</t>
        </is>
      </c>
      <c r="CP3" s="5" t="inlineStr">
        <is>
          <t>PX_SETTLE</t>
        </is>
      </c>
      <c r="CQ3" s="5" t="inlineStr">
        <is>
          <t>PX_VOLUME</t>
        </is>
      </c>
      <c r="CR3" s="5" t="inlineStr">
        <is>
          <t>OPEN_INT</t>
        </is>
      </c>
      <c r="CS3" s="5" t="inlineStr">
        <is>
          <t>IVOL_MID</t>
        </is>
      </c>
      <c r="CT3" s="5" t="inlineStr">
        <is>
          <t>IVOL_BID</t>
        </is>
      </c>
      <c r="CU3" s="5" t="inlineStr">
        <is>
          <t>IVOL_ASK</t>
        </is>
      </c>
      <c r="CV3" s="5" t="inlineStr">
        <is>
          <t>DELTA_MID</t>
        </is>
      </c>
      <c r="CW3" s="5" t="inlineStr">
        <is>
          <t>GAMMA_MID</t>
        </is>
      </c>
      <c r="CX3" s="5" t="inlineStr">
        <is>
          <t>VEGA_MID</t>
        </is>
      </c>
      <c r="CY3" s="5" t="inlineStr">
        <is>
          <t>THETA_MID</t>
        </is>
      </c>
      <c r="CZ3" s="5" t="inlineStr">
        <is>
          <t>OPT_UNDL_PX</t>
        </is>
      </c>
      <c r="DB3" s="5" t="inlineStr">
        <is>
          <t>Date</t>
        </is>
      </c>
      <c r="DC3" s="5" t="inlineStr">
        <is>
          <t>PX_BID</t>
        </is>
      </c>
      <c r="DD3" s="5" t="inlineStr">
        <is>
          <t>PX_ASK</t>
        </is>
      </c>
      <c r="DE3" s="5" t="inlineStr">
        <is>
          <t>PX_MID</t>
        </is>
      </c>
      <c r="DF3" s="5" t="inlineStr">
        <is>
          <t>PX_LAST</t>
        </is>
      </c>
      <c r="DG3" s="5" t="inlineStr">
        <is>
          <t>PX_SETTLE</t>
        </is>
      </c>
      <c r="DH3" s="5" t="inlineStr">
        <is>
          <t>PX_VOLUME</t>
        </is>
      </c>
      <c r="DI3" s="5" t="inlineStr">
        <is>
          <t>OPEN_INT</t>
        </is>
      </c>
      <c r="DJ3" s="5" t="inlineStr">
        <is>
          <t>IVOL_MID</t>
        </is>
      </c>
      <c r="DK3" s="5" t="inlineStr">
        <is>
          <t>IVOL_BID</t>
        </is>
      </c>
      <c r="DL3" s="5" t="inlineStr">
        <is>
          <t>IVOL_ASK</t>
        </is>
      </c>
      <c r="DM3" s="5" t="inlineStr">
        <is>
          <t>DELTA_MID</t>
        </is>
      </c>
      <c r="DN3" s="5" t="inlineStr">
        <is>
          <t>GAMMA_MID</t>
        </is>
      </c>
      <c r="DO3" s="5" t="inlineStr">
        <is>
          <t>VEGA_MID</t>
        </is>
      </c>
      <c r="DP3" s="5" t="inlineStr">
        <is>
          <t>THETA_MID</t>
        </is>
      </c>
      <c r="DQ3" s="5" t="inlineStr">
        <is>
          <t>OPT_UNDL_PX</t>
        </is>
      </c>
      <c r="DS3" s="5" t="inlineStr">
        <is>
          <t>Date</t>
        </is>
      </c>
      <c r="DT3" s="5" t="inlineStr">
        <is>
          <t>PX_BID</t>
        </is>
      </c>
      <c r="DU3" s="5" t="inlineStr">
        <is>
          <t>PX_ASK</t>
        </is>
      </c>
      <c r="DV3" s="5" t="inlineStr">
        <is>
          <t>PX_MID</t>
        </is>
      </c>
      <c r="DW3" s="5" t="inlineStr">
        <is>
          <t>PX_LAST</t>
        </is>
      </c>
      <c r="DX3" s="5" t="inlineStr">
        <is>
          <t>PX_SETTLE</t>
        </is>
      </c>
      <c r="DY3" s="5" t="inlineStr">
        <is>
          <t>PX_VOLUME</t>
        </is>
      </c>
      <c r="DZ3" s="5" t="inlineStr">
        <is>
          <t>OPEN_INT</t>
        </is>
      </c>
      <c r="EA3" s="5" t="inlineStr">
        <is>
          <t>IVOL_MID</t>
        </is>
      </c>
      <c r="EB3" s="5" t="inlineStr">
        <is>
          <t>IVOL_BID</t>
        </is>
      </c>
      <c r="EC3" s="5" t="inlineStr">
        <is>
          <t>IVOL_ASK</t>
        </is>
      </c>
      <c r="ED3" s="5" t="inlineStr">
        <is>
          <t>DELTA_MID</t>
        </is>
      </c>
      <c r="EE3" s="5" t="inlineStr">
        <is>
          <t>GAMMA_MID</t>
        </is>
      </c>
      <c r="EF3" s="5" t="inlineStr">
        <is>
          <t>VEGA_MID</t>
        </is>
      </c>
      <c r="EG3" s="5" t="inlineStr">
        <is>
          <t>THETA_MID</t>
        </is>
      </c>
      <c r="EH3" s="5" t="inlineStr">
        <is>
          <t>OPT_UNDL_PX</t>
        </is>
      </c>
      <c r="EJ3" s="5" t="inlineStr">
        <is>
          <t>Date</t>
        </is>
      </c>
      <c r="EK3" s="5" t="inlineStr">
        <is>
          <t>PX_BID</t>
        </is>
      </c>
      <c r="EL3" s="5" t="inlineStr">
        <is>
          <t>PX_ASK</t>
        </is>
      </c>
      <c r="EM3" s="5" t="inlineStr">
        <is>
          <t>PX_MID</t>
        </is>
      </c>
      <c r="EN3" s="5" t="inlineStr">
        <is>
          <t>PX_LAST</t>
        </is>
      </c>
      <c r="EO3" s="5" t="inlineStr">
        <is>
          <t>PX_SETTLE</t>
        </is>
      </c>
      <c r="EP3" s="5" t="inlineStr">
        <is>
          <t>PX_VOLUME</t>
        </is>
      </c>
      <c r="EQ3" s="5" t="inlineStr">
        <is>
          <t>OPEN_INT</t>
        </is>
      </c>
      <c r="ER3" s="5" t="inlineStr">
        <is>
          <t>IVOL_MID</t>
        </is>
      </c>
      <c r="ES3" s="5" t="inlineStr">
        <is>
          <t>IVOL_BID</t>
        </is>
      </c>
      <c r="ET3" s="5" t="inlineStr">
        <is>
          <t>IVOL_ASK</t>
        </is>
      </c>
      <c r="EU3" s="5" t="inlineStr">
        <is>
          <t>DELTA_MID</t>
        </is>
      </c>
      <c r="EV3" s="5" t="inlineStr">
        <is>
          <t>GAMMA_MID</t>
        </is>
      </c>
      <c r="EW3" s="5" t="inlineStr">
        <is>
          <t>VEGA_MID</t>
        </is>
      </c>
      <c r="EX3" s="5" t="inlineStr">
        <is>
          <t>THETA_MID</t>
        </is>
      </c>
      <c r="EY3" s="5" t="inlineStr">
        <is>
          <t>OPT_UNDL_PX</t>
        </is>
      </c>
      <c r="FA3" s="5" t="inlineStr">
        <is>
          <t>Date</t>
        </is>
      </c>
      <c r="FB3" s="5" t="inlineStr">
        <is>
          <t>PX_BID</t>
        </is>
      </c>
      <c r="FC3" s="5" t="inlineStr">
        <is>
          <t>PX_ASK</t>
        </is>
      </c>
      <c r="FD3" s="5" t="inlineStr">
        <is>
          <t>PX_MID</t>
        </is>
      </c>
      <c r="FE3" s="5" t="inlineStr">
        <is>
          <t>PX_LAST</t>
        </is>
      </c>
      <c r="FF3" s="5" t="inlineStr">
        <is>
          <t>PX_SETTLE</t>
        </is>
      </c>
      <c r="FG3" s="5" t="inlineStr">
        <is>
          <t>PX_VOLUME</t>
        </is>
      </c>
      <c r="FH3" s="5" t="inlineStr">
        <is>
          <t>OPEN_INT</t>
        </is>
      </c>
      <c r="FI3" s="5" t="inlineStr">
        <is>
          <t>IVOL_MID</t>
        </is>
      </c>
      <c r="FJ3" s="5" t="inlineStr">
        <is>
          <t>IVOL_BID</t>
        </is>
      </c>
      <c r="FK3" s="5" t="inlineStr">
        <is>
          <t>IVOL_ASK</t>
        </is>
      </c>
      <c r="FL3" s="5" t="inlineStr">
        <is>
          <t>DELTA_MID</t>
        </is>
      </c>
      <c r="FM3" s="5" t="inlineStr">
        <is>
          <t>GAMMA_MID</t>
        </is>
      </c>
      <c r="FN3" s="5" t="inlineStr">
        <is>
          <t>VEGA_MID</t>
        </is>
      </c>
      <c r="FO3" s="5" t="inlineStr">
        <is>
          <t>THETA_MID</t>
        </is>
      </c>
      <c r="FP3" s="5" t="inlineStr">
        <is>
          <t>OPT_UNDL_PX</t>
        </is>
      </c>
      <c r="FR3" s="5" t="inlineStr">
        <is>
          <t>Date</t>
        </is>
      </c>
      <c r="FS3" s="5" t="inlineStr">
        <is>
          <t>PX_BID</t>
        </is>
      </c>
      <c r="FT3" s="5" t="inlineStr">
        <is>
          <t>PX_ASK</t>
        </is>
      </c>
      <c r="FU3" s="5" t="inlineStr">
        <is>
          <t>PX_MID</t>
        </is>
      </c>
      <c r="FV3" s="5" t="inlineStr">
        <is>
          <t>PX_LAST</t>
        </is>
      </c>
      <c r="FW3" s="5" t="inlineStr">
        <is>
          <t>PX_SETTLE</t>
        </is>
      </c>
      <c r="FX3" s="5" t="inlineStr">
        <is>
          <t>PX_VOLUME</t>
        </is>
      </c>
      <c r="FY3" s="5" t="inlineStr">
        <is>
          <t>OPEN_INT</t>
        </is>
      </c>
      <c r="FZ3" s="5" t="inlineStr">
        <is>
          <t>IVOL_MID</t>
        </is>
      </c>
      <c r="GA3" s="5" t="inlineStr">
        <is>
          <t>IVOL_BID</t>
        </is>
      </c>
      <c r="GB3" s="5" t="inlineStr">
        <is>
          <t>IVOL_ASK</t>
        </is>
      </c>
      <c r="GC3" s="5" t="inlineStr">
        <is>
          <t>DELTA_MID</t>
        </is>
      </c>
      <c r="GD3" s="5" t="inlineStr">
        <is>
          <t>GAMMA_MID</t>
        </is>
      </c>
      <c r="GE3" s="5" t="inlineStr">
        <is>
          <t>VEGA_MID</t>
        </is>
      </c>
      <c r="GF3" s="5" t="inlineStr">
        <is>
          <t>THETA_MID</t>
        </is>
      </c>
      <c r="GG3" s="5" t="inlineStr">
        <is>
          <t>OPT_UNDL_PX</t>
        </is>
      </c>
      <c r="GI3" s="5" t="inlineStr">
        <is>
          <t>Date</t>
        </is>
      </c>
      <c r="GJ3" s="5" t="inlineStr">
        <is>
          <t>PX_BID</t>
        </is>
      </c>
      <c r="GK3" s="5" t="inlineStr">
        <is>
          <t>PX_ASK</t>
        </is>
      </c>
      <c r="GL3" s="5" t="inlineStr">
        <is>
          <t>PX_MID</t>
        </is>
      </c>
      <c r="GM3" s="5" t="inlineStr">
        <is>
          <t>PX_LAST</t>
        </is>
      </c>
      <c r="GN3" s="5" t="inlineStr">
        <is>
          <t>PX_SETTLE</t>
        </is>
      </c>
      <c r="GO3" s="5" t="inlineStr">
        <is>
          <t>PX_VOLUME</t>
        </is>
      </c>
      <c r="GP3" s="5" t="inlineStr">
        <is>
          <t>OPEN_INT</t>
        </is>
      </c>
      <c r="GQ3" s="5" t="inlineStr">
        <is>
          <t>IVOL_MID</t>
        </is>
      </c>
      <c r="GR3" s="5" t="inlineStr">
        <is>
          <t>IVOL_BID</t>
        </is>
      </c>
      <c r="GS3" s="5" t="inlineStr">
        <is>
          <t>IVOL_ASK</t>
        </is>
      </c>
      <c r="GT3" s="5" t="inlineStr">
        <is>
          <t>DELTA_MID</t>
        </is>
      </c>
      <c r="GU3" s="5" t="inlineStr">
        <is>
          <t>GAMMA_MID</t>
        </is>
      </c>
      <c r="GV3" s="5" t="inlineStr">
        <is>
          <t>VEGA_MID</t>
        </is>
      </c>
      <c r="GW3" s="5" t="inlineStr">
        <is>
          <t>THETA_MID</t>
        </is>
      </c>
      <c r="GX3" s="5" t="inlineStr">
        <is>
          <t>OPT_UNDL_PX</t>
        </is>
      </c>
      <c r="GZ3" s="5" t="inlineStr">
        <is>
          <t>Date</t>
        </is>
      </c>
      <c r="HA3" s="5" t="inlineStr">
        <is>
          <t>PX_BID</t>
        </is>
      </c>
      <c r="HB3" s="5" t="inlineStr">
        <is>
          <t>PX_ASK</t>
        </is>
      </c>
      <c r="HC3" s="5" t="inlineStr">
        <is>
          <t>PX_MID</t>
        </is>
      </c>
      <c r="HD3" s="5" t="inlineStr">
        <is>
          <t>PX_LAST</t>
        </is>
      </c>
      <c r="HE3" s="5" t="inlineStr">
        <is>
          <t>PX_SETTLE</t>
        </is>
      </c>
      <c r="HF3" s="5" t="inlineStr">
        <is>
          <t>PX_VOLUME</t>
        </is>
      </c>
      <c r="HG3" s="5" t="inlineStr">
        <is>
          <t>OPEN_INT</t>
        </is>
      </c>
      <c r="HH3" s="5" t="inlineStr">
        <is>
          <t>IVOL_MID</t>
        </is>
      </c>
      <c r="HI3" s="5" t="inlineStr">
        <is>
          <t>IVOL_BID</t>
        </is>
      </c>
      <c r="HJ3" s="5" t="inlineStr">
        <is>
          <t>IVOL_ASK</t>
        </is>
      </c>
      <c r="HK3" s="5" t="inlineStr">
        <is>
          <t>DELTA_MID</t>
        </is>
      </c>
      <c r="HL3" s="5" t="inlineStr">
        <is>
          <t>GAMMA_MID</t>
        </is>
      </c>
      <c r="HM3" s="5" t="inlineStr">
        <is>
          <t>VEGA_MID</t>
        </is>
      </c>
      <c r="HN3" s="5" t="inlineStr">
        <is>
          <t>THETA_MID</t>
        </is>
      </c>
      <c r="HO3" s="5" t="inlineStr">
        <is>
          <t>OPT_UNDL_PX</t>
        </is>
      </c>
      <c r="HQ3" s="5" t="inlineStr">
        <is>
          <t>Date</t>
        </is>
      </c>
      <c r="HR3" s="5" t="inlineStr">
        <is>
          <t>PX_BID</t>
        </is>
      </c>
      <c r="HS3" s="5" t="inlineStr">
        <is>
          <t>PX_ASK</t>
        </is>
      </c>
      <c r="HT3" s="5" t="inlineStr">
        <is>
          <t>PX_MID</t>
        </is>
      </c>
      <c r="HU3" s="5" t="inlineStr">
        <is>
          <t>PX_LAST</t>
        </is>
      </c>
      <c r="HV3" s="5" t="inlineStr">
        <is>
          <t>PX_SETTLE</t>
        </is>
      </c>
      <c r="HW3" s="5" t="inlineStr">
        <is>
          <t>PX_VOLUME</t>
        </is>
      </c>
      <c r="HX3" s="5" t="inlineStr">
        <is>
          <t>OPEN_INT</t>
        </is>
      </c>
      <c r="HY3" s="5" t="inlineStr">
        <is>
          <t>IVOL_MID</t>
        </is>
      </c>
      <c r="HZ3" s="5" t="inlineStr">
        <is>
          <t>IVOL_BID</t>
        </is>
      </c>
      <c r="IA3" s="5" t="inlineStr">
        <is>
          <t>IVOL_ASK</t>
        </is>
      </c>
      <c r="IB3" s="5" t="inlineStr">
        <is>
          <t>DELTA_MID</t>
        </is>
      </c>
      <c r="IC3" s="5" t="inlineStr">
        <is>
          <t>GAMMA_MID</t>
        </is>
      </c>
      <c r="ID3" s="5" t="inlineStr">
        <is>
          <t>VEGA_MID</t>
        </is>
      </c>
      <c r="IE3" s="5" t="inlineStr">
        <is>
          <t>THETA_MID</t>
        </is>
      </c>
      <c r="IF3" s="5" t="inlineStr">
        <is>
          <t>OPT_UNDL_PX</t>
        </is>
      </c>
      <c r="IH3" s="5" t="inlineStr">
        <is>
          <t>Date</t>
        </is>
      </c>
      <c r="II3" s="5" t="inlineStr">
        <is>
          <t>PX_BID</t>
        </is>
      </c>
      <c r="IJ3" s="5" t="inlineStr">
        <is>
          <t>PX_ASK</t>
        </is>
      </c>
      <c r="IK3" s="5" t="inlineStr">
        <is>
          <t>PX_MID</t>
        </is>
      </c>
      <c r="IL3" s="5" t="inlineStr">
        <is>
          <t>PX_LAST</t>
        </is>
      </c>
      <c r="IM3" s="5" t="inlineStr">
        <is>
          <t>PX_SETTLE</t>
        </is>
      </c>
      <c r="IN3" s="5" t="inlineStr">
        <is>
          <t>PX_VOLUME</t>
        </is>
      </c>
      <c r="IO3" s="5" t="inlineStr">
        <is>
          <t>OPEN_INT</t>
        </is>
      </c>
      <c r="IP3" s="5" t="inlineStr">
        <is>
          <t>IVOL_MID</t>
        </is>
      </c>
      <c r="IQ3" s="5" t="inlineStr">
        <is>
          <t>IVOL_BID</t>
        </is>
      </c>
      <c r="IR3" s="5" t="inlineStr">
        <is>
          <t>IVOL_ASK</t>
        </is>
      </c>
      <c r="IS3" s="5" t="inlineStr">
        <is>
          <t>DELTA_MID</t>
        </is>
      </c>
      <c r="IT3" s="5" t="inlineStr">
        <is>
          <t>GAMMA_MID</t>
        </is>
      </c>
      <c r="IU3" s="5" t="inlineStr">
        <is>
          <t>VEGA_MID</t>
        </is>
      </c>
      <c r="IV3" s="5" t="inlineStr">
        <is>
          <t>THETA_MID</t>
        </is>
      </c>
      <c r="IW3" s="5" t="inlineStr">
        <is>
          <t>OPT_UNDL_PX</t>
        </is>
      </c>
      <c r="IY3" s="5" t="inlineStr">
        <is>
          <t>Date</t>
        </is>
      </c>
      <c r="IZ3" s="5" t="inlineStr">
        <is>
          <t>PX_BID</t>
        </is>
      </c>
      <c r="JA3" s="5" t="inlineStr">
        <is>
          <t>PX_ASK</t>
        </is>
      </c>
      <c r="JB3" s="5" t="inlineStr">
        <is>
          <t>PX_MID</t>
        </is>
      </c>
      <c r="JC3" s="5" t="inlineStr">
        <is>
          <t>PX_LAST</t>
        </is>
      </c>
      <c r="JD3" s="5" t="inlineStr">
        <is>
          <t>PX_SETTLE</t>
        </is>
      </c>
      <c r="JE3" s="5" t="inlineStr">
        <is>
          <t>PX_VOLUME</t>
        </is>
      </c>
      <c r="JF3" s="5" t="inlineStr">
        <is>
          <t>OPEN_INT</t>
        </is>
      </c>
      <c r="JG3" s="5" t="inlineStr">
        <is>
          <t>IVOL_MID</t>
        </is>
      </c>
      <c r="JH3" s="5" t="inlineStr">
        <is>
          <t>IVOL_BID</t>
        </is>
      </c>
      <c r="JI3" s="5" t="inlineStr">
        <is>
          <t>IVOL_ASK</t>
        </is>
      </c>
      <c r="JJ3" s="5" t="inlineStr">
        <is>
          <t>DELTA_MID</t>
        </is>
      </c>
      <c r="JK3" s="5" t="inlineStr">
        <is>
          <t>GAMMA_MID</t>
        </is>
      </c>
      <c r="JL3" s="5" t="inlineStr">
        <is>
          <t>VEGA_MID</t>
        </is>
      </c>
      <c r="JM3" s="5" t="inlineStr">
        <is>
          <t>THETA_MID</t>
        </is>
      </c>
      <c r="JN3" s="5" t="inlineStr">
        <is>
          <t>OPT_UNDL_PX</t>
        </is>
      </c>
      <c r="JP3" s="5" t="inlineStr">
        <is>
          <t>Date</t>
        </is>
      </c>
      <c r="JQ3" s="5" t="inlineStr">
        <is>
          <t>PX_BID</t>
        </is>
      </c>
      <c r="JR3" s="5" t="inlineStr">
        <is>
          <t>PX_ASK</t>
        </is>
      </c>
      <c r="JS3" s="5" t="inlineStr">
        <is>
          <t>PX_MID</t>
        </is>
      </c>
      <c r="JT3" s="5" t="inlineStr">
        <is>
          <t>PX_LAST</t>
        </is>
      </c>
      <c r="JU3" s="5" t="inlineStr">
        <is>
          <t>PX_SETTLE</t>
        </is>
      </c>
      <c r="JV3" s="5" t="inlineStr">
        <is>
          <t>PX_VOLUME</t>
        </is>
      </c>
      <c r="JW3" s="5" t="inlineStr">
        <is>
          <t>OPEN_INT</t>
        </is>
      </c>
      <c r="JX3" s="5" t="inlineStr">
        <is>
          <t>IVOL_MID</t>
        </is>
      </c>
      <c r="JY3" s="5" t="inlineStr">
        <is>
          <t>IVOL_BID</t>
        </is>
      </c>
      <c r="JZ3" s="5" t="inlineStr">
        <is>
          <t>IVOL_ASK</t>
        </is>
      </c>
      <c r="KA3" s="5" t="inlineStr">
        <is>
          <t>DELTA_MID</t>
        </is>
      </c>
      <c r="KB3" s="5" t="inlineStr">
        <is>
          <t>GAMMA_MID</t>
        </is>
      </c>
      <c r="KC3" s="5" t="inlineStr">
        <is>
          <t>VEGA_MID</t>
        </is>
      </c>
      <c r="KD3" s="5" t="inlineStr">
        <is>
          <t>THETA_MID</t>
        </is>
      </c>
      <c r="KE3" s="5" t="inlineStr">
        <is>
          <t>OPT_UNDL_PX</t>
        </is>
      </c>
      <c r="KG3" s="5" t="inlineStr">
        <is>
          <t>Date</t>
        </is>
      </c>
      <c r="KH3" s="5" t="inlineStr">
        <is>
          <t>PX_BID</t>
        </is>
      </c>
      <c r="KI3" s="5" t="inlineStr">
        <is>
          <t>PX_ASK</t>
        </is>
      </c>
      <c r="KJ3" s="5" t="inlineStr">
        <is>
          <t>PX_MID</t>
        </is>
      </c>
      <c r="KK3" s="5" t="inlineStr">
        <is>
          <t>PX_LAST</t>
        </is>
      </c>
      <c r="KL3" s="5" t="inlineStr">
        <is>
          <t>PX_SETTLE</t>
        </is>
      </c>
      <c r="KM3" s="5" t="inlineStr">
        <is>
          <t>PX_VOLUME</t>
        </is>
      </c>
      <c r="KN3" s="5" t="inlineStr">
        <is>
          <t>OPEN_INT</t>
        </is>
      </c>
      <c r="KO3" s="5" t="inlineStr">
        <is>
          <t>IVOL_MID</t>
        </is>
      </c>
      <c r="KP3" s="5" t="inlineStr">
        <is>
          <t>IVOL_BID</t>
        </is>
      </c>
      <c r="KQ3" s="5" t="inlineStr">
        <is>
          <t>IVOL_ASK</t>
        </is>
      </c>
      <c r="KR3" s="5" t="inlineStr">
        <is>
          <t>DELTA_MID</t>
        </is>
      </c>
      <c r="KS3" s="5" t="inlineStr">
        <is>
          <t>GAMMA_MID</t>
        </is>
      </c>
      <c r="KT3" s="5" t="inlineStr">
        <is>
          <t>VEGA_MID</t>
        </is>
      </c>
      <c r="KU3" s="5" t="inlineStr">
        <is>
          <t>THETA_MID</t>
        </is>
      </c>
      <c r="KV3" s="5" t="inlineStr">
        <is>
          <t>OPT_UNDL_PX</t>
        </is>
      </c>
      <c r="KX3" s="5" t="inlineStr">
        <is>
          <t>Date</t>
        </is>
      </c>
      <c r="KY3" s="5" t="inlineStr">
        <is>
          <t>PX_BID</t>
        </is>
      </c>
      <c r="KZ3" s="5" t="inlineStr">
        <is>
          <t>PX_ASK</t>
        </is>
      </c>
      <c r="LA3" s="5" t="inlineStr">
        <is>
          <t>PX_MID</t>
        </is>
      </c>
      <c r="LB3" s="5" t="inlineStr">
        <is>
          <t>PX_LAST</t>
        </is>
      </c>
      <c r="LC3" s="5" t="inlineStr">
        <is>
          <t>PX_SETTLE</t>
        </is>
      </c>
      <c r="LD3" s="5" t="inlineStr">
        <is>
          <t>PX_VOLUME</t>
        </is>
      </c>
      <c r="LE3" s="5" t="inlineStr">
        <is>
          <t>OPEN_INT</t>
        </is>
      </c>
      <c r="LF3" s="5" t="inlineStr">
        <is>
          <t>IVOL_MID</t>
        </is>
      </c>
      <c r="LG3" s="5" t="inlineStr">
        <is>
          <t>IVOL_BID</t>
        </is>
      </c>
      <c r="LH3" s="5" t="inlineStr">
        <is>
          <t>IVOL_ASK</t>
        </is>
      </c>
      <c r="LI3" s="5" t="inlineStr">
        <is>
          <t>DELTA_MID</t>
        </is>
      </c>
      <c r="LJ3" s="5" t="inlineStr">
        <is>
          <t>GAMMA_MID</t>
        </is>
      </c>
      <c r="LK3" s="5" t="inlineStr">
        <is>
          <t>VEGA_MID</t>
        </is>
      </c>
      <c r="LL3" s="5" t="inlineStr">
        <is>
          <t>THETA_MID</t>
        </is>
      </c>
      <c r="LM3" s="5" t="inlineStr">
        <is>
          <t>OPT_UNDL_PX</t>
        </is>
      </c>
      <c r="LO3" s="5" t="inlineStr">
        <is>
          <t>Date</t>
        </is>
      </c>
      <c r="LP3" s="5" t="inlineStr">
        <is>
          <t>PX_BID</t>
        </is>
      </c>
      <c r="LQ3" s="5" t="inlineStr">
        <is>
          <t>PX_ASK</t>
        </is>
      </c>
      <c r="LR3" s="5" t="inlineStr">
        <is>
          <t>PX_MID</t>
        </is>
      </c>
      <c r="LS3" s="5" t="inlineStr">
        <is>
          <t>PX_LAST</t>
        </is>
      </c>
      <c r="LT3" s="5" t="inlineStr">
        <is>
          <t>PX_SETTLE</t>
        </is>
      </c>
      <c r="LU3" s="5" t="inlineStr">
        <is>
          <t>PX_VOLUME</t>
        </is>
      </c>
      <c r="LV3" s="5" t="inlineStr">
        <is>
          <t>OPEN_INT</t>
        </is>
      </c>
      <c r="LW3" s="5" t="inlineStr">
        <is>
          <t>IVOL_MID</t>
        </is>
      </c>
      <c r="LX3" s="5" t="inlineStr">
        <is>
          <t>IVOL_BID</t>
        </is>
      </c>
      <c r="LY3" s="5" t="inlineStr">
        <is>
          <t>IVOL_ASK</t>
        </is>
      </c>
      <c r="LZ3" s="5" t="inlineStr">
        <is>
          <t>DELTA_MID</t>
        </is>
      </c>
      <c r="MA3" s="5" t="inlineStr">
        <is>
          <t>GAMMA_MID</t>
        </is>
      </c>
      <c r="MB3" s="5" t="inlineStr">
        <is>
          <t>VEGA_MID</t>
        </is>
      </c>
      <c r="MC3" s="5" t="inlineStr">
        <is>
          <t>THETA_MID</t>
        </is>
      </c>
      <c r="MD3" s="5" t="inlineStr">
        <is>
          <t>OPT_UNDL_PX</t>
        </is>
      </c>
      <c r="MF3" s="5" t="inlineStr">
        <is>
          <t>Date</t>
        </is>
      </c>
      <c r="MG3" s="5" t="inlineStr">
        <is>
          <t>PX_BID</t>
        </is>
      </c>
      <c r="MH3" s="5" t="inlineStr">
        <is>
          <t>PX_ASK</t>
        </is>
      </c>
      <c r="MI3" s="5" t="inlineStr">
        <is>
          <t>PX_MID</t>
        </is>
      </c>
      <c r="MJ3" s="5" t="inlineStr">
        <is>
          <t>PX_LAST</t>
        </is>
      </c>
      <c r="MK3" s="5" t="inlineStr">
        <is>
          <t>PX_SETTLE</t>
        </is>
      </c>
      <c r="ML3" s="5" t="inlineStr">
        <is>
          <t>PX_VOLUME</t>
        </is>
      </c>
      <c r="MM3" s="5" t="inlineStr">
        <is>
          <t>OPEN_INT</t>
        </is>
      </c>
      <c r="MN3" s="5" t="inlineStr">
        <is>
          <t>IVOL_MID</t>
        </is>
      </c>
      <c r="MO3" s="5" t="inlineStr">
        <is>
          <t>IVOL_BID</t>
        </is>
      </c>
      <c r="MP3" s="5" t="inlineStr">
        <is>
          <t>IVOL_ASK</t>
        </is>
      </c>
      <c r="MQ3" s="5" t="inlineStr">
        <is>
          <t>DELTA_MID</t>
        </is>
      </c>
      <c r="MR3" s="5" t="inlineStr">
        <is>
          <t>GAMMA_MID</t>
        </is>
      </c>
      <c r="MS3" s="5" t="inlineStr">
        <is>
          <t>VEGA_MID</t>
        </is>
      </c>
      <c r="MT3" s="5" t="inlineStr">
        <is>
          <t>THETA_MID</t>
        </is>
      </c>
      <c r="MU3" s="5" t="inlineStr">
        <is>
          <t>OPT_UNDL_PX</t>
        </is>
      </c>
      <c r="MW3" s="5" t="inlineStr">
        <is>
          <t>Date</t>
        </is>
      </c>
      <c r="MX3" s="5" t="inlineStr">
        <is>
          <t>PX_BID</t>
        </is>
      </c>
      <c r="MY3" s="5" t="inlineStr">
        <is>
          <t>PX_ASK</t>
        </is>
      </c>
      <c r="MZ3" s="5" t="inlineStr">
        <is>
          <t>PX_MID</t>
        </is>
      </c>
      <c r="NA3" s="5" t="inlineStr">
        <is>
          <t>PX_LAST</t>
        </is>
      </c>
      <c r="NB3" s="5" t="inlineStr">
        <is>
          <t>PX_SETTLE</t>
        </is>
      </c>
      <c r="NC3" s="5" t="inlineStr">
        <is>
          <t>PX_VOLUME</t>
        </is>
      </c>
      <c r="ND3" s="5" t="inlineStr">
        <is>
          <t>OPEN_INT</t>
        </is>
      </c>
      <c r="NE3" s="5" t="inlineStr">
        <is>
          <t>IVOL_MID</t>
        </is>
      </c>
      <c r="NF3" s="5" t="inlineStr">
        <is>
          <t>IVOL_BID</t>
        </is>
      </c>
      <c r="NG3" s="5" t="inlineStr">
        <is>
          <t>IVOL_ASK</t>
        </is>
      </c>
      <c r="NH3" s="5" t="inlineStr">
        <is>
          <t>DELTA_MID</t>
        </is>
      </c>
      <c r="NI3" s="5" t="inlineStr">
        <is>
          <t>GAMMA_MID</t>
        </is>
      </c>
      <c r="NJ3" s="5" t="inlineStr">
        <is>
          <t>VEGA_MID</t>
        </is>
      </c>
      <c r="NK3" s="5" t="inlineStr">
        <is>
          <t>THETA_MID</t>
        </is>
      </c>
      <c r="NL3" s="5" t="inlineStr">
        <is>
          <t>OPT_UNDL_PX</t>
        </is>
      </c>
      <c r="NN3" s="5" t="inlineStr">
        <is>
          <t>Date</t>
        </is>
      </c>
      <c r="NO3" s="5" t="inlineStr">
        <is>
          <t>PX_BID</t>
        </is>
      </c>
      <c r="NP3" s="5" t="inlineStr">
        <is>
          <t>PX_ASK</t>
        </is>
      </c>
      <c r="NQ3" s="5" t="inlineStr">
        <is>
          <t>PX_MID</t>
        </is>
      </c>
      <c r="NR3" s="5" t="inlineStr">
        <is>
          <t>PX_LAST</t>
        </is>
      </c>
      <c r="NS3" s="5" t="inlineStr">
        <is>
          <t>PX_SETTLE</t>
        </is>
      </c>
      <c r="NT3" s="5" t="inlineStr">
        <is>
          <t>PX_VOLUME</t>
        </is>
      </c>
      <c r="NU3" s="5" t="inlineStr">
        <is>
          <t>OPEN_INT</t>
        </is>
      </c>
      <c r="NV3" s="5" t="inlineStr">
        <is>
          <t>IVOL_MID</t>
        </is>
      </c>
      <c r="NW3" s="5" t="inlineStr">
        <is>
          <t>IVOL_BID</t>
        </is>
      </c>
      <c r="NX3" s="5" t="inlineStr">
        <is>
          <t>IVOL_ASK</t>
        </is>
      </c>
      <c r="NY3" s="5" t="inlineStr">
        <is>
          <t>DELTA_MID</t>
        </is>
      </c>
      <c r="NZ3" s="5" t="inlineStr">
        <is>
          <t>GAMMA_MID</t>
        </is>
      </c>
      <c r="OA3" s="5" t="inlineStr">
        <is>
          <t>VEGA_MID</t>
        </is>
      </c>
      <c r="OB3" s="5" t="inlineStr">
        <is>
          <t>THETA_MID</t>
        </is>
      </c>
      <c r="OC3" s="5" t="inlineStr">
        <is>
          <t>OPT_UNDL_PX</t>
        </is>
      </c>
      <c r="OE3" s="5" t="inlineStr">
        <is>
          <t>Date</t>
        </is>
      </c>
      <c r="OF3" s="5" t="inlineStr">
        <is>
          <t>PX_BID</t>
        </is>
      </c>
      <c r="OG3" s="5" t="inlineStr">
        <is>
          <t>PX_ASK</t>
        </is>
      </c>
      <c r="OH3" s="5" t="inlineStr">
        <is>
          <t>PX_MID</t>
        </is>
      </c>
      <c r="OI3" s="5" t="inlineStr">
        <is>
          <t>PX_LAST</t>
        </is>
      </c>
      <c r="OJ3" s="5" t="inlineStr">
        <is>
          <t>PX_SETTLE</t>
        </is>
      </c>
      <c r="OK3" s="5" t="inlineStr">
        <is>
          <t>PX_VOLUME</t>
        </is>
      </c>
      <c r="OL3" s="5" t="inlineStr">
        <is>
          <t>OPEN_INT</t>
        </is>
      </c>
      <c r="OM3" s="5" t="inlineStr">
        <is>
          <t>IVOL_MID</t>
        </is>
      </c>
      <c r="ON3" s="5" t="inlineStr">
        <is>
          <t>IVOL_BID</t>
        </is>
      </c>
      <c r="OO3" s="5" t="inlineStr">
        <is>
          <t>IVOL_ASK</t>
        </is>
      </c>
      <c r="OP3" s="5" t="inlineStr">
        <is>
          <t>DELTA_MID</t>
        </is>
      </c>
      <c r="OQ3" s="5" t="inlineStr">
        <is>
          <t>GAMMA_MID</t>
        </is>
      </c>
      <c r="OR3" s="5" t="inlineStr">
        <is>
          <t>VEGA_MID</t>
        </is>
      </c>
      <c r="OS3" s="5" t="inlineStr">
        <is>
          <t>THETA_MID</t>
        </is>
      </c>
      <c r="OT3" s="5" t="inlineStr">
        <is>
          <t>OPT_UNDL_PX</t>
        </is>
      </c>
      <c r="OV3" s="5" t="inlineStr">
        <is>
          <t>Date</t>
        </is>
      </c>
      <c r="OW3" s="5" t="inlineStr">
        <is>
          <t>PX_BID</t>
        </is>
      </c>
      <c r="OX3" s="5" t="inlineStr">
        <is>
          <t>PX_ASK</t>
        </is>
      </c>
      <c r="OY3" s="5" t="inlineStr">
        <is>
          <t>PX_MID</t>
        </is>
      </c>
      <c r="OZ3" s="5" t="inlineStr">
        <is>
          <t>PX_LAST</t>
        </is>
      </c>
      <c r="PA3" s="5" t="inlineStr">
        <is>
          <t>PX_SETTLE</t>
        </is>
      </c>
      <c r="PB3" s="5" t="inlineStr">
        <is>
          <t>PX_VOLUME</t>
        </is>
      </c>
      <c r="PC3" s="5" t="inlineStr">
        <is>
          <t>OPEN_INT</t>
        </is>
      </c>
      <c r="PD3" s="5" t="inlineStr">
        <is>
          <t>IVOL_MID</t>
        </is>
      </c>
      <c r="PE3" s="5" t="inlineStr">
        <is>
          <t>IVOL_BID</t>
        </is>
      </c>
      <c r="PF3" s="5" t="inlineStr">
        <is>
          <t>IVOL_ASK</t>
        </is>
      </c>
      <c r="PG3" s="5" t="inlineStr">
        <is>
          <t>DELTA_MID</t>
        </is>
      </c>
      <c r="PH3" s="5" t="inlineStr">
        <is>
          <t>GAMMA_MID</t>
        </is>
      </c>
      <c r="PI3" s="5" t="inlineStr">
        <is>
          <t>VEGA_MID</t>
        </is>
      </c>
      <c r="PJ3" s="5" t="inlineStr">
        <is>
          <t>THETA_MID</t>
        </is>
      </c>
      <c r="PK3" s="5" t="inlineStr">
        <is>
          <t>OPT_UNDL_PX</t>
        </is>
      </c>
      <c r="PM3" s="5" t="inlineStr">
        <is>
          <t>Date</t>
        </is>
      </c>
      <c r="PN3" s="5" t="inlineStr">
        <is>
          <t>PX_BID</t>
        </is>
      </c>
      <c r="PO3" s="5" t="inlineStr">
        <is>
          <t>PX_ASK</t>
        </is>
      </c>
      <c r="PP3" s="5" t="inlineStr">
        <is>
          <t>PX_MID</t>
        </is>
      </c>
      <c r="PQ3" s="5" t="inlineStr">
        <is>
          <t>PX_LAST</t>
        </is>
      </c>
      <c r="PR3" s="5" t="inlineStr">
        <is>
          <t>PX_SETTLE</t>
        </is>
      </c>
      <c r="PS3" s="5" t="inlineStr">
        <is>
          <t>PX_VOLUME</t>
        </is>
      </c>
      <c r="PT3" s="5" t="inlineStr">
        <is>
          <t>OPEN_INT</t>
        </is>
      </c>
      <c r="PU3" s="5" t="inlineStr">
        <is>
          <t>IVOL_MID</t>
        </is>
      </c>
      <c r="PV3" s="5" t="inlineStr">
        <is>
          <t>IVOL_BID</t>
        </is>
      </c>
      <c r="PW3" s="5" t="inlineStr">
        <is>
          <t>IVOL_ASK</t>
        </is>
      </c>
      <c r="PX3" s="5" t="inlineStr">
        <is>
          <t>DELTA_MID</t>
        </is>
      </c>
      <c r="PY3" s="5" t="inlineStr">
        <is>
          <t>GAMMA_MID</t>
        </is>
      </c>
      <c r="PZ3" s="5" t="inlineStr">
        <is>
          <t>VEGA_MID</t>
        </is>
      </c>
      <c r="QA3" s="5" t="inlineStr">
        <is>
          <t>THETA_MID</t>
        </is>
      </c>
      <c r="QB3" s="5" t="inlineStr">
        <is>
          <t>OPT_UNDL_PX</t>
        </is>
      </c>
      <c r="QD3" s="5" t="inlineStr">
        <is>
          <t>Date</t>
        </is>
      </c>
      <c r="QE3" s="5" t="inlineStr">
        <is>
          <t>PX_BID</t>
        </is>
      </c>
      <c r="QF3" s="5" t="inlineStr">
        <is>
          <t>PX_ASK</t>
        </is>
      </c>
      <c r="QG3" s="5" t="inlineStr">
        <is>
          <t>PX_MID</t>
        </is>
      </c>
      <c r="QH3" s="5" t="inlineStr">
        <is>
          <t>PX_LAST</t>
        </is>
      </c>
      <c r="QI3" s="5" t="inlineStr">
        <is>
          <t>PX_SETTLE</t>
        </is>
      </c>
      <c r="QJ3" s="5" t="inlineStr">
        <is>
          <t>PX_VOLUME</t>
        </is>
      </c>
      <c r="QK3" s="5" t="inlineStr">
        <is>
          <t>OPEN_INT</t>
        </is>
      </c>
      <c r="QL3" s="5" t="inlineStr">
        <is>
          <t>IVOL_MID</t>
        </is>
      </c>
      <c r="QM3" s="5" t="inlineStr">
        <is>
          <t>IVOL_BID</t>
        </is>
      </c>
      <c r="QN3" s="5" t="inlineStr">
        <is>
          <t>IVOL_ASK</t>
        </is>
      </c>
      <c r="QO3" s="5" t="inlineStr">
        <is>
          <t>DELTA_MID</t>
        </is>
      </c>
      <c r="QP3" s="5" t="inlineStr">
        <is>
          <t>GAMMA_MID</t>
        </is>
      </c>
      <c r="QQ3" s="5" t="inlineStr">
        <is>
          <t>VEGA_MID</t>
        </is>
      </c>
      <c r="QR3" s="5" t="inlineStr">
        <is>
          <t>THETA_MID</t>
        </is>
      </c>
      <c r="QS3" s="5" t="inlineStr">
        <is>
          <t>OPT_UNDL_PX</t>
        </is>
      </c>
      <c r="QU3" s="5" t="inlineStr">
        <is>
          <t>Date</t>
        </is>
      </c>
      <c r="QV3" s="5" t="inlineStr">
        <is>
          <t>PX_BID</t>
        </is>
      </c>
      <c r="QW3" s="5" t="inlineStr">
        <is>
          <t>PX_ASK</t>
        </is>
      </c>
      <c r="QX3" s="5" t="inlineStr">
        <is>
          <t>PX_MID</t>
        </is>
      </c>
      <c r="QY3" s="5" t="inlineStr">
        <is>
          <t>PX_LAST</t>
        </is>
      </c>
      <c r="QZ3" s="5" t="inlineStr">
        <is>
          <t>PX_SETTLE</t>
        </is>
      </c>
      <c r="RA3" s="5" t="inlineStr">
        <is>
          <t>PX_VOLUME</t>
        </is>
      </c>
      <c r="RB3" s="5" t="inlineStr">
        <is>
          <t>OPEN_INT</t>
        </is>
      </c>
      <c r="RC3" s="5" t="inlineStr">
        <is>
          <t>IVOL_MID</t>
        </is>
      </c>
      <c r="RD3" s="5" t="inlineStr">
        <is>
          <t>IVOL_BID</t>
        </is>
      </c>
      <c r="RE3" s="5" t="inlineStr">
        <is>
          <t>IVOL_ASK</t>
        </is>
      </c>
      <c r="RF3" s="5" t="inlineStr">
        <is>
          <t>DELTA_MID</t>
        </is>
      </c>
      <c r="RG3" s="5" t="inlineStr">
        <is>
          <t>GAMMA_MID</t>
        </is>
      </c>
      <c r="RH3" s="5" t="inlineStr">
        <is>
          <t>VEGA_MID</t>
        </is>
      </c>
      <c r="RI3" s="5" t="inlineStr">
        <is>
          <t>THETA_MID</t>
        </is>
      </c>
      <c r="RJ3" s="5" t="inlineStr">
        <is>
          <t>OPT_UNDL_PX</t>
        </is>
      </c>
      <c r="RL3" s="5" t="inlineStr">
        <is>
          <t>Date</t>
        </is>
      </c>
      <c r="RM3" s="5" t="inlineStr">
        <is>
          <t>PX_BID</t>
        </is>
      </c>
      <c r="RN3" s="5" t="inlineStr">
        <is>
          <t>PX_ASK</t>
        </is>
      </c>
      <c r="RO3" s="5" t="inlineStr">
        <is>
          <t>PX_MID</t>
        </is>
      </c>
      <c r="RP3" s="5" t="inlineStr">
        <is>
          <t>PX_LAST</t>
        </is>
      </c>
      <c r="RQ3" s="5" t="inlineStr">
        <is>
          <t>PX_SETTLE</t>
        </is>
      </c>
      <c r="RR3" s="5" t="inlineStr">
        <is>
          <t>PX_VOLUME</t>
        </is>
      </c>
      <c r="RS3" s="5" t="inlineStr">
        <is>
          <t>OPEN_INT</t>
        </is>
      </c>
      <c r="RT3" s="5" t="inlineStr">
        <is>
          <t>IVOL_MID</t>
        </is>
      </c>
      <c r="RU3" s="5" t="inlineStr">
        <is>
          <t>IVOL_BID</t>
        </is>
      </c>
      <c r="RV3" s="5" t="inlineStr">
        <is>
          <t>IVOL_ASK</t>
        </is>
      </c>
      <c r="RW3" s="5" t="inlineStr">
        <is>
          <t>DELTA_MID</t>
        </is>
      </c>
      <c r="RX3" s="5" t="inlineStr">
        <is>
          <t>GAMMA_MID</t>
        </is>
      </c>
      <c r="RY3" s="5" t="inlineStr">
        <is>
          <t>VEGA_MID</t>
        </is>
      </c>
      <c r="RZ3" s="5" t="inlineStr">
        <is>
          <t>THETA_MID</t>
        </is>
      </c>
      <c r="SA3" s="5" t="inlineStr">
        <is>
          <t>OPT_UNDL_PX</t>
        </is>
      </c>
      <c r="SC3" s="5" t="inlineStr">
        <is>
          <t>Date</t>
        </is>
      </c>
      <c r="SD3" s="5" t="inlineStr">
        <is>
          <t>PX_BID</t>
        </is>
      </c>
      <c r="SE3" s="5" t="inlineStr">
        <is>
          <t>PX_ASK</t>
        </is>
      </c>
      <c r="SF3" s="5" t="inlineStr">
        <is>
          <t>PX_MID</t>
        </is>
      </c>
      <c r="SG3" s="5" t="inlineStr">
        <is>
          <t>PX_LAST</t>
        </is>
      </c>
      <c r="SH3" s="5" t="inlineStr">
        <is>
          <t>PX_SETTLE</t>
        </is>
      </c>
      <c r="SI3" s="5" t="inlineStr">
        <is>
          <t>PX_VOLUME</t>
        </is>
      </c>
      <c r="SJ3" s="5" t="inlineStr">
        <is>
          <t>OPEN_INT</t>
        </is>
      </c>
      <c r="SK3" s="5" t="inlineStr">
        <is>
          <t>IVOL_MID</t>
        </is>
      </c>
      <c r="SL3" s="5" t="inlineStr">
        <is>
          <t>IVOL_BID</t>
        </is>
      </c>
      <c r="SM3" s="5" t="inlineStr">
        <is>
          <t>IVOL_ASK</t>
        </is>
      </c>
      <c r="SN3" s="5" t="inlineStr">
        <is>
          <t>DELTA_MID</t>
        </is>
      </c>
      <c r="SO3" s="5" t="inlineStr">
        <is>
          <t>GAMMA_MID</t>
        </is>
      </c>
      <c r="SP3" s="5" t="inlineStr">
        <is>
          <t>VEGA_MID</t>
        </is>
      </c>
      <c r="SQ3" s="5" t="inlineStr">
        <is>
          <t>THETA_MID</t>
        </is>
      </c>
      <c r="SR3" s="5" t="inlineStr">
        <is>
          <t>OPT_UNDL_PX</t>
        </is>
      </c>
      <c r="ST3" s="5" t="inlineStr">
        <is>
          <t>Date</t>
        </is>
      </c>
      <c r="SU3" s="5" t="inlineStr">
        <is>
          <t>PX_BID</t>
        </is>
      </c>
      <c r="SV3" s="5" t="inlineStr">
        <is>
          <t>PX_ASK</t>
        </is>
      </c>
      <c r="SW3" s="5" t="inlineStr">
        <is>
          <t>PX_MID</t>
        </is>
      </c>
      <c r="SX3" s="5" t="inlineStr">
        <is>
          <t>PX_LAST</t>
        </is>
      </c>
      <c r="SY3" s="5" t="inlineStr">
        <is>
          <t>PX_SETTLE</t>
        </is>
      </c>
      <c r="SZ3" s="5" t="inlineStr">
        <is>
          <t>PX_VOLUME</t>
        </is>
      </c>
      <c r="TA3" s="5" t="inlineStr">
        <is>
          <t>OPEN_INT</t>
        </is>
      </c>
      <c r="TB3" s="5" t="inlineStr">
        <is>
          <t>IVOL_MID</t>
        </is>
      </c>
      <c r="TC3" s="5" t="inlineStr">
        <is>
          <t>IVOL_BID</t>
        </is>
      </c>
      <c r="TD3" s="5" t="inlineStr">
        <is>
          <t>IVOL_ASK</t>
        </is>
      </c>
      <c r="TE3" s="5" t="inlineStr">
        <is>
          <t>DELTA_MID</t>
        </is>
      </c>
      <c r="TF3" s="5" t="inlineStr">
        <is>
          <t>GAMMA_MID</t>
        </is>
      </c>
      <c r="TG3" s="5" t="inlineStr">
        <is>
          <t>VEGA_MID</t>
        </is>
      </c>
      <c r="TH3" s="5" t="inlineStr">
        <is>
          <t>THETA_MID</t>
        </is>
      </c>
      <c r="TI3" s="5" t="inlineStr">
        <is>
          <t>OPT_UNDL_PX</t>
        </is>
      </c>
      <c r="TK3" s="5" t="inlineStr">
        <is>
          <t>Date</t>
        </is>
      </c>
      <c r="TL3" s="5" t="inlineStr">
        <is>
          <t>PX_BID</t>
        </is>
      </c>
      <c r="TM3" s="5" t="inlineStr">
        <is>
          <t>PX_ASK</t>
        </is>
      </c>
      <c r="TN3" s="5" t="inlineStr">
        <is>
          <t>PX_MID</t>
        </is>
      </c>
      <c r="TO3" s="5" t="inlineStr">
        <is>
          <t>PX_LAST</t>
        </is>
      </c>
      <c r="TP3" s="5" t="inlineStr">
        <is>
          <t>PX_SETTLE</t>
        </is>
      </c>
      <c r="TQ3" s="5" t="inlineStr">
        <is>
          <t>PX_VOLUME</t>
        </is>
      </c>
      <c r="TR3" s="5" t="inlineStr">
        <is>
          <t>OPEN_INT</t>
        </is>
      </c>
      <c r="TS3" s="5" t="inlineStr">
        <is>
          <t>IVOL_MID</t>
        </is>
      </c>
      <c r="TT3" s="5" t="inlineStr">
        <is>
          <t>IVOL_BID</t>
        </is>
      </c>
      <c r="TU3" s="5" t="inlineStr">
        <is>
          <t>IVOL_ASK</t>
        </is>
      </c>
      <c r="TV3" s="5" t="inlineStr">
        <is>
          <t>DELTA_MID</t>
        </is>
      </c>
      <c r="TW3" s="5" t="inlineStr">
        <is>
          <t>GAMMA_MID</t>
        </is>
      </c>
      <c r="TX3" s="5" t="inlineStr">
        <is>
          <t>VEGA_MID</t>
        </is>
      </c>
      <c r="TY3" s="5" t="inlineStr">
        <is>
          <t>THETA_MID</t>
        </is>
      </c>
      <c r="TZ3" s="5" t="inlineStr">
        <is>
          <t>OPT_UNDL_PX</t>
        </is>
      </c>
      <c r="UB3" s="5" t="inlineStr">
        <is>
          <t>Date</t>
        </is>
      </c>
      <c r="UC3" s="5" t="inlineStr">
        <is>
          <t>PX_BID</t>
        </is>
      </c>
      <c r="UD3" s="5" t="inlineStr">
        <is>
          <t>PX_ASK</t>
        </is>
      </c>
      <c r="UE3" s="5" t="inlineStr">
        <is>
          <t>PX_MID</t>
        </is>
      </c>
      <c r="UF3" s="5" t="inlineStr">
        <is>
          <t>PX_LAST</t>
        </is>
      </c>
      <c r="UG3" s="5" t="inlineStr">
        <is>
          <t>PX_SETTLE</t>
        </is>
      </c>
      <c r="UH3" s="5" t="inlineStr">
        <is>
          <t>PX_VOLUME</t>
        </is>
      </c>
      <c r="UI3" s="5" t="inlineStr">
        <is>
          <t>OPEN_INT</t>
        </is>
      </c>
      <c r="UJ3" s="5" t="inlineStr">
        <is>
          <t>IVOL_MID</t>
        </is>
      </c>
      <c r="UK3" s="5" t="inlineStr">
        <is>
          <t>IVOL_BID</t>
        </is>
      </c>
      <c r="UL3" s="5" t="inlineStr">
        <is>
          <t>IVOL_ASK</t>
        </is>
      </c>
      <c r="UM3" s="5" t="inlineStr">
        <is>
          <t>DELTA_MID</t>
        </is>
      </c>
      <c r="UN3" s="5" t="inlineStr">
        <is>
          <t>GAMMA_MID</t>
        </is>
      </c>
      <c r="UO3" s="5" t="inlineStr">
        <is>
          <t>VEGA_MID</t>
        </is>
      </c>
      <c r="UP3" s="5" t="inlineStr">
        <is>
          <t>THETA_MID</t>
        </is>
      </c>
      <c r="UQ3" s="5" t="inlineStr">
        <is>
          <t>OPT_UNDL_PX</t>
        </is>
      </c>
      <c r="US3" s="5" t="inlineStr">
        <is>
          <t>Date</t>
        </is>
      </c>
      <c r="UT3" s="5" t="inlineStr">
        <is>
          <t>PX_BID</t>
        </is>
      </c>
      <c r="UU3" s="5" t="inlineStr">
        <is>
          <t>PX_ASK</t>
        </is>
      </c>
      <c r="UV3" s="5" t="inlineStr">
        <is>
          <t>PX_MID</t>
        </is>
      </c>
      <c r="UW3" s="5" t="inlineStr">
        <is>
          <t>PX_LAST</t>
        </is>
      </c>
      <c r="UX3" s="5" t="inlineStr">
        <is>
          <t>PX_SETTLE</t>
        </is>
      </c>
      <c r="UY3" s="5" t="inlineStr">
        <is>
          <t>PX_VOLUME</t>
        </is>
      </c>
      <c r="UZ3" s="5" t="inlineStr">
        <is>
          <t>OPEN_INT</t>
        </is>
      </c>
      <c r="VA3" s="5" t="inlineStr">
        <is>
          <t>IVOL_MID</t>
        </is>
      </c>
      <c r="VB3" s="5" t="inlineStr">
        <is>
          <t>IVOL_BID</t>
        </is>
      </c>
      <c r="VC3" s="5" t="inlineStr">
        <is>
          <t>IVOL_ASK</t>
        </is>
      </c>
      <c r="VD3" s="5" t="inlineStr">
        <is>
          <t>DELTA_MID</t>
        </is>
      </c>
      <c r="VE3" s="5" t="inlineStr">
        <is>
          <t>GAMMA_MID</t>
        </is>
      </c>
      <c r="VF3" s="5" t="inlineStr">
        <is>
          <t>VEGA_MID</t>
        </is>
      </c>
      <c r="VG3" s="5" t="inlineStr">
        <is>
          <t>THETA_MID</t>
        </is>
      </c>
      <c r="VH3" s="5" t="inlineStr">
        <is>
          <t>OPT_UNDL_PX</t>
        </is>
      </c>
    </row>
    <row r="4">
      <c r="A4" s="2" t="inlineStr">
        <is>
          <t>Year in ticker</t>
        </is>
      </c>
      <c r="B4" s="4">
        <f>IF(B2&lt;Settings!$B$3,TEXT(MOD(Settings!$E$14,100),"00"),TEXT(MOD(Settings!$E$14,10),"0"))</f>
        <v/>
      </c>
      <c r="D4" s="4">
        <f>BDH(D$1,E$3:S$3,$B$9,$B$10,"Dir=V","Dts=S","Sort=A","Days=T","Fill=B")</f>
        <v/>
      </c>
      <c r="U4" s="4">
        <f>BDH(U$1,V$3:AJ$3,$B$9,$B$10,"Dir=V","Dts=S","Sort=A","Days=T","Fill=B")</f>
        <v/>
      </c>
      <c r="AL4" s="4">
        <f>BDH(AL$1,AM$3:BA$3,$B$9,$B$10,"Dir=V","Dts=S","Sort=A","Days=T","Fill=B")</f>
        <v/>
      </c>
      <c r="BC4" s="4">
        <f>BDH(BC$1,BD$3:BR$3,$B$9,$B$10,"Dir=V","Dts=S","Sort=A","Days=T","Fill=B")</f>
        <v/>
      </c>
      <c r="BT4" s="4">
        <f>BDH(BT$1,BU$3:CI$3,$B$9,$B$10,"Dir=V","Dts=S","Sort=A","Days=T","Fill=B")</f>
        <v/>
      </c>
      <c r="CK4" s="4">
        <f>BDH(CK$1,CL$3:CZ$3,$B$9,$B$10,"Dir=V","Dts=S","Sort=A","Days=T","Fill=B")</f>
        <v/>
      </c>
      <c r="DB4" s="4">
        <f>BDH(DB$1,DC$3:DQ$3,$B$9,$B$10,"Dir=V","Dts=S","Sort=A","Days=T","Fill=B")</f>
        <v/>
      </c>
      <c r="DS4" s="4">
        <f>BDH(DS$1,DT$3:EH$3,$B$9,$B$10,"Dir=V","Dts=S","Sort=A","Days=T","Fill=B")</f>
        <v/>
      </c>
      <c r="EJ4" s="4">
        <f>BDH(EJ$1,EK$3:EY$3,$B$9,$B$10,"Dir=V","Dts=S","Sort=A","Days=T","Fill=B")</f>
        <v/>
      </c>
      <c r="FA4" s="4">
        <f>BDH(FA$1,FB$3:FP$3,$B$9,$B$10,"Dir=V","Dts=S","Sort=A","Days=T","Fill=B")</f>
        <v/>
      </c>
      <c r="FR4" s="4">
        <f>BDH(FR$1,FS$3:GG$3,$B$9,$B$10,"Dir=V","Dts=S","Sort=A","Days=T","Fill=B")</f>
        <v/>
      </c>
      <c r="GI4" s="4">
        <f>BDH(GI$1,GJ$3:GX$3,$B$9,$B$10,"Dir=V","Dts=S","Sort=A","Days=T","Fill=B")</f>
        <v/>
      </c>
      <c r="GZ4" s="4">
        <f>BDH(GZ$1,HA$3:HO$3,$B$9,$B$10,"Dir=V","Dts=S","Sort=A","Days=T","Fill=B")</f>
        <v/>
      </c>
      <c r="HQ4" s="4">
        <f>BDH(HQ$1,HR$3:IF$3,$B$9,$B$10,"Dir=V","Dts=S","Sort=A","Days=T","Fill=B")</f>
        <v/>
      </c>
      <c r="IH4" s="4">
        <f>BDH(IH$1,II$3:IW$3,$B$9,$B$10,"Dir=V","Dts=S","Sort=A","Days=T","Fill=B")</f>
        <v/>
      </c>
      <c r="IY4" s="4">
        <f>BDH(IY$1,IZ$3:JN$3,$B$9,$B$10,"Dir=V","Dts=S","Sort=A","Days=T","Fill=B")</f>
        <v/>
      </c>
      <c r="JP4" s="4">
        <f>BDH(JP$1,JQ$3:KE$3,$B$9,$B$10,"Dir=V","Dts=S","Sort=A","Days=T","Fill=B")</f>
        <v/>
      </c>
      <c r="KG4" s="4">
        <f>BDH(KG$1,KH$3:KV$3,$B$9,$B$10,"Dir=V","Dts=S","Sort=A","Days=T","Fill=B")</f>
        <v/>
      </c>
      <c r="KX4" s="4">
        <f>BDH(KX$1,KY$3:LM$3,$B$9,$B$10,"Dir=V","Dts=S","Sort=A","Days=T","Fill=B")</f>
        <v/>
      </c>
      <c r="LO4" s="4">
        <f>BDH(LO$1,LP$3:MD$3,$B$9,$B$10,"Dir=V","Dts=S","Sort=A","Days=T","Fill=B")</f>
        <v/>
      </c>
      <c r="MF4" s="4">
        <f>BDH(MF$1,MG$3:MU$3,$B$9,$B$10,"Dir=V","Dts=S","Sort=A","Days=T","Fill=B")</f>
        <v/>
      </c>
      <c r="MW4" s="4">
        <f>BDH(MW$1,MX$3:NL$3,$B$9,$B$10,"Dir=V","Dts=S","Sort=A","Days=T","Fill=B")</f>
        <v/>
      </c>
      <c r="NN4" s="4">
        <f>BDH(NN$1,NO$3:OC$3,$B$9,$B$10,"Dir=V","Dts=S","Sort=A","Days=T","Fill=B")</f>
        <v/>
      </c>
      <c r="OE4" s="4">
        <f>BDH(OE$1,OF$3:OT$3,$B$9,$B$10,"Dir=V","Dts=S","Sort=A","Days=T","Fill=B")</f>
        <v/>
      </c>
      <c r="OV4" s="4">
        <f>BDH(OV$1,OW$3:PK$3,$B$9,$B$10,"Dir=V","Dts=S","Sort=A","Days=T","Fill=B")</f>
        <v/>
      </c>
      <c r="PM4" s="4">
        <f>BDH(PM$1,PN$3:QB$3,$B$9,$B$10,"Dir=V","Dts=S","Sort=A","Days=T","Fill=B")</f>
        <v/>
      </c>
      <c r="QD4" s="4">
        <f>BDH(QD$1,QE$3:QS$3,$B$9,$B$10,"Dir=V","Dts=S","Sort=A","Days=T","Fill=B")</f>
        <v/>
      </c>
      <c r="QU4" s="4">
        <f>BDH(QU$1,QV$3:RJ$3,$B$9,$B$10,"Dir=V","Dts=S","Sort=A","Days=T","Fill=B")</f>
        <v/>
      </c>
      <c r="RL4" s="4">
        <f>BDH(RL$1,RM$3:SA$3,$B$9,$B$10,"Dir=V","Dts=S","Sort=A","Days=T","Fill=B")</f>
        <v/>
      </c>
      <c r="SC4" s="4">
        <f>BDH(SC$1,SD$3:SR$3,$B$9,$B$10,"Dir=V","Dts=S","Sort=A","Days=T","Fill=B")</f>
        <v/>
      </c>
      <c r="ST4" s="4">
        <f>BDH(ST$1,SU$3:TI$3,$B$9,$B$10,"Dir=V","Dts=S","Sort=A","Days=T","Fill=B")</f>
        <v/>
      </c>
      <c r="TK4" s="4">
        <f>BDH(TK$1,TL$3:TZ$3,$B$9,$B$10,"Dir=V","Dts=S","Sort=A","Days=T","Fill=B")</f>
        <v/>
      </c>
      <c r="UB4" s="4">
        <f>BDH(UB$1,UC$3:UQ$3,$B$9,$B$10,"Dir=V","Dts=S","Sort=A","Days=T","Fill=B")</f>
        <v/>
      </c>
      <c r="US4" s="4">
        <f>BDH(US$1,UT$3:VH$3,$B$9,$B$10,"Dir=V","Dts=S","Sort=A","Days=T","Fill=B")</f>
        <v/>
      </c>
    </row>
    <row r="5">
      <c r="A5" s="2" t="inlineStr">
        <is>
          <t>Futures ticker</t>
        </is>
      </c>
      <c r="B5" s="4">
        <f>IF(Settings!$B$14="Y","CL"&amp;MID("FGHJKMNQUVXZ",B1,1)&amp;B4&amp;" Comdty","")</f>
        <v/>
      </c>
    </row>
    <row r="6">
      <c r="A6" s="2" t="inlineStr">
        <is>
          <t>Strike reference date</t>
        </is>
      </c>
      <c r="B6" s="8">
        <f>B3-45</f>
        <v/>
      </c>
    </row>
    <row r="7">
      <c r="A7" s="2" t="inlineStr">
        <is>
          <t>Futures price on that date</t>
        </is>
      </c>
      <c r="B7" s="10">
        <f>IF(B5="","",BDH(B5,"PX_LAST",B6,B6,"Days=A","Fill=P","Dts=H"))</f>
        <v/>
      </c>
    </row>
    <row r="8">
      <c r="A8" s="2" t="inlineStr">
        <is>
          <t>ATM strike</t>
        </is>
      </c>
      <c r="B8" s="9">
        <f>IF(ISNUMBER(B7),ROUND(B7,0),"")</f>
        <v/>
      </c>
    </row>
    <row r="9">
      <c r="A9" s="2" t="inlineStr">
        <is>
          <t>History start</t>
        </is>
      </c>
      <c r="B9" s="8">
        <f>B3-100</f>
        <v/>
      </c>
    </row>
    <row r="10">
      <c r="A10" s="2" t="inlineStr">
        <is>
          <t>History end</t>
        </is>
      </c>
      <c r="B10" s="8">
        <f>B3</f>
        <v/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VH10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2" customWidth="1" min="2" max="2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1" customWidth="1" min="15" max="15"/>
    <col width="11" customWidth="1" min="16" max="16"/>
    <col width="10" customWidth="1" min="17" max="17"/>
    <col width="11" customWidth="1" min="18" max="18"/>
    <col width="13" customWidth="1" min="19" max="19"/>
    <col width="12" customWidth="1" min="21" max="21"/>
    <col width="10" customWidth="1" min="22" max="22"/>
    <col width="10" customWidth="1" min="23" max="23"/>
    <col width="10" customWidth="1" min="24" max="24"/>
    <col width="10" customWidth="1" min="25" max="25"/>
    <col width="11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1" customWidth="1" min="32" max="32"/>
    <col width="11" customWidth="1" min="33" max="33"/>
    <col width="10" customWidth="1" min="34" max="34"/>
    <col width="11" customWidth="1" min="35" max="35"/>
    <col width="13" customWidth="1" min="36" max="36"/>
    <col width="12" customWidth="1" min="38" max="38"/>
    <col width="10" customWidth="1" min="39" max="39"/>
    <col width="10" customWidth="1" min="40" max="40"/>
    <col width="10" customWidth="1" min="41" max="41"/>
    <col width="10" customWidth="1" min="42" max="42"/>
    <col width="11" customWidth="1" min="43" max="43"/>
    <col width="11" customWidth="1" min="44" max="44"/>
    <col width="10" customWidth="1" min="45" max="45"/>
    <col width="10" customWidth="1" min="46" max="46"/>
    <col width="10" customWidth="1" min="47" max="47"/>
    <col width="10" customWidth="1" min="48" max="48"/>
    <col width="11" customWidth="1" min="49" max="49"/>
    <col width="11" customWidth="1" min="50" max="50"/>
    <col width="10" customWidth="1" min="51" max="51"/>
    <col width="11" customWidth="1" min="52" max="52"/>
    <col width="13" customWidth="1" min="53" max="53"/>
    <col width="12" customWidth="1" min="55" max="55"/>
    <col width="10" customWidth="1" min="56" max="56"/>
    <col width="10" customWidth="1" min="57" max="57"/>
    <col width="10" customWidth="1" min="58" max="58"/>
    <col width="10" customWidth="1" min="59" max="59"/>
    <col width="11" customWidth="1" min="60" max="60"/>
    <col width="11" customWidth="1" min="61" max="61"/>
    <col width="10" customWidth="1" min="62" max="62"/>
    <col width="10" customWidth="1" min="63" max="63"/>
    <col width="10" customWidth="1" min="64" max="64"/>
    <col width="10" customWidth="1" min="65" max="65"/>
    <col width="11" customWidth="1" min="66" max="66"/>
    <col width="11" customWidth="1" min="67" max="67"/>
    <col width="10" customWidth="1" min="68" max="68"/>
    <col width="11" customWidth="1" min="69" max="69"/>
    <col width="13" customWidth="1" min="70" max="70"/>
    <col width="12" customWidth="1" min="72" max="72"/>
    <col width="10" customWidth="1" min="73" max="73"/>
    <col width="10" customWidth="1" min="74" max="74"/>
    <col width="10" customWidth="1" min="75" max="75"/>
    <col width="10" customWidth="1" min="76" max="76"/>
    <col width="11" customWidth="1" min="77" max="77"/>
    <col width="11" customWidth="1" min="78" max="78"/>
    <col width="10" customWidth="1" min="79" max="79"/>
    <col width="10" customWidth="1" min="80" max="80"/>
    <col width="10" customWidth="1" min="81" max="81"/>
    <col width="10" customWidth="1" min="82" max="82"/>
    <col width="11" customWidth="1" min="83" max="83"/>
    <col width="11" customWidth="1" min="84" max="84"/>
    <col width="10" customWidth="1" min="85" max="85"/>
    <col width="11" customWidth="1" min="86" max="86"/>
    <col width="13" customWidth="1" min="87" max="87"/>
    <col width="12" customWidth="1" min="89" max="89"/>
    <col width="10" customWidth="1" min="90" max="90"/>
    <col width="10" customWidth="1" min="91" max="91"/>
    <col width="10" customWidth="1" min="92" max="92"/>
    <col width="10" customWidth="1" min="93" max="93"/>
    <col width="11" customWidth="1" min="94" max="94"/>
    <col width="11" customWidth="1" min="95" max="95"/>
    <col width="10" customWidth="1" min="96" max="96"/>
    <col width="10" customWidth="1" min="97" max="97"/>
    <col width="10" customWidth="1" min="98" max="98"/>
    <col width="10" customWidth="1" min="99" max="99"/>
    <col width="11" customWidth="1" min="100" max="100"/>
    <col width="11" customWidth="1" min="101" max="101"/>
    <col width="10" customWidth="1" min="102" max="102"/>
    <col width="11" customWidth="1" min="103" max="103"/>
    <col width="13" customWidth="1" min="104" max="104"/>
    <col width="12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1" customWidth="1" min="111" max="111"/>
    <col width="11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1" customWidth="1" min="117" max="117"/>
    <col width="11" customWidth="1" min="118" max="118"/>
    <col width="10" customWidth="1" min="119" max="119"/>
    <col width="11" customWidth="1" min="120" max="120"/>
    <col width="13" customWidth="1" min="121" max="121"/>
    <col width="12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1" customWidth="1" min="128" max="128"/>
    <col width="11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1" customWidth="1" min="134" max="134"/>
    <col width="11" customWidth="1" min="135" max="135"/>
    <col width="10" customWidth="1" min="136" max="136"/>
    <col width="11" customWidth="1" min="137" max="137"/>
    <col width="13" customWidth="1" min="138" max="138"/>
    <col width="12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1" customWidth="1" min="145" max="145"/>
    <col width="11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1" customWidth="1" min="151" max="151"/>
    <col width="11" customWidth="1" min="152" max="152"/>
    <col width="10" customWidth="1" min="153" max="153"/>
    <col width="11" customWidth="1" min="154" max="154"/>
    <col width="13" customWidth="1" min="155" max="155"/>
    <col width="12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1" customWidth="1" min="162" max="162"/>
    <col width="11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1" customWidth="1" min="168" max="168"/>
    <col width="11" customWidth="1" min="169" max="169"/>
    <col width="10" customWidth="1" min="170" max="170"/>
    <col width="11" customWidth="1" min="171" max="171"/>
    <col width="13" customWidth="1" min="172" max="172"/>
    <col width="12" customWidth="1" min="174" max="174"/>
    <col width="10" customWidth="1" min="175" max="175"/>
    <col width="10" customWidth="1" min="176" max="176"/>
    <col width="10" customWidth="1" min="177" max="177"/>
    <col width="10" customWidth="1" min="178" max="178"/>
    <col width="11" customWidth="1" min="179" max="179"/>
    <col width="11" customWidth="1" min="180" max="180"/>
    <col width="10" customWidth="1" min="181" max="181"/>
    <col width="10" customWidth="1" min="182" max="182"/>
    <col width="10" customWidth="1" min="183" max="183"/>
    <col width="10" customWidth="1" min="184" max="184"/>
    <col width="11" customWidth="1" min="185" max="185"/>
    <col width="11" customWidth="1" min="186" max="186"/>
    <col width="10" customWidth="1" min="187" max="187"/>
    <col width="11" customWidth="1" min="188" max="188"/>
    <col width="13" customWidth="1" min="189" max="189"/>
    <col width="12" customWidth="1" min="191" max="191"/>
    <col width="10" customWidth="1" min="192" max="192"/>
    <col width="10" customWidth="1" min="193" max="193"/>
    <col width="10" customWidth="1" min="194" max="194"/>
    <col width="10" customWidth="1" min="195" max="195"/>
    <col width="11" customWidth="1" min="196" max="196"/>
    <col width="11" customWidth="1" min="197" max="197"/>
    <col width="10" customWidth="1" min="198" max="198"/>
    <col width="10" customWidth="1" min="199" max="199"/>
    <col width="10" customWidth="1" min="200" max="200"/>
    <col width="10" customWidth="1" min="201" max="201"/>
    <col width="11" customWidth="1" min="202" max="202"/>
    <col width="11" customWidth="1" min="203" max="203"/>
    <col width="10" customWidth="1" min="204" max="204"/>
    <col width="11" customWidth="1" min="205" max="205"/>
    <col width="13" customWidth="1" min="206" max="206"/>
    <col width="12" customWidth="1" min="208" max="208"/>
    <col width="10" customWidth="1" min="209" max="209"/>
    <col width="10" customWidth="1" min="210" max="210"/>
    <col width="10" customWidth="1" min="211" max="211"/>
    <col width="10" customWidth="1" min="212" max="212"/>
    <col width="11" customWidth="1" min="213" max="213"/>
    <col width="11" customWidth="1" min="214" max="214"/>
    <col width="10" customWidth="1" min="215" max="215"/>
    <col width="10" customWidth="1" min="216" max="216"/>
    <col width="10" customWidth="1" min="217" max="217"/>
    <col width="10" customWidth="1" min="218" max="218"/>
    <col width="11" customWidth="1" min="219" max="219"/>
    <col width="11" customWidth="1" min="220" max="220"/>
    <col width="10" customWidth="1" min="221" max="221"/>
    <col width="11" customWidth="1" min="222" max="222"/>
    <col width="13" customWidth="1" min="223" max="223"/>
    <col width="12" customWidth="1" min="225" max="225"/>
    <col width="10" customWidth="1" min="226" max="226"/>
    <col width="10" customWidth="1" min="227" max="227"/>
    <col width="10" customWidth="1" min="228" max="228"/>
    <col width="10" customWidth="1" min="229" max="229"/>
    <col width="11" customWidth="1" min="230" max="230"/>
    <col width="11" customWidth="1" min="231" max="231"/>
    <col width="10" customWidth="1" min="232" max="232"/>
    <col width="10" customWidth="1" min="233" max="233"/>
    <col width="10" customWidth="1" min="234" max="234"/>
    <col width="10" customWidth="1" min="235" max="235"/>
    <col width="11" customWidth="1" min="236" max="236"/>
    <col width="11" customWidth="1" min="237" max="237"/>
    <col width="10" customWidth="1" min="238" max="238"/>
    <col width="11" customWidth="1" min="239" max="239"/>
    <col width="13" customWidth="1" min="240" max="240"/>
    <col width="12" customWidth="1" min="242" max="242"/>
    <col width="10" customWidth="1" min="243" max="243"/>
    <col width="10" customWidth="1" min="244" max="244"/>
    <col width="10" customWidth="1" min="245" max="245"/>
    <col width="10" customWidth="1" min="246" max="246"/>
    <col width="11" customWidth="1" min="247" max="247"/>
    <col width="11" customWidth="1" min="248" max="248"/>
    <col width="10" customWidth="1" min="249" max="249"/>
    <col width="10" customWidth="1" min="250" max="250"/>
    <col width="10" customWidth="1" min="251" max="251"/>
    <col width="10" customWidth="1" min="252" max="252"/>
    <col width="11" customWidth="1" min="253" max="253"/>
    <col width="11" customWidth="1" min="254" max="254"/>
    <col width="10" customWidth="1" min="255" max="255"/>
    <col width="11" customWidth="1" min="256" max="256"/>
    <col width="13" customWidth="1" min="257" max="257"/>
    <col width="12" customWidth="1" min="259" max="259"/>
    <col width="10" customWidth="1" min="260" max="260"/>
    <col width="10" customWidth="1" min="261" max="261"/>
    <col width="10" customWidth="1" min="262" max="262"/>
    <col width="10" customWidth="1" min="263" max="263"/>
    <col width="11" customWidth="1" min="264" max="264"/>
    <col width="11" customWidth="1" min="265" max="265"/>
    <col width="10" customWidth="1" min="266" max="266"/>
    <col width="10" customWidth="1" min="267" max="267"/>
    <col width="10" customWidth="1" min="268" max="268"/>
    <col width="10" customWidth="1" min="269" max="269"/>
    <col width="11" customWidth="1" min="270" max="270"/>
    <col width="11" customWidth="1" min="271" max="271"/>
    <col width="10" customWidth="1" min="272" max="272"/>
    <col width="11" customWidth="1" min="273" max="273"/>
    <col width="13" customWidth="1" min="274" max="274"/>
    <col width="12" customWidth="1" min="276" max="276"/>
    <col width="10" customWidth="1" min="277" max="277"/>
    <col width="10" customWidth="1" min="278" max="278"/>
    <col width="10" customWidth="1" min="279" max="279"/>
    <col width="10" customWidth="1" min="280" max="280"/>
    <col width="11" customWidth="1" min="281" max="281"/>
    <col width="11" customWidth="1" min="282" max="282"/>
    <col width="10" customWidth="1" min="283" max="283"/>
    <col width="10" customWidth="1" min="284" max="284"/>
    <col width="10" customWidth="1" min="285" max="285"/>
    <col width="10" customWidth="1" min="286" max="286"/>
    <col width="11" customWidth="1" min="287" max="287"/>
    <col width="11" customWidth="1" min="288" max="288"/>
    <col width="10" customWidth="1" min="289" max="289"/>
    <col width="11" customWidth="1" min="290" max="290"/>
    <col width="13" customWidth="1" min="291" max="291"/>
    <col width="12" customWidth="1" min="293" max="293"/>
    <col width="10" customWidth="1" min="294" max="294"/>
    <col width="10" customWidth="1" min="295" max="295"/>
    <col width="10" customWidth="1" min="296" max="296"/>
    <col width="10" customWidth="1" min="297" max="297"/>
    <col width="11" customWidth="1" min="298" max="298"/>
    <col width="11" customWidth="1" min="299" max="299"/>
    <col width="10" customWidth="1" min="300" max="300"/>
    <col width="10" customWidth="1" min="301" max="301"/>
    <col width="10" customWidth="1" min="302" max="302"/>
    <col width="10" customWidth="1" min="303" max="303"/>
    <col width="11" customWidth="1" min="304" max="304"/>
    <col width="11" customWidth="1" min="305" max="305"/>
    <col width="10" customWidth="1" min="306" max="306"/>
    <col width="11" customWidth="1" min="307" max="307"/>
    <col width="13" customWidth="1" min="308" max="308"/>
    <col width="12" customWidth="1" min="310" max="310"/>
    <col width="10" customWidth="1" min="311" max="311"/>
    <col width="10" customWidth="1" min="312" max="312"/>
    <col width="10" customWidth="1" min="313" max="313"/>
    <col width="10" customWidth="1" min="314" max="314"/>
    <col width="11" customWidth="1" min="315" max="315"/>
    <col width="11" customWidth="1" min="316" max="316"/>
    <col width="10" customWidth="1" min="317" max="317"/>
    <col width="10" customWidth="1" min="318" max="318"/>
    <col width="10" customWidth="1" min="319" max="319"/>
    <col width="10" customWidth="1" min="320" max="320"/>
    <col width="11" customWidth="1" min="321" max="321"/>
    <col width="11" customWidth="1" min="322" max="322"/>
    <col width="10" customWidth="1" min="323" max="323"/>
    <col width="11" customWidth="1" min="324" max="324"/>
    <col width="13" customWidth="1" min="325" max="325"/>
    <col width="12" customWidth="1" min="327" max="327"/>
    <col width="10" customWidth="1" min="328" max="328"/>
    <col width="10" customWidth="1" min="329" max="329"/>
    <col width="10" customWidth="1" min="330" max="330"/>
    <col width="10" customWidth="1" min="331" max="331"/>
    <col width="11" customWidth="1" min="332" max="332"/>
    <col width="11" customWidth="1" min="333" max="333"/>
    <col width="10" customWidth="1" min="334" max="334"/>
    <col width="10" customWidth="1" min="335" max="335"/>
    <col width="10" customWidth="1" min="336" max="336"/>
    <col width="10" customWidth="1" min="337" max="337"/>
    <col width="11" customWidth="1" min="338" max="338"/>
    <col width="11" customWidth="1" min="339" max="339"/>
    <col width="10" customWidth="1" min="340" max="340"/>
    <col width="11" customWidth="1" min="341" max="341"/>
    <col width="13" customWidth="1" min="342" max="342"/>
    <col width="12" customWidth="1" min="344" max="344"/>
    <col width="10" customWidth="1" min="345" max="345"/>
    <col width="10" customWidth="1" min="346" max="346"/>
    <col width="10" customWidth="1" min="347" max="347"/>
    <col width="10" customWidth="1" min="348" max="348"/>
    <col width="11" customWidth="1" min="349" max="349"/>
    <col width="11" customWidth="1" min="350" max="350"/>
    <col width="10" customWidth="1" min="351" max="351"/>
    <col width="10" customWidth="1" min="352" max="352"/>
    <col width="10" customWidth="1" min="353" max="353"/>
    <col width="10" customWidth="1" min="354" max="354"/>
    <col width="11" customWidth="1" min="355" max="355"/>
    <col width="11" customWidth="1" min="356" max="356"/>
    <col width="10" customWidth="1" min="357" max="357"/>
    <col width="11" customWidth="1" min="358" max="358"/>
    <col width="13" customWidth="1" min="359" max="359"/>
    <col width="12" customWidth="1" min="361" max="361"/>
    <col width="10" customWidth="1" min="362" max="362"/>
    <col width="10" customWidth="1" min="363" max="363"/>
    <col width="10" customWidth="1" min="364" max="364"/>
    <col width="10" customWidth="1" min="365" max="365"/>
    <col width="11" customWidth="1" min="366" max="366"/>
    <col width="11" customWidth="1" min="367" max="367"/>
    <col width="10" customWidth="1" min="368" max="368"/>
    <col width="10" customWidth="1" min="369" max="369"/>
    <col width="10" customWidth="1" min="370" max="370"/>
    <col width="10" customWidth="1" min="371" max="371"/>
    <col width="11" customWidth="1" min="372" max="372"/>
    <col width="11" customWidth="1" min="373" max="373"/>
    <col width="10" customWidth="1" min="374" max="374"/>
    <col width="11" customWidth="1" min="375" max="375"/>
    <col width="13" customWidth="1" min="376" max="376"/>
    <col width="12" customWidth="1" min="378" max="378"/>
    <col width="10" customWidth="1" min="379" max="379"/>
    <col width="10" customWidth="1" min="380" max="380"/>
    <col width="10" customWidth="1" min="381" max="381"/>
    <col width="10" customWidth="1" min="382" max="382"/>
    <col width="11" customWidth="1" min="383" max="383"/>
    <col width="11" customWidth="1" min="384" max="384"/>
    <col width="10" customWidth="1" min="385" max="385"/>
    <col width="10" customWidth="1" min="386" max="386"/>
    <col width="10" customWidth="1" min="387" max="387"/>
    <col width="10" customWidth="1" min="388" max="388"/>
    <col width="11" customWidth="1" min="389" max="389"/>
    <col width="11" customWidth="1" min="390" max="390"/>
    <col width="10" customWidth="1" min="391" max="391"/>
    <col width="11" customWidth="1" min="392" max="392"/>
    <col width="13" customWidth="1" min="393" max="393"/>
    <col width="12" customWidth="1" min="395" max="395"/>
    <col width="10" customWidth="1" min="396" max="396"/>
    <col width="10" customWidth="1" min="397" max="397"/>
    <col width="10" customWidth="1" min="398" max="398"/>
    <col width="10" customWidth="1" min="399" max="399"/>
    <col width="11" customWidth="1" min="400" max="400"/>
    <col width="11" customWidth="1" min="401" max="401"/>
    <col width="10" customWidth="1" min="402" max="402"/>
    <col width="10" customWidth="1" min="403" max="403"/>
    <col width="10" customWidth="1" min="404" max="404"/>
    <col width="10" customWidth="1" min="405" max="405"/>
    <col width="11" customWidth="1" min="406" max="406"/>
    <col width="11" customWidth="1" min="407" max="407"/>
    <col width="10" customWidth="1" min="408" max="408"/>
    <col width="11" customWidth="1" min="409" max="409"/>
    <col width="13" customWidth="1" min="410" max="410"/>
    <col width="12" customWidth="1" min="412" max="412"/>
    <col width="10" customWidth="1" min="413" max="413"/>
    <col width="10" customWidth="1" min="414" max="414"/>
    <col width="10" customWidth="1" min="415" max="415"/>
    <col width="10" customWidth="1" min="416" max="416"/>
    <col width="11" customWidth="1" min="417" max="417"/>
    <col width="11" customWidth="1" min="418" max="418"/>
    <col width="10" customWidth="1" min="419" max="419"/>
    <col width="10" customWidth="1" min="420" max="420"/>
    <col width="10" customWidth="1" min="421" max="421"/>
    <col width="10" customWidth="1" min="422" max="422"/>
    <col width="11" customWidth="1" min="423" max="423"/>
    <col width="11" customWidth="1" min="424" max="424"/>
    <col width="10" customWidth="1" min="425" max="425"/>
    <col width="11" customWidth="1" min="426" max="426"/>
    <col width="13" customWidth="1" min="427" max="427"/>
    <col width="12" customWidth="1" min="429" max="429"/>
    <col width="10" customWidth="1" min="430" max="430"/>
    <col width="10" customWidth="1" min="431" max="431"/>
    <col width="10" customWidth="1" min="432" max="432"/>
    <col width="10" customWidth="1" min="433" max="433"/>
    <col width="11" customWidth="1" min="434" max="434"/>
    <col width="11" customWidth="1" min="435" max="435"/>
    <col width="10" customWidth="1" min="436" max="436"/>
    <col width="10" customWidth="1" min="437" max="437"/>
    <col width="10" customWidth="1" min="438" max="438"/>
    <col width="10" customWidth="1" min="439" max="439"/>
    <col width="11" customWidth="1" min="440" max="440"/>
    <col width="11" customWidth="1" min="441" max="441"/>
    <col width="10" customWidth="1" min="442" max="442"/>
    <col width="11" customWidth="1" min="443" max="443"/>
    <col width="13" customWidth="1" min="444" max="444"/>
    <col width="12" customWidth="1" min="446" max="446"/>
    <col width="10" customWidth="1" min="447" max="447"/>
    <col width="10" customWidth="1" min="448" max="448"/>
    <col width="10" customWidth="1" min="449" max="449"/>
    <col width="10" customWidth="1" min="450" max="450"/>
    <col width="11" customWidth="1" min="451" max="451"/>
    <col width="11" customWidth="1" min="452" max="452"/>
    <col width="10" customWidth="1" min="453" max="453"/>
    <col width="10" customWidth="1" min="454" max="454"/>
    <col width="10" customWidth="1" min="455" max="455"/>
    <col width="10" customWidth="1" min="456" max="456"/>
    <col width="11" customWidth="1" min="457" max="457"/>
    <col width="11" customWidth="1" min="458" max="458"/>
    <col width="10" customWidth="1" min="459" max="459"/>
    <col width="11" customWidth="1" min="460" max="460"/>
    <col width="13" customWidth="1" min="461" max="461"/>
    <col width="12" customWidth="1" min="463" max="463"/>
    <col width="10" customWidth="1" min="464" max="464"/>
    <col width="10" customWidth="1" min="465" max="465"/>
    <col width="10" customWidth="1" min="466" max="466"/>
    <col width="10" customWidth="1" min="467" max="467"/>
    <col width="11" customWidth="1" min="468" max="468"/>
    <col width="11" customWidth="1" min="469" max="469"/>
    <col width="10" customWidth="1" min="470" max="470"/>
    <col width="10" customWidth="1" min="471" max="471"/>
    <col width="10" customWidth="1" min="472" max="472"/>
    <col width="10" customWidth="1" min="473" max="473"/>
    <col width="11" customWidth="1" min="474" max="474"/>
    <col width="11" customWidth="1" min="475" max="475"/>
    <col width="10" customWidth="1" min="476" max="476"/>
    <col width="11" customWidth="1" min="477" max="477"/>
    <col width="13" customWidth="1" min="478" max="478"/>
    <col width="12" customWidth="1" min="480" max="480"/>
    <col width="10" customWidth="1" min="481" max="481"/>
    <col width="10" customWidth="1" min="482" max="482"/>
    <col width="10" customWidth="1" min="483" max="483"/>
    <col width="10" customWidth="1" min="484" max="484"/>
    <col width="11" customWidth="1" min="485" max="485"/>
    <col width="11" customWidth="1" min="486" max="486"/>
    <col width="10" customWidth="1" min="487" max="487"/>
    <col width="10" customWidth="1" min="488" max="488"/>
    <col width="10" customWidth="1" min="489" max="489"/>
    <col width="10" customWidth="1" min="490" max="490"/>
    <col width="11" customWidth="1" min="491" max="491"/>
    <col width="11" customWidth="1" min="492" max="492"/>
    <col width="10" customWidth="1" min="493" max="493"/>
    <col width="11" customWidth="1" min="494" max="494"/>
    <col width="13" customWidth="1" min="495" max="495"/>
    <col width="12" customWidth="1" min="497" max="497"/>
    <col width="10" customWidth="1" min="498" max="498"/>
    <col width="10" customWidth="1" min="499" max="499"/>
    <col width="10" customWidth="1" min="500" max="500"/>
    <col width="10" customWidth="1" min="501" max="501"/>
    <col width="11" customWidth="1" min="502" max="502"/>
    <col width="11" customWidth="1" min="503" max="503"/>
    <col width="10" customWidth="1" min="504" max="504"/>
    <col width="10" customWidth="1" min="505" max="505"/>
    <col width="10" customWidth="1" min="506" max="506"/>
    <col width="10" customWidth="1" min="507" max="507"/>
    <col width="11" customWidth="1" min="508" max="508"/>
    <col width="11" customWidth="1" min="509" max="509"/>
    <col width="10" customWidth="1" min="510" max="510"/>
    <col width="11" customWidth="1" min="511" max="511"/>
    <col width="13" customWidth="1" min="512" max="512"/>
    <col width="12" customWidth="1" min="514" max="514"/>
    <col width="10" customWidth="1" min="515" max="515"/>
    <col width="10" customWidth="1" min="516" max="516"/>
    <col width="10" customWidth="1" min="517" max="517"/>
    <col width="10" customWidth="1" min="518" max="518"/>
    <col width="11" customWidth="1" min="519" max="519"/>
    <col width="11" customWidth="1" min="520" max="520"/>
    <col width="10" customWidth="1" min="521" max="521"/>
    <col width="10" customWidth="1" min="522" max="522"/>
    <col width="10" customWidth="1" min="523" max="523"/>
    <col width="10" customWidth="1" min="524" max="524"/>
    <col width="11" customWidth="1" min="525" max="525"/>
    <col width="11" customWidth="1" min="526" max="526"/>
    <col width="10" customWidth="1" min="527" max="527"/>
    <col width="11" customWidth="1" min="528" max="528"/>
    <col width="13" customWidth="1" min="529" max="529"/>
    <col width="12" customWidth="1" min="531" max="531"/>
    <col width="10" customWidth="1" min="532" max="532"/>
    <col width="10" customWidth="1" min="533" max="533"/>
    <col width="10" customWidth="1" min="534" max="534"/>
    <col width="10" customWidth="1" min="535" max="535"/>
    <col width="11" customWidth="1" min="536" max="536"/>
    <col width="11" customWidth="1" min="537" max="537"/>
    <col width="10" customWidth="1" min="538" max="538"/>
    <col width="10" customWidth="1" min="539" max="539"/>
    <col width="10" customWidth="1" min="540" max="540"/>
    <col width="10" customWidth="1" min="541" max="541"/>
    <col width="11" customWidth="1" min="542" max="542"/>
    <col width="11" customWidth="1" min="543" max="543"/>
    <col width="10" customWidth="1" min="544" max="544"/>
    <col width="11" customWidth="1" min="545" max="545"/>
    <col width="13" customWidth="1" min="546" max="546"/>
    <col width="12" customWidth="1" min="548" max="548"/>
    <col width="10" customWidth="1" min="549" max="549"/>
    <col width="10" customWidth="1" min="550" max="550"/>
    <col width="10" customWidth="1" min="551" max="551"/>
    <col width="10" customWidth="1" min="552" max="552"/>
    <col width="11" customWidth="1" min="553" max="553"/>
    <col width="11" customWidth="1" min="554" max="554"/>
    <col width="10" customWidth="1" min="555" max="555"/>
    <col width="10" customWidth="1" min="556" max="556"/>
    <col width="10" customWidth="1" min="557" max="557"/>
    <col width="10" customWidth="1" min="558" max="558"/>
    <col width="11" customWidth="1" min="559" max="559"/>
    <col width="11" customWidth="1" min="560" max="560"/>
    <col width="10" customWidth="1" min="561" max="561"/>
    <col width="11" customWidth="1" min="562" max="562"/>
    <col width="13" customWidth="1" min="563" max="563"/>
    <col width="12" customWidth="1" min="565" max="565"/>
    <col width="10" customWidth="1" min="566" max="566"/>
    <col width="10" customWidth="1" min="567" max="567"/>
    <col width="10" customWidth="1" min="568" max="568"/>
    <col width="10" customWidth="1" min="569" max="569"/>
    <col width="11" customWidth="1" min="570" max="570"/>
    <col width="11" customWidth="1" min="571" max="571"/>
    <col width="10" customWidth="1" min="572" max="572"/>
    <col width="10" customWidth="1" min="573" max="573"/>
    <col width="10" customWidth="1" min="574" max="574"/>
    <col width="10" customWidth="1" min="575" max="575"/>
    <col width="11" customWidth="1" min="576" max="576"/>
    <col width="11" customWidth="1" min="577" max="577"/>
    <col width="10" customWidth="1" min="578" max="578"/>
    <col width="11" customWidth="1" min="579" max="579"/>
    <col width="13" customWidth="1" min="580" max="580"/>
  </cols>
  <sheetData>
    <row r="1">
      <c r="A1" s="2" t="inlineStr">
        <is>
          <t>Contract month</t>
        </is>
      </c>
      <c r="B1" s="9" t="n">
        <v>2</v>
      </c>
      <c r="D1" s="2">
        <f>IF(ISNUMBER(B$8),"CL"&amp;MID("FGHJKMNQUVXZ",B$1,1)&amp;B$4&amp;"C "&amp;IF(Settings!$F$14=2,TEXT((B$8-8),"0.00"),(B$8-8))&amp;" Comdty","")</f>
        <v/>
      </c>
      <c r="U1" s="2">
        <f>IF(ISNUMBER(B$8),"CL"&amp;MID("FGHJKMNQUVXZ",B$1,1)&amp;B$4&amp;"P "&amp;IF(Settings!$F$14=2,TEXT((B$8-8),"0.00"),(B$8-8))&amp;" Comdty","")</f>
        <v/>
      </c>
      <c r="AL1" s="2">
        <f>IF(ISNUMBER(B$8),"CL"&amp;MID("FGHJKMNQUVXZ",B$1,1)&amp;B$4&amp;"C "&amp;IF(Settings!$F$14=2,TEXT((B$8-7),"0.00"),(B$8-7))&amp;" Comdty","")</f>
        <v/>
      </c>
      <c r="BC1" s="2">
        <f>IF(ISNUMBER(B$8),"CL"&amp;MID("FGHJKMNQUVXZ",B$1,1)&amp;B$4&amp;"P "&amp;IF(Settings!$F$14=2,TEXT((B$8-7),"0.00"),(B$8-7))&amp;" Comdty","")</f>
        <v/>
      </c>
      <c r="BT1" s="2">
        <f>IF(ISNUMBER(B$8),"CL"&amp;MID("FGHJKMNQUVXZ",B$1,1)&amp;B$4&amp;"C "&amp;IF(Settings!$F$14=2,TEXT((B$8-6),"0.00"),(B$8-6))&amp;" Comdty","")</f>
        <v/>
      </c>
      <c r="CK1" s="2">
        <f>IF(ISNUMBER(B$8),"CL"&amp;MID("FGHJKMNQUVXZ",B$1,1)&amp;B$4&amp;"P "&amp;IF(Settings!$F$14=2,TEXT((B$8-6),"0.00"),(B$8-6))&amp;" Comdty","")</f>
        <v/>
      </c>
      <c r="DB1" s="2">
        <f>IF(ISNUMBER(B$8),"CL"&amp;MID("FGHJKMNQUVXZ",B$1,1)&amp;B$4&amp;"C "&amp;IF(Settings!$F$14=2,TEXT((B$8-5),"0.00"),(B$8-5))&amp;" Comdty","")</f>
        <v/>
      </c>
      <c r="DS1" s="2">
        <f>IF(ISNUMBER(B$8),"CL"&amp;MID("FGHJKMNQUVXZ",B$1,1)&amp;B$4&amp;"P "&amp;IF(Settings!$F$14=2,TEXT((B$8-5),"0.00"),(B$8-5))&amp;" Comdty","")</f>
        <v/>
      </c>
      <c r="EJ1" s="2">
        <f>IF(ISNUMBER(B$8),"CL"&amp;MID("FGHJKMNQUVXZ",B$1,1)&amp;B$4&amp;"C "&amp;IF(Settings!$F$14=2,TEXT((B$8-4),"0.00"),(B$8-4))&amp;" Comdty","")</f>
        <v/>
      </c>
      <c r="FA1" s="2">
        <f>IF(ISNUMBER(B$8),"CL"&amp;MID("FGHJKMNQUVXZ",B$1,1)&amp;B$4&amp;"P "&amp;IF(Settings!$F$14=2,TEXT((B$8-4),"0.00"),(B$8-4))&amp;" Comdty","")</f>
        <v/>
      </c>
      <c r="FR1" s="2">
        <f>IF(ISNUMBER(B$8),"CL"&amp;MID("FGHJKMNQUVXZ",B$1,1)&amp;B$4&amp;"C "&amp;IF(Settings!$F$14=2,TEXT((B$8-3),"0.00"),(B$8-3))&amp;" Comdty","")</f>
        <v/>
      </c>
      <c r="GI1" s="2">
        <f>IF(ISNUMBER(B$8),"CL"&amp;MID("FGHJKMNQUVXZ",B$1,1)&amp;B$4&amp;"P "&amp;IF(Settings!$F$14=2,TEXT((B$8-3),"0.00"),(B$8-3))&amp;" Comdty","")</f>
        <v/>
      </c>
      <c r="GZ1" s="2">
        <f>IF(ISNUMBER(B$8),"CL"&amp;MID("FGHJKMNQUVXZ",B$1,1)&amp;B$4&amp;"C "&amp;IF(Settings!$F$14=2,TEXT((B$8-2),"0.00"),(B$8-2))&amp;" Comdty","")</f>
        <v/>
      </c>
      <c r="HQ1" s="2">
        <f>IF(ISNUMBER(B$8),"CL"&amp;MID("FGHJKMNQUVXZ",B$1,1)&amp;B$4&amp;"P "&amp;IF(Settings!$F$14=2,TEXT((B$8-2),"0.00"),(B$8-2))&amp;" Comdty","")</f>
        <v/>
      </c>
      <c r="IH1" s="2">
        <f>IF(ISNUMBER(B$8),"CL"&amp;MID("FGHJKMNQUVXZ",B$1,1)&amp;B$4&amp;"C "&amp;IF(Settings!$F$14=2,TEXT((B$8-1),"0.00"),(B$8-1))&amp;" Comdty","")</f>
        <v/>
      </c>
      <c r="IY1" s="2">
        <f>IF(ISNUMBER(B$8),"CL"&amp;MID("FGHJKMNQUVXZ",B$1,1)&amp;B$4&amp;"P "&amp;IF(Settings!$F$14=2,TEXT((B$8-1),"0.00"),(B$8-1))&amp;" Comdty","")</f>
        <v/>
      </c>
      <c r="JP1" s="2">
        <f>IF(ISNUMBER(B$8),"CL"&amp;MID("FGHJKMNQUVXZ",B$1,1)&amp;B$4&amp;"C "&amp;IF(Settings!$F$14=2,TEXT(B$8,"0.00"),B$8)&amp;" Comdty","")</f>
        <v/>
      </c>
      <c r="KG1" s="2">
        <f>IF(ISNUMBER(B$8),"CL"&amp;MID("FGHJKMNQUVXZ",B$1,1)&amp;B$4&amp;"P "&amp;IF(Settings!$F$14=2,TEXT(B$8,"0.00"),B$8)&amp;" Comdty","")</f>
        <v/>
      </c>
      <c r="KX1" s="2">
        <f>IF(ISNUMBER(B$8),"CL"&amp;MID("FGHJKMNQUVXZ",B$1,1)&amp;B$4&amp;"C "&amp;IF(Settings!$F$14=2,TEXT((B$8+1),"0.00"),(B$8+1))&amp;" Comdty","")</f>
        <v/>
      </c>
      <c r="LO1" s="2">
        <f>IF(ISNUMBER(B$8),"CL"&amp;MID("FGHJKMNQUVXZ",B$1,1)&amp;B$4&amp;"P "&amp;IF(Settings!$F$14=2,TEXT((B$8+1),"0.00"),(B$8+1))&amp;" Comdty","")</f>
        <v/>
      </c>
      <c r="MF1" s="2">
        <f>IF(ISNUMBER(B$8),"CL"&amp;MID("FGHJKMNQUVXZ",B$1,1)&amp;B$4&amp;"C "&amp;IF(Settings!$F$14=2,TEXT((B$8+2),"0.00"),(B$8+2))&amp;" Comdty","")</f>
        <v/>
      </c>
      <c r="MW1" s="2">
        <f>IF(ISNUMBER(B$8),"CL"&amp;MID("FGHJKMNQUVXZ",B$1,1)&amp;B$4&amp;"P "&amp;IF(Settings!$F$14=2,TEXT((B$8+2),"0.00"),(B$8+2))&amp;" Comdty","")</f>
        <v/>
      </c>
      <c r="NN1" s="2">
        <f>IF(ISNUMBER(B$8),"CL"&amp;MID("FGHJKMNQUVXZ",B$1,1)&amp;B$4&amp;"C "&amp;IF(Settings!$F$14=2,TEXT((B$8+3),"0.00"),(B$8+3))&amp;" Comdty","")</f>
        <v/>
      </c>
      <c r="OE1" s="2">
        <f>IF(ISNUMBER(B$8),"CL"&amp;MID("FGHJKMNQUVXZ",B$1,1)&amp;B$4&amp;"P "&amp;IF(Settings!$F$14=2,TEXT((B$8+3),"0.00"),(B$8+3))&amp;" Comdty","")</f>
        <v/>
      </c>
      <c r="OV1" s="2">
        <f>IF(ISNUMBER(B$8),"CL"&amp;MID("FGHJKMNQUVXZ",B$1,1)&amp;B$4&amp;"C "&amp;IF(Settings!$F$14=2,TEXT((B$8+4),"0.00"),(B$8+4))&amp;" Comdty","")</f>
        <v/>
      </c>
      <c r="PM1" s="2">
        <f>IF(ISNUMBER(B$8),"CL"&amp;MID("FGHJKMNQUVXZ",B$1,1)&amp;B$4&amp;"P "&amp;IF(Settings!$F$14=2,TEXT((B$8+4),"0.00"),(B$8+4))&amp;" Comdty","")</f>
        <v/>
      </c>
      <c r="QD1" s="2">
        <f>IF(ISNUMBER(B$8),"CL"&amp;MID("FGHJKMNQUVXZ",B$1,1)&amp;B$4&amp;"C "&amp;IF(Settings!$F$14=2,TEXT((B$8+5),"0.00"),(B$8+5))&amp;" Comdty","")</f>
        <v/>
      </c>
      <c r="QU1" s="2">
        <f>IF(ISNUMBER(B$8),"CL"&amp;MID("FGHJKMNQUVXZ",B$1,1)&amp;B$4&amp;"P "&amp;IF(Settings!$F$14=2,TEXT((B$8+5),"0.00"),(B$8+5))&amp;" Comdty","")</f>
        <v/>
      </c>
      <c r="RL1" s="2">
        <f>IF(ISNUMBER(B$8),"CL"&amp;MID("FGHJKMNQUVXZ",B$1,1)&amp;B$4&amp;"C "&amp;IF(Settings!$F$14=2,TEXT((B$8+6),"0.00"),(B$8+6))&amp;" Comdty","")</f>
        <v/>
      </c>
      <c r="SC1" s="2">
        <f>IF(ISNUMBER(B$8),"CL"&amp;MID("FGHJKMNQUVXZ",B$1,1)&amp;B$4&amp;"P "&amp;IF(Settings!$F$14=2,TEXT((B$8+6),"0.00"),(B$8+6))&amp;" Comdty","")</f>
        <v/>
      </c>
      <c r="ST1" s="2">
        <f>IF(ISNUMBER(B$8),"CL"&amp;MID("FGHJKMNQUVXZ",B$1,1)&amp;B$4&amp;"C "&amp;IF(Settings!$F$14=2,TEXT((B$8+7),"0.00"),(B$8+7))&amp;" Comdty","")</f>
        <v/>
      </c>
      <c r="TK1" s="2">
        <f>IF(ISNUMBER(B$8),"CL"&amp;MID("FGHJKMNQUVXZ",B$1,1)&amp;B$4&amp;"P "&amp;IF(Settings!$F$14=2,TEXT((B$8+7),"0.00"),(B$8+7))&amp;" Comdty","")</f>
        <v/>
      </c>
      <c r="UB1" s="2">
        <f>IF(ISNUMBER(B$8),"CL"&amp;MID("FGHJKMNQUVXZ",B$1,1)&amp;B$4&amp;"C "&amp;IF(Settings!$F$14=2,TEXT((B$8+8),"0.00"),(B$8+8))&amp;" Comdty","")</f>
        <v/>
      </c>
      <c r="US1" s="2">
        <f>IF(ISNUMBER(B$8),"CL"&amp;MID("FGHJKMNQUVXZ",B$1,1)&amp;B$4&amp;"P "&amp;IF(Settings!$F$14=2,TEXT((B$8+8),"0.00"),(B$8+8))&amp;" Comdty","")</f>
        <v/>
      </c>
    </row>
    <row r="2">
      <c r="A2" s="2" t="inlineStr">
        <is>
          <t>Futures last trade</t>
        </is>
      </c>
      <c r="B2" s="8">
        <f>WORKDAY(DATE(Settings!$E$14,B1-1,25),-3)</f>
        <v/>
      </c>
      <c r="D2" s="4" t="inlineStr">
        <is>
          <t>call -8 from ATM</t>
        </is>
      </c>
      <c r="U2" s="4" t="inlineStr">
        <is>
          <t>put -8 from ATM</t>
        </is>
      </c>
      <c r="AL2" s="4" t="inlineStr">
        <is>
          <t>call -7 from ATM</t>
        </is>
      </c>
      <c r="BC2" s="4" t="inlineStr">
        <is>
          <t>put -7 from ATM</t>
        </is>
      </c>
      <c r="BT2" s="4" t="inlineStr">
        <is>
          <t>call -6 from ATM</t>
        </is>
      </c>
      <c r="CK2" s="4" t="inlineStr">
        <is>
          <t>put -6 from ATM</t>
        </is>
      </c>
      <c r="DB2" s="4" t="inlineStr">
        <is>
          <t>call -5 from ATM</t>
        </is>
      </c>
      <c r="DS2" s="4" t="inlineStr">
        <is>
          <t>put -5 from ATM</t>
        </is>
      </c>
      <c r="EJ2" s="4" t="inlineStr">
        <is>
          <t>call -4 from ATM</t>
        </is>
      </c>
      <c r="FA2" s="4" t="inlineStr">
        <is>
          <t>put -4 from ATM</t>
        </is>
      </c>
      <c r="FR2" s="4" t="inlineStr">
        <is>
          <t>call -3 from ATM</t>
        </is>
      </c>
      <c r="GI2" s="4" t="inlineStr">
        <is>
          <t>put -3 from ATM</t>
        </is>
      </c>
      <c r="GZ2" s="4" t="inlineStr">
        <is>
          <t>call -2 from ATM</t>
        </is>
      </c>
      <c r="HQ2" s="4" t="inlineStr">
        <is>
          <t>put -2 from ATM</t>
        </is>
      </c>
      <c r="IH2" s="4" t="inlineStr">
        <is>
          <t>call -1 from ATM</t>
        </is>
      </c>
      <c r="IY2" s="4" t="inlineStr">
        <is>
          <t>put -1 from ATM</t>
        </is>
      </c>
      <c r="JP2" s="4" t="inlineStr">
        <is>
          <t>call +0 from ATM</t>
        </is>
      </c>
      <c r="KG2" s="4" t="inlineStr">
        <is>
          <t>put +0 from ATM</t>
        </is>
      </c>
      <c r="KX2" s="4" t="inlineStr">
        <is>
          <t>call +1 from ATM</t>
        </is>
      </c>
      <c r="LO2" s="4" t="inlineStr">
        <is>
          <t>put +1 from ATM</t>
        </is>
      </c>
      <c r="MF2" s="4" t="inlineStr">
        <is>
          <t>call +2 from ATM</t>
        </is>
      </c>
      <c r="MW2" s="4" t="inlineStr">
        <is>
          <t>put +2 from ATM</t>
        </is>
      </c>
      <c r="NN2" s="4" t="inlineStr">
        <is>
          <t>call +3 from ATM</t>
        </is>
      </c>
      <c r="OE2" s="4" t="inlineStr">
        <is>
          <t>put +3 from ATM</t>
        </is>
      </c>
      <c r="OV2" s="4" t="inlineStr">
        <is>
          <t>call +4 from ATM</t>
        </is>
      </c>
      <c r="PM2" s="4" t="inlineStr">
        <is>
          <t>put +4 from ATM</t>
        </is>
      </c>
      <c r="QD2" s="4" t="inlineStr">
        <is>
          <t>call +5 from ATM</t>
        </is>
      </c>
      <c r="QU2" s="4" t="inlineStr">
        <is>
          <t>put +5 from ATM</t>
        </is>
      </c>
      <c r="RL2" s="4" t="inlineStr">
        <is>
          <t>call +6 from ATM</t>
        </is>
      </c>
      <c r="SC2" s="4" t="inlineStr">
        <is>
          <t>put +6 from ATM</t>
        </is>
      </c>
      <c r="ST2" s="4" t="inlineStr">
        <is>
          <t>call +7 from ATM</t>
        </is>
      </c>
      <c r="TK2" s="4" t="inlineStr">
        <is>
          <t>put +7 from ATM</t>
        </is>
      </c>
      <c r="UB2" s="4" t="inlineStr">
        <is>
          <t>call +8 from ATM</t>
        </is>
      </c>
      <c r="US2" s="4" t="inlineStr">
        <is>
          <t>put +8 from ATM</t>
        </is>
      </c>
    </row>
    <row r="3">
      <c r="A3" s="2" t="inlineStr">
        <is>
          <t>Option expiry (approx)</t>
        </is>
      </c>
      <c r="B3" s="8">
        <f>WORKDAY(B2,-1)</f>
        <v/>
      </c>
      <c r="D3" s="5" t="inlineStr">
        <is>
          <t>Date</t>
        </is>
      </c>
      <c r="E3" s="5" t="inlineStr">
        <is>
          <t>PX_BID</t>
        </is>
      </c>
      <c r="F3" s="5" t="inlineStr">
        <is>
          <t>PX_ASK</t>
        </is>
      </c>
      <c r="G3" s="5" t="inlineStr">
        <is>
          <t>PX_MID</t>
        </is>
      </c>
      <c r="H3" s="5" t="inlineStr">
        <is>
          <t>PX_LAST</t>
        </is>
      </c>
      <c r="I3" s="5" t="inlineStr">
        <is>
          <t>PX_SETTLE</t>
        </is>
      </c>
      <c r="J3" s="5" t="inlineStr">
        <is>
          <t>PX_VOLUME</t>
        </is>
      </c>
      <c r="K3" s="5" t="inlineStr">
        <is>
          <t>OPEN_INT</t>
        </is>
      </c>
      <c r="L3" s="5" t="inlineStr">
        <is>
          <t>IVOL_MID</t>
        </is>
      </c>
      <c r="M3" s="5" t="inlineStr">
        <is>
          <t>IVOL_BID</t>
        </is>
      </c>
      <c r="N3" s="5" t="inlineStr">
        <is>
          <t>IVOL_ASK</t>
        </is>
      </c>
      <c r="O3" s="5" t="inlineStr">
        <is>
          <t>DELTA_MID</t>
        </is>
      </c>
      <c r="P3" s="5" t="inlineStr">
        <is>
          <t>GAMMA_MID</t>
        </is>
      </c>
      <c r="Q3" s="5" t="inlineStr">
        <is>
          <t>VEGA_MID</t>
        </is>
      </c>
      <c r="R3" s="5" t="inlineStr">
        <is>
          <t>THETA_MID</t>
        </is>
      </c>
      <c r="S3" s="5" t="inlineStr">
        <is>
          <t>OPT_UNDL_PX</t>
        </is>
      </c>
      <c r="U3" s="5" t="inlineStr">
        <is>
          <t>Date</t>
        </is>
      </c>
      <c r="V3" s="5" t="inlineStr">
        <is>
          <t>PX_BID</t>
        </is>
      </c>
      <c r="W3" s="5" t="inlineStr">
        <is>
          <t>PX_ASK</t>
        </is>
      </c>
      <c r="X3" s="5" t="inlineStr">
        <is>
          <t>PX_MID</t>
        </is>
      </c>
      <c r="Y3" s="5" t="inlineStr">
        <is>
          <t>PX_LAST</t>
        </is>
      </c>
      <c r="Z3" s="5" t="inlineStr">
        <is>
          <t>PX_SETTLE</t>
        </is>
      </c>
      <c r="AA3" s="5" t="inlineStr">
        <is>
          <t>PX_VOLUME</t>
        </is>
      </c>
      <c r="AB3" s="5" t="inlineStr">
        <is>
          <t>OPEN_INT</t>
        </is>
      </c>
      <c r="AC3" s="5" t="inlineStr">
        <is>
          <t>IVOL_MID</t>
        </is>
      </c>
      <c r="AD3" s="5" t="inlineStr">
        <is>
          <t>IVOL_BID</t>
        </is>
      </c>
      <c r="AE3" s="5" t="inlineStr">
        <is>
          <t>IVOL_ASK</t>
        </is>
      </c>
      <c r="AF3" s="5" t="inlineStr">
        <is>
          <t>DELTA_MID</t>
        </is>
      </c>
      <c r="AG3" s="5" t="inlineStr">
        <is>
          <t>GAMMA_MID</t>
        </is>
      </c>
      <c r="AH3" s="5" t="inlineStr">
        <is>
          <t>VEGA_MID</t>
        </is>
      </c>
      <c r="AI3" s="5" t="inlineStr">
        <is>
          <t>THETA_MID</t>
        </is>
      </c>
      <c r="AJ3" s="5" t="inlineStr">
        <is>
          <t>OPT_UNDL_PX</t>
        </is>
      </c>
      <c r="AL3" s="5" t="inlineStr">
        <is>
          <t>Date</t>
        </is>
      </c>
      <c r="AM3" s="5" t="inlineStr">
        <is>
          <t>PX_BID</t>
        </is>
      </c>
      <c r="AN3" s="5" t="inlineStr">
        <is>
          <t>PX_ASK</t>
        </is>
      </c>
      <c r="AO3" s="5" t="inlineStr">
        <is>
          <t>PX_MID</t>
        </is>
      </c>
      <c r="AP3" s="5" t="inlineStr">
        <is>
          <t>PX_LAST</t>
        </is>
      </c>
      <c r="AQ3" s="5" t="inlineStr">
        <is>
          <t>PX_SETTLE</t>
        </is>
      </c>
      <c r="AR3" s="5" t="inlineStr">
        <is>
          <t>PX_VOLUME</t>
        </is>
      </c>
      <c r="AS3" s="5" t="inlineStr">
        <is>
          <t>OPEN_INT</t>
        </is>
      </c>
      <c r="AT3" s="5" t="inlineStr">
        <is>
          <t>IVOL_MID</t>
        </is>
      </c>
      <c r="AU3" s="5" t="inlineStr">
        <is>
          <t>IVOL_BID</t>
        </is>
      </c>
      <c r="AV3" s="5" t="inlineStr">
        <is>
          <t>IVOL_ASK</t>
        </is>
      </c>
      <c r="AW3" s="5" t="inlineStr">
        <is>
          <t>DELTA_MID</t>
        </is>
      </c>
      <c r="AX3" s="5" t="inlineStr">
        <is>
          <t>GAMMA_MID</t>
        </is>
      </c>
      <c r="AY3" s="5" t="inlineStr">
        <is>
          <t>VEGA_MID</t>
        </is>
      </c>
      <c r="AZ3" s="5" t="inlineStr">
        <is>
          <t>THETA_MID</t>
        </is>
      </c>
      <c r="BA3" s="5" t="inlineStr">
        <is>
          <t>OPT_UNDL_PX</t>
        </is>
      </c>
      <c r="BC3" s="5" t="inlineStr">
        <is>
          <t>Date</t>
        </is>
      </c>
      <c r="BD3" s="5" t="inlineStr">
        <is>
          <t>PX_BID</t>
        </is>
      </c>
      <c r="BE3" s="5" t="inlineStr">
        <is>
          <t>PX_ASK</t>
        </is>
      </c>
      <c r="BF3" s="5" t="inlineStr">
        <is>
          <t>PX_MID</t>
        </is>
      </c>
      <c r="BG3" s="5" t="inlineStr">
        <is>
          <t>PX_LAST</t>
        </is>
      </c>
      <c r="BH3" s="5" t="inlineStr">
        <is>
          <t>PX_SETTLE</t>
        </is>
      </c>
      <c r="BI3" s="5" t="inlineStr">
        <is>
          <t>PX_VOLUME</t>
        </is>
      </c>
      <c r="BJ3" s="5" t="inlineStr">
        <is>
          <t>OPEN_INT</t>
        </is>
      </c>
      <c r="BK3" s="5" t="inlineStr">
        <is>
          <t>IVOL_MID</t>
        </is>
      </c>
      <c r="BL3" s="5" t="inlineStr">
        <is>
          <t>IVOL_BID</t>
        </is>
      </c>
      <c r="BM3" s="5" t="inlineStr">
        <is>
          <t>IVOL_ASK</t>
        </is>
      </c>
      <c r="BN3" s="5" t="inlineStr">
        <is>
          <t>DELTA_MID</t>
        </is>
      </c>
      <c r="BO3" s="5" t="inlineStr">
        <is>
          <t>GAMMA_MID</t>
        </is>
      </c>
      <c r="BP3" s="5" t="inlineStr">
        <is>
          <t>VEGA_MID</t>
        </is>
      </c>
      <c r="BQ3" s="5" t="inlineStr">
        <is>
          <t>THETA_MID</t>
        </is>
      </c>
      <c r="BR3" s="5" t="inlineStr">
        <is>
          <t>OPT_UNDL_PX</t>
        </is>
      </c>
      <c r="BT3" s="5" t="inlineStr">
        <is>
          <t>Date</t>
        </is>
      </c>
      <c r="BU3" s="5" t="inlineStr">
        <is>
          <t>PX_BID</t>
        </is>
      </c>
      <c r="BV3" s="5" t="inlineStr">
        <is>
          <t>PX_ASK</t>
        </is>
      </c>
      <c r="BW3" s="5" t="inlineStr">
        <is>
          <t>PX_MID</t>
        </is>
      </c>
      <c r="BX3" s="5" t="inlineStr">
        <is>
          <t>PX_LAST</t>
        </is>
      </c>
      <c r="BY3" s="5" t="inlineStr">
        <is>
          <t>PX_SETTLE</t>
        </is>
      </c>
      <c r="BZ3" s="5" t="inlineStr">
        <is>
          <t>PX_VOLUME</t>
        </is>
      </c>
      <c r="CA3" s="5" t="inlineStr">
        <is>
          <t>OPEN_INT</t>
        </is>
      </c>
      <c r="CB3" s="5" t="inlineStr">
        <is>
          <t>IVOL_MID</t>
        </is>
      </c>
      <c r="CC3" s="5" t="inlineStr">
        <is>
          <t>IVOL_BID</t>
        </is>
      </c>
      <c r="CD3" s="5" t="inlineStr">
        <is>
          <t>IVOL_ASK</t>
        </is>
      </c>
      <c r="CE3" s="5" t="inlineStr">
        <is>
          <t>DELTA_MID</t>
        </is>
      </c>
      <c r="CF3" s="5" t="inlineStr">
        <is>
          <t>GAMMA_MID</t>
        </is>
      </c>
      <c r="CG3" s="5" t="inlineStr">
        <is>
          <t>VEGA_MID</t>
        </is>
      </c>
      <c r="CH3" s="5" t="inlineStr">
        <is>
          <t>THETA_MID</t>
        </is>
      </c>
      <c r="CI3" s="5" t="inlineStr">
        <is>
          <t>OPT_UNDL_PX</t>
        </is>
      </c>
      <c r="CK3" s="5" t="inlineStr">
        <is>
          <t>Date</t>
        </is>
      </c>
      <c r="CL3" s="5" t="inlineStr">
        <is>
          <t>PX_BID</t>
        </is>
      </c>
      <c r="CM3" s="5" t="inlineStr">
        <is>
          <t>PX_ASK</t>
        </is>
      </c>
      <c r="CN3" s="5" t="inlineStr">
        <is>
          <t>PX_MID</t>
        </is>
      </c>
      <c r="CO3" s="5" t="inlineStr">
        <is>
          <t>PX_LAST</t>
        </is>
      </c>
      <c r="CP3" s="5" t="inlineStr">
        <is>
          <t>PX_SETTLE</t>
        </is>
      </c>
      <c r="CQ3" s="5" t="inlineStr">
        <is>
          <t>PX_VOLUME</t>
        </is>
      </c>
      <c r="CR3" s="5" t="inlineStr">
        <is>
          <t>OPEN_INT</t>
        </is>
      </c>
      <c r="CS3" s="5" t="inlineStr">
        <is>
          <t>IVOL_MID</t>
        </is>
      </c>
      <c r="CT3" s="5" t="inlineStr">
        <is>
          <t>IVOL_BID</t>
        </is>
      </c>
      <c r="CU3" s="5" t="inlineStr">
        <is>
          <t>IVOL_ASK</t>
        </is>
      </c>
      <c r="CV3" s="5" t="inlineStr">
        <is>
          <t>DELTA_MID</t>
        </is>
      </c>
      <c r="CW3" s="5" t="inlineStr">
        <is>
          <t>GAMMA_MID</t>
        </is>
      </c>
      <c r="CX3" s="5" t="inlineStr">
        <is>
          <t>VEGA_MID</t>
        </is>
      </c>
      <c r="CY3" s="5" t="inlineStr">
        <is>
          <t>THETA_MID</t>
        </is>
      </c>
      <c r="CZ3" s="5" t="inlineStr">
        <is>
          <t>OPT_UNDL_PX</t>
        </is>
      </c>
      <c r="DB3" s="5" t="inlineStr">
        <is>
          <t>Date</t>
        </is>
      </c>
      <c r="DC3" s="5" t="inlineStr">
        <is>
          <t>PX_BID</t>
        </is>
      </c>
      <c r="DD3" s="5" t="inlineStr">
        <is>
          <t>PX_ASK</t>
        </is>
      </c>
      <c r="DE3" s="5" t="inlineStr">
        <is>
          <t>PX_MID</t>
        </is>
      </c>
      <c r="DF3" s="5" t="inlineStr">
        <is>
          <t>PX_LAST</t>
        </is>
      </c>
      <c r="DG3" s="5" t="inlineStr">
        <is>
          <t>PX_SETTLE</t>
        </is>
      </c>
      <c r="DH3" s="5" t="inlineStr">
        <is>
          <t>PX_VOLUME</t>
        </is>
      </c>
      <c r="DI3" s="5" t="inlineStr">
        <is>
          <t>OPEN_INT</t>
        </is>
      </c>
      <c r="DJ3" s="5" t="inlineStr">
        <is>
          <t>IVOL_MID</t>
        </is>
      </c>
      <c r="DK3" s="5" t="inlineStr">
        <is>
          <t>IVOL_BID</t>
        </is>
      </c>
      <c r="DL3" s="5" t="inlineStr">
        <is>
          <t>IVOL_ASK</t>
        </is>
      </c>
      <c r="DM3" s="5" t="inlineStr">
        <is>
          <t>DELTA_MID</t>
        </is>
      </c>
      <c r="DN3" s="5" t="inlineStr">
        <is>
          <t>GAMMA_MID</t>
        </is>
      </c>
      <c r="DO3" s="5" t="inlineStr">
        <is>
          <t>VEGA_MID</t>
        </is>
      </c>
      <c r="DP3" s="5" t="inlineStr">
        <is>
          <t>THETA_MID</t>
        </is>
      </c>
      <c r="DQ3" s="5" t="inlineStr">
        <is>
          <t>OPT_UNDL_PX</t>
        </is>
      </c>
      <c r="DS3" s="5" t="inlineStr">
        <is>
          <t>Date</t>
        </is>
      </c>
      <c r="DT3" s="5" t="inlineStr">
        <is>
          <t>PX_BID</t>
        </is>
      </c>
      <c r="DU3" s="5" t="inlineStr">
        <is>
          <t>PX_ASK</t>
        </is>
      </c>
      <c r="DV3" s="5" t="inlineStr">
        <is>
          <t>PX_MID</t>
        </is>
      </c>
      <c r="DW3" s="5" t="inlineStr">
        <is>
          <t>PX_LAST</t>
        </is>
      </c>
      <c r="DX3" s="5" t="inlineStr">
        <is>
          <t>PX_SETTLE</t>
        </is>
      </c>
      <c r="DY3" s="5" t="inlineStr">
        <is>
          <t>PX_VOLUME</t>
        </is>
      </c>
      <c r="DZ3" s="5" t="inlineStr">
        <is>
          <t>OPEN_INT</t>
        </is>
      </c>
      <c r="EA3" s="5" t="inlineStr">
        <is>
          <t>IVOL_MID</t>
        </is>
      </c>
      <c r="EB3" s="5" t="inlineStr">
        <is>
          <t>IVOL_BID</t>
        </is>
      </c>
      <c r="EC3" s="5" t="inlineStr">
        <is>
          <t>IVOL_ASK</t>
        </is>
      </c>
      <c r="ED3" s="5" t="inlineStr">
        <is>
          <t>DELTA_MID</t>
        </is>
      </c>
      <c r="EE3" s="5" t="inlineStr">
        <is>
          <t>GAMMA_MID</t>
        </is>
      </c>
      <c r="EF3" s="5" t="inlineStr">
        <is>
          <t>VEGA_MID</t>
        </is>
      </c>
      <c r="EG3" s="5" t="inlineStr">
        <is>
          <t>THETA_MID</t>
        </is>
      </c>
      <c r="EH3" s="5" t="inlineStr">
        <is>
          <t>OPT_UNDL_PX</t>
        </is>
      </c>
      <c r="EJ3" s="5" t="inlineStr">
        <is>
          <t>Date</t>
        </is>
      </c>
      <c r="EK3" s="5" t="inlineStr">
        <is>
          <t>PX_BID</t>
        </is>
      </c>
      <c r="EL3" s="5" t="inlineStr">
        <is>
          <t>PX_ASK</t>
        </is>
      </c>
      <c r="EM3" s="5" t="inlineStr">
        <is>
          <t>PX_MID</t>
        </is>
      </c>
      <c r="EN3" s="5" t="inlineStr">
        <is>
          <t>PX_LAST</t>
        </is>
      </c>
      <c r="EO3" s="5" t="inlineStr">
        <is>
          <t>PX_SETTLE</t>
        </is>
      </c>
      <c r="EP3" s="5" t="inlineStr">
        <is>
          <t>PX_VOLUME</t>
        </is>
      </c>
      <c r="EQ3" s="5" t="inlineStr">
        <is>
          <t>OPEN_INT</t>
        </is>
      </c>
      <c r="ER3" s="5" t="inlineStr">
        <is>
          <t>IVOL_MID</t>
        </is>
      </c>
      <c r="ES3" s="5" t="inlineStr">
        <is>
          <t>IVOL_BID</t>
        </is>
      </c>
      <c r="ET3" s="5" t="inlineStr">
        <is>
          <t>IVOL_ASK</t>
        </is>
      </c>
      <c r="EU3" s="5" t="inlineStr">
        <is>
          <t>DELTA_MID</t>
        </is>
      </c>
      <c r="EV3" s="5" t="inlineStr">
        <is>
          <t>GAMMA_MID</t>
        </is>
      </c>
      <c r="EW3" s="5" t="inlineStr">
        <is>
          <t>VEGA_MID</t>
        </is>
      </c>
      <c r="EX3" s="5" t="inlineStr">
        <is>
          <t>THETA_MID</t>
        </is>
      </c>
      <c r="EY3" s="5" t="inlineStr">
        <is>
          <t>OPT_UNDL_PX</t>
        </is>
      </c>
      <c r="FA3" s="5" t="inlineStr">
        <is>
          <t>Date</t>
        </is>
      </c>
      <c r="FB3" s="5" t="inlineStr">
        <is>
          <t>PX_BID</t>
        </is>
      </c>
      <c r="FC3" s="5" t="inlineStr">
        <is>
          <t>PX_ASK</t>
        </is>
      </c>
      <c r="FD3" s="5" t="inlineStr">
        <is>
          <t>PX_MID</t>
        </is>
      </c>
      <c r="FE3" s="5" t="inlineStr">
        <is>
          <t>PX_LAST</t>
        </is>
      </c>
      <c r="FF3" s="5" t="inlineStr">
        <is>
          <t>PX_SETTLE</t>
        </is>
      </c>
      <c r="FG3" s="5" t="inlineStr">
        <is>
          <t>PX_VOLUME</t>
        </is>
      </c>
      <c r="FH3" s="5" t="inlineStr">
        <is>
          <t>OPEN_INT</t>
        </is>
      </c>
      <c r="FI3" s="5" t="inlineStr">
        <is>
          <t>IVOL_MID</t>
        </is>
      </c>
      <c r="FJ3" s="5" t="inlineStr">
        <is>
          <t>IVOL_BID</t>
        </is>
      </c>
      <c r="FK3" s="5" t="inlineStr">
        <is>
          <t>IVOL_ASK</t>
        </is>
      </c>
      <c r="FL3" s="5" t="inlineStr">
        <is>
          <t>DELTA_MID</t>
        </is>
      </c>
      <c r="FM3" s="5" t="inlineStr">
        <is>
          <t>GAMMA_MID</t>
        </is>
      </c>
      <c r="FN3" s="5" t="inlineStr">
        <is>
          <t>VEGA_MID</t>
        </is>
      </c>
      <c r="FO3" s="5" t="inlineStr">
        <is>
          <t>THETA_MID</t>
        </is>
      </c>
      <c r="FP3" s="5" t="inlineStr">
        <is>
          <t>OPT_UNDL_PX</t>
        </is>
      </c>
      <c r="FR3" s="5" t="inlineStr">
        <is>
          <t>Date</t>
        </is>
      </c>
      <c r="FS3" s="5" t="inlineStr">
        <is>
          <t>PX_BID</t>
        </is>
      </c>
      <c r="FT3" s="5" t="inlineStr">
        <is>
          <t>PX_ASK</t>
        </is>
      </c>
      <c r="FU3" s="5" t="inlineStr">
        <is>
          <t>PX_MID</t>
        </is>
      </c>
      <c r="FV3" s="5" t="inlineStr">
        <is>
          <t>PX_LAST</t>
        </is>
      </c>
      <c r="FW3" s="5" t="inlineStr">
        <is>
          <t>PX_SETTLE</t>
        </is>
      </c>
      <c r="FX3" s="5" t="inlineStr">
        <is>
          <t>PX_VOLUME</t>
        </is>
      </c>
      <c r="FY3" s="5" t="inlineStr">
        <is>
          <t>OPEN_INT</t>
        </is>
      </c>
      <c r="FZ3" s="5" t="inlineStr">
        <is>
          <t>IVOL_MID</t>
        </is>
      </c>
      <c r="GA3" s="5" t="inlineStr">
        <is>
          <t>IVOL_BID</t>
        </is>
      </c>
      <c r="GB3" s="5" t="inlineStr">
        <is>
          <t>IVOL_ASK</t>
        </is>
      </c>
      <c r="GC3" s="5" t="inlineStr">
        <is>
          <t>DELTA_MID</t>
        </is>
      </c>
      <c r="GD3" s="5" t="inlineStr">
        <is>
          <t>GAMMA_MID</t>
        </is>
      </c>
      <c r="GE3" s="5" t="inlineStr">
        <is>
          <t>VEGA_MID</t>
        </is>
      </c>
      <c r="GF3" s="5" t="inlineStr">
        <is>
          <t>THETA_MID</t>
        </is>
      </c>
      <c r="GG3" s="5" t="inlineStr">
        <is>
          <t>OPT_UNDL_PX</t>
        </is>
      </c>
      <c r="GI3" s="5" t="inlineStr">
        <is>
          <t>Date</t>
        </is>
      </c>
      <c r="GJ3" s="5" t="inlineStr">
        <is>
          <t>PX_BID</t>
        </is>
      </c>
      <c r="GK3" s="5" t="inlineStr">
        <is>
          <t>PX_ASK</t>
        </is>
      </c>
      <c r="GL3" s="5" t="inlineStr">
        <is>
          <t>PX_MID</t>
        </is>
      </c>
      <c r="GM3" s="5" t="inlineStr">
        <is>
          <t>PX_LAST</t>
        </is>
      </c>
      <c r="GN3" s="5" t="inlineStr">
        <is>
          <t>PX_SETTLE</t>
        </is>
      </c>
      <c r="GO3" s="5" t="inlineStr">
        <is>
          <t>PX_VOLUME</t>
        </is>
      </c>
      <c r="GP3" s="5" t="inlineStr">
        <is>
          <t>OPEN_INT</t>
        </is>
      </c>
      <c r="GQ3" s="5" t="inlineStr">
        <is>
          <t>IVOL_MID</t>
        </is>
      </c>
      <c r="GR3" s="5" t="inlineStr">
        <is>
          <t>IVOL_BID</t>
        </is>
      </c>
      <c r="GS3" s="5" t="inlineStr">
        <is>
          <t>IVOL_ASK</t>
        </is>
      </c>
      <c r="GT3" s="5" t="inlineStr">
        <is>
          <t>DELTA_MID</t>
        </is>
      </c>
      <c r="GU3" s="5" t="inlineStr">
        <is>
          <t>GAMMA_MID</t>
        </is>
      </c>
      <c r="GV3" s="5" t="inlineStr">
        <is>
          <t>VEGA_MID</t>
        </is>
      </c>
      <c r="GW3" s="5" t="inlineStr">
        <is>
          <t>THETA_MID</t>
        </is>
      </c>
      <c r="GX3" s="5" t="inlineStr">
        <is>
          <t>OPT_UNDL_PX</t>
        </is>
      </c>
      <c r="GZ3" s="5" t="inlineStr">
        <is>
          <t>Date</t>
        </is>
      </c>
      <c r="HA3" s="5" t="inlineStr">
        <is>
          <t>PX_BID</t>
        </is>
      </c>
      <c r="HB3" s="5" t="inlineStr">
        <is>
          <t>PX_ASK</t>
        </is>
      </c>
      <c r="HC3" s="5" t="inlineStr">
        <is>
          <t>PX_MID</t>
        </is>
      </c>
      <c r="HD3" s="5" t="inlineStr">
        <is>
          <t>PX_LAST</t>
        </is>
      </c>
      <c r="HE3" s="5" t="inlineStr">
        <is>
          <t>PX_SETTLE</t>
        </is>
      </c>
      <c r="HF3" s="5" t="inlineStr">
        <is>
          <t>PX_VOLUME</t>
        </is>
      </c>
      <c r="HG3" s="5" t="inlineStr">
        <is>
          <t>OPEN_INT</t>
        </is>
      </c>
      <c r="HH3" s="5" t="inlineStr">
        <is>
          <t>IVOL_MID</t>
        </is>
      </c>
      <c r="HI3" s="5" t="inlineStr">
        <is>
          <t>IVOL_BID</t>
        </is>
      </c>
      <c r="HJ3" s="5" t="inlineStr">
        <is>
          <t>IVOL_ASK</t>
        </is>
      </c>
      <c r="HK3" s="5" t="inlineStr">
        <is>
          <t>DELTA_MID</t>
        </is>
      </c>
      <c r="HL3" s="5" t="inlineStr">
        <is>
          <t>GAMMA_MID</t>
        </is>
      </c>
      <c r="HM3" s="5" t="inlineStr">
        <is>
          <t>VEGA_MID</t>
        </is>
      </c>
      <c r="HN3" s="5" t="inlineStr">
        <is>
          <t>THETA_MID</t>
        </is>
      </c>
      <c r="HO3" s="5" t="inlineStr">
        <is>
          <t>OPT_UNDL_PX</t>
        </is>
      </c>
      <c r="HQ3" s="5" t="inlineStr">
        <is>
          <t>Date</t>
        </is>
      </c>
      <c r="HR3" s="5" t="inlineStr">
        <is>
          <t>PX_BID</t>
        </is>
      </c>
      <c r="HS3" s="5" t="inlineStr">
        <is>
          <t>PX_ASK</t>
        </is>
      </c>
      <c r="HT3" s="5" t="inlineStr">
        <is>
          <t>PX_MID</t>
        </is>
      </c>
      <c r="HU3" s="5" t="inlineStr">
        <is>
          <t>PX_LAST</t>
        </is>
      </c>
      <c r="HV3" s="5" t="inlineStr">
        <is>
          <t>PX_SETTLE</t>
        </is>
      </c>
      <c r="HW3" s="5" t="inlineStr">
        <is>
          <t>PX_VOLUME</t>
        </is>
      </c>
      <c r="HX3" s="5" t="inlineStr">
        <is>
          <t>OPEN_INT</t>
        </is>
      </c>
      <c r="HY3" s="5" t="inlineStr">
        <is>
          <t>IVOL_MID</t>
        </is>
      </c>
      <c r="HZ3" s="5" t="inlineStr">
        <is>
          <t>IVOL_BID</t>
        </is>
      </c>
      <c r="IA3" s="5" t="inlineStr">
        <is>
          <t>IVOL_ASK</t>
        </is>
      </c>
      <c r="IB3" s="5" t="inlineStr">
        <is>
          <t>DELTA_MID</t>
        </is>
      </c>
      <c r="IC3" s="5" t="inlineStr">
        <is>
          <t>GAMMA_MID</t>
        </is>
      </c>
      <c r="ID3" s="5" t="inlineStr">
        <is>
          <t>VEGA_MID</t>
        </is>
      </c>
      <c r="IE3" s="5" t="inlineStr">
        <is>
          <t>THETA_MID</t>
        </is>
      </c>
      <c r="IF3" s="5" t="inlineStr">
        <is>
          <t>OPT_UNDL_PX</t>
        </is>
      </c>
      <c r="IH3" s="5" t="inlineStr">
        <is>
          <t>Date</t>
        </is>
      </c>
      <c r="II3" s="5" t="inlineStr">
        <is>
          <t>PX_BID</t>
        </is>
      </c>
      <c r="IJ3" s="5" t="inlineStr">
        <is>
          <t>PX_ASK</t>
        </is>
      </c>
      <c r="IK3" s="5" t="inlineStr">
        <is>
          <t>PX_MID</t>
        </is>
      </c>
      <c r="IL3" s="5" t="inlineStr">
        <is>
          <t>PX_LAST</t>
        </is>
      </c>
      <c r="IM3" s="5" t="inlineStr">
        <is>
          <t>PX_SETTLE</t>
        </is>
      </c>
      <c r="IN3" s="5" t="inlineStr">
        <is>
          <t>PX_VOLUME</t>
        </is>
      </c>
      <c r="IO3" s="5" t="inlineStr">
        <is>
          <t>OPEN_INT</t>
        </is>
      </c>
      <c r="IP3" s="5" t="inlineStr">
        <is>
          <t>IVOL_MID</t>
        </is>
      </c>
      <c r="IQ3" s="5" t="inlineStr">
        <is>
          <t>IVOL_BID</t>
        </is>
      </c>
      <c r="IR3" s="5" t="inlineStr">
        <is>
          <t>IVOL_ASK</t>
        </is>
      </c>
      <c r="IS3" s="5" t="inlineStr">
        <is>
          <t>DELTA_MID</t>
        </is>
      </c>
      <c r="IT3" s="5" t="inlineStr">
        <is>
          <t>GAMMA_MID</t>
        </is>
      </c>
      <c r="IU3" s="5" t="inlineStr">
        <is>
          <t>VEGA_MID</t>
        </is>
      </c>
      <c r="IV3" s="5" t="inlineStr">
        <is>
          <t>THETA_MID</t>
        </is>
      </c>
      <c r="IW3" s="5" t="inlineStr">
        <is>
          <t>OPT_UNDL_PX</t>
        </is>
      </c>
      <c r="IY3" s="5" t="inlineStr">
        <is>
          <t>Date</t>
        </is>
      </c>
      <c r="IZ3" s="5" t="inlineStr">
        <is>
          <t>PX_BID</t>
        </is>
      </c>
      <c r="JA3" s="5" t="inlineStr">
        <is>
          <t>PX_ASK</t>
        </is>
      </c>
      <c r="JB3" s="5" t="inlineStr">
        <is>
          <t>PX_MID</t>
        </is>
      </c>
      <c r="JC3" s="5" t="inlineStr">
        <is>
          <t>PX_LAST</t>
        </is>
      </c>
      <c r="JD3" s="5" t="inlineStr">
        <is>
          <t>PX_SETTLE</t>
        </is>
      </c>
      <c r="JE3" s="5" t="inlineStr">
        <is>
          <t>PX_VOLUME</t>
        </is>
      </c>
      <c r="JF3" s="5" t="inlineStr">
        <is>
          <t>OPEN_INT</t>
        </is>
      </c>
      <c r="JG3" s="5" t="inlineStr">
        <is>
          <t>IVOL_MID</t>
        </is>
      </c>
      <c r="JH3" s="5" t="inlineStr">
        <is>
          <t>IVOL_BID</t>
        </is>
      </c>
      <c r="JI3" s="5" t="inlineStr">
        <is>
          <t>IVOL_ASK</t>
        </is>
      </c>
      <c r="JJ3" s="5" t="inlineStr">
        <is>
          <t>DELTA_MID</t>
        </is>
      </c>
      <c r="JK3" s="5" t="inlineStr">
        <is>
          <t>GAMMA_MID</t>
        </is>
      </c>
      <c r="JL3" s="5" t="inlineStr">
        <is>
          <t>VEGA_MID</t>
        </is>
      </c>
      <c r="JM3" s="5" t="inlineStr">
        <is>
          <t>THETA_MID</t>
        </is>
      </c>
      <c r="JN3" s="5" t="inlineStr">
        <is>
          <t>OPT_UNDL_PX</t>
        </is>
      </c>
      <c r="JP3" s="5" t="inlineStr">
        <is>
          <t>Date</t>
        </is>
      </c>
      <c r="JQ3" s="5" t="inlineStr">
        <is>
          <t>PX_BID</t>
        </is>
      </c>
      <c r="JR3" s="5" t="inlineStr">
        <is>
          <t>PX_ASK</t>
        </is>
      </c>
      <c r="JS3" s="5" t="inlineStr">
        <is>
          <t>PX_MID</t>
        </is>
      </c>
      <c r="JT3" s="5" t="inlineStr">
        <is>
          <t>PX_LAST</t>
        </is>
      </c>
      <c r="JU3" s="5" t="inlineStr">
        <is>
          <t>PX_SETTLE</t>
        </is>
      </c>
      <c r="JV3" s="5" t="inlineStr">
        <is>
          <t>PX_VOLUME</t>
        </is>
      </c>
      <c r="JW3" s="5" t="inlineStr">
        <is>
          <t>OPEN_INT</t>
        </is>
      </c>
      <c r="JX3" s="5" t="inlineStr">
        <is>
          <t>IVOL_MID</t>
        </is>
      </c>
      <c r="JY3" s="5" t="inlineStr">
        <is>
          <t>IVOL_BID</t>
        </is>
      </c>
      <c r="JZ3" s="5" t="inlineStr">
        <is>
          <t>IVOL_ASK</t>
        </is>
      </c>
      <c r="KA3" s="5" t="inlineStr">
        <is>
          <t>DELTA_MID</t>
        </is>
      </c>
      <c r="KB3" s="5" t="inlineStr">
        <is>
          <t>GAMMA_MID</t>
        </is>
      </c>
      <c r="KC3" s="5" t="inlineStr">
        <is>
          <t>VEGA_MID</t>
        </is>
      </c>
      <c r="KD3" s="5" t="inlineStr">
        <is>
          <t>THETA_MID</t>
        </is>
      </c>
      <c r="KE3" s="5" t="inlineStr">
        <is>
          <t>OPT_UNDL_PX</t>
        </is>
      </c>
      <c r="KG3" s="5" t="inlineStr">
        <is>
          <t>Date</t>
        </is>
      </c>
      <c r="KH3" s="5" t="inlineStr">
        <is>
          <t>PX_BID</t>
        </is>
      </c>
      <c r="KI3" s="5" t="inlineStr">
        <is>
          <t>PX_ASK</t>
        </is>
      </c>
      <c r="KJ3" s="5" t="inlineStr">
        <is>
          <t>PX_MID</t>
        </is>
      </c>
      <c r="KK3" s="5" t="inlineStr">
        <is>
          <t>PX_LAST</t>
        </is>
      </c>
      <c r="KL3" s="5" t="inlineStr">
        <is>
          <t>PX_SETTLE</t>
        </is>
      </c>
      <c r="KM3" s="5" t="inlineStr">
        <is>
          <t>PX_VOLUME</t>
        </is>
      </c>
      <c r="KN3" s="5" t="inlineStr">
        <is>
          <t>OPEN_INT</t>
        </is>
      </c>
      <c r="KO3" s="5" t="inlineStr">
        <is>
          <t>IVOL_MID</t>
        </is>
      </c>
      <c r="KP3" s="5" t="inlineStr">
        <is>
          <t>IVOL_BID</t>
        </is>
      </c>
      <c r="KQ3" s="5" t="inlineStr">
        <is>
          <t>IVOL_ASK</t>
        </is>
      </c>
      <c r="KR3" s="5" t="inlineStr">
        <is>
          <t>DELTA_MID</t>
        </is>
      </c>
      <c r="KS3" s="5" t="inlineStr">
        <is>
          <t>GAMMA_MID</t>
        </is>
      </c>
      <c r="KT3" s="5" t="inlineStr">
        <is>
          <t>VEGA_MID</t>
        </is>
      </c>
      <c r="KU3" s="5" t="inlineStr">
        <is>
          <t>THETA_MID</t>
        </is>
      </c>
      <c r="KV3" s="5" t="inlineStr">
        <is>
          <t>OPT_UNDL_PX</t>
        </is>
      </c>
      <c r="KX3" s="5" t="inlineStr">
        <is>
          <t>Date</t>
        </is>
      </c>
      <c r="KY3" s="5" t="inlineStr">
        <is>
          <t>PX_BID</t>
        </is>
      </c>
      <c r="KZ3" s="5" t="inlineStr">
        <is>
          <t>PX_ASK</t>
        </is>
      </c>
      <c r="LA3" s="5" t="inlineStr">
        <is>
          <t>PX_MID</t>
        </is>
      </c>
      <c r="LB3" s="5" t="inlineStr">
        <is>
          <t>PX_LAST</t>
        </is>
      </c>
      <c r="LC3" s="5" t="inlineStr">
        <is>
          <t>PX_SETTLE</t>
        </is>
      </c>
      <c r="LD3" s="5" t="inlineStr">
        <is>
          <t>PX_VOLUME</t>
        </is>
      </c>
      <c r="LE3" s="5" t="inlineStr">
        <is>
          <t>OPEN_INT</t>
        </is>
      </c>
      <c r="LF3" s="5" t="inlineStr">
        <is>
          <t>IVOL_MID</t>
        </is>
      </c>
      <c r="LG3" s="5" t="inlineStr">
        <is>
          <t>IVOL_BID</t>
        </is>
      </c>
      <c r="LH3" s="5" t="inlineStr">
        <is>
          <t>IVOL_ASK</t>
        </is>
      </c>
      <c r="LI3" s="5" t="inlineStr">
        <is>
          <t>DELTA_MID</t>
        </is>
      </c>
      <c r="LJ3" s="5" t="inlineStr">
        <is>
          <t>GAMMA_MID</t>
        </is>
      </c>
      <c r="LK3" s="5" t="inlineStr">
        <is>
          <t>VEGA_MID</t>
        </is>
      </c>
      <c r="LL3" s="5" t="inlineStr">
        <is>
          <t>THETA_MID</t>
        </is>
      </c>
      <c r="LM3" s="5" t="inlineStr">
        <is>
          <t>OPT_UNDL_PX</t>
        </is>
      </c>
      <c r="LO3" s="5" t="inlineStr">
        <is>
          <t>Date</t>
        </is>
      </c>
      <c r="LP3" s="5" t="inlineStr">
        <is>
          <t>PX_BID</t>
        </is>
      </c>
      <c r="LQ3" s="5" t="inlineStr">
        <is>
          <t>PX_ASK</t>
        </is>
      </c>
      <c r="LR3" s="5" t="inlineStr">
        <is>
          <t>PX_MID</t>
        </is>
      </c>
      <c r="LS3" s="5" t="inlineStr">
        <is>
          <t>PX_LAST</t>
        </is>
      </c>
      <c r="LT3" s="5" t="inlineStr">
        <is>
          <t>PX_SETTLE</t>
        </is>
      </c>
      <c r="LU3" s="5" t="inlineStr">
        <is>
          <t>PX_VOLUME</t>
        </is>
      </c>
      <c r="LV3" s="5" t="inlineStr">
        <is>
          <t>OPEN_INT</t>
        </is>
      </c>
      <c r="LW3" s="5" t="inlineStr">
        <is>
          <t>IVOL_MID</t>
        </is>
      </c>
      <c r="LX3" s="5" t="inlineStr">
        <is>
          <t>IVOL_BID</t>
        </is>
      </c>
      <c r="LY3" s="5" t="inlineStr">
        <is>
          <t>IVOL_ASK</t>
        </is>
      </c>
      <c r="LZ3" s="5" t="inlineStr">
        <is>
          <t>DELTA_MID</t>
        </is>
      </c>
      <c r="MA3" s="5" t="inlineStr">
        <is>
          <t>GAMMA_MID</t>
        </is>
      </c>
      <c r="MB3" s="5" t="inlineStr">
        <is>
          <t>VEGA_MID</t>
        </is>
      </c>
      <c r="MC3" s="5" t="inlineStr">
        <is>
          <t>THETA_MID</t>
        </is>
      </c>
      <c r="MD3" s="5" t="inlineStr">
        <is>
          <t>OPT_UNDL_PX</t>
        </is>
      </c>
      <c r="MF3" s="5" t="inlineStr">
        <is>
          <t>Date</t>
        </is>
      </c>
      <c r="MG3" s="5" t="inlineStr">
        <is>
          <t>PX_BID</t>
        </is>
      </c>
      <c r="MH3" s="5" t="inlineStr">
        <is>
          <t>PX_ASK</t>
        </is>
      </c>
      <c r="MI3" s="5" t="inlineStr">
        <is>
          <t>PX_MID</t>
        </is>
      </c>
      <c r="MJ3" s="5" t="inlineStr">
        <is>
          <t>PX_LAST</t>
        </is>
      </c>
      <c r="MK3" s="5" t="inlineStr">
        <is>
          <t>PX_SETTLE</t>
        </is>
      </c>
      <c r="ML3" s="5" t="inlineStr">
        <is>
          <t>PX_VOLUME</t>
        </is>
      </c>
      <c r="MM3" s="5" t="inlineStr">
        <is>
          <t>OPEN_INT</t>
        </is>
      </c>
      <c r="MN3" s="5" t="inlineStr">
        <is>
          <t>IVOL_MID</t>
        </is>
      </c>
      <c r="MO3" s="5" t="inlineStr">
        <is>
          <t>IVOL_BID</t>
        </is>
      </c>
      <c r="MP3" s="5" t="inlineStr">
        <is>
          <t>IVOL_ASK</t>
        </is>
      </c>
      <c r="MQ3" s="5" t="inlineStr">
        <is>
          <t>DELTA_MID</t>
        </is>
      </c>
      <c r="MR3" s="5" t="inlineStr">
        <is>
          <t>GAMMA_MID</t>
        </is>
      </c>
      <c r="MS3" s="5" t="inlineStr">
        <is>
          <t>VEGA_MID</t>
        </is>
      </c>
      <c r="MT3" s="5" t="inlineStr">
        <is>
          <t>THETA_MID</t>
        </is>
      </c>
      <c r="MU3" s="5" t="inlineStr">
        <is>
          <t>OPT_UNDL_PX</t>
        </is>
      </c>
      <c r="MW3" s="5" t="inlineStr">
        <is>
          <t>Date</t>
        </is>
      </c>
      <c r="MX3" s="5" t="inlineStr">
        <is>
          <t>PX_BID</t>
        </is>
      </c>
      <c r="MY3" s="5" t="inlineStr">
        <is>
          <t>PX_ASK</t>
        </is>
      </c>
      <c r="MZ3" s="5" t="inlineStr">
        <is>
          <t>PX_MID</t>
        </is>
      </c>
      <c r="NA3" s="5" t="inlineStr">
        <is>
          <t>PX_LAST</t>
        </is>
      </c>
      <c r="NB3" s="5" t="inlineStr">
        <is>
          <t>PX_SETTLE</t>
        </is>
      </c>
      <c r="NC3" s="5" t="inlineStr">
        <is>
          <t>PX_VOLUME</t>
        </is>
      </c>
      <c r="ND3" s="5" t="inlineStr">
        <is>
          <t>OPEN_INT</t>
        </is>
      </c>
      <c r="NE3" s="5" t="inlineStr">
        <is>
          <t>IVOL_MID</t>
        </is>
      </c>
      <c r="NF3" s="5" t="inlineStr">
        <is>
          <t>IVOL_BID</t>
        </is>
      </c>
      <c r="NG3" s="5" t="inlineStr">
        <is>
          <t>IVOL_ASK</t>
        </is>
      </c>
      <c r="NH3" s="5" t="inlineStr">
        <is>
          <t>DELTA_MID</t>
        </is>
      </c>
      <c r="NI3" s="5" t="inlineStr">
        <is>
          <t>GAMMA_MID</t>
        </is>
      </c>
      <c r="NJ3" s="5" t="inlineStr">
        <is>
          <t>VEGA_MID</t>
        </is>
      </c>
      <c r="NK3" s="5" t="inlineStr">
        <is>
          <t>THETA_MID</t>
        </is>
      </c>
      <c r="NL3" s="5" t="inlineStr">
        <is>
          <t>OPT_UNDL_PX</t>
        </is>
      </c>
      <c r="NN3" s="5" t="inlineStr">
        <is>
          <t>Date</t>
        </is>
      </c>
      <c r="NO3" s="5" t="inlineStr">
        <is>
          <t>PX_BID</t>
        </is>
      </c>
      <c r="NP3" s="5" t="inlineStr">
        <is>
          <t>PX_ASK</t>
        </is>
      </c>
      <c r="NQ3" s="5" t="inlineStr">
        <is>
          <t>PX_MID</t>
        </is>
      </c>
      <c r="NR3" s="5" t="inlineStr">
        <is>
          <t>PX_LAST</t>
        </is>
      </c>
      <c r="NS3" s="5" t="inlineStr">
        <is>
          <t>PX_SETTLE</t>
        </is>
      </c>
      <c r="NT3" s="5" t="inlineStr">
        <is>
          <t>PX_VOLUME</t>
        </is>
      </c>
      <c r="NU3" s="5" t="inlineStr">
        <is>
          <t>OPEN_INT</t>
        </is>
      </c>
      <c r="NV3" s="5" t="inlineStr">
        <is>
          <t>IVOL_MID</t>
        </is>
      </c>
      <c r="NW3" s="5" t="inlineStr">
        <is>
          <t>IVOL_BID</t>
        </is>
      </c>
      <c r="NX3" s="5" t="inlineStr">
        <is>
          <t>IVOL_ASK</t>
        </is>
      </c>
      <c r="NY3" s="5" t="inlineStr">
        <is>
          <t>DELTA_MID</t>
        </is>
      </c>
      <c r="NZ3" s="5" t="inlineStr">
        <is>
          <t>GAMMA_MID</t>
        </is>
      </c>
      <c r="OA3" s="5" t="inlineStr">
        <is>
          <t>VEGA_MID</t>
        </is>
      </c>
      <c r="OB3" s="5" t="inlineStr">
        <is>
          <t>THETA_MID</t>
        </is>
      </c>
      <c r="OC3" s="5" t="inlineStr">
        <is>
          <t>OPT_UNDL_PX</t>
        </is>
      </c>
      <c r="OE3" s="5" t="inlineStr">
        <is>
          <t>Date</t>
        </is>
      </c>
      <c r="OF3" s="5" t="inlineStr">
        <is>
          <t>PX_BID</t>
        </is>
      </c>
      <c r="OG3" s="5" t="inlineStr">
        <is>
          <t>PX_ASK</t>
        </is>
      </c>
      <c r="OH3" s="5" t="inlineStr">
        <is>
          <t>PX_MID</t>
        </is>
      </c>
      <c r="OI3" s="5" t="inlineStr">
        <is>
          <t>PX_LAST</t>
        </is>
      </c>
      <c r="OJ3" s="5" t="inlineStr">
        <is>
          <t>PX_SETTLE</t>
        </is>
      </c>
      <c r="OK3" s="5" t="inlineStr">
        <is>
          <t>PX_VOLUME</t>
        </is>
      </c>
      <c r="OL3" s="5" t="inlineStr">
        <is>
          <t>OPEN_INT</t>
        </is>
      </c>
      <c r="OM3" s="5" t="inlineStr">
        <is>
          <t>IVOL_MID</t>
        </is>
      </c>
      <c r="ON3" s="5" t="inlineStr">
        <is>
          <t>IVOL_BID</t>
        </is>
      </c>
      <c r="OO3" s="5" t="inlineStr">
        <is>
          <t>IVOL_ASK</t>
        </is>
      </c>
      <c r="OP3" s="5" t="inlineStr">
        <is>
          <t>DELTA_MID</t>
        </is>
      </c>
      <c r="OQ3" s="5" t="inlineStr">
        <is>
          <t>GAMMA_MID</t>
        </is>
      </c>
      <c r="OR3" s="5" t="inlineStr">
        <is>
          <t>VEGA_MID</t>
        </is>
      </c>
      <c r="OS3" s="5" t="inlineStr">
        <is>
          <t>THETA_MID</t>
        </is>
      </c>
      <c r="OT3" s="5" t="inlineStr">
        <is>
          <t>OPT_UNDL_PX</t>
        </is>
      </c>
      <c r="OV3" s="5" t="inlineStr">
        <is>
          <t>Date</t>
        </is>
      </c>
      <c r="OW3" s="5" t="inlineStr">
        <is>
          <t>PX_BID</t>
        </is>
      </c>
      <c r="OX3" s="5" t="inlineStr">
        <is>
          <t>PX_ASK</t>
        </is>
      </c>
      <c r="OY3" s="5" t="inlineStr">
        <is>
          <t>PX_MID</t>
        </is>
      </c>
      <c r="OZ3" s="5" t="inlineStr">
        <is>
          <t>PX_LAST</t>
        </is>
      </c>
      <c r="PA3" s="5" t="inlineStr">
        <is>
          <t>PX_SETTLE</t>
        </is>
      </c>
      <c r="PB3" s="5" t="inlineStr">
        <is>
          <t>PX_VOLUME</t>
        </is>
      </c>
      <c r="PC3" s="5" t="inlineStr">
        <is>
          <t>OPEN_INT</t>
        </is>
      </c>
      <c r="PD3" s="5" t="inlineStr">
        <is>
          <t>IVOL_MID</t>
        </is>
      </c>
      <c r="PE3" s="5" t="inlineStr">
        <is>
          <t>IVOL_BID</t>
        </is>
      </c>
      <c r="PF3" s="5" t="inlineStr">
        <is>
          <t>IVOL_ASK</t>
        </is>
      </c>
      <c r="PG3" s="5" t="inlineStr">
        <is>
          <t>DELTA_MID</t>
        </is>
      </c>
      <c r="PH3" s="5" t="inlineStr">
        <is>
          <t>GAMMA_MID</t>
        </is>
      </c>
      <c r="PI3" s="5" t="inlineStr">
        <is>
          <t>VEGA_MID</t>
        </is>
      </c>
      <c r="PJ3" s="5" t="inlineStr">
        <is>
          <t>THETA_MID</t>
        </is>
      </c>
      <c r="PK3" s="5" t="inlineStr">
        <is>
          <t>OPT_UNDL_PX</t>
        </is>
      </c>
      <c r="PM3" s="5" t="inlineStr">
        <is>
          <t>Date</t>
        </is>
      </c>
      <c r="PN3" s="5" t="inlineStr">
        <is>
          <t>PX_BID</t>
        </is>
      </c>
      <c r="PO3" s="5" t="inlineStr">
        <is>
          <t>PX_ASK</t>
        </is>
      </c>
      <c r="PP3" s="5" t="inlineStr">
        <is>
          <t>PX_MID</t>
        </is>
      </c>
      <c r="PQ3" s="5" t="inlineStr">
        <is>
          <t>PX_LAST</t>
        </is>
      </c>
      <c r="PR3" s="5" t="inlineStr">
        <is>
          <t>PX_SETTLE</t>
        </is>
      </c>
      <c r="PS3" s="5" t="inlineStr">
        <is>
          <t>PX_VOLUME</t>
        </is>
      </c>
      <c r="PT3" s="5" t="inlineStr">
        <is>
          <t>OPEN_INT</t>
        </is>
      </c>
      <c r="PU3" s="5" t="inlineStr">
        <is>
          <t>IVOL_MID</t>
        </is>
      </c>
      <c r="PV3" s="5" t="inlineStr">
        <is>
          <t>IVOL_BID</t>
        </is>
      </c>
      <c r="PW3" s="5" t="inlineStr">
        <is>
          <t>IVOL_ASK</t>
        </is>
      </c>
      <c r="PX3" s="5" t="inlineStr">
        <is>
          <t>DELTA_MID</t>
        </is>
      </c>
      <c r="PY3" s="5" t="inlineStr">
        <is>
          <t>GAMMA_MID</t>
        </is>
      </c>
      <c r="PZ3" s="5" t="inlineStr">
        <is>
          <t>VEGA_MID</t>
        </is>
      </c>
      <c r="QA3" s="5" t="inlineStr">
        <is>
          <t>THETA_MID</t>
        </is>
      </c>
      <c r="QB3" s="5" t="inlineStr">
        <is>
          <t>OPT_UNDL_PX</t>
        </is>
      </c>
      <c r="QD3" s="5" t="inlineStr">
        <is>
          <t>Date</t>
        </is>
      </c>
      <c r="QE3" s="5" t="inlineStr">
        <is>
          <t>PX_BID</t>
        </is>
      </c>
      <c r="QF3" s="5" t="inlineStr">
        <is>
          <t>PX_ASK</t>
        </is>
      </c>
      <c r="QG3" s="5" t="inlineStr">
        <is>
          <t>PX_MID</t>
        </is>
      </c>
      <c r="QH3" s="5" t="inlineStr">
        <is>
          <t>PX_LAST</t>
        </is>
      </c>
      <c r="QI3" s="5" t="inlineStr">
        <is>
          <t>PX_SETTLE</t>
        </is>
      </c>
      <c r="QJ3" s="5" t="inlineStr">
        <is>
          <t>PX_VOLUME</t>
        </is>
      </c>
      <c r="QK3" s="5" t="inlineStr">
        <is>
          <t>OPEN_INT</t>
        </is>
      </c>
      <c r="QL3" s="5" t="inlineStr">
        <is>
          <t>IVOL_MID</t>
        </is>
      </c>
      <c r="QM3" s="5" t="inlineStr">
        <is>
          <t>IVOL_BID</t>
        </is>
      </c>
      <c r="QN3" s="5" t="inlineStr">
        <is>
          <t>IVOL_ASK</t>
        </is>
      </c>
      <c r="QO3" s="5" t="inlineStr">
        <is>
          <t>DELTA_MID</t>
        </is>
      </c>
      <c r="QP3" s="5" t="inlineStr">
        <is>
          <t>GAMMA_MID</t>
        </is>
      </c>
      <c r="QQ3" s="5" t="inlineStr">
        <is>
          <t>VEGA_MID</t>
        </is>
      </c>
      <c r="QR3" s="5" t="inlineStr">
        <is>
          <t>THETA_MID</t>
        </is>
      </c>
      <c r="QS3" s="5" t="inlineStr">
        <is>
          <t>OPT_UNDL_PX</t>
        </is>
      </c>
      <c r="QU3" s="5" t="inlineStr">
        <is>
          <t>Date</t>
        </is>
      </c>
      <c r="QV3" s="5" t="inlineStr">
        <is>
          <t>PX_BID</t>
        </is>
      </c>
      <c r="QW3" s="5" t="inlineStr">
        <is>
          <t>PX_ASK</t>
        </is>
      </c>
      <c r="QX3" s="5" t="inlineStr">
        <is>
          <t>PX_MID</t>
        </is>
      </c>
      <c r="QY3" s="5" t="inlineStr">
        <is>
          <t>PX_LAST</t>
        </is>
      </c>
      <c r="QZ3" s="5" t="inlineStr">
        <is>
          <t>PX_SETTLE</t>
        </is>
      </c>
      <c r="RA3" s="5" t="inlineStr">
        <is>
          <t>PX_VOLUME</t>
        </is>
      </c>
      <c r="RB3" s="5" t="inlineStr">
        <is>
          <t>OPEN_INT</t>
        </is>
      </c>
      <c r="RC3" s="5" t="inlineStr">
        <is>
          <t>IVOL_MID</t>
        </is>
      </c>
      <c r="RD3" s="5" t="inlineStr">
        <is>
          <t>IVOL_BID</t>
        </is>
      </c>
      <c r="RE3" s="5" t="inlineStr">
        <is>
          <t>IVOL_ASK</t>
        </is>
      </c>
      <c r="RF3" s="5" t="inlineStr">
        <is>
          <t>DELTA_MID</t>
        </is>
      </c>
      <c r="RG3" s="5" t="inlineStr">
        <is>
          <t>GAMMA_MID</t>
        </is>
      </c>
      <c r="RH3" s="5" t="inlineStr">
        <is>
          <t>VEGA_MID</t>
        </is>
      </c>
      <c r="RI3" s="5" t="inlineStr">
        <is>
          <t>THETA_MID</t>
        </is>
      </c>
      <c r="RJ3" s="5" t="inlineStr">
        <is>
          <t>OPT_UNDL_PX</t>
        </is>
      </c>
      <c r="RL3" s="5" t="inlineStr">
        <is>
          <t>Date</t>
        </is>
      </c>
      <c r="RM3" s="5" t="inlineStr">
        <is>
          <t>PX_BID</t>
        </is>
      </c>
      <c r="RN3" s="5" t="inlineStr">
        <is>
          <t>PX_ASK</t>
        </is>
      </c>
      <c r="RO3" s="5" t="inlineStr">
        <is>
          <t>PX_MID</t>
        </is>
      </c>
      <c r="RP3" s="5" t="inlineStr">
        <is>
          <t>PX_LAST</t>
        </is>
      </c>
      <c r="RQ3" s="5" t="inlineStr">
        <is>
          <t>PX_SETTLE</t>
        </is>
      </c>
      <c r="RR3" s="5" t="inlineStr">
        <is>
          <t>PX_VOLUME</t>
        </is>
      </c>
      <c r="RS3" s="5" t="inlineStr">
        <is>
          <t>OPEN_INT</t>
        </is>
      </c>
      <c r="RT3" s="5" t="inlineStr">
        <is>
          <t>IVOL_MID</t>
        </is>
      </c>
      <c r="RU3" s="5" t="inlineStr">
        <is>
          <t>IVOL_BID</t>
        </is>
      </c>
      <c r="RV3" s="5" t="inlineStr">
        <is>
          <t>IVOL_ASK</t>
        </is>
      </c>
      <c r="RW3" s="5" t="inlineStr">
        <is>
          <t>DELTA_MID</t>
        </is>
      </c>
      <c r="RX3" s="5" t="inlineStr">
        <is>
          <t>GAMMA_MID</t>
        </is>
      </c>
      <c r="RY3" s="5" t="inlineStr">
        <is>
          <t>VEGA_MID</t>
        </is>
      </c>
      <c r="RZ3" s="5" t="inlineStr">
        <is>
          <t>THETA_MID</t>
        </is>
      </c>
      <c r="SA3" s="5" t="inlineStr">
        <is>
          <t>OPT_UNDL_PX</t>
        </is>
      </c>
      <c r="SC3" s="5" t="inlineStr">
        <is>
          <t>Date</t>
        </is>
      </c>
      <c r="SD3" s="5" t="inlineStr">
        <is>
          <t>PX_BID</t>
        </is>
      </c>
      <c r="SE3" s="5" t="inlineStr">
        <is>
          <t>PX_ASK</t>
        </is>
      </c>
      <c r="SF3" s="5" t="inlineStr">
        <is>
          <t>PX_MID</t>
        </is>
      </c>
      <c r="SG3" s="5" t="inlineStr">
        <is>
          <t>PX_LAST</t>
        </is>
      </c>
      <c r="SH3" s="5" t="inlineStr">
        <is>
          <t>PX_SETTLE</t>
        </is>
      </c>
      <c r="SI3" s="5" t="inlineStr">
        <is>
          <t>PX_VOLUME</t>
        </is>
      </c>
      <c r="SJ3" s="5" t="inlineStr">
        <is>
          <t>OPEN_INT</t>
        </is>
      </c>
      <c r="SK3" s="5" t="inlineStr">
        <is>
          <t>IVOL_MID</t>
        </is>
      </c>
      <c r="SL3" s="5" t="inlineStr">
        <is>
          <t>IVOL_BID</t>
        </is>
      </c>
      <c r="SM3" s="5" t="inlineStr">
        <is>
          <t>IVOL_ASK</t>
        </is>
      </c>
      <c r="SN3" s="5" t="inlineStr">
        <is>
          <t>DELTA_MID</t>
        </is>
      </c>
      <c r="SO3" s="5" t="inlineStr">
        <is>
          <t>GAMMA_MID</t>
        </is>
      </c>
      <c r="SP3" s="5" t="inlineStr">
        <is>
          <t>VEGA_MID</t>
        </is>
      </c>
      <c r="SQ3" s="5" t="inlineStr">
        <is>
          <t>THETA_MID</t>
        </is>
      </c>
      <c r="SR3" s="5" t="inlineStr">
        <is>
          <t>OPT_UNDL_PX</t>
        </is>
      </c>
      <c r="ST3" s="5" t="inlineStr">
        <is>
          <t>Date</t>
        </is>
      </c>
      <c r="SU3" s="5" t="inlineStr">
        <is>
          <t>PX_BID</t>
        </is>
      </c>
      <c r="SV3" s="5" t="inlineStr">
        <is>
          <t>PX_ASK</t>
        </is>
      </c>
      <c r="SW3" s="5" t="inlineStr">
        <is>
          <t>PX_MID</t>
        </is>
      </c>
      <c r="SX3" s="5" t="inlineStr">
        <is>
          <t>PX_LAST</t>
        </is>
      </c>
      <c r="SY3" s="5" t="inlineStr">
        <is>
          <t>PX_SETTLE</t>
        </is>
      </c>
      <c r="SZ3" s="5" t="inlineStr">
        <is>
          <t>PX_VOLUME</t>
        </is>
      </c>
      <c r="TA3" s="5" t="inlineStr">
        <is>
          <t>OPEN_INT</t>
        </is>
      </c>
      <c r="TB3" s="5" t="inlineStr">
        <is>
          <t>IVOL_MID</t>
        </is>
      </c>
      <c r="TC3" s="5" t="inlineStr">
        <is>
          <t>IVOL_BID</t>
        </is>
      </c>
      <c r="TD3" s="5" t="inlineStr">
        <is>
          <t>IVOL_ASK</t>
        </is>
      </c>
      <c r="TE3" s="5" t="inlineStr">
        <is>
          <t>DELTA_MID</t>
        </is>
      </c>
      <c r="TF3" s="5" t="inlineStr">
        <is>
          <t>GAMMA_MID</t>
        </is>
      </c>
      <c r="TG3" s="5" t="inlineStr">
        <is>
          <t>VEGA_MID</t>
        </is>
      </c>
      <c r="TH3" s="5" t="inlineStr">
        <is>
          <t>THETA_MID</t>
        </is>
      </c>
      <c r="TI3" s="5" t="inlineStr">
        <is>
          <t>OPT_UNDL_PX</t>
        </is>
      </c>
      <c r="TK3" s="5" t="inlineStr">
        <is>
          <t>Date</t>
        </is>
      </c>
      <c r="TL3" s="5" t="inlineStr">
        <is>
          <t>PX_BID</t>
        </is>
      </c>
      <c r="TM3" s="5" t="inlineStr">
        <is>
          <t>PX_ASK</t>
        </is>
      </c>
      <c r="TN3" s="5" t="inlineStr">
        <is>
          <t>PX_MID</t>
        </is>
      </c>
      <c r="TO3" s="5" t="inlineStr">
        <is>
          <t>PX_LAST</t>
        </is>
      </c>
      <c r="TP3" s="5" t="inlineStr">
        <is>
          <t>PX_SETTLE</t>
        </is>
      </c>
      <c r="TQ3" s="5" t="inlineStr">
        <is>
          <t>PX_VOLUME</t>
        </is>
      </c>
      <c r="TR3" s="5" t="inlineStr">
        <is>
          <t>OPEN_INT</t>
        </is>
      </c>
      <c r="TS3" s="5" t="inlineStr">
        <is>
          <t>IVOL_MID</t>
        </is>
      </c>
      <c r="TT3" s="5" t="inlineStr">
        <is>
          <t>IVOL_BID</t>
        </is>
      </c>
      <c r="TU3" s="5" t="inlineStr">
        <is>
          <t>IVOL_ASK</t>
        </is>
      </c>
      <c r="TV3" s="5" t="inlineStr">
        <is>
          <t>DELTA_MID</t>
        </is>
      </c>
      <c r="TW3" s="5" t="inlineStr">
        <is>
          <t>GAMMA_MID</t>
        </is>
      </c>
      <c r="TX3" s="5" t="inlineStr">
        <is>
          <t>VEGA_MID</t>
        </is>
      </c>
      <c r="TY3" s="5" t="inlineStr">
        <is>
          <t>THETA_MID</t>
        </is>
      </c>
      <c r="TZ3" s="5" t="inlineStr">
        <is>
          <t>OPT_UNDL_PX</t>
        </is>
      </c>
      <c r="UB3" s="5" t="inlineStr">
        <is>
          <t>Date</t>
        </is>
      </c>
      <c r="UC3" s="5" t="inlineStr">
        <is>
          <t>PX_BID</t>
        </is>
      </c>
      <c r="UD3" s="5" t="inlineStr">
        <is>
          <t>PX_ASK</t>
        </is>
      </c>
      <c r="UE3" s="5" t="inlineStr">
        <is>
          <t>PX_MID</t>
        </is>
      </c>
      <c r="UF3" s="5" t="inlineStr">
        <is>
          <t>PX_LAST</t>
        </is>
      </c>
      <c r="UG3" s="5" t="inlineStr">
        <is>
          <t>PX_SETTLE</t>
        </is>
      </c>
      <c r="UH3" s="5" t="inlineStr">
        <is>
          <t>PX_VOLUME</t>
        </is>
      </c>
      <c r="UI3" s="5" t="inlineStr">
        <is>
          <t>OPEN_INT</t>
        </is>
      </c>
      <c r="UJ3" s="5" t="inlineStr">
        <is>
          <t>IVOL_MID</t>
        </is>
      </c>
      <c r="UK3" s="5" t="inlineStr">
        <is>
          <t>IVOL_BID</t>
        </is>
      </c>
      <c r="UL3" s="5" t="inlineStr">
        <is>
          <t>IVOL_ASK</t>
        </is>
      </c>
      <c r="UM3" s="5" t="inlineStr">
        <is>
          <t>DELTA_MID</t>
        </is>
      </c>
      <c r="UN3" s="5" t="inlineStr">
        <is>
          <t>GAMMA_MID</t>
        </is>
      </c>
      <c r="UO3" s="5" t="inlineStr">
        <is>
          <t>VEGA_MID</t>
        </is>
      </c>
      <c r="UP3" s="5" t="inlineStr">
        <is>
          <t>THETA_MID</t>
        </is>
      </c>
      <c r="UQ3" s="5" t="inlineStr">
        <is>
          <t>OPT_UNDL_PX</t>
        </is>
      </c>
      <c r="US3" s="5" t="inlineStr">
        <is>
          <t>Date</t>
        </is>
      </c>
      <c r="UT3" s="5" t="inlineStr">
        <is>
          <t>PX_BID</t>
        </is>
      </c>
      <c r="UU3" s="5" t="inlineStr">
        <is>
          <t>PX_ASK</t>
        </is>
      </c>
      <c r="UV3" s="5" t="inlineStr">
        <is>
          <t>PX_MID</t>
        </is>
      </c>
      <c r="UW3" s="5" t="inlineStr">
        <is>
          <t>PX_LAST</t>
        </is>
      </c>
      <c r="UX3" s="5" t="inlineStr">
        <is>
          <t>PX_SETTLE</t>
        </is>
      </c>
      <c r="UY3" s="5" t="inlineStr">
        <is>
          <t>PX_VOLUME</t>
        </is>
      </c>
      <c r="UZ3" s="5" t="inlineStr">
        <is>
          <t>OPEN_INT</t>
        </is>
      </c>
      <c r="VA3" s="5" t="inlineStr">
        <is>
          <t>IVOL_MID</t>
        </is>
      </c>
      <c r="VB3" s="5" t="inlineStr">
        <is>
          <t>IVOL_BID</t>
        </is>
      </c>
      <c r="VC3" s="5" t="inlineStr">
        <is>
          <t>IVOL_ASK</t>
        </is>
      </c>
      <c r="VD3" s="5" t="inlineStr">
        <is>
          <t>DELTA_MID</t>
        </is>
      </c>
      <c r="VE3" s="5" t="inlineStr">
        <is>
          <t>GAMMA_MID</t>
        </is>
      </c>
      <c r="VF3" s="5" t="inlineStr">
        <is>
          <t>VEGA_MID</t>
        </is>
      </c>
      <c r="VG3" s="5" t="inlineStr">
        <is>
          <t>THETA_MID</t>
        </is>
      </c>
      <c r="VH3" s="5" t="inlineStr">
        <is>
          <t>OPT_UNDL_PX</t>
        </is>
      </c>
    </row>
    <row r="4">
      <c r="A4" s="2" t="inlineStr">
        <is>
          <t>Year in ticker</t>
        </is>
      </c>
      <c r="B4" s="4">
        <f>IF(B2&lt;Settings!$B$3,TEXT(MOD(Settings!$E$14,100),"00"),TEXT(MOD(Settings!$E$14,10),"0"))</f>
        <v/>
      </c>
      <c r="D4" s="4">
        <f>BDH(D$1,E$3:S$3,$B$9,$B$10,"Dir=V","Dts=S","Sort=A","Days=T","Fill=B")</f>
        <v/>
      </c>
      <c r="U4" s="4">
        <f>BDH(U$1,V$3:AJ$3,$B$9,$B$10,"Dir=V","Dts=S","Sort=A","Days=T","Fill=B")</f>
        <v/>
      </c>
      <c r="AL4" s="4">
        <f>BDH(AL$1,AM$3:BA$3,$B$9,$B$10,"Dir=V","Dts=S","Sort=A","Days=T","Fill=B")</f>
        <v/>
      </c>
      <c r="BC4" s="4">
        <f>BDH(BC$1,BD$3:BR$3,$B$9,$B$10,"Dir=V","Dts=S","Sort=A","Days=T","Fill=B")</f>
        <v/>
      </c>
      <c r="BT4" s="4">
        <f>BDH(BT$1,BU$3:CI$3,$B$9,$B$10,"Dir=V","Dts=S","Sort=A","Days=T","Fill=B")</f>
        <v/>
      </c>
      <c r="CK4" s="4">
        <f>BDH(CK$1,CL$3:CZ$3,$B$9,$B$10,"Dir=V","Dts=S","Sort=A","Days=T","Fill=B")</f>
        <v/>
      </c>
      <c r="DB4" s="4">
        <f>BDH(DB$1,DC$3:DQ$3,$B$9,$B$10,"Dir=V","Dts=S","Sort=A","Days=T","Fill=B")</f>
        <v/>
      </c>
      <c r="DS4" s="4">
        <f>BDH(DS$1,DT$3:EH$3,$B$9,$B$10,"Dir=V","Dts=S","Sort=A","Days=T","Fill=B")</f>
        <v/>
      </c>
      <c r="EJ4" s="4">
        <f>BDH(EJ$1,EK$3:EY$3,$B$9,$B$10,"Dir=V","Dts=S","Sort=A","Days=T","Fill=B")</f>
        <v/>
      </c>
      <c r="FA4" s="4">
        <f>BDH(FA$1,FB$3:FP$3,$B$9,$B$10,"Dir=V","Dts=S","Sort=A","Days=T","Fill=B")</f>
        <v/>
      </c>
      <c r="FR4" s="4">
        <f>BDH(FR$1,FS$3:GG$3,$B$9,$B$10,"Dir=V","Dts=S","Sort=A","Days=T","Fill=B")</f>
        <v/>
      </c>
      <c r="GI4" s="4">
        <f>BDH(GI$1,GJ$3:GX$3,$B$9,$B$10,"Dir=V","Dts=S","Sort=A","Days=T","Fill=B")</f>
        <v/>
      </c>
      <c r="GZ4" s="4">
        <f>BDH(GZ$1,HA$3:HO$3,$B$9,$B$10,"Dir=V","Dts=S","Sort=A","Days=T","Fill=B")</f>
        <v/>
      </c>
      <c r="HQ4" s="4">
        <f>BDH(HQ$1,HR$3:IF$3,$B$9,$B$10,"Dir=V","Dts=S","Sort=A","Days=T","Fill=B")</f>
        <v/>
      </c>
      <c r="IH4" s="4">
        <f>BDH(IH$1,II$3:IW$3,$B$9,$B$10,"Dir=V","Dts=S","Sort=A","Days=T","Fill=B")</f>
        <v/>
      </c>
      <c r="IY4" s="4">
        <f>BDH(IY$1,IZ$3:JN$3,$B$9,$B$10,"Dir=V","Dts=S","Sort=A","Days=T","Fill=B")</f>
        <v/>
      </c>
      <c r="JP4" s="4">
        <f>BDH(JP$1,JQ$3:KE$3,$B$9,$B$10,"Dir=V","Dts=S","Sort=A","Days=T","Fill=B")</f>
        <v/>
      </c>
      <c r="KG4" s="4">
        <f>BDH(KG$1,KH$3:KV$3,$B$9,$B$10,"Dir=V","Dts=S","Sort=A","Days=T","Fill=B")</f>
        <v/>
      </c>
      <c r="KX4" s="4">
        <f>BDH(KX$1,KY$3:LM$3,$B$9,$B$10,"Dir=V","Dts=S","Sort=A","Days=T","Fill=B")</f>
        <v/>
      </c>
      <c r="LO4" s="4">
        <f>BDH(LO$1,LP$3:MD$3,$B$9,$B$10,"Dir=V","Dts=S","Sort=A","Days=T","Fill=B")</f>
        <v/>
      </c>
      <c r="MF4" s="4">
        <f>BDH(MF$1,MG$3:MU$3,$B$9,$B$10,"Dir=V","Dts=S","Sort=A","Days=T","Fill=B")</f>
        <v/>
      </c>
      <c r="MW4" s="4">
        <f>BDH(MW$1,MX$3:NL$3,$B$9,$B$10,"Dir=V","Dts=S","Sort=A","Days=T","Fill=B")</f>
        <v/>
      </c>
      <c r="NN4" s="4">
        <f>BDH(NN$1,NO$3:OC$3,$B$9,$B$10,"Dir=V","Dts=S","Sort=A","Days=T","Fill=B")</f>
        <v/>
      </c>
      <c r="OE4" s="4">
        <f>BDH(OE$1,OF$3:OT$3,$B$9,$B$10,"Dir=V","Dts=S","Sort=A","Days=T","Fill=B")</f>
        <v/>
      </c>
      <c r="OV4" s="4">
        <f>BDH(OV$1,OW$3:PK$3,$B$9,$B$10,"Dir=V","Dts=S","Sort=A","Days=T","Fill=B")</f>
        <v/>
      </c>
      <c r="PM4" s="4">
        <f>BDH(PM$1,PN$3:QB$3,$B$9,$B$10,"Dir=V","Dts=S","Sort=A","Days=T","Fill=B")</f>
        <v/>
      </c>
      <c r="QD4" s="4">
        <f>BDH(QD$1,QE$3:QS$3,$B$9,$B$10,"Dir=V","Dts=S","Sort=A","Days=T","Fill=B")</f>
        <v/>
      </c>
      <c r="QU4" s="4">
        <f>BDH(QU$1,QV$3:RJ$3,$B$9,$B$10,"Dir=V","Dts=S","Sort=A","Days=T","Fill=B")</f>
        <v/>
      </c>
      <c r="RL4" s="4">
        <f>BDH(RL$1,RM$3:SA$3,$B$9,$B$10,"Dir=V","Dts=S","Sort=A","Days=T","Fill=B")</f>
        <v/>
      </c>
      <c r="SC4" s="4">
        <f>BDH(SC$1,SD$3:SR$3,$B$9,$B$10,"Dir=V","Dts=S","Sort=A","Days=T","Fill=B")</f>
        <v/>
      </c>
      <c r="ST4" s="4">
        <f>BDH(ST$1,SU$3:TI$3,$B$9,$B$10,"Dir=V","Dts=S","Sort=A","Days=T","Fill=B")</f>
        <v/>
      </c>
      <c r="TK4" s="4">
        <f>BDH(TK$1,TL$3:TZ$3,$B$9,$B$10,"Dir=V","Dts=S","Sort=A","Days=T","Fill=B")</f>
        <v/>
      </c>
      <c r="UB4" s="4">
        <f>BDH(UB$1,UC$3:UQ$3,$B$9,$B$10,"Dir=V","Dts=S","Sort=A","Days=T","Fill=B")</f>
        <v/>
      </c>
      <c r="US4" s="4">
        <f>BDH(US$1,UT$3:VH$3,$B$9,$B$10,"Dir=V","Dts=S","Sort=A","Days=T","Fill=B")</f>
        <v/>
      </c>
    </row>
    <row r="5">
      <c r="A5" s="2" t="inlineStr">
        <is>
          <t>Futures ticker</t>
        </is>
      </c>
      <c r="B5" s="4">
        <f>IF(Settings!$B$14="Y","CL"&amp;MID("FGHJKMNQUVXZ",B1,1)&amp;B4&amp;" Comdty","")</f>
        <v/>
      </c>
    </row>
    <row r="6">
      <c r="A6" s="2" t="inlineStr">
        <is>
          <t>Strike reference date</t>
        </is>
      </c>
      <c r="B6" s="8">
        <f>B3-45</f>
        <v/>
      </c>
    </row>
    <row r="7">
      <c r="A7" s="2" t="inlineStr">
        <is>
          <t>Futures price on that date</t>
        </is>
      </c>
      <c r="B7" s="10">
        <f>IF(B5="","",BDH(B5,"PX_LAST",B6,B6,"Days=A","Fill=P","Dts=H"))</f>
        <v/>
      </c>
    </row>
    <row r="8">
      <c r="A8" s="2" t="inlineStr">
        <is>
          <t>ATM strike</t>
        </is>
      </c>
      <c r="B8" s="9">
        <f>IF(ISNUMBER(B7),ROUND(B7,0),"")</f>
        <v/>
      </c>
    </row>
    <row r="9">
      <c r="A9" s="2" t="inlineStr">
        <is>
          <t>History start</t>
        </is>
      </c>
      <c r="B9" s="8">
        <f>B3-100</f>
        <v/>
      </c>
    </row>
    <row r="10">
      <c r="A10" s="2" t="inlineStr">
        <is>
          <t>History end</t>
        </is>
      </c>
      <c r="B10" s="8">
        <f>B3</f>
        <v/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VH10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2" customWidth="1" min="2" max="2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1" customWidth="1" min="15" max="15"/>
    <col width="11" customWidth="1" min="16" max="16"/>
    <col width="10" customWidth="1" min="17" max="17"/>
    <col width="11" customWidth="1" min="18" max="18"/>
    <col width="13" customWidth="1" min="19" max="19"/>
    <col width="12" customWidth="1" min="21" max="21"/>
    <col width="10" customWidth="1" min="22" max="22"/>
    <col width="10" customWidth="1" min="23" max="23"/>
    <col width="10" customWidth="1" min="24" max="24"/>
    <col width="10" customWidth="1" min="25" max="25"/>
    <col width="11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1" customWidth="1" min="32" max="32"/>
    <col width="11" customWidth="1" min="33" max="33"/>
    <col width="10" customWidth="1" min="34" max="34"/>
    <col width="11" customWidth="1" min="35" max="35"/>
    <col width="13" customWidth="1" min="36" max="36"/>
    <col width="12" customWidth="1" min="38" max="38"/>
    <col width="10" customWidth="1" min="39" max="39"/>
    <col width="10" customWidth="1" min="40" max="40"/>
    <col width="10" customWidth="1" min="41" max="41"/>
    <col width="10" customWidth="1" min="42" max="42"/>
    <col width="11" customWidth="1" min="43" max="43"/>
    <col width="11" customWidth="1" min="44" max="44"/>
    <col width="10" customWidth="1" min="45" max="45"/>
    <col width="10" customWidth="1" min="46" max="46"/>
    <col width="10" customWidth="1" min="47" max="47"/>
    <col width="10" customWidth="1" min="48" max="48"/>
    <col width="11" customWidth="1" min="49" max="49"/>
    <col width="11" customWidth="1" min="50" max="50"/>
    <col width="10" customWidth="1" min="51" max="51"/>
    <col width="11" customWidth="1" min="52" max="52"/>
    <col width="13" customWidth="1" min="53" max="53"/>
    <col width="12" customWidth="1" min="55" max="55"/>
    <col width="10" customWidth="1" min="56" max="56"/>
    <col width="10" customWidth="1" min="57" max="57"/>
    <col width="10" customWidth="1" min="58" max="58"/>
    <col width="10" customWidth="1" min="59" max="59"/>
    <col width="11" customWidth="1" min="60" max="60"/>
    <col width="11" customWidth="1" min="61" max="61"/>
    <col width="10" customWidth="1" min="62" max="62"/>
    <col width="10" customWidth="1" min="63" max="63"/>
    <col width="10" customWidth="1" min="64" max="64"/>
    <col width="10" customWidth="1" min="65" max="65"/>
    <col width="11" customWidth="1" min="66" max="66"/>
    <col width="11" customWidth="1" min="67" max="67"/>
    <col width="10" customWidth="1" min="68" max="68"/>
    <col width="11" customWidth="1" min="69" max="69"/>
    <col width="13" customWidth="1" min="70" max="70"/>
    <col width="12" customWidth="1" min="72" max="72"/>
    <col width="10" customWidth="1" min="73" max="73"/>
    <col width="10" customWidth="1" min="74" max="74"/>
    <col width="10" customWidth="1" min="75" max="75"/>
    <col width="10" customWidth="1" min="76" max="76"/>
    <col width="11" customWidth="1" min="77" max="77"/>
    <col width="11" customWidth="1" min="78" max="78"/>
    <col width="10" customWidth="1" min="79" max="79"/>
    <col width="10" customWidth="1" min="80" max="80"/>
    <col width="10" customWidth="1" min="81" max="81"/>
    <col width="10" customWidth="1" min="82" max="82"/>
    <col width="11" customWidth="1" min="83" max="83"/>
    <col width="11" customWidth="1" min="84" max="84"/>
    <col width="10" customWidth="1" min="85" max="85"/>
    <col width="11" customWidth="1" min="86" max="86"/>
    <col width="13" customWidth="1" min="87" max="87"/>
    <col width="12" customWidth="1" min="89" max="89"/>
    <col width="10" customWidth="1" min="90" max="90"/>
    <col width="10" customWidth="1" min="91" max="91"/>
    <col width="10" customWidth="1" min="92" max="92"/>
    <col width="10" customWidth="1" min="93" max="93"/>
    <col width="11" customWidth="1" min="94" max="94"/>
    <col width="11" customWidth="1" min="95" max="95"/>
    <col width="10" customWidth="1" min="96" max="96"/>
    <col width="10" customWidth="1" min="97" max="97"/>
    <col width="10" customWidth="1" min="98" max="98"/>
    <col width="10" customWidth="1" min="99" max="99"/>
    <col width="11" customWidth="1" min="100" max="100"/>
    <col width="11" customWidth="1" min="101" max="101"/>
    <col width="10" customWidth="1" min="102" max="102"/>
    <col width="11" customWidth="1" min="103" max="103"/>
    <col width="13" customWidth="1" min="104" max="104"/>
    <col width="12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1" customWidth="1" min="111" max="111"/>
    <col width="11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1" customWidth="1" min="117" max="117"/>
    <col width="11" customWidth="1" min="118" max="118"/>
    <col width="10" customWidth="1" min="119" max="119"/>
    <col width="11" customWidth="1" min="120" max="120"/>
    <col width="13" customWidth="1" min="121" max="121"/>
    <col width="12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1" customWidth="1" min="128" max="128"/>
    <col width="11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1" customWidth="1" min="134" max="134"/>
    <col width="11" customWidth="1" min="135" max="135"/>
    <col width="10" customWidth="1" min="136" max="136"/>
    <col width="11" customWidth="1" min="137" max="137"/>
    <col width="13" customWidth="1" min="138" max="138"/>
    <col width="12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1" customWidth="1" min="145" max="145"/>
    <col width="11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1" customWidth="1" min="151" max="151"/>
    <col width="11" customWidth="1" min="152" max="152"/>
    <col width="10" customWidth="1" min="153" max="153"/>
    <col width="11" customWidth="1" min="154" max="154"/>
    <col width="13" customWidth="1" min="155" max="155"/>
    <col width="12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1" customWidth="1" min="162" max="162"/>
    <col width="11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1" customWidth="1" min="168" max="168"/>
    <col width="11" customWidth="1" min="169" max="169"/>
    <col width="10" customWidth="1" min="170" max="170"/>
    <col width="11" customWidth="1" min="171" max="171"/>
    <col width="13" customWidth="1" min="172" max="172"/>
    <col width="12" customWidth="1" min="174" max="174"/>
    <col width="10" customWidth="1" min="175" max="175"/>
    <col width="10" customWidth="1" min="176" max="176"/>
    <col width="10" customWidth="1" min="177" max="177"/>
    <col width="10" customWidth="1" min="178" max="178"/>
    <col width="11" customWidth="1" min="179" max="179"/>
    <col width="11" customWidth="1" min="180" max="180"/>
    <col width="10" customWidth="1" min="181" max="181"/>
    <col width="10" customWidth="1" min="182" max="182"/>
    <col width="10" customWidth="1" min="183" max="183"/>
    <col width="10" customWidth="1" min="184" max="184"/>
    <col width="11" customWidth="1" min="185" max="185"/>
    <col width="11" customWidth="1" min="186" max="186"/>
    <col width="10" customWidth="1" min="187" max="187"/>
    <col width="11" customWidth="1" min="188" max="188"/>
    <col width="13" customWidth="1" min="189" max="189"/>
    <col width="12" customWidth="1" min="191" max="191"/>
    <col width="10" customWidth="1" min="192" max="192"/>
    <col width="10" customWidth="1" min="193" max="193"/>
    <col width="10" customWidth="1" min="194" max="194"/>
    <col width="10" customWidth="1" min="195" max="195"/>
    <col width="11" customWidth="1" min="196" max="196"/>
    <col width="11" customWidth="1" min="197" max="197"/>
    <col width="10" customWidth="1" min="198" max="198"/>
    <col width="10" customWidth="1" min="199" max="199"/>
    <col width="10" customWidth="1" min="200" max="200"/>
    <col width="10" customWidth="1" min="201" max="201"/>
    <col width="11" customWidth="1" min="202" max="202"/>
    <col width="11" customWidth="1" min="203" max="203"/>
    <col width="10" customWidth="1" min="204" max="204"/>
    <col width="11" customWidth="1" min="205" max="205"/>
    <col width="13" customWidth="1" min="206" max="206"/>
    <col width="12" customWidth="1" min="208" max="208"/>
    <col width="10" customWidth="1" min="209" max="209"/>
    <col width="10" customWidth="1" min="210" max="210"/>
    <col width="10" customWidth="1" min="211" max="211"/>
    <col width="10" customWidth="1" min="212" max="212"/>
    <col width="11" customWidth="1" min="213" max="213"/>
    <col width="11" customWidth="1" min="214" max="214"/>
    <col width="10" customWidth="1" min="215" max="215"/>
    <col width="10" customWidth="1" min="216" max="216"/>
    <col width="10" customWidth="1" min="217" max="217"/>
    <col width="10" customWidth="1" min="218" max="218"/>
    <col width="11" customWidth="1" min="219" max="219"/>
    <col width="11" customWidth="1" min="220" max="220"/>
    <col width="10" customWidth="1" min="221" max="221"/>
    <col width="11" customWidth="1" min="222" max="222"/>
    <col width="13" customWidth="1" min="223" max="223"/>
    <col width="12" customWidth="1" min="225" max="225"/>
    <col width="10" customWidth="1" min="226" max="226"/>
    <col width="10" customWidth="1" min="227" max="227"/>
    <col width="10" customWidth="1" min="228" max="228"/>
    <col width="10" customWidth="1" min="229" max="229"/>
    <col width="11" customWidth="1" min="230" max="230"/>
    <col width="11" customWidth="1" min="231" max="231"/>
    <col width="10" customWidth="1" min="232" max="232"/>
    <col width="10" customWidth="1" min="233" max="233"/>
    <col width="10" customWidth="1" min="234" max="234"/>
    <col width="10" customWidth="1" min="235" max="235"/>
    <col width="11" customWidth="1" min="236" max="236"/>
    <col width="11" customWidth="1" min="237" max="237"/>
    <col width="10" customWidth="1" min="238" max="238"/>
    <col width="11" customWidth="1" min="239" max="239"/>
    <col width="13" customWidth="1" min="240" max="240"/>
    <col width="12" customWidth="1" min="242" max="242"/>
    <col width="10" customWidth="1" min="243" max="243"/>
    <col width="10" customWidth="1" min="244" max="244"/>
    <col width="10" customWidth="1" min="245" max="245"/>
    <col width="10" customWidth="1" min="246" max="246"/>
    <col width="11" customWidth="1" min="247" max="247"/>
    <col width="11" customWidth="1" min="248" max="248"/>
    <col width="10" customWidth="1" min="249" max="249"/>
    <col width="10" customWidth="1" min="250" max="250"/>
    <col width="10" customWidth="1" min="251" max="251"/>
    <col width="10" customWidth="1" min="252" max="252"/>
    <col width="11" customWidth="1" min="253" max="253"/>
    <col width="11" customWidth="1" min="254" max="254"/>
    <col width="10" customWidth="1" min="255" max="255"/>
    <col width="11" customWidth="1" min="256" max="256"/>
    <col width="13" customWidth="1" min="257" max="257"/>
    <col width="12" customWidth="1" min="259" max="259"/>
    <col width="10" customWidth="1" min="260" max="260"/>
    <col width="10" customWidth="1" min="261" max="261"/>
    <col width="10" customWidth="1" min="262" max="262"/>
    <col width="10" customWidth="1" min="263" max="263"/>
    <col width="11" customWidth="1" min="264" max="264"/>
    <col width="11" customWidth="1" min="265" max="265"/>
    <col width="10" customWidth="1" min="266" max="266"/>
    <col width="10" customWidth="1" min="267" max="267"/>
    <col width="10" customWidth="1" min="268" max="268"/>
    <col width="10" customWidth="1" min="269" max="269"/>
    <col width="11" customWidth="1" min="270" max="270"/>
    <col width="11" customWidth="1" min="271" max="271"/>
    <col width="10" customWidth="1" min="272" max="272"/>
    <col width="11" customWidth="1" min="273" max="273"/>
    <col width="13" customWidth="1" min="274" max="274"/>
    <col width="12" customWidth="1" min="276" max="276"/>
    <col width="10" customWidth="1" min="277" max="277"/>
    <col width="10" customWidth="1" min="278" max="278"/>
    <col width="10" customWidth="1" min="279" max="279"/>
    <col width="10" customWidth="1" min="280" max="280"/>
    <col width="11" customWidth="1" min="281" max="281"/>
    <col width="11" customWidth="1" min="282" max="282"/>
    <col width="10" customWidth="1" min="283" max="283"/>
    <col width="10" customWidth="1" min="284" max="284"/>
    <col width="10" customWidth="1" min="285" max="285"/>
    <col width="10" customWidth="1" min="286" max="286"/>
    <col width="11" customWidth="1" min="287" max="287"/>
    <col width="11" customWidth="1" min="288" max="288"/>
    <col width="10" customWidth="1" min="289" max="289"/>
    <col width="11" customWidth="1" min="290" max="290"/>
    <col width="13" customWidth="1" min="291" max="291"/>
    <col width="12" customWidth="1" min="293" max="293"/>
    <col width="10" customWidth="1" min="294" max="294"/>
    <col width="10" customWidth="1" min="295" max="295"/>
    <col width="10" customWidth="1" min="296" max="296"/>
    <col width="10" customWidth="1" min="297" max="297"/>
    <col width="11" customWidth="1" min="298" max="298"/>
    <col width="11" customWidth="1" min="299" max="299"/>
    <col width="10" customWidth="1" min="300" max="300"/>
    <col width="10" customWidth="1" min="301" max="301"/>
    <col width="10" customWidth="1" min="302" max="302"/>
    <col width="10" customWidth="1" min="303" max="303"/>
    <col width="11" customWidth="1" min="304" max="304"/>
    <col width="11" customWidth="1" min="305" max="305"/>
    <col width="10" customWidth="1" min="306" max="306"/>
    <col width="11" customWidth="1" min="307" max="307"/>
    <col width="13" customWidth="1" min="308" max="308"/>
    <col width="12" customWidth="1" min="310" max="310"/>
    <col width="10" customWidth="1" min="311" max="311"/>
    <col width="10" customWidth="1" min="312" max="312"/>
    <col width="10" customWidth="1" min="313" max="313"/>
    <col width="10" customWidth="1" min="314" max="314"/>
    <col width="11" customWidth="1" min="315" max="315"/>
    <col width="11" customWidth="1" min="316" max="316"/>
    <col width="10" customWidth="1" min="317" max="317"/>
    <col width="10" customWidth="1" min="318" max="318"/>
    <col width="10" customWidth="1" min="319" max="319"/>
    <col width="10" customWidth="1" min="320" max="320"/>
    <col width="11" customWidth="1" min="321" max="321"/>
    <col width="11" customWidth="1" min="322" max="322"/>
    <col width="10" customWidth="1" min="323" max="323"/>
    <col width="11" customWidth="1" min="324" max="324"/>
    <col width="13" customWidth="1" min="325" max="325"/>
    <col width="12" customWidth="1" min="327" max="327"/>
    <col width="10" customWidth="1" min="328" max="328"/>
    <col width="10" customWidth="1" min="329" max="329"/>
    <col width="10" customWidth="1" min="330" max="330"/>
    <col width="10" customWidth="1" min="331" max="331"/>
    <col width="11" customWidth="1" min="332" max="332"/>
    <col width="11" customWidth="1" min="333" max="333"/>
    <col width="10" customWidth="1" min="334" max="334"/>
    <col width="10" customWidth="1" min="335" max="335"/>
    <col width="10" customWidth="1" min="336" max="336"/>
    <col width="10" customWidth="1" min="337" max="337"/>
    <col width="11" customWidth="1" min="338" max="338"/>
    <col width="11" customWidth="1" min="339" max="339"/>
    <col width="10" customWidth="1" min="340" max="340"/>
    <col width="11" customWidth="1" min="341" max="341"/>
    <col width="13" customWidth="1" min="342" max="342"/>
    <col width="12" customWidth="1" min="344" max="344"/>
    <col width="10" customWidth="1" min="345" max="345"/>
    <col width="10" customWidth="1" min="346" max="346"/>
    <col width="10" customWidth="1" min="347" max="347"/>
    <col width="10" customWidth="1" min="348" max="348"/>
    <col width="11" customWidth="1" min="349" max="349"/>
    <col width="11" customWidth="1" min="350" max="350"/>
    <col width="10" customWidth="1" min="351" max="351"/>
    <col width="10" customWidth="1" min="352" max="352"/>
    <col width="10" customWidth="1" min="353" max="353"/>
    <col width="10" customWidth="1" min="354" max="354"/>
    <col width="11" customWidth="1" min="355" max="355"/>
    <col width="11" customWidth="1" min="356" max="356"/>
    <col width="10" customWidth="1" min="357" max="357"/>
    <col width="11" customWidth="1" min="358" max="358"/>
    <col width="13" customWidth="1" min="359" max="359"/>
    <col width="12" customWidth="1" min="361" max="361"/>
    <col width="10" customWidth="1" min="362" max="362"/>
    <col width="10" customWidth="1" min="363" max="363"/>
    <col width="10" customWidth="1" min="364" max="364"/>
    <col width="10" customWidth="1" min="365" max="365"/>
    <col width="11" customWidth="1" min="366" max="366"/>
    <col width="11" customWidth="1" min="367" max="367"/>
    <col width="10" customWidth="1" min="368" max="368"/>
    <col width="10" customWidth="1" min="369" max="369"/>
    <col width="10" customWidth="1" min="370" max="370"/>
    <col width="10" customWidth="1" min="371" max="371"/>
    <col width="11" customWidth="1" min="372" max="372"/>
    <col width="11" customWidth="1" min="373" max="373"/>
    <col width="10" customWidth="1" min="374" max="374"/>
    <col width="11" customWidth="1" min="375" max="375"/>
    <col width="13" customWidth="1" min="376" max="376"/>
    <col width="12" customWidth="1" min="378" max="378"/>
    <col width="10" customWidth="1" min="379" max="379"/>
    <col width="10" customWidth="1" min="380" max="380"/>
    <col width="10" customWidth="1" min="381" max="381"/>
    <col width="10" customWidth="1" min="382" max="382"/>
    <col width="11" customWidth="1" min="383" max="383"/>
    <col width="11" customWidth="1" min="384" max="384"/>
    <col width="10" customWidth="1" min="385" max="385"/>
    <col width="10" customWidth="1" min="386" max="386"/>
    <col width="10" customWidth="1" min="387" max="387"/>
    <col width="10" customWidth="1" min="388" max="388"/>
    <col width="11" customWidth="1" min="389" max="389"/>
    <col width="11" customWidth="1" min="390" max="390"/>
    <col width="10" customWidth="1" min="391" max="391"/>
    <col width="11" customWidth="1" min="392" max="392"/>
    <col width="13" customWidth="1" min="393" max="393"/>
    <col width="12" customWidth="1" min="395" max="395"/>
    <col width="10" customWidth="1" min="396" max="396"/>
    <col width="10" customWidth="1" min="397" max="397"/>
    <col width="10" customWidth="1" min="398" max="398"/>
    <col width="10" customWidth="1" min="399" max="399"/>
    <col width="11" customWidth="1" min="400" max="400"/>
    <col width="11" customWidth="1" min="401" max="401"/>
    <col width="10" customWidth="1" min="402" max="402"/>
    <col width="10" customWidth="1" min="403" max="403"/>
    <col width="10" customWidth="1" min="404" max="404"/>
    <col width="10" customWidth="1" min="405" max="405"/>
    <col width="11" customWidth="1" min="406" max="406"/>
    <col width="11" customWidth="1" min="407" max="407"/>
    <col width="10" customWidth="1" min="408" max="408"/>
    <col width="11" customWidth="1" min="409" max="409"/>
    <col width="13" customWidth="1" min="410" max="410"/>
    <col width="12" customWidth="1" min="412" max="412"/>
    <col width="10" customWidth="1" min="413" max="413"/>
    <col width="10" customWidth="1" min="414" max="414"/>
    <col width="10" customWidth="1" min="415" max="415"/>
    <col width="10" customWidth="1" min="416" max="416"/>
    <col width="11" customWidth="1" min="417" max="417"/>
    <col width="11" customWidth="1" min="418" max="418"/>
    <col width="10" customWidth="1" min="419" max="419"/>
    <col width="10" customWidth="1" min="420" max="420"/>
    <col width="10" customWidth="1" min="421" max="421"/>
    <col width="10" customWidth="1" min="422" max="422"/>
    <col width="11" customWidth="1" min="423" max="423"/>
    <col width="11" customWidth="1" min="424" max="424"/>
    <col width="10" customWidth="1" min="425" max="425"/>
    <col width="11" customWidth="1" min="426" max="426"/>
    <col width="13" customWidth="1" min="427" max="427"/>
    <col width="12" customWidth="1" min="429" max="429"/>
    <col width="10" customWidth="1" min="430" max="430"/>
    <col width="10" customWidth="1" min="431" max="431"/>
    <col width="10" customWidth="1" min="432" max="432"/>
    <col width="10" customWidth="1" min="433" max="433"/>
    <col width="11" customWidth="1" min="434" max="434"/>
    <col width="11" customWidth="1" min="435" max="435"/>
    <col width="10" customWidth="1" min="436" max="436"/>
    <col width="10" customWidth="1" min="437" max="437"/>
    <col width="10" customWidth="1" min="438" max="438"/>
    <col width="10" customWidth="1" min="439" max="439"/>
    <col width="11" customWidth="1" min="440" max="440"/>
    <col width="11" customWidth="1" min="441" max="441"/>
    <col width="10" customWidth="1" min="442" max="442"/>
    <col width="11" customWidth="1" min="443" max="443"/>
    <col width="13" customWidth="1" min="444" max="444"/>
    <col width="12" customWidth="1" min="446" max="446"/>
    <col width="10" customWidth="1" min="447" max="447"/>
    <col width="10" customWidth="1" min="448" max="448"/>
    <col width="10" customWidth="1" min="449" max="449"/>
    <col width="10" customWidth="1" min="450" max="450"/>
    <col width="11" customWidth="1" min="451" max="451"/>
    <col width="11" customWidth="1" min="452" max="452"/>
    <col width="10" customWidth="1" min="453" max="453"/>
    <col width="10" customWidth="1" min="454" max="454"/>
    <col width="10" customWidth="1" min="455" max="455"/>
    <col width="10" customWidth="1" min="456" max="456"/>
    <col width="11" customWidth="1" min="457" max="457"/>
    <col width="11" customWidth="1" min="458" max="458"/>
    <col width="10" customWidth="1" min="459" max="459"/>
    <col width="11" customWidth="1" min="460" max="460"/>
    <col width="13" customWidth="1" min="461" max="461"/>
    <col width="12" customWidth="1" min="463" max="463"/>
    <col width="10" customWidth="1" min="464" max="464"/>
    <col width="10" customWidth="1" min="465" max="465"/>
    <col width="10" customWidth="1" min="466" max="466"/>
    <col width="10" customWidth="1" min="467" max="467"/>
    <col width="11" customWidth="1" min="468" max="468"/>
    <col width="11" customWidth="1" min="469" max="469"/>
    <col width="10" customWidth="1" min="470" max="470"/>
    <col width="10" customWidth="1" min="471" max="471"/>
    <col width="10" customWidth="1" min="472" max="472"/>
    <col width="10" customWidth="1" min="473" max="473"/>
    <col width="11" customWidth="1" min="474" max="474"/>
    <col width="11" customWidth="1" min="475" max="475"/>
    <col width="10" customWidth="1" min="476" max="476"/>
    <col width="11" customWidth="1" min="477" max="477"/>
    <col width="13" customWidth="1" min="478" max="478"/>
    <col width="12" customWidth="1" min="480" max="480"/>
    <col width="10" customWidth="1" min="481" max="481"/>
    <col width="10" customWidth="1" min="482" max="482"/>
    <col width="10" customWidth="1" min="483" max="483"/>
    <col width="10" customWidth="1" min="484" max="484"/>
    <col width="11" customWidth="1" min="485" max="485"/>
    <col width="11" customWidth="1" min="486" max="486"/>
    <col width="10" customWidth="1" min="487" max="487"/>
    <col width="10" customWidth="1" min="488" max="488"/>
    <col width="10" customWidth="1" min="489" max="489"/>
    <col width="10" customWidth="1" min="490" max="490"/>
    <col width="11" customWidth="1" min="491" max="491"/>
    <col width="11" customWidth="1" min="492" max="492"/>
    <col width="10" customWidth="1" min="493" max="493"/>
    <col width="11" customWidth="1" min="494" max="494"/>
    <col width="13" customWidth="1" min="495" max="495"/>
    <col width="12" customWidth="1" min="497" max="497"/>
    <col width="10" customWidth="1" min="498" max="498"/>
    <col width="10" customWidth="1" min="499" max="499"/>
    <col width="10" customWidth="1" min="500" max="500"/>
    <col width="10" customWidth="1" min="501" max="501"/>
    <col width="11" customWidth="1" min="502" max="502"/>
    <col width="11" customWidth="1" min="503" max="503"/>
    <col width="10" customWidth="1" min="504" max="504"/>
    <col width="10" customWidth="1" min="505" max="505"/>
    <col width="10" customWidth="1" min="506" max="506"/>
    <col width="10" customWidth="1" min="507" max="507"/>
    <col width="11" customWidth="1" min="508" max="508"/>
    <col width="11" customWidth="1" min="509" max="509"/>
    <col width="10" customWidth="1" min="510" max="510"/>
    <col width="11" customWidth="1" min="511" max="511"/>
    <col width="13" customWidth="1" min="512" max="512"/>
    <col width="12" customWidth="1" min="514" max="514"/>
    <col width="10" customWidth="1" min="515" max="515"/>
    <col width="10" customWidth="1" min="516" max="516"/>
    <col width="10" customWidth="1" min="517" max="517"/>
    <col width="10" customWidth="1" min="518" max="518"/>
    <col width="11" customWidth="1" min="519" max="519"/>
    <col width="11" customWidth="1" min="520" max="520"/>
    <col width="10" customWidth="1" min="521" max="521"/>
    <col width="10" customWidth="1" min="522" max="522"/>
    <col width="10" customWidth="1" min="523" max="523"/>
    <col width="10" customWidth="1" min="524" max="524"/>
    <col width="11" customWidth="1" min="525" max="525"/>
    <col width="11" customWidth="1" min="526" max="526"/>
    <col width="10" customWidth="1" min="527" max="527"/>
    <col width="11" customWidth="1" min="528" max="528"/>
    <col width="13" customWidth="1" min="529" max="529"/>
    <col width="12" customWidth="1" min="531" max="531"/>
    <col width="10" customWidth="1" min="532" max="532"/>
    <col width="10" customWidth="1" min="533" max="533"/>
    <col width="10" customWidth="1" min="534" max="534"/>
    <col width="10" customWidth="1" min="535" max="535"/>
    <col width="11" customWidth="1" min="536" max="536"/>
    <col width="11" customWidth="1" min="537" max="537"/>
    <col width="10" customWidth="1" min="538" max="538"/>
    <col width="10" customWidth="1" min="539" max="539"/>
    <col width="10" customWidth="1" min="540" max="540"/>
    <col width="10" customWidth="1" min="541" max="541"/>
    <col width="11" customWidth="1" min="542" max="542"/>
    <col width="11" customWidth="1" min="543" max="543"/>
    <col width="10" customWidth="1" min="544" max="544"/>
    <col width="11" customWidth="1" min="545" max="545"/>
    <col width="13" customWidth="1" min="546" max="546"/>
    <col width="12" customWidth="1" min="548" max="548"/>
    <col width="10" customWidth="1" min="549" max="549"/>
    <col width="10" customWidth="1" min="550" max="550"/>
    <col width="10" customWidth="1" min="551" max="551"/>
    <col width="10" customWidth="1" min="552" max="552"/>
    <col width="11" customWidth="1" min="553" max="553"/>
    <col width="11" customWidth="1" min="554" max="554"/>
    <col width="10" customWidth="1" min="555" max="555"/>
    <col width="10" customWidth="1" min="556" max="556"/>
    <col width="10" customWidth="1" min="557" max="557"/>
    <col width="10" customWidth="1" min="558" max="558"/>
    <col width="11" customWidth="1" min="559" max="559"/>
    <col width="11" customWidth="1" min="560" max="560"/>
    <col width="10" customWidth="1" min="561" max="561"/>
    <col width="11" customWidth="1" min="562" max="562"/>
    <col width="13" customWidth="1" min="563" max="563"/>
    <col width="12" customWidth="1" min="565" max="565"/>
    <col width="10" customWidth="1" min="566" max="566"/>
    <col width="10" customWidth="1" min="567" max="567"/>
    <col width="10" customWidth="1" min="568" max="568"/>
    <col width="10" customWidth="1" min="569" max="569"/>
    <col width="11" customWidth="1" min="570" max="570"/>
    <col width="11" customWidth="1" min="571" max="571"/>
    <col width="10" customWidth="1" min="572" max="572"/>
    <col width="10" customWidth="1" min="573" max="573"/>
    <col width="10" customWidth="1" min="574" max="574"/>
    <col width="10" customWidth="1" min="575" max="575"/>
    <col width="11" customWidth="1" min="576" max="576"/>
    <col width="11" customWidth="1" min="577" max="577"/>
    <col width="10" customWidth="1" min="578" max="578"/>
    <col width="11" customWidth="1" min="579" max="579"/>
    <col width="13" customWidth="1" min="580" max="580"/>
  </cols>
  <sheetData>
    <row r="1">
      <c r="A1" s="2" t="inlineStr">
        <is>
          <t>Contract month</t>
        </is>
      </c>
      <c r="B1" s="9" t="n">
        <v>3</v>
      </c>
      <c r="D1" s="2">
        <f>IF(ISNUMBER(B$8),"CL"&amp;MID("FGHJKMNQUVXZ",B$1,1)&amp;B$4&amp;"C "&amp;IF(Settings!$F$14=2,TEXT((B$8-8),"0.00"),(B$8-8))&amp;" Comdty","")</f>
        <v/>
      </c>
      <c r="U1" s="2">
        <f>IF(ISNUMBER(B$8),"CL"&amp;MID("FGHJKMNQUVXZ",B$1,1)&amp;B$4&amp;"P "&amp;IF(Settings!$F$14=2,TEXT((B$8-8),"0.00"),(B$8-8))&amp;" Comdty","")</f>
        <v/>
      </c>
      <c r="AL1" s="2">
        <f>IF(ISNUMBER(B$8),"CL"&amp;MID("FGHJKMNQUVXZ",B$1,1)&amp;B$4&amp;"C "&amp;IF(Settings!$F$14=2,TEXT((B$8-7),"0.00"),(B$8-7))&amp;" Comdty","")</f>
        <v/>
      </c>
      <c r="BC1" s="2">
        <f>IF(ISNUMBER(B$8),"CL"&amp;MID("FGHJKMNQUVXZ",B$1,1)&amp;B$4&amp;"P "&amp;IF(Settings!$F$14=2,TEXT((B$8-7),"0.00"),(B$8-7))&amp;" Comdty","")</f>
        <v/>
      </c>
      <c r="BT1" s="2">
        <f>IF(ISNUMBER(B$8),"CL"&amp;MID("FGHJKMNQUVXZ",B$1,1)&amp;B$4&amp;"C "&amp;IF(Settings!$F$14=2,TEXT((B$8-6),"0.00"),(B$8-6))&amp;" Comdty","")</f>
        <v/>
      </c>
      <c r="CK1" s="2">
        <f>IF(ISNUMBER(B$8),"CL"&amp;MID("FGHJKMNQUVXZ",B$1,1)&amp;B$4&amp;"P "&amp;IF(Settings!$F$14=2,TEXT((B$8-6),"0.00"),(B$8-6))&amp;" Comdty","")</f>
        <v/>
      </c>
      <c r="DB1" s="2">
        <f>IF(ISNUMBER(B$8),"CL"&amp;MID("FGHJKMNQUVXZ",B$1,1)&amp;B$4&amp;"C "&amp;IF(Settings!$F$14=2,TEXT((B$8-5),"0.00"),(B$8-5))&amp;" Comdty","")</f>
        <v/>
      </c>
      <c r="DS1" s="2">
        <f>IF(ISNUMBER(B$8),"CL"&amp;MID("FGHJKMNQUVXZ",B$1,1)&amp;B$4&amp;"P "&amp;IF(Settings!$F$14=2,TEXT((B$8-5),"0.00"),(B$8-5))&amp;" Comdty","")</f>
        <v/>
      </c>
      <c r="EJ1" s="2">
        <f>IF(ISNUMBER(B$8),"CL"&amp;MID("FGHJKMNQUVXZ",B$1,1)&amp;B$4&amp;"C "&amp;IF(Settings!$F$14=2,TEXT((B$8-4),"0.00"),(B$8-4))&amp;" Comdty","")</f>
        <v/>
      </c>
      <c r="FA1" s="2">
        <f>IF(ISNUMBER(B$8),"CL"&amp;MID("FGHJKMNQUVXZ",B$1,1)&amp;B$4&amp;"P "&amp;IF(Settings!$F$14=2,TEXT((B$8-4),"0.00"),(B$8-4))&amp;" Comdty","")</f>
        <v/>
      </c>
      <c r="FR1" s="2">
        <f>IF(ISNUMBER(B$8),"CL"&amp;MID("FGHJKMNQUVXZ",B$1,1)&amp;B$4&amp;"C "&amp;IF(Settings!$F$14=2,TEXT((B$8-3),"0.00"),(B$8-3))&amp;" Comdty","")</f>
        <v/>
      </c>
      <c r="GI1" s="2">
        <f>IF(ISNUMBER(B$8),"CL"&amp;MID("FGHJKMNQUVXZ",B$1,1)&amp;B$4&amp;"P "&amp;IF(Settings!$F$14=2,TEXT((B$8-3),"0.00"),(B$8-3))&amp;" Comdty","")</f>
        <v/>
      </c>
      <c r="GZ1" s="2">
        <f>IF(ISNUMBER(B$8),"CL"&amp;MID("FGHJKMNQUVXZ",B$1,1)&amp;B$4&amp;"C "&amp;IF(Settings!$F$14=2,TEXT((B$8-2),"0.00"),(B$8-2))&amp;" Comdty","")</f>
        <v/>
      </c>
      <c r="HQ1" s="2">
        <f>IF(ISNUMBER(B$8),"CL"&amp;MID("FGHJKMNQUVXZ",B$1,1)&amp;B$4&amp;"P "&amp;IF(Settings!$F$14=2,TEXT((B$8-2),"0.00"),(B$8-2))&amp;" Comdty","")</f>
        <v/>
      </c>
      <c r="IH1" s="2">
        <f>IF(ISNUMBER(B$8),"CL"&amp;MID("FGHJKMNQUVXZ",B$1,1)&amp;B$4&amp;"C "&amp;IF(Settings!$F$14=2,TEXT((B$8-1),"0.00"),(B$8-1))&amp;" Comdty","")</f>
        <v/>
      </c>
      <c r="IY1" s="2">
        <f>IF(ISNUMBER(B$8),"CL"&amp;MID("FGHJKMNQUVXZ",B$1,1)&amp;B$4&amp;"P "&amp;IF(Settings!$F$14=2,TEXT((B$8-1),"0.00"),(B$8-1))&amp;" Comdty","")</f>
        <v/>
      </c>
      <c r="JP1" s="2">
        <f>IF(ISNUMBER(B$8),"CL"&amp;MID("FGHJKMNQUVXZ",B$1,1)&amp;B$4&amp;"C "&amp;IF(Settings!$F$14=2,TEXT(B$8,"0.00"),B$8)&amp;" Comdty","")</f>
        <v/>
      </c>
      <c r="KG1" s="2">
        <f>IF(ISNUMBER(B$8),"CL"&amp;MID("FGHJKMNQUVXZ",B$1,1)&amp;B$4&amp;"P "&amp;IF(Settings!$F$14=2,TEXT(B$8,"0.00"),B$8)&amp;" Comdty","")</f>
        <v/>
      </c>
      <c r="KX1" s="2">
        <f>IF(ISNUMBER(B$8),"CL"&amp;MID("FGHJKMNQUVXZ",B$1,1)&amp;B$4&amp;"C "&amp;IF(Settings!$F$14=2,TEXT((B$8+1),"0.00"),(B$8+1))&amp;" Comdty","")</f>
        <v/>
      </c>
      <c r="LO1" s="2">
        <f>IF(ISNUMBER(B$8),"CL"&amp;MID("FGHJKMNQUVXZ",B$1,1)&amp;B$4&amp;"P "&amp;IF(Settings!$F$14=2,TEXT((B$8+1),"0.00"),(B$8+1))&amp;" Comdty","")</f>
        <v/>
      </c>
      <c r="MF1" s="2">
        <f>IF(ISNUMBER(B$8),"CL"&amp;MID("FGHJKMNQUVXZ",B$1,1)&amp;B$4&amp;"C "&amp;IF(Settings!$F$14=2,TEXT((B$8+2),"0.00"),(B$8+2))&amp;" Comdty","")</f>
        <v/>
      </c>
      <c r="MW1" s="2">
        <f>IF(ISNUMBER(B$8),"CL"&amp;MID("FGHJKMNQUVXZ",B$1,1)&amp;B$4&amp;"P "&amp;IF(Settings!$F$14=2,TEXT((B$8+2),"0.00"),(B$8+2))&amp;" Comdty","")</f>
        <v/>
      </c>
      <c r="NN1" s="2">
        <f>IF(ISNUMBER(B$8),"CL"&amp;MID("FGHJKMNQUVXZ",B$1,1)&amp;B$4&amp;"C "&amp;IF(Settings!$F$14=2,TEXT((B$8+3),"0.00"),(B$8+3))&amp;" Comdty","")</f>
        <v/>
      </c>
      <c r="OE1" s="2">
        <f>IF(ISNUMBER(B$8),"CL"&amp;MID("FGHJKMNQUVXZ",B$1,1)&amp;B$4&amp;"P "&amp;IF(Settings!$F$14=2,TEXT((B$8+3),"0.00"),(B$8+3))&amp;" Comdty","")</f>
        <v/>
      </c>
      <c r="OV1" s="2">
        <f>IF(ISNUMBER(B$8),"CL"&amp;MID("FGHJKMNQUVXZ",B$1,1)&amp;B$4&amp;"C "&amp;IF(Settings!$F$14=2,TEXT((B$8+4),"0.00"),(B$8+4))&amp;" Comdty","")</f>
        <v/>
      </c>
      <c r="PM1" s="2">
        <f>IF(ISNUMBER(B$8),"CL"&amp;MID("FGHJKMNQUVXZ",B$1,1)&amp;B$4&amp;"P "&amp;IF(Settings!$F$14=2,TEXT((B$8+4),"0.00"),(B$8+4))&amp;" Comdty","")</f>
        <v/>
      </c>
      <c r="QD1" s="2">
        <f>IF(ISNUMBER(B$8),"CL"&amp;MID("FGHJKMNQUVXZ",B$1,1)&amp;B$4&amp;"C "&amp;IF(Settings!$F$14=2,TEXT((B$8+5),"0.00"),(B$8+5))&amp;" Comdty","")</f>
        <v/>
      </c>
      <c r="QU1" s="2">
        <f>IF(ISNUMBER(B$8),"CL"&amp;MID("FGHJKMNQUVXZ",B$1,1)&amp;B$4&amp;"P "&amp;IF(Settings!$F$14=2,TEXT((B$8+5),"0.00"),(B$8+5))&amp;" Comdty","")</f>
        <v/>
      </c>
      <c r="RL1" s="2">
        <f>IF(ISNUMBER(B$8),"CL"&amp;MID("FGHJKMNQUVXZ",B$1,1)&amp;B$4&amp;"C "&amp;IF(Settings!$F$14=2,TEXT((B$8+6),"0.00"),(B$8+6))&amp;" Comdty","")</f>
        <v/>
      </c>
      <c r="SC1" s="2">
        <f>IF(ISNUMBER(B$8),"CL"&amp;MID("FGHJKMNQUVXZ",B$1,1)&amp;B$4&amp;"P "&amp;IF(Settings!$F$14=2,TEXT((B$8+6),"0.00"),(B$8+6))&amp;" Comdty","")</f>
        <v/>
      </c>
      <c r="ST1" s="2">
        <f>IF(ISNUMBER(B$8),"CL"&amp;MID("FGHJKMNQUVXZ",B$1,1)&amp;B$4&amp;"C "&amp;IF(Settings!$F$14=2,TEXT((B$8+7),"0.00"),(B$8+7))&amp;" Comdty","")</f>
        <v/>
      </c>
      <c r="TK1" s="2">
        <f>IF(ISNUMBER(B$8),"CL"&amp;MID("FGHJKMNQUVXZ",B$1,1)&amp;B$4&amp;"P "&amp;IF(Settings!$F$14=2,TEXT((B$8+7),"0.00"),(B$8+7))&amp;" Comdty","")</f>
        <v/>
      </c>
      <c r="UB1" s="2">
        <f>IF(ISNUMBER(B$8),"CL"&amp;MID("FGHJKMNQUVXZ",B$1,1)&amp;B$4&amp;"C "&amp;IF(Settings!$F$14=2,TEXT((B$8+8),"0.00"),(B$8+8))&amp;" Comdty","")</f>
        <v/>
      </c>
      <c r="US1" s="2">
        <f>IF(ISNUMBER(B$8),"CL"&amp;MID("FGHJKMNQUVXZ",B$1,1)&amp;B$4&amp;"P "&amp;IF(Settings!$F$14=2,TEXT((B$8+8),"0.00"),(B$8+8))&amp;" Comdty","")</f>
        <v/>
      </c>
    </row>
    <row r="2">
      <c r="A2" s="2" t="inlineStr">
        <is>
          <t>Futures last trade</t>
        </is>
      </c>
      <c r="B2" s="8">
        <f>WORKDAY(DATE(Settings!$E$14,B1-1,25),-3)</f>
        <v/>
      </c>
      <c r="D2" s="4" t="inlineStr">
        <is>
          <t>call -8 from ATM</t>
        </is>
      </c>
      <c r="U2" s="4" t="inlineStr">
        <is>
          <t>put -8 from ATM</t>
        </is>
      </c>
      <c r="AL2" s="4" t="inlineStr">
        <is>
          <t>call -7 from ATM</t>
        </is>
      </c>
      <c r="BC2" s="4" t="inlineStr">
        <is>
          <t>put -7 from ATM</t>
        </is>
      </c>
      <c r="BT2" s="4" t="inlineStr">
        <is>
          <t>call -6 from ATM</t>
        </is>
      </c>
      <c r="CK2" s="4" t="inlineStr">
        <is>
          <t>put -6 from ATM</t>
        </is>
      </c>
      <c r="DB2" s="4" t="inlineStr">
        <is>
          <t>call -5 from ATM</t>
        </is>
      </c>
      <c r="DS2" s="4" t="inlineStr">
        <is>
          <t>put -5 from ATM</t>
        </is>
      </c>
      <c r="EJ2" s="4" t="inlineStr">
        <is>
          <t>call -4 from ATM</t>
        </is>
      </c>
      <c r="FA2" s="4" t="inlineStr">
        <is>
          <t>put -4 from ATM</t>
        </is>
      </c>
      <c r="FR2" s="4" t="inlineStr">
        <is>
          <t>call -3 from ATM</t>
        </is>
      </c>
      <c r="GI2" s="4" t="inlineStr">
        <is>
          <t>put -3 from ATM</t>
        </is>
      </c>
      <c r="GZ2" s="4" t="inlineStr">
        <is>
          <t>call -2 from ATM</t>
        </is>
      </c>
      <c r="HQ2" s="4" t="inlineStr">
        <is>
          <t>put -2 from ATM</t>
        </is>
      </c>
      <c r="IH2" s="4" t="inlineStr">
        <is>
          <t>call -1 from ATM</t>
        </is>
      </c>
      <c r="IY2" s="4" t="inlineStr">
        <is>
          <t>put -1 from ATM</t>
        </is>
      </c>
      <c r="JP2" s="4" t="inlineStr">
        <is>
          <t>call +0 from ATM</t>
        </is>
      </c>
      <c r="KG2" s="4" t="inlineStr">
        <is>
          <t>put +0 from ATM</t>
        </is>
      </c>
      <c r="KX2" s="4" t="inlineStr">
        <is>
          <t>call +1 from ATM</t>
        </is>
      </c>
      <c r="LO2" s="4" t="inlineStr">
        <is>
          <t>put +1 from ATM</t>
        </is>
      </c>
      <c r="MF2" s="4" t="inlineStr">
        <is>
          <t>call +2 from ATM</t>
        </is>
      </c>
      <c r="MW2" s="4" t="inlineStr">
        <is>
          <t>put +2 from ATM</t>
        </is>
      </c>
      <c r="NN2" s="4" t="inlineStr">
        <is>
          <t>call +3 from ATM</t>
        </is>
      </c>
      <c r="OE2" s="4" t="inlineStr">
        <is>
          <t>put +3 from ATM</t>
        </is>
      </c>
      <c r="OV2" s="4" t="inlineStr">
        <is>
          <t>call +4 from ATM</t>
        </is>
      </c>
      <c r="PM2" s="4" t="inlineStr">
        <is>
          <t>put +4 from ATM</t>
        </is>
      </c>
      <c r="QD2" s="4" t="inlineStr">
        <is>
          <t>call +5 from ATM</t>
        </is>
      </c>
      <c r="QU2" s="4" t="inlineStr">
        <is>
          <t>put +5 from ATM</t>
        </is>
      </c>
      <c r="RL2" s="4" t="inlineStr">
        <is>
          <t>call +6 from ATM</t>
        </is>
      </c>
      <c r="SC2" s="4" t="inlineStr">
        <is>
          <t>put +6 from ATM</t>
        </is>
      </c>
      <c r="ST2" s="4" t="inlineStr">
        <is>
          <t>call +7 from ATM</t>
        </is>
      </c>
      <c r="TK2" s="4" t="inlineStr">
        <is>
          <t>put +7 from ATM</t>
        </is>
      </c>
      <c r="UB2" s="4" t="inlineStr">
        <is>
          <t>call +8 from ATM</t>
        </is>
      </c>
      <c r="US2" s="4" t="inlineStr">
        <is>
          <t>put +8 from ATM</t>
        </is>
      </c>
    </row>
    <row r="3">
      <c r="A3" s="2" t="inlineStr">
        <is>
          <t>Option expiry (approx)</t>
        </is>
      </c>
      <c r="B3" s="8">
        <f>WORKDAY(B2,-1)</f>
        <v/>
      </c>
      <c r="D3" s="5" t="inlineStr">
        <is>
          <t>Date</t>
        </is>
      </c>
      <c r="E3" s="5" t="inlineStr">
        <is>
          <t>PX_BID</t>
        </is>
      </c>
      <c r="F3" s="5" t="inlineStr">
        <is>
          <t>PX_ASK</t>
        </is>
      </c>
      <c r="G3" s="5" t="inlineStr">
        <is>
          <t>PX_MID</t>
        </is>
      </c>
      <c r="H3" s="5" t="inlineStr">
        <is>
          <t>PX_LAST</t>
        </is>
      </c>
      <c r="I3" s="5" t="inlineStr">
        <is>
          <t>PX_SETTLE</t>
        </is>
      </c>
      <c r="J3" s="5" t="inlineStr">
        <is>
          <t>PX_VOLUME</t>
        </is>
      </c>
      <c r="K3" s="5" t="inlineStr">
        <is>
          <t>OPEN_INT</t>
        </is>
      </c>
      <c r="L3" s="5" t="inlineStr">
        <is>
          <t>IVOL_MID</t>
        </is>
      </c>
      <c r="M3" s="5" t="inlineStr">
        <is>
          <t>IVOL_BID</t>
        </is>
      </c>
      <c r="N3" s="5" t="inlineStr">
        <is>
          <t>IVOL_ASK</t>
        </is>
      </c>
      <c r="O3" s="5" t="inlineStr">
        <is>
          <t>DELTA_MID</t>
        </is>
      </c>
      <c r="P3" s="5" t="inlineStr">
        <is>
          <t>GAMMA_MID</t>
        </is>
      </c>
      <c r="Q3" s="5" t="inlineStr">
        <is>
          <t>VEGA_MID</t>
        </is>
      </c>
      <c r="R3" s="5" t="inlineStr">
        <is>
          <t>THETA_MID</t>
        </is>
      </c>
      <c r="S3" s="5" t="inlineStr">
        <is>
          <t>OPT_UNDL_PX</t>
        </is>
      </c>
      <c r="U3" s="5" t="inlineStr">
        <is>
          <t>Date</t>
        </is>
      </c>
      <c r="V3" s="5" t="inlineStr">
        <is>
          <t>PX_BID</t>
        </is>
      </c>
      <c r="W3" s="5" t="inlineStr">
        <is>
          <t>PX_ASK</t>
        </is>
      </c>
      <c r="X3" s="5" t="inlineStr">
        <is>
          <t>PX_MID</t>
        </is>
      </c>
      <c r="Y3" s="5" t="inlineStr">
        <is>
          <t>PX_LAST</t>
        </is>
      </c>
      <c r="Z3" s="5" t="inlineStr">
        <is>
          <t>PX_SETTLE</t>
        </is>
      </c>
      <c r="AA3" s="5" t="inlineStr">
        <is>
          <t>PX_VOLUME</t>
        </is>
      </c>
      <c r="AB3" s="5" t="inlineStr">
        <is>
          <t>OPEN_INT</t>
        </is>
      </c>
      <c r="AC3" s="5" t="inlineStr">
        <is>
          <t>IVOL_MID</t>
        </is>
      </c>
      <c r="AD3" s="5" t="inlineStr">
        <is>
          <t>IVOL_BID</t>
        </is>
      </c>
      <c r="AE3" s="5" t="inlineStr">
        <is>
          <t>IVOL_ASK</t>
        </is>
      </c>
      <c r="AF3" s="5" t="inlineStr">
        <is>
          <t>DELTA_MID</t>
        </is>
      </c>
      <c r="AG3" s="5" t="inlineStr">
        <is>
          <t>GAMMA_MID</t>
        </is>
      </c>
      <c r="AH3" s="5" t="inlineStr">
        <is>
          <t>VEGA_MID</t>
        </is>
      </c>
      <c r="AI3" s="5" t="inlineStr">
        <is>
          <t>THETA_MID</t>
        </is>
      </c>
      <c r="AJ3" s="5" t="inlineStr">
        <is>
          <t>OPT_UNDL_PX</t>
        </is>
      </c>
      <c r="AL3" s="5" t="inlineStr">
        <is>
          <t>Date</t>
        </is>
      </c>
      <c r="AM3" s="5" t="inlineStr">
        <is>
          <t>PX_BID</t>
        </is>
      </c>
      <c r="AN3" s="5" t="inlineStr">
        <is>
          <t>PX_ASK</t>
        </is>
      </c>
      <c r="AO3" s="5" t="inlineStr">
        <is>
          <t>PX_MID</t>
        </is>
      </c>
      <c r="AP3" s="5" t="inlineStr">
        <is>
          <t>PX_LAST</t>
        </is>
      </c>
      <c r="AQ3" s="5" t="inlineStr">
        <is>
          <t>PX_SETTLE</t>
        </is>
      </c>
      <c r="AR3" s="5" t="inlineStr">
        <is>
          <t>PX_VOLUME</t>
        </is>
      </c>
      <c r="AS3" s="5" t="inlineStr">
        <is>
          <t>OPEN_INT</t>
        </is>
      </c>
      <c r="AT3" s="5" t="inlineStr">
        <is>
          <t>IVOL_MID</t>
        </is>
      </c>
      <c r="AU3" s="5" t="inlineStr">
        <is>
          <t>IVOL_BID</t>
        </is>
      </c>
      <c r="AV3" s="5" t="inlineStr">
        <is>
          <t>IVOL_ASK</t>
        </is>
      </c>
      <c r="AW3" s="5" t="inlineStr">
        <is>
          <t>DELTA_MID</t>
        </is>
      </c>
      <c r="AX3" s="5" t="inlineStr">
        <is>
          <t>GAMMA_MID</t>
        </is>
      </c>
      <c r="AY3" s="5" t="inlineStr">
        <is>
          <t>VEGA_MID</t>
        </is>
      </c>
      <c r="AZ3" s="5" t="inlineStr">
        <is>
          <t>THETA_MID</t>
        </is>
      </c>
      <c r="BA3" s="5" t="inlineStr">
        <is>
          <t>OPT_UNDL_PX</t>
        </is>
      </c>
      <c r="BC3" s="5" t="inlineStr">
        <is>
          <t>Date</t>
        </is>
      </c>
      <c r="BD3" s="5" t="inlineStr">
        <is>
          <t>PX_BID</t>
        </is>
      </c>
      <c r="BE3" s="5" t="inlineStr">
        <is>
          <t>PX_ASK</t>
        </is>
      </c>
      <c r="BF3" s="5" t="inlineStr">
        <is>
          <t>PX_MID</t>
        </is>
      </c>
      <c r="BG3" s="5" t="inlineStr">
        <is>
          <t>PX_LAST</t>
        </is>
      </c>
      <c r="BH3" s="5" t="inlineStr">
        <is>
          <t>PX_SETTLE</t>
        </is>
      </c>
      <c r="BI3" s="5" t="inlineStr">
        <is>
          <t>PX_VOLUME</t>
        </is>
      </c>
      <c r="BJ3" s="5" t="inlineStr">
        <is>
          <t>OPEN_INT</t>
        </is>
      </c>
      <c r="BK3" s="5" t="inlineStr">
        <is>
          <t>IVOL_MID</t>
        </is>
      </c>
      <c r="BL3" s="5" t="inlineStr">
        <is>
          <t>IVOL_BID</t>
        </is>
      </c>
      <c r="BM3" s="5" t="inlineStr">
        <is>
          <t>IVOL_ASK</t>
        </is>
      </c>
      <c r="BN3" s="5" t="inlineStr">
        <is>
          <t>DELTA_MID</t>
        </is>
      </c>
      <c r="BO3" s="5" t="inlineStr">
        <is>
          <t>GAMMA_MID</t>
        </is>
      </c>
      <c r="BP3" s="5" t="inlineStr">
        <is>
          <t>VEGA_MID</t>
        </is>
      </c>
      <c r="BQ3" s="5" t="inlineStr">
        <is>
          <t>THETA_MID</t>
        </is>
      </c>
      <c r="BR3" s="5" t="inlineStr">
        <is>
          <t>OPT_UNDL_PX</t>
        </is>
      </c>
      <c r="BT3" s="5" t="inlineStr">
        <is>
          <t>Date</t>
        </is>
      </c>
      <c r="BU3" s="5" t="inlineStr">
        <is>
          <t>PX_BID</t>
        </is>
      </c>
      <c r="BV3" s="5" t="inlineStr">
        <is>
          <t>PX_ASK</t>
        </is>
      </c>
      <c r="BW3" s="5" t="inlineStr">
        <is>
          <t>PX_MID</t>
        </is>
      </c>
      <c r="BX3" s="5" t="inlineStr">
        <is>
          <t>PX_LAST</t>
        </is>
      </c>
      <c r="BY3" s="5" t="inlineStr">
        <is>
          <t>PX_SETTLE</t>
        </is>
      </c>
      <c r="BZ3" s="5" t="inlineStr">
        <is>
          <t>PX_VOLUME</t>
        </is>
      </c>
      <c r="CA3" s="5" t="inlineStr">
        <is>
          <t>OPEN_INT</t>
        </is>
      </c>
      <c r="CB3" s="5" t="inlineStr">
        <is>
          <t>IVOL_MID</t>
        </is>
      </c>
      <c r="CC3" s="5" t="inlineStr">
        <is>
          <t>IVOL_BID</t>
        </is>
      </c>
      <c r="CD3" s="5" t="inlineStr">
        <is>
          <t>IVOL_ASK</t>
        </is>
      </c>
      <c r="CE3" s="5" t="inlineStr">
        <is>
          <t>DELTA_MID</t>
        </is>
      </c>
      <c r="CF3" s="5" t="inlineStr">
        <is>
          <t>GAMMA_MID</t>
        </is>
      </c>
      <c r="CG3" s="5" t="inlineStr">
        <is>
          <t>VEGA_MID</t>
        </is>
      </c>
      <c r="CH3" s="5" t="inlineStr">
        <is>
          <t>THETA_MID</t>
        </is>
      </c>
      <c r="CI3" s="5" t="inlineStr">
        <is>
          <t>OPT_UNDL_PX</t>
        </is>
      </c>
      <c r="CK3" s="5" t="inlineStr">
        <is>
          <t>Date</t>
        </is>
      </c>
      <c r="CL3" s="5" t="inlineStr">
        <is>
          <t>PX_BID</t>
        </is>
      </c>
      <c r="CM3" s="5" t="inlineStr">
        <is>
          <t>PX_ASK</t>
        </is>
      </c>
      <c r="CN3" s="5" t="inlineStr">
        <is>
          <t>PX_MID</t>
        </is>
      </c>
      <c r="CO3" s="5" t="inlineStr">
        <is>
          <t>PX_LAST</t>
        </is>
      </c>
      <c r="CP3" s="5" t="inlineStr">
        <is>
          <t>PX_SETTLE</t>
        </is>
      </c>
      <c r="CQ3" s="5" t="inlineStr">
        <is>
          <t>PX_VOLUME</t>
        </is>
      </c>
      <c r="CR3" s="5" t="inlineStr">
        <is>
          <t>OPEN_INT</t>
        </is>
      </c>
      <c r="CS3" s="5" t="inlineStr">
        <is>
          <t>IVOL_MID</t>
        </is>
      </c>
      <c r="CT3" s="5" t="inlineStr">
        <is>
          <t>IVOL_BID</t>
        </is>
      </c>
      <c r="CU3" s="5" t="inlineStr">
        <is>
          <t>IVOL_ASK</t>
        </is>
      </c>
      <c r="CV3" s="5" t="inlineStr">
        <is>
          <t>DELTA_MID</t>
        </is>
      </c>
      <c r="CW3" s="5" t="inlineStr">
        <is>
          <t>GAMMA_MID</t>
        </is>
      </c>
      <c r="CX3" s="5" t="inlineStr">
        <is>
          <t>VEGA_MID</t>
        </is>
      </c>
      <c r="CY3" s="5" t="inlineStr">
        <is>
          <t>THETA_MID</t>
        </is>
      </c>
      <c r="CZ3" s="5" t="inlineStr">
        <is>
          <t>OPT_UNDL_PX</t>
        </is>
      </c>
      <c r="DB3" s="5" t="inlineStr">
        <is>
          <t>Date</t>
        </is>
      </c>
      <c r="DC3" s="5" t="inlineStr">
        <is>
          <t>PX_BID</t>
        </is>
      </c>
      <c r="DD3" s="5" t="inlineStr">
        <is>
          <t>PX_ASK</t>
        </is>
      </c>
      <c r="DE3" s="5" t="inlineStr">
        <is>
          <t>PX_MID</t>
        </is>
      </c>
      <c r="DF3" s="5" t="inlineStr">
        <is>
          <t>PX_LAST</t>
        </is>
      </c>
      <c r="DG3" s="5" t="inlineStr">
        <is>
          <t>PX_SETTLE</t>
        </is>
      </c>
      <c r="DH3" s="5" t="inlineStr">
        <is>
          <t>PX_VOLUME</t>
        </is>
      </c>
      <c r="DI3" s="5" t="inlineStr">
        <is>
          <t>OPEN_INT</t>
        </is>
      </c>
      <c r="DJ3" s="5" t="inlineStr">
        <is>
          <t>IVOL_MID</t>
        </is>
      </c>
      <c r="DK3" s="5" t="inlineStr">
        <is>
          <t>IVOL_BID</t>
        </is>
      </c>
      <c r="DL3" s="5" t="inlineStr">
        <is>
          <t>IVOL_ASK</t>
        </is>
      </c>
      <c r="DM3" s="5" t="inlineStr">
        <is>
          <t>DELTA_MID</t>
        </is>
      </c>
      <c r="DN3" s="5" t="inlineStr">
        <is>
          <t>GAMMA_MID</t>
        </is>
      </c>
      <c r="DO3" s="5" t="inlineStr">
        <is>
          <t>VEGA_MID</t>
        </is>
      </c>
      <c r="DP3" s="5" t="inlineStr">
        <is>
          <t>THETA_MID</t>
        </is>
      </c>
      <c r="DQ3" s="5" t="inlineStr">
        <is>
          <t>OPT_UNDL_PX</t>
        </is>
      </c>
      <c r="DS3" s="5" t="inlineStr">
        <is>
          <t>Date</t>
        </is>
      </c>
      <c r="DT3" s="5" t="inlineStr">
        <is>
          <t>PX_BID</t>
        </is>
      </c>
      <c r="DU3" s="5" t="inlineStr">
        <is>
          <t>PX_ASK</t>
        </is>
      </c>
      <c r="DV3" s="5" t="inlineStr">
        <is>
          <t>PX_MID</t>
        </is>
      </c>
      <c r="DW3" s="5" t="inlineStr">
        <is>
          <t>PX_LAST</t>
        </is>
      </c>
      <c r="DX3" s="5" t="inlineStr">
        <is>
          <t>PX_SETTLE</t>
        </is>
      </c>
      <c r="DY3" s="5" t="inlineStr">
        <is>
          <t>PX_VOLUME</t>
        </is>
      </c>
      <c r="DZ3" s="5" t="inlineStr">
        <is>
          <t>OPEN_INT</t>
        </is>
      </c>
      <c r="EA3" s="5" t="inlineStr">
        <is>
          <t>IVOL_MID</t>
        </is>
      </c>
      <c r="EB3" s="5" t="inlineStr">
        <is>
          <t>IVOL_BID</t>
        </is>
      </c>
      <c r="EC3" s="5" t="inlineStr">
        <is>
          <t>IVOL_ASK</t>
        </is>
      </c>
      <c r="ED3" s="5" t="inlineStr">
        <is>
          <t>DELTA_MID</t>
        </is>
      </c>
      <c r="EE3" s="5" t="inlineStr">
        <is>
          <t>GAMMA_MID</t>
        </is>
      </c>
      <c r="EF3" s="5" t="inlineStr">
        <is>
          <t>VEGA_MID</t>
        </is>
      </c>
      <c r="EG3" s="5" t="inlineStr">
        <is>
          <t>THETA_MID</t>
        </is>
      </c>
      <c r="EH3" s="5" t="inlineStr">
        <is>
          <t>OPT_UNDL_PX</t>
        </is>
      </c>
      <c r="EJ3" s="5" t="inlineStr">
        <is>
          <t>Date</t>
        </is>
      </c>
      <c r="EK3" s="5" t="inlineStr">
        <is>
          <t>PX_BID</t>
        </is>
      </c>
      <c r="EL3" s="5" t="inlineStr">
        <is>
          <t>PX_ASK</t>
        </is>
      </c>
      <c r="EM3" s="5" t="inlineStr">
        <is>
          <t>PX_MID</t>
        </is>
      </c>
      <c r="EN3" s="5" t="inlineStr">
        <is>
          <t>PX_LAST</t>
        </is>
      </c>
      <c r="EO3" s="5" t="inlineStr">
        <is>
          <t>PX_SETTLE</t>
        </is>
      </c>
      <c r="EP3" s="5" t="inlineStr">
        <is>
          <t>PX_VOLUME</t>
        </is>
      </c>
      <c r="EQ3" s="5" t="inlineStr">
        <is>
          <t>OPEN_INT</t>
        </is>
      </c>
      <c r="ER3" s="5" t="inlineStr">
        <is>
          <t>IVOL_MID</t>
        </is>
      </c>
      <c r="ES3" s="5" t="inlineStr">
        <is>
          <t>IVOL_BID</t>
        </is>
      </c>
      <c r="ET3" s="5" t="inlineStr">
        <is>
          <t>IVOL_ASK</t>
        </is>
      </c>
      <c r="EU3" s="5" t="inlineStr">
        <is>
          <t>DELTA_MID</t>
        </is>
      </c>
      <c r="EV3" s="5" t="inlineStr">
        <is>
          <t>GAMMA_MID</t>
        </is>
      </c>
      <c r="EW3" s="5" t="inlineStr">
        <is>
          <t>VEGA_MID</t>
        </is>
      </c>
      <c r="EX3" s="5" t="inlineStr">
        <is>
          <t>THETA_MID</t>
        </is>
      </c>
      <c r="EY3" s="5" t="inlineStr">
        <is>
          <t>OPT_UNDL_PX</t>
        </is>
      </c>
      <c r="FA3" s="5" t="inlineStr">
        <is>
          <t>Date</t>
        </is>
      </c>
      <c r="FB3" s="5" t="inlineStr">
        <is>
          <t>PX_BID</t>
        </is>
      </c>
      <c r="FC3" s="5" t="inlineStr">
        <is>
          <t>PX_ASK</t>
        </is>
      </c>
      <c r="FD3" s="5" t="inlineStr">
        <is>
          <t>PX_MID</t>
        </is>
      </c>
      <c r="FE3" s="5" t="inlineStr">
        <is>
          <t>PX_LAST</t>
        </is>
      </c>
      <c r="FF3" s="5" t="inlineStr">
        <is>
          <t>PX_SETTLE</t>
        </is>
      </c>
      <c r="FG3" s="5" t="inlineStr">
        <is>
          <t>PX_VOLUME</t>
        </is>
      </c>
      <c r="FH3" s="5" t="inlineStr">
        <is>
          <t>OPEN_INT</t>
        </is>
      </c>
      <c r="FI3" s="5" t="inlineStr">
        <is>
          <t>IVOL_MID</t>
        </is>
      </c>
      <c r="FJ3" s="5" t="inlineStr">
        <is>
          <t>IVOL_BID</t>
        </is>
      </c>
      <c r="FK3" s="5" t="inlineStr">
        <is>
          <t>IVOL_ASK</t>
        </is>
      </c>
      <c r="FL3" s="5" t="inlineStr">
        <is>
          <t>DELTA_MID</t>
        </is>
      </c>
      <c r="FM3" s="5" t="inlineStr">
        <is>
          <t>GAMMA_MID</t>
        </is>
      </c>
      <c r="FN3" s="5" t="inlineStr">
        <is>
          <t>VEGA_MID</t>
        </is>
      </c>
      <c r="FO3" s="5" t="inlineStr">
        <is>
          <t>THETA_MID</t>
        </is>
      </c>
      <c r="FP3" s="5" t="inlineStr">
        <is>
          <t>OPT_UNDL_PX</t>
        </is>
      </c>
      <c r="FR3" s="5" t="inlineStr">
        <is>
          <t>Date</t>
        </is>
      </c>
      <c r="FS3" s="5" t="inlineStr">
        <is>
          <t>PX_BID</t>
        </is>
      </c>
      <c r="FT3" s="5" t="inlineStr">
        <is>
          <t>PX_ASK</t>
        </is>
      </c>
      <c r="FU3" s="5" t="inlineStr">
        <is>
          <t>PX_MID</t>
        </is>
      </c>
      <c r="FV3" s="5" t="inlineStr">
        <is>
          <t>PX_LAST</t>
        </is>
      </c>
      <c r="FW3" s="5" t="inlineStr">
        <is>
          <t>PX_SETTLE</t>
        </is>
      </c>
      <c r="FX3" s="5" t="inlineStr">
        <is>
          <t>PX_VOLUME</t>
        </is>
      </c>
      <c r="FY3" s="5" t="inlineStr">
        <is>
          <t>OPEN_INT</t>
        </is>
      </c>
      <c r="FZ3" s="5" t="inlineStr">
        <is>
          <t>IVOL_MID</t>
        </is>
      </c>
      <c r="GA3" s="5" t="inlineStr">
        <is>
          <t>IVOL_BID</t>
        </is>
      </c>
      <c r="GB3" s="5" t="inlineStr">
        <is>
          <t>IVOL_ASK</t>
        </is>
      </c>
      <c r="GC3" s="5" t="inlineStr">
        <is>
          <t>DELTA_MID</t>
        </is>
      </c>
      <c r="GD3" s="5" t="inlineStr">
        <is>
          <t>GAMMA_MID</t>
        </is>
      </c>
      <c r="GE3" s="5" t="inlineStr">
        <is>
          <t>VEGA_MID</t>
        </is>
      </c>
      <c r="GF3" s="5" t="inlineStr">
        <is>
          <t>THETA_MID</t>
        </is>
      </c>
      <c r="GG3" s="5" t="inlineStr">
        <is>
          <t>OPT_UNDL_PX</t>
        </is>
      </c>
      <c r="GI3" s="5" t="inlineStr">
        <is>
          <t>Date</t>
        </is>
      </c>
      <c r="GJ3" s="5" t="inlineStr">
        <is>
          <t>PX_BID</t>
        </is>
      </c>
      <c r="GK3" s="5" t="inlineStr">
        <is>
          <t>PX_ASK</t>
        </is>
      </c>
      <c r="GL3" s="5" t="inlineStr">
        <is>
          <t>PX_MID</t>
        </is>
      </c>
      <c r="GM3" s="5" t="inlineStr">
        <is>
          <t>PX_LAST</t>
        </is>
      </c>
      <c r="GN3" s="5" t="inlineStr">
        <is>
          <t>PX_SETTLE</t>
        </is>
      </c>
      <c r="GO3" s="5" t="inlineStr">
        <is>
          <t>PX_VOLUME</t>
        </is>
      </c>
      <c r="GP3" s="5" t="inlineStr">
        <is>
          <t>OPEN_INT</t>
        </is>
      </c>
      <c r="GQ3" s="5" t="inlineStr">
        <is>
          <t>IVOL_MID</t>
        </is>
      </c>
      <c r="GR3" s="5" t="inlineStr">
        <is>
          <t>IVOL_BID</t>
        </is>
      </c>
      <c r="GS3" s="5" t="inlineStr">
        <is>
          <t>IVOL_ASK</t>
        </is>
      </c>
      <c r="GT3" s="5" t="inlineStr">
        <is>
          <t>DELTA_MID</t>
        </is>
      </c>
      <c r="GU3" s="5" t="inlineStr">
        <is>
          <t>GAMMA_MID</t>
        </is>
      </c>
      <c r="GV3" s="5" t="inlineStr">
        <is>
          <t>VEGA_MID</t>
        </is>
      </c>
      <c r="GW3" s="5" t="inlineStr">
        <is>
          <t>THETA_MID</t>
        </is>
      </c>
      <c r="GX3" s="5" t="inlineStr">
        <is>
          <t>OPT_UNDL_PX</t>
        </is>
      </c>
      <c r="GZ3" s="5" t="inlineStr">
        <is>
          <t>Date</t>
        </is>
      </c>
      <c r="HA3" s="5" t="inlineStr">
        <is>
          <t>PX_BID</t>
        </is>
      </c>
      <c r="HB3" s="5" t="inlineStr">
        <is>
          <t>PX_ASK</t>
        </is>
      </c>
      <c r="HC3" s="5" t="inlineStr">
        <is>
          <t>PX_MID</t>
        </is>
      </c>
      <c r="HD3" s="5" t="inlineStr">
        <is>
          <t>PX_LAST</t>
        </is>
      </c>
      <c r="HE3" s="5" t="inlineStr">
        <is>
          <t>PX_SETTLE</t>
        </is>
      </c>
      <c r="HF3" s="5" t="inlineStr">
        <is>
          <t>PX_VOLUME</t>
        </is>
      </c>
      <c r="HG3" s="5" t="inlineStr">
        <is>
          <t>OPEN_INT</t>
        </is>
      </c>
      <c r="HH3" s="5" t="inlineStr">
        <is>
          <t>IVOL_MID</t>
        </is>
      </c>
      <c r="HI3" s="5" t="inlineStr">
        <is>
          <t>IVOL_BID</t>
        </is>
      </c>
      <c r="HJ3" s="5" t="inlineStr">
        <is>
          <t>IVOL_ASK</t>
        </is>
      </c>
      <c r="HK3" s="5" t="inlineStr">
        <is>
          <t>DELTA_MID</t>
        </is>
      </c>
      <c r="HL3" s="5" t="inlineStr">
        <is>
          <t>GAMMA_MID</t>
        </is>
      </c>
      <c r="HM3" s="5" t="inlineStr">
        <is>
          <t>VEGA_MID</t>
        </is>
      </c>
      <c r="HN3" s="5" t="inlineStr">
        <is>
          <t>THETA_MID</t>
        </is>
      </c>
      <c r="HO3" s="5" t="inlineStr">
        <is>
          <t>OPT_UNDL_PX</t>
        </is>
      </c>
      <c r="HQ3" s="5" t="inlineStr">
        <is>
          <t>Date</t>
        </is>
      </c>
      <c r="HR3" s="5" t="inlineStr">
        <is>
          <t>PX_BID</t>
        </is>
      </c>
      <c r="HS3" s="5" t="inlineStr">
        <is>
          <t>PX_ASK</t>
        </is>
      </c>
      <c r="HT3" s="5" t="inlineStr">
        <is>
          <t>PX_MID</t>
        </is>
      </c>
      <c r="HU3" s="5" t="inlineStr">
        <is>
          <t>PX_LAST</t>
        </is>
      </c>
      <c r="HV3" s="5" t="inlineStr">
        <is>
          <t>PX_SETTLE</t>
        </is>
      </c>
      <c r="HW3" s="5" t="inlineStr">
        <is>
          <t>PX_VOLUME</t>
        </is>
      </c>
      <c r="HX3" s="5" t="inlineStr">
        <is>
          <t>OPEN_INT</t>
        </is>
      </c>
      <c r="HY3" s="5" t="inlineStr">
        <is>
          <t>IVOL_MID</t>
        </is>
      </c>
      <c r="HZ3" s="5" t="inlineStr">
        <is>
          <t>IVOL_BID</t>
        </is>
      </c>
      <c r="IA3" s="5" t="inlineStr">
        <is>
          <t>IVOL_ASK</t>
        </is>
      </c>
      <c r="IB3" s="5" t="inlineStr">
        <is>
          <t>DELTA_MID</t>
        </is>
      </c>
      <c r="IC3" s="5" t="inlineStr">
        <is>
          <t>GAMMA_MID</t>
        </is>
      </c>
      <c r="ID3" s="5" t="inlineStr">
        <is>
          <t>VEGA_MID</t>
        </is>
      </c>
      <c r="IE3" s="5" t="inlineStr">
        <is>
          <t>THETA_MID</t>
        </is>
      </c>
      <c r="IF3" s="5" t="inlineStr">
        <is>
          <t>OPT_UNDL_PX</t>
        </is>
      </c>
      <c r="IH3" s="5" t="inlineStr">
        <is>
          <t>Date</t>
        </is>
      </c>
      <c r="II3" s="5" t="inlineStr">
        <is>
          <t>PX_BID</t>
        </is>
      </c>
      <c r="IJ3" s="5" t="inlineStr">
        <is>
          <t>PX_ASK</t>
        </is>
      </c>
      <c r="IK3" s="5" t="inlineStr">
        <is>
          <t>PX_MID</t>
        </is>
      </c>
      <c r="IL3" s="5" t="inlineStr">
        <is>
          <t>PX_LAST</t>
        </is>
      </c>
      <c r="IM3" s="5" t="inlineStr">
        <is>
          <t>PX_SETTLE</t>
        </is>
      </c>
      <c r="IN3" s="5" t="inlineStr">
        <is>
          <t>PX_VOLUME</t>
        </is>
      </c>
      <c r="IO3" s="5" t="inlineStr">
        <is>
          <t>OPEN_INT</t>
        </is>
      </c>
      <c r="IP3" s="5" t="inlineStr">
        <is>
          <t>IVOL_MID</t>
        </is>
      </c>
      <c r="IQ3" s="5" t="inlineStr">
        <is>
          <t>IVOL_BID</t>
        </is>
      </c>
      <c r="IR3" s="5" t="inlineStr">
        <is>
          <t>IVOL_ASK</t>
        </is>
      </c>
      <c r="IS3" s="5" t="inlineStr">
        <is>
          <t>DELTA_MID</t>
        </is>
      </c>
      <c r="IT3" s="5" t="inlineStr">
        <is>
          <t>GAMMA_MID</t>
        </is>
      </c>
      <c r="IU3" s="5" t="inlineStr">
        <is>
          <t>VEGA_MID</t>
        </is>
      </c>
      <c r="IV3" s="5" t="inlineStr">
        <is>
          <t>THETA_MID</t>
        </is>
      </c>
      <c r="IW3" s="5" t="inlineStr">
        <is>
          <t>OPT_UNDL_PX</t>
        </is>
      </c>
      <c r="IY3" s="5" t="inlineStr">
        <is>
          <t>Date</t>
        </is>
      </c>
      <c r="IZ3" s="5" t="inlineStr">
        <is>
          <t>PX_BID</t>
        </is>
      </c>
      <c r="JA3" s="5" t="inlineStr">
        <is>
          <t>PX_ASK</t>
        </is>
      </c>
      <c r="JB3" s="5" t="inlineStr">
        <is>
          <t>PX_MID</t>
        </is>
      </c>
      <c r="JC3" s="5" t="inlineStr">
        <is>
          <t>PX_LAST</t>
        </is>
      </c>
      <c r="JD3" s="5" t="inlineStr">
        <is>
          <t>PX_SETTLE</t>
        </is>
      </c>
      <c r="JE3" s="5" t="inlineStr">
        <is>
          <t>PX_VOLUME</t>
        </is>
      </c>
      <c r="JF3" s="5" t="inlineStr">
        <is>
          <t>OPEN_INT</t>
        </is>
      </c>
      <c r="JG3" s="5" t="inlineStr">
        <is>
          <t>IVOL_MID</t>
        </is>
      </c>
      <c r="JH3" s="5" t="inlineStr">
        <is>
          <t>IVOL_BID</t>
        </is>
      </c>
      <c r="JI3" s="5" t="inlineStr">
        <is>
          <t>IVOL_ASK</t>
        </is>
      </c>
      <c r="JJ3" s="5" t="inlineStr">
        <is>
          <t>DELTA_MID</t>
        </is>
      </c>
      <c r="JK3" s="5" t="inlineStr">
        <is>
          <t>GAMMA_MID</t>
        </is>
      </c>
      <c r="JL3" s="5" t="inlineStr">
        <is>
          <t>VEGA_MID</t>
        </is>
      </c>
      <c r="JM3" s="5" t="inlineStr">
        <is>
          <t>THETA_MID</t>
        </is>
      </c>
      <c r="JN3" s="5" t="inlineStr">
        <is>
          <t>OPT_UNDL_PX</t>
        </is>
      </c>
      <c r="JP3" s="5" t="inlineStr">
        <is>
          <t>Date</t>
        </is>
      </c>
      <c r="JQ3" s="5" t="inlineStr">
        <is>
          <t>PX_BID</t>
        </is>
      </c>
      <c r="JR3" s="5" t="inlineStr">
        <is>
          <t>PX_ASK</t>
        </is>
      </c>
      <c r="JS3" s="5" t="inlineStr">
        <is>
          <t>PX_MID</t>
        </is>
      </c>
      <c r="JT3" s="5" t="inlineStr">
        <is>
          <t>PX_LAST</t>
        </is>
      </c>
      <c r="JU3" s="5" t="inlineStr">
        <is>
          <t>PX_SETTLE</t>
        </is>
      </c>
      <c r="JV3" s="5" t="inlineStr">
        <is>
          <t>PX_VOLUME</t>
        </is>
      </c>
      <c r="JW3" s="5" t="inlineStr">
        <is>
          <t>OPEN_INT</t>
        </is>
      </c>
      <c r="JX3" s="5" t="inlineStr">
        <is>
          <t>IVOL_MID</t>
        </is>
      </c>
      <c r="JY3" s="5" t="inlineStr">
        <is>
          <t>IVOL_BID</t>
        </is>
      </c>
      <c r="JZ3" s="5" t="inlineStr">
        <is>
          <t>IVOL_ASK</t>
        </is>
      </c>
      <c r="KA3" s="5" t="inlineStr">
        <is>
          <t>DELTA_MID</t>
        </is>
      </c>
      <c r="KB3" s="5" t="inlineStr">
        <is>
          <t>GAMMA_MID</t>
        </is>
      </c>
      <c r="KC3" s="5" t="inlineStr">
        <is>
          <t>VEGA_MID</t>
        </is>
      </c>
      <c r="KD3" s="5" t="inlineStr">
        <is>
          <t>THETA_MID</t>
        </is>
      </c>
      <c r="KE3" s="5" t="inlineStr">
        <is>
          <t>OPT_UNDL_PX</t>
        </is>
      </c>
      <c r="KG3" s="5" t="inlineStr">
        <is>
          <t>Date</t>
        </is>
      </c>
      <c r="KH3" s="5" t="inlineStr">
        <is>
          <t>PX_BID</t>
        </is>
      </c>
      <c r="KI3" s="5" t="inlineStr">
        <is>
          <t>PX_ASK</t>
        </is>
      </c>
      <c r="KJ3" s="5" t="inlineStr">
        <is>
          <t>PX_MID</t>
        </is>
      </c>
      <c r="KK3" s="5" t="inlineStr">
        <is>
          <t>PX_LAST</t>
        </is>
      </c>
      <c r="KL3" s="5" t="inlineStr">
        <is>
          <t>PX_SETTLE</t>
        </is>
      </c>
      <c r="KM3" s="5" t="inlineStr">
        <is>
          <t>PX_VOLUME</t>
        </is>
      </c>
      <c r="KN3" s="5" t="inlineStr">
        <is>
          <t>OPEN_INT</t>
        </is>
      </c>
      <c r="KO3" s="5" t="inlineStr">
        <is>
          <t>IVOL_MID</t>
        </is>
      </c>
      <c r="KP3" s="5" t="inlineStr">
        <is>
          <t>IVOL_BID</t>
        </is>
      </c>
      <c r="KQ3" s="5" t="inlineStr">
        <is>
          <t>IVOL_ASK</t>
        </is>
      </c>
      <c r="KR3" s="5" t="inlineStr">
        <is>
          <t>DELTA_MID</t>
        </is>
      </c>
      <c r="KS3" s="5" t="inlineStr">
        <is>
          <t>GAMMA_MID</t>
        </is>
      </c>
      <c r="KT3" s="5" t="inlineStr">
        <is>
          <t>VEGA_MID</t>
        </is>
      </c>
      <c r="KU3" s="5" t="inlineStr">
        <is>
          <t>THETA_MID</t>
        </is>
      </c>
      <c r="KV3" s="5" t="inlineStr">
        <is>
          <t>OPT_UNDL_PX</t>
        </is>
      </c>
      <c r="KX3" s="5" t="inlineStr">
        <is>
          <t>Date</t>
        </is>
      </c>
      <c r="KY3" s="5" t="inlineStr">
        <is>
          <t>PX_BID</t>
        </is>
      </c>
      <c r="KZ3" s="5" t="inlineStr">
        <is>
          <t>PX_ASK</t>
        </is>
      </c>
      <c r="LA3" s="5" t="inlineStr">
        <is>
          <t>PX_MID</t>
        </is>
      </c>
      <c r="LB3" s="5" t="inlineStr">
        <is>
          <t>PX_LAST</t>
        </is>
      </c>
      <c r="LC3" s="5" t="inlineStr">
        <is>
          <t>PX_SETTLE</t>
        </is>
      </c>
      <c r="LD3" s="5" t="inlineStr">
        <is>
          <t>PX_VOLUME</t>
        </is>
      </c>
      <c r="LE3" s="5" t="inlineStr">
        <is>
          <t>OPEN_INT</t>
        </is>
      </c>
      <c r="LF3" s="5" t="inlineStr">
        <is>
          <t>IVOL_MID</t>
        </is>
      </c>
      <c r="LG3" s="5" t="inlineStr">
        <is>
          <t>IVOL_BID</t>
        </is>
      </c>
      <c r="LH3" s="5" t="inlineStr">
        <is>
          <t>IVOL_ASK</t>
        </is>
      </c>
      <c r="LI3" s="5" t="inlineStr">
        <is>
          <t>DELTA_MID</t>
        </is>
      </c>
      <c r="LJ3" s="5" t="inlineStr">
        <is>
          <t>GAMMA_MID</t>
        </is>
      </c>
      <c r="LK3" s="5" t="inlineStr">
        <is>
          <t>VEGA_MID</t>
        </is>
      </c>
      <c r="LL3" s="5" t="inlineStr">
        <is>
          <t>THETA_MID</t>
        </is>
      </c>
      <c r="LM3" s="5" t="inlineStr">
        <is>
          <t>OPT_UNDL_PX</t>
        </is>
      </c>
      <c r="LO3" s="5" t="inlineStr">
        <is>
          <t>Date</t>
        </is>
      </c>
      <c r="LP3" s="5" t="inlineStr">
        <is>
          <t>PX_BID</t>
        </is>
      </c>
      <c r="LQ3" s="5" t="inlineStr">
        <is>
          <t>PX_ASK</t>
        </is>
      </c>
      <c r="LR3" s="5" t="inlineStr">
        <is>
          <t>PX_MID</t>
        </is>
      </c>
      <c r="LS3" s="5" t="inlineStr">
        <is>
          <t>PX_LAST</t>
        </is>
      </c>
      <c r="LT3" s="5" t="inlineStr">
        <is>
          <t>PX_SETTLE</t>
        </is>
      </c>
      <c r="LU3" s="5" t="inlineStr">
        <is>
          <t>PX_VOLUME</t>
        </is>
      </c>
      <c r="LV3" s="5" t="inlineStr">
        <is>
          <t>OPEN_INT</t>
        </is>
      </c>
      <c r="LW3" s="5" t="inlineStr">
        <is>
          <t>IVOL_MID</t>
        </is>
      </c>
      <c r="LX3" s="5" t="inlineStr">
        <is>
          <t>IVOL_BID</t>
        </is>
      </c>
      <c r="LY3" s="5" t="inlineStr">
        <is>
          <t>IVOL_ASK</t>
        </is>
      </c>
      <c r="LZ3" s="5" t="inlineStr">
        <is>
          <t>DELTA_MID</t>
        </is>
      </c>
      <c r="MA3" s="5" t="inlineStr">
        <is>
          <t>GAMMA_MID</t>
        </is>
      </c>
      <c r="MB3" s="5" t="inlineStr">
        <is>
          <t>VEGA_MID</t>
        </is>
      </c>
      <c r="MC3" s="5" t="inlineStr">
        <is>
          <t>THETA_MID</t>
        </is>
      </c>
      <c r="MD3" s="5" t="inlineStr">
        <is>
          <t>OPT_UNDL_PX</t>
        </is>
      </c>
      <c r="MF3" s="5" t="inlineStr">
        <is>
          <t>Date</t>
        </is>
      </c>
      <c r="MG3" s="5" t="inlineStr">
        <is>
          <t>PX_BID</t>
        </is>
      </c>
      <c r="MH3" s="5" t="inlineStr">
        <is>
          <t>PX_ASK</t>
        </is>
      </c>
      <c r="MI3" s="5" t="inlineStr">
        <is>
          <t>PX_MID</t>
        </is>
      </c>
      <c r="MJ3" s="5" t="inlineStr">
        <is>
          <t>PX_LAST</t>
        </is>
      </c>
      <c r="MK3" s="5" t="inlineStr">
        <is>
          <t>PX_SETTLE</t>
        </is>
      </c>
      <c r="ML3" s="5" t="inlineStr">
        <is>
          <t>PX_VOLUME</t>
        </is>
      </c>
      <c r="MM3" s="5" t="inlineStr">
        <is>
          <t>OPEN_INT</t>
        </is>
      </c>
      <c r="MN3" s="5" t="inlineStr">
        <is>
          <t>IVOL_MID</t>
        </is>
      </c>
      <c r="MO3" s="5" t="inlineStr">
        <is>
          <t>IVOL_BID</t>
        </is>
      </c>
      <c r="MP3" s="5" t="inlineStr">
        <is>
          <t>IVOL_ASK</t>
        </is>
      </c>
      <c r="MQ3" s="5" t="inlineStr">
        <is>
          <t>DELTA_MID</t>
        </is>
      </c>
      <c r="MR3" s="5" t="inlineStr">
        <is>
          <t>GAMMA_MID</t>
        </is>
      </c>
      <c r="MS3" s="5" t="inlineStr">
        <is>
          <t>VEGA_MID</t>
        </is>
      </c>
      <c r="MT3" s="5" t="inlineStr">
        <is>
          <t>THETA_MID</t>
        </is>
      </c>
      <c r="MU3" s="5" t="inlineStr">
        <is>
          <t>OPT_UNDL_PX</t>
        </is>
      </c>
      <c r="MW3" s="5" t="inlineStr">
        <is>
          <t>Date</t>
        </is>
      </c>
      <c r="MX3" s="5" t="inlineStr">
        <is>
          <t>PX_BID</t>
        </is>
      </c>
      <c r="MY3" s="5" t="inlineStr">
        <is>
          <t>PX_ASK</t>
        </is>
      </c>
      <c r="MZ3" s="5" t="inlineStr">
        <is>
          <t>PX_MID</t>
        </is>
      </c>
      <c r="NA3" s="5" t="inlineStr">
        <is>
          <t>PX_LAST</t>
        </is>
      </c>
      <c r="NB3" s="5" t="inlineStr">
        <is>
          <t>PX_SETTLE</t>
        </is>
      </c>
      <c r="NC3" s="5" t="inlineStr">
        <is>
          <t>PX_VOLUME</t>
        </is>
      </c>
      <c r="ND3" s="5" t="inlineStr">
        <is>
          <t>OPEN_INT</t>
        </is>
      </c>
      <c r="NE3" s="5" t="inlineStr">
        <is>
          <t>IVOL_MID</t>
        </is>
      </c>
      <c r="NF3" s="5" t="inlineStr">
        <is>
          <t>IVOL_BID</t>
        </is>
      </c>
      <c r="NG3" s="5" t="inlineStr">
        <is>
          <t>IVOL_ASK</t>
        </is>
      </c>
      <c r="NH3" s="5" t="inlineStr">
        <is>
          <t>DELTA_MID</t>
        </is>
      </c>
      <c r="NI3" s="5" t="inlineStr">
        <is>
          <t>GAMMA_MID</t>
        </is>
      </c>
      <c r="NJ3" s="5" t="inlineStr">
        <is>
          <t>VEGA_MID</t>
        </is>
      </c>
      <c r="NK3" s="5" t="inlineStr">
        <is>
          <t>THETA_MID</t>
        </is>
      </c>
      <c r="NL3" s="5" t="inlineStr">
        <is>
          <t>OPT_UNDL_PX</t>
        </is>
      </c>
      <c r="NN3" s="5" t="inlineStr">
        <is>
          <t>Date</t>
        </is>
      </c>
      <c r="NO3" s="5" t="inlineStr">
        <is>
          <t>PX_BID</t>
        </is>
      </c>
      <c r="NP3" s="5" t="inlineStr">
        <is>
          <t>PX_ASK</t>
        </is>
      </c>
      <c r="NQ3" s="5" t="inlineStr">
        <is>
          <t>PX_MID</t>
        </is>
      </c>
      <c r="NR3" s="5" t="inlineStr">
        <is>
          <t>PX_LAST</t>
        </is>
      </c>
      <c r="NS3" s="5" t="inlineStr">
        <is>
          <t>PX_SETTLE</t>
        </is>
      </c>
      <c r="NT3" s="5" t="inlineStr">
        <is>
          <t>PX_VOLUME</t>
        </is>
      </c>
      <c r="NU3" s="5" t="inlineStr">
        <is>
          <t>OPEN_INT</t>
        </is>
      </c>
      <c r="NV3" s="5" t="inlineStr">
        <is>
          <t>IVOL_MID</t>
        </is>
      </c>
      <c r="NW3" s="5" t="inlineStr">
        <is>
          <t>IVOL_BID</t>
        </is>
      </c>
      <c r="NX3" s="5" t="inlineStr">
        <is>
          <t>IVOL_ASK</t>
        </is>
      </c>
      <c r="NY3" s="5" t="inlineStr">
        <is>
          <t>DELTA_MID</t>
        </is>
      </c>
      <c r="NZ3" s="5" t="inlineStr">
        <is>
          <t>GAMMA_MID</t>
        </is>
      </c>
      <c r="OA3" s="5" t="inlineStr">
        <is>
          <t>VEGA_MID</t>
        </is>
      </c>
      <c r="OB3" s="5" t="inlineStr">
        <is>
          <t>THETA_MID</t>
        </is>
      </c>
      <c r="OC3" s="5" t="inlineStr">
        <is>
          <t>OPT_UNDL_PX</t>
        </is>
      </c>
      <c r="OE3" s="5" t="inlineStr">
        <is>
          <t>Date</t>
        </is>
      </c>
      <c r="OF3" s="5" t="inlineStr">
        <is>
          <t>PX_BID</t>
        </is>
      </c>
      <c r="OG3" s="5" t="inlineStr">
        <is>
          <t>PX_ASK</t>
        </is>
      </c>
      <c r="OH3" s="5" t="inlineStr">
        <is>
          <t>PX_MID</t>
        </is>
      </c>
      <c r="OI3" s="5" t="inlineStr">
        <is>
          <t>PX_LAST</t>
        </is>
      </c>
      <c r="OJ3" s="5" t="inlineStr">
        <is>
          <t>PX_SETTLE</t>
        </is>
      </c>
      <c r="OK3" s="5" t="inlineStr">
        <is>
          <t>PX_VOLUME</t>
        </is>
      </c>
      <c r="OL3" s="5" t="inlineStr">
        <is>
          <t>OPEN_INT</t>
        </is>
      </c>
      <c r="OM3" s="5" t="inlineStr">
        <is>
          <t>IVOL_MID</t>
        </is>
      </c>
      <c r="ON3" s="5" t="inlineStr">
        <is>
          <t>IVOL_BID</t>
        </is>
      </c>
      <c r="OO3" s="5" t="inlineStr">
        <is>
          <t>IVOL_ASK</t>
        </is>
      </c>
      <c r="OP3" s="5" t="inlineStr">
        <is>
          <t>DELTA_MID</t>
        </is>
      </c>
      <c r="OQ3" s="5" t="inlineStr">
        <is>
          <t>GAMMA_MID</t>
        </is>
      </c>
      <c r="OR3" s="5" t="inlineStr">
        <is>
          <t>VEGA_MID</t>
        </is>
      </c>
      <c r="OS3" s="5" t="inlineStr">
        <is>
          <t>THETA_MID</t>
        </is>
      </c>
      <c r="OT3" s="5" t="inlineStr">
        <is>
          <t>OPT_UNDL_PX</t>
        </is>
      </c>
      <c r="OV3" s="5" t="inlineStr">
        <is>
          <t>Date</t>
        </is>
      </c>
      <c r="OW3" s="5" t="inlineStr">
        <is>
          <t>PX_BID</t>
        </is>
      </c>
      <c r="OX3" s="5" t="inlineStr">
        <is>
          <t>PX_ASK</t>
        </is>
      </c>
      <c r="OY3" s="5" t="inlineStr">
        <is>
          <t>PX_MID</t>
        </is>
      </c>
      <c r="OZ3" s="5" t="inlineStr">
        <is>
          <t>PX_LAST</t>
        </is>
      </c>
      <c r="PA3" s="5" t="inlineStr">
        <is>
          <t>PX_SETTLE</t>
        </is>
      </c>
      <c r="PB3" s="5" t="inlineStr">
        <is>
          <t>PX_VOLUME</t>
        </is>
      </c>
      <c r="PC3" s="5" t="inlineStr">
        <is>
          <t>OPEN_INT</t>
        </is>
      </c>
      <c r="PD3" s="5" t="inlineStr">
        <is>
          <t>IVOL_MID</t>
        </is>
      </c>
      <c r="PE3" s="5" t="inlineStr">
        <is>
          <t>IVOL_BID</t>
        </is>
      </c>
      <c r="PF3" s="5" t="inlineStr">
        <is>
          <t>IVOL_ASK</t>
        </is>
      </c>
      <c r="PG3" s="5" t="inlineStr">
        <is>
          <t>DELTA_MID</t>
        </is>
      </c>
      <c r="PH3" s="5" t="inlineStr">
        <is>
          <t>GAMMA_MID</t>
        </is>
      </c>
      <c r="PI3" s="5" t="inlineStr">
        <is>
          <t>VEGA_MID</t>
        </is>
      </c>
      <c r="PJ3" s="5" t="inlineStr">
        <is>
          <t>THETA_MID</t>
        </is>
      </c>
      <c r="PK3" s="5" t="inlineStr">
        <is>
          <t>OPT_UNDL_PX</t>
        </is>
      </c>
      <c r="PM3" s="5" t="inlineStr">
        <is>
          <t>Date</t>
        </is>
      </c>
      <c r="PN3" s="5" t="inlineStr">
        <is>
          <t>PX_BID</t>
        </is>
      </c>
      <c r="PO3" s="5" t="inlineStr">
        <is>
          <t>PX_ASK</t>
        </is>
      </c>
      <c r="PP3" s="5" t="inlineStr">
        <is>
          <t>PX_MID</t>
        </is>
      </c>
      <c r="PQ3" s="5" t="inlineStr">
        <is>
          <t>PX_LAST</t>
        </is>
      </c>
      <c r="PR3" s="5" t="inlineStr">
        <is>
          <t>PX_SETTLE</t>
        </is>
      </c>
      <c r="PS3" s="5" t="inlineStr">
        <is>
          <t>PX_VOLUME</t>
        </is>
      </c>
      <c r="PT3" s="5" t="inlineStr">
        <is>
          <t>OPEN_INT</t>
        </is>
      </c>
      <c r="PU3" s="5" t="inlineStr">
        <is>
          <t>IVOL_MID</t>
        </is>
      </c>
      <c r="PV3" s="5" t="inlineStr">
        <is>
          <t>IVOL_BID</t>
        </is>
      </c>
      <c r="PW3" s="5" t="inlineStr">
        <is>
          <t>IVOL_ASK</t>
        </is>
      </c>
      <c r="PX3" s="5" t="inlineStr">
        <is>
          <t>DELTA_MID</t>
        </is>
      </c>
      <c r="PY3" s="5" t="inlineStr">
        <is>
          <t>GAMMA_MID</t>
        </is>
      </c>
      <c r="PZ3" s="5" t="inlineStr">
        <is>
          <t>VEGA_MID</t>
        </is>
      </c>
      <c r="QA3" s="5" t="inlineStr">
        <is>
          <t>THETA_MID</t>
        </is>
      </c>
      <c r="QB3" s="5" t="inlineStr">
        <is>
          <t>OPT_UNDL_PX</t>
        </is>
      </c>
      <c r="QD3" s="5" t="inlineStr">
        <is>
          <t>Date</t>
        </is>
      </c>
      <c r="QE3" s="5" t="inlineStr">
        <is>
          <t>PX_BID</t>
        </is>
      </c>
      <c r="QF3" s="5" t="inlineStr">
        <is>
          <t>PX_ASK</t>
        </is>
      </c>
      <c r="QG3" s="5" t="inlineStr">
        <is>
          <t>PX_MID</t>
        </is>
      </c>
      <c r="QH3" s="5" t="inlineStr">
        <is>
          <t>PX_LAST</t>
        </is>
      </c>
      <c r="QI3" s="5" t="inlineStr">
        <is>
          <t>PX_SETTLE</t>
        </is>
      </c>
      <c r="QJ3" s="5" t="inlineStr">
        <is>
          <t>PX_VOLUME</t>
        </is>
      </c>
      <c r="QK3" s="5" t="inlineStr">
        <is>
          <t>OPEN_INT</t>
        </is>
      </c>
      <c r="QL3" s="5" t="inlineStr">
        <is>
          <t>IVOL_MID</t>
        </is>
      </c>
      <c r="QM3" s="5" t="inlineStr">
        <is>
          <t>IVOL_BID</t>
        </is>
      </c>
      <c r="QN3" s="5" t="inlineStr">
        <is>
          <t>IVOL_ASK</t>
        </is>
      </c>
      <c r="QO3" s="5" t="inlineStr">
        <is>
          <t>DELTA_MID</t>
        </is>
      </c>
      <c r="QP3" s="5" t="inlineStr">
        <is>
          <t>GAMMA_MID</t>
        </is>
      </c>
      <c r="QQ3" s="5" t="inlineStr">
        <is>
          <t>VEGA_MID</t>
        </is>
      </c>
      <c r="QR3" s="5" t="inlineStr">
        <is>
          <t>THETA_MID</t>
        </is>
      </c>
      <c r="QS3" s="5" t="inlineStr">
        <is>
          <t>OPT_UNDL_PX</t>
        </is>
      </c>
      <c r="QU3" s="5" t="inlineStr">
        <is>
          <t>Date</t>
        </is>
      </c>
      <c r="QV3" s="5" t="inlineStr">
        <is>
          <t>PX_BID</t>
        </is>
      </c>
      <c r="QW3" s="5" t="inlineStr">
        <is>
          <t>PX_ASK</t>
        </is>
      </c>
      <c r="QX3" s="5" t="inlineStr">
        <is>
          <t>PX_MID</t>
        </is>
      </c>
      <c r="QY3" s="5" t="inlineStr">
        <is>
          <t>PX_LAST</t>
        </is>
      </c>
      <c r="QZ3" s="5" t="inlineStr">
        <is>
          <t>PX_SETTLE</t>
        </is>
      </c>
      <c r="RA3" s="5" t="inlineStr">
        <is>
          <t>PX_VOLUME</t>
        </is>
      </c>
      <c r="RB3" s="5" t="inlineStr">
        <is>
          <t>OPEN_INT</t>
        </is>
      </c>
      <c r="RC3" s="5" t="inlineStr">
        <is>
          <t>IVOL_MID</t>
        </is>
      </c>
      <c r="RD3" s="5" t="inlineStr">
        <is>
          <t>IVOL_BID</t>
        </is>
      </c>
      <c r="RE3" s="5" t="inlineStr">
        <is>
          <t>IVOL_ASK</t>
        </is>
      </c>
      <c r="RF3" s="5" t="inlineStr">
        <is>
          <t>DELTA_MID</t>
        </is>
      </c>
      <c r="RG3" s="5" t="inlineStr">
        <is>
          <t>GAMMA_MID</t>
        </is>
      </c>
      <c r="RH3" s="5" t="inlineStr">
        <is>
          <t>VEGA_MID</t>
        </is>
      </c>
      <c r="RI3" s="5" t="inlineStr">
        <is>
          <t>THETA_MID</t>
        </is>
      </c>
      <c r="RJ3" s="5" t="inlineStr">
        <is>
          <t>OPT_UNDL_PX</t>
        </is>
      </c>
      <c r="RL3" s="5" t="inlineStr">
        <is>
          <t>Date</t>
        </is>
      </c>
      <c r="RM3" s="5" t="inlineStr">
        <is>
          <t>PX_BID</t>
        </is>
      </c>
      <c r="RN3" s="5" t="inlineStr">
        <is>
          <t>PX_ASK</t>
        </is>
      </c>
      <c r="RO3" s="5" t="inlineStr">
        <is>
          <t>PX_MID</t>
        </is>
      </c>
      <c r="RP3" s="5" t="inlineStr">
        <is>
          <t>PX_LAST</t>
        </is>
      </c>
      <c r="RQ3" s="5" t="inlineStr">
        <is>
          <t>PX_SETTLE</t>
        </is>
      </c>
      <c r="RR3" s="5" t="inlineStr">
        <is>
          <t>PX_VOLUME</t>
        </is>
      </c>
      <c r="RS3" s="5" t="inlineStr">
        <is>
          <t>OPEN_INT</t>
        </is>
      </c>
      <c r="RT3" s="5" t="inlineStr">
        <is>
          <t>IVOL_MID</t>
        </is>
      </c>
      <c r="RU3" s="5" t="inlineStr">
        <is>
          <t>IVOL_BID</t>
        </is>
      </c>
      <c r="RV3" s="5" t="inlineStr">
        <is>
          <t>IVOL_ASK</t>
        </is>
      </c>
      <c r="RW3" s="5" t="inlineStr">
        <is>
          <t>DELTA_MID</t>
        </is>
      </c>
      <c r="RX3" s="5" t="inlineStr">
        <is>
          <t>GAMMA_MID</t>
        </is>
      </c>
      <c r="RY3" s="5" t="inlineStr">
        <is>
          <t>VEGA_MID</t>
        </is>
      </c>
      <c r="RZ3" s="5" t="inlineStr">
        <is>
          <t>THETA_MID</t>
        </is>
      </c>
      <c r="SA3" s="5" t="inlineStr">
        <is>
          <t>OPT_UNDL_PX</t>
        </is>
      </c>
      <c r="SC3" s="5" t="inlineStr">
        <is>
          <t>Date</t>
        </is>
      </c>
      <c r="SD3" s="5" t="inlineStr">
        <is>
          <t>PX_BID</t>
        </is>
      </c>
      <c r="SE3" s="5" t="inlineStr">
        <is>
          <t>PX_ASK</t>
        </is>
      </c>
      <c r="SF3" s="5" t="inlineStr">
        <is>
          <t>PX_MID</t>
        </is>
      </c>
      <c r="SG3" s="5" t="inlineStr">
        <is>
          <t>PX_LAST</t>
        </is>
      </c>
      <c r="SH3" s="5" t="inlineStr">
        <is>
          <t>PX_SETTLE</t>
        </is>
      </c>
      <c r="SI3" s="5" t="inlineStr">
        <is>
          <t>PX_VOLUME</t>
        </is>
      </c>
      <c r="SJ3" s="5" t="inlineStr">
        <is>
          <t>OPEN_INT</t>
        </is>
      </c>
      <c r="SK3" s="5" t="inlineStr">
        <is>
          <t>IVOL_MID</t>
        </is>
      </c>
      <c r="SL3" s="5" t="inlineStr">
        <is>
          <t>IVOL_BID</t>
        </is>
      </c>
      <c r="SM3" s="5" t="inlineStr">
        <is>
          <t>IVOL_ASK</t>
        </is>
      </c>
      <c r="SN3" s="5" t="inlineStr">
        <is>
          <t>DELTA_MID</t>
        </is>
      </c>
      <c r="SO3" s="5" t="inlineStr">
        <is>
          <t>GAMMA_MID</t>
        </is>
      </c>
      <c r="SP3" s="5" t="inlineStr">
        <is>
          <t>VEGA_MID</t>
        </is>
      </c>
      <c r="SQ3" s="5" t="inlineStr">
        <is>
          <t>THETA_MID</t>
        </is>
      </c>
      <c r="SR3" s="5" t="inlineStr">
        <is>
          <t>OPT_UNDL_PX</t>
        </is>
      </c>
      <c r="ST3" s="5" t="inlineStr">
        <is>
          <t>Date</t>
        </is>
      </c>
      <c r="SU3" s="5" t="inlineStr">
        <is>
          <t>PX_BID</t>
        </is>
      </c>
      <c r="SV3" s="5" t="inlineStr">
        <is>
          <t>PX_ASK</t>
        </is>
      </c>
      <c r="SW3" s="5" t="inlineStr">
        <is>
          <t>PX_MID</t>
        </is>
      </c>
      <c r="SX3" s="5" t="inlineStr">
        <is>
          <t>PX_LAST</t>
        </is>
      </c>
      <c r="SY3" s="5" t="inlineStr">
        <is>
          <t>PX_SETTLE</t>
        </is>
      </c>
      <c r="SZ3" s="5" t="inlineStr">
        <is>
          <t>PX_VOLUME</t>
        </is>
      </c>
      <c r="TA3" s="5" t="inlineStr">
        <is>
          <t>OPEN_INT</t>
        </is>
      </c>
      <c r="TB3" s="5" t="inlineStr">
        <is>
          <t>IVOL_MID</t>
        </is>
      </c>
      <c r="TC3" s="5" t="inlineStr">
        <is>
          <t>IVOL_BID</t>
        </is>
      </c>
      <c r="TD3" s="5" t="inlineStr">
        <is>
          <t>IVOL_ASK</t>
        </is>
      </c>
      <c r="TE3" s="5" t="inlineStr">
        <is>
          <t>DELTA_MID</t>
        </is>
      </c>
      <c r="TF3" s="5" t="inlineStr">
        <is>
          <t>GAMMA_MID</t>
        </is>
      </c>
      <c r="TG3" s="5" t="inlineStr">
        <is>
          <t>VEGA_MID</t>
        </is>
      </c>
      <c r="TH3" s="5" t="inlineStr">
        <is>
          <t>THETA_MID</t>
        </is>
      </c>
      <c r="TI3" s="5" t="inlineStr">
        <is>
          <t>OPT_UNDL_PX</t>
        </is>
      </c>
      <c r="TK3" s="5" t="inlineStr">
        <is>
          <t>Date</t>
        </is>
      </c>
      <c r="TL3" s="5" t="inlineStr">
        <is>
          <t>PX_BID</t>
        </is>
      </c>
      <c r="TM3" s="5" t="inlineStr">
        <is>
          <t>PX_ASK</t>
        </is>
      </c>
      <c r="TN3" s="5" t="inlineStr">
        <is>
          <t>PX_MID</t>
        </is>
      </c>
      <c r="TO3" s="5" t="inlineStr">
        <is>
          <t>PX_LAST</t>
        </is>
      </c>
      <c r="TP3" s="5" t="inlineStr">
        <is>
          <t>PX_SETTLE</t>
        </is>
      </c>
      <c r="TQ3" s="5" t="inlineStr">
        <is>
          <t>PX_VOLUME</t>
        </is>
      </c>
      <c r="TR3" s="5" t="inlineStr">
        <is>
          <t>OPEN_INT</t>
        </is>
      </c>
      <c r="TS3" s="5" t="inlineStr">
        <is>
          <t>IVOL_MID</t>
        </is>
      </c>
      <c r="TT3" s="5" t="inlineStr">
        <is>
          <t>IVOL_BID</t>
        </is>
      </c>
      <c r="TU3" s="5" t="inlineStr">
        <is>
          <t>IVOL_ASK</t>
        </is>
      </c>
      <c r="TV3" s="5" t="inlineStr">
        <is>
          <t>DELTA_MID</t>
        </is>
      </c>
      <c r="TW3" s="5" t="inlineStr">
        <is>
          <t>GAMMA_MID</t>
        </is>
      </c>
      <c r="TX3" s="5" t="inlineStr">
        <is>
          <t>VEGA_MID</t>
        </is>
      </c>
      <c r="TY3" s="5" t="inlineStr">
        <is>
          <t>THETA_MID</t>
        </is>
      </c>
      <c r="TZ3" s="5" t="inlineStr">
        <is>
          <t>OPT_UNDL_PX</t>
        </is>
      </c>
      <c r="UB3" s="5" t="inlineStr">
        <is>
          <t>Date</t>
        </is>
      </c>
      <c r="UC3" s="5" t="inlineStr">
        <is>
          <t>PX_BID</t>
        </is>
      </c>
      <c r="UD3" s="5" t="inlineStr">
        <is>
          <t>PX_ASK</t>
        </is>
      </c>
      <c r="UE3" s="5" t="inlineStr">
        <is>
          <t>PX_MID</t>
        </is>
      </c>
      <c r="UF3" s="5" t="inlineStr">
        <is>
          <t>PX_LAST</t>
        </is>
      </c>
      <c r="UG3" s="5" t="inlineStr">
        <is>
          <t>PX_SETTLE</t>
        </is>
      </c>
      <c r="UH3" s="5" t="inlineStr">
        <is>
          <t>PX_VOLUME</t>
        </is>
      </c>
      <c r="UI3" s="5" t="inlineStr">
        <is>
          <t>OPEN_INT</t>
        </is>
      </c>
      <c r="UJ3" s="5" t="inlineStr">
        <is>
          <t>IVOL_MID</t>
        </is>
      </c>
      <c r="UK3" s="5" t="inlineStr">
        <is>
          <t>IVOL_BID</t>
        </is>
      </c>
      <c r="UL3" s="5" t="inlineStr">
        <is>
          <t>IVOL_ASK</t>
        </is>
      </c>
      <c r="UM3" s="5" t="inlineStr">
        <is>
          <t>DELTA_MID</t>
        </is>
      </c>
      <c r="UN3" s="5" t="inlineStr">
        <is>
          <t>GAMMA_MID</t>
        </is>
      </c>
      <c r="UO3" s="5" t="inlineStr">
        <is>
          <t>VEGA_MID</t>
        </is>
      </c>
      <c r="UP3" s="5" t="inlineStr">
        <is>
          <t>THETA_MID</t>
        </is>
      </c>
      <c r="UQ3" s="5" t="inlineStr">
        <is>
          <t>OPT_UNDL_PX</t>
        </is>
      </c>
      <c r="US3" s="5" t="inlineStr">
        <is>
          <t>Date</t>
        </is>
      </c>
      <c r="UT3" s="5" t="inlineStr">
        <is>
          <t>PX_BID</t>
        </is>
      </c>
      <c r="UU3" s="5" t="inlineStr">
        <is>
          <t>PX_ASK</t>
        </is>
      </c>
      <c r="UV3" s="5" t="inlineStr">
        <is>
          <t>PX_MID</t>
        </is>
      </c>
      <c r="UW3" s="5" t="inlineStr">
        <is>
          <t>PX_LAST</t>
        </is>
      </c>
      <c r="UX3" s="5" t="inlineStr">
        <is>
          <t>PX_SETTLE</t>
        </is>
      </c>
      <c r="UY3" s="5" t="inlineStr">
        <is>
          <t>PX_VOLUME</t>
        </is>
      </c>
      <c r="UZ3" s="5" t="inlineStr">
        <is>
          <t>OPEN_INT</t>
        </is>
      </c>
      <c r="VA3" s="5" t="inlineStr">
        <is>
          <t>IVOL_MID</t>
        </is>
      </c>
      <c r="VB3" s="5" t="inlineStr">
        <is>
          <t>IVOL_BID</t>
        </is>
      </c>
      <c r="VC3" s="5" t="inlineStr">
        <is>
          <t>IVOL_ASK</t>
        </is>
      </c>
      <c r="VD3" s="5" t="inlineStr">
        <is>
          <t>DELTA_MID</t>
        </is>
      </c>
      <c r="VE3" s="5" t="inlineStr">
        <is>
          <t>GAMMA_MID</t>
        </is>
      </c>
      <c r="VF3" s="5" t="inlineStr">
        <is>
          <t>VEGA_MID</t>
        </is>
      </c>
      <c r="VG3" s="5" t="inlineStr">
        <is>
          <t>THETA_MID</t>
        </is>
      </c>
      <c r="VH3" s="5" t="inlineStr">
        <is>
          <t>OPT_UNDL_PX</t>
        </is>
      </c>
    </row>
    <row r="4">
      <c r="A4" s="2" t="inlineStr">
        <is>
          <t>Year in ticker</t>
        </is>
      </c>
      <c r="B4" s="4">
        <f>IF(B2&lt;Settings!$B$3,TEXT(MOD(Settings!$E$14,100),"00"),TEXT(MOD(Settings!$E$14,10),"0"))</f>
        <v/>
      </c>
      <c r="D4" s="4">
        <f>BDH(D$1,E$3:S$3,$B$9,$B$10,"Dir=V","Dts=S","Sort=A","Days=T","Fill=B")</f>
        <v/>
      </c>
      <c r="U4" s="4">
        <f>BDH(U$1,V$3:AJ$3,$B$9,$B$10,"Dir=V","Dts=S","Sort=A","Days=T","Fill=B")</f>
        <v/>
      </c>
      <c r="AL4" s="4">
        <f>BDH(AL$1,AM$3:BA$3,$B$9,$B$10,"Dir=V","Dts=S","Sort=A","Days=T","Fill=B")</f>
        <v/>
      </c>
      <c r="BC4" s="4">
        <f>BDH(BC$1,BD$3:BR$3,$B$9,$B$10,"Dir=V","Dts=S","Sort=A","Days=T","Fill=B")</f>
        <v/>
      </c>
      <c r="BT4" s="4">
        <f>BDH(BT$1,BU$3:CI$3,$B$9,$B$10,"Dir=V","Dts=S","Sort=A","Days=T","Fill=B")</f>
        <v/>
      </c>
      <c r="CK4" s="4">
        <f>BDH(CK$1,CL$3:CZ$3,$B$9,$B$10,"Dir=V","Dts=S","Sort=A","Days=T","Fill=B")</f>
        <v/>
      </c>
      <c r="DB4" s="4">
        <f>BDH(DB$1,DC$3:DQ$3,$B$9,$B$10,"Dir=V","Dts=S","Sort=A","Days=T","Fill=B")</f>
        <v/>
      </c>
      <c r="DS4" s="4">
        <f>BDH(DS$1,DT$3:EH$3,$B$9,$B$10,"Dir=V","Dts=S","Sort=A","Days=T","Fill=B")</f>
        <v/>
      </c>
      <c r="EJ4" s="4">
        <f>BDH(EJ$1,EK$3:EY$3,$B$9,$B$10,"Dir=V","Dts=S","Sort=A","Days=T","Fill=B")</f>
        <v/>
      </c>
      <c r="FA4" s="4">
        <f>BDH(FA$1,FB$3:FP$3,$B$9,$B$10,"Dir=V","Dts=S","Sort=A","Days=T","Fill=B")</f>
        <v/>
      </c>
      <c r="FR4" s="4">
        <f>BDH(FR$1,FS$3:GG$3,$B$9,$B$10,"Dir=V","Dts=S","Sort=A","Days=T","Fill=B")</f>
        <v/>
      </c>
      <c r="GI4" s="4">
        <f>BDH(GI$1,GJ$3:GX$3,$B$9,$B$10,"Dir=V","Dts=S","Sort=A","Days=T","Fill=B")</f>
        <v/>
      </c>
      <c r="GZ4" s="4">
        <f>BDH(GZ$1,HA$3:HO$3,$B$9,$B$10,"Dir=V","Dts=S","Sort=A","Days=T","Fill=B")</f>
        <v/>
      </c>
      <c r="HQ4" s="4">
        <f>BDH(HQ$1,HR$3:IF$3,$B$9,$B$10,"Dir=V","Dts=S","Sort=A","Days=T","Fill=B")</f>
        <v/>
      </c>
      <c r="IH4" s="4">
        <f>BDH(IH$1,II$3:IW$3,$B$9,$B$10,"Dir=V","Dts=S","Sort=A","Days=T","Fill=B")</f>
        <v/>
      </c>
      <c r="IY4" s="4">
        <f>BDH(IY$1,IZ$3:JN$3,$B$9,$B$10,"Dir=V","Dts=S","Sort=A","Days=T","Fill=B")</f>
        <v/>
      </c>
      <c r="JP4" s="4">
        <f>BDH(JP$1,JQ$3:KE$3,$B$9,$B$10,"Dir=V","Dts=S","Sort=A","Days=T","Fill=B")</f>
        <v/>
      </c>
      <c r="KG4" s="4">
        <f>BDH(KG$1,KH$3:KV$3,$B$9,$B$10,"Dir=V","Dts=S","Sort=A","Days=T","Fill=B")</f>
        <v/>
      </c>
      <c r="KX4" s="4">
        <f>BDH(KX$1,KY$3:LM$3,$B$9,$B$10,"Dir=V","Dts=S","Sort=A","Days=T","Fill=B")</f>
        <v/>
      </c>
      <c r="LO4" s="4">
        <f>BDH(LO$1,LP$3:MD$3,$B$9,$B$10,"Dir=V","Dts=S","Sort=A","Days=T","Fill=B")</f>
        <v/>
      </c>
      <c r="MF4" s="4">
        <f>BDH(MF$1,MG$3:MU$3,$B$9,$B$10,"Dir=V","Dts=S","Sort=A","Days=T","Fill=B")</f>
        <v/>
      </c>
      <c r="MW4" s="4">
        <f>BDH(MW$1,MX$3:NL$3,$B$9,$B$10,"Dir=V","Dts=S","Sort=A","Days=T","Fill=B")</f>
        <v/>
      </c>
      <c r="NN4" s="4">
        <f>BDH(NN$1,NO$3:OC$3,$B$9,$B$10,"Dir=V","Dts=S","Sort=A","Days=T","Fill=B")</f>
        <v/>
      </c>
      <c r="OE4" s="4">
        <f>BDH(OE$1,OF$3:OT$3,$B$9,$B$10,"Dir=V","Dts=S","Sort=A","Days=T","Fill=B")</f>
        <v/>
      </c>
      <c r="OV4" s="4">
        <f>BDH(OV$1,OW$3:PK$3,$B$9,$B$10,"Dir=V","Dts=S","Sort=A","Days=T","Fill=B")</f>
        <v/>
      </c>
      <c r="PM4" s="4">
        <f>BDH(PM$1,PN$3:QB$3,$B$9,$B$10,"Dir=V","Dts=S","Sort=A","Days=T","Fill=B")</f>
        <v/>
      </c>
      <c r="QD4" s="4">
        <f>BDH(QD$1,QE$3:QS$3,$B$9,$B$10,"Dir=V","Dts=S","Sort=A","Days=T","Fill=B")</f>
        <v/>
      </c>
      <c r="QU4" s="4">
        <f>BDH(QU$1,QV$3:RJ$3,$B$9,$B$10,"Dir=V","Dts=S","Sort=A","Days=T","Fill=B")</f>
        <v/>
      </c>
      <c r="RL4" s="4">
        <f>BDH(RL$1,RM$3:SA$3,$B$9,$B$10,"Dir=V","Dts=S","Sort=A","Days=T","Fill=B")</f>
        <v/>
      </c>
      <c r="SC4" s="4">
        <f>BDH(SC$1,SD$3:SR$3,$B$9,$B$10,"Dir=V","Dts=S","Sort=A","Days=T","Fill=B")</f>
        <v/>
      </c>
      <c r="ST4" s="4">
        <f>BDH(ST$1,SU$3:TI$3,$B$9,$B$10,"Dir=V","Dts=S","Sort=A","Days=T","Fill=B")</f>
        <v/>
      </c>
      <c r="TK4" s="4">
        <f>BDH(TK$1,TL$3:TZ$3,$B$9,$B$10,"Dir=V","Dts=S","Sort=A","Days=T","Fill=B")</f>
        <v/>
      </c>
      <c r="UB4" s="4">
        <f>BDH(UB$1,UC$3:UQ$3,$B$9,$B$10,"Dir=V","Dts=S","Sort=A","Days=T","Fill=B")</f>
        <v/>
      </c>
      <c r="US4" s="4">
        <f>BDH(US$1,UT$3:VH$3,$B$9,$B$10,"Dir=V","Dts=S","Sort=A","Days=T","Fill=B")</f>
        <v/>
      </c>
    </row>
    <row r="5">
      <c r="A5" s="2" t="inlineStr">
        <is>
          <t>Futures ticker</t>
        </is>
      </c>
      <c r="B5" s="4">
        <f>IF(Settings!$B$14="Y","CL"&amp;MID("FGHJKMNQUVXZ",B1,1)&amp;B4&amp;" Comdty","")</f>
        <v/>
      </c>
    </row>
    <row r="6">
      <c r="A6" s="2" t="inlineStr">
        <is>
          <t>Strike reference date</t>
        </is>
      </c>
      <c r="B6" s="8">
        <f>B3-45</f>
        <v/>
      </c>
    </row>
    <row r="7">
      <c r="A7" s="2" t="inlineStr">
        <is>
          <t>Futures price on that date</t>
        </is>
      </c>
      <c r="B7" s="10">
        <f>IF(B5="","",BDH(B5,"PX_LAST",B6,B6,"Days=A","Fill=P","Dts=H"))</f>
        <v/>
      </c>
    </row>
    <row r="8">
      <c r="A8" s="2" t="inlineStr">
        <is>
          <t>ATM strike</t>
        </is>
      </c>
      <c r="B8" s="9">
        <f>IF(ISNUMBER(B7),ROUND(B7,0),"")</f>
        <v/>
      </c>
    </row>
    <row r="9">
      <c r="A9" s="2" t="inlineStr">
        <is>
          <t>History start</t>
        </is>
      </c>
      <c r="B9" s="8">
        <f>B3-100</f>
        <v/>
      </c>
    </row>
    <row r="10">
      <c r="A10" s="2" t="inlineStr">
        <is>
          <t>History end</t>
        </is>
      </c>
      <c r="B10" s="8">
        <f>B3</f>
        <v/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VH10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2" customWidth="1" min="2" max="2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1" customWidth="1" min="15" max="15"/>
    <col width="11" customWidth="1" min="16" max="16"/>
    <col width="10" customWidth="1" min="17" max="17"/>
    <col width="11" customWidth="1" min="18" max="18"/>
    <col width="13" customWidth="1" min="19" max="19"/>
    <col width="12" customWidth="1" min="21" max="21"/>
    <col width="10" customWidth="1" min="22" max="22"/>
    <col width="10" customWidth="1" min="23" max="23"/>
    <col width="10" customWidth="1" min="24" max="24"/>
    <col width="10" customWidth="1" min="25" max="25"/>
    <col width="11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1" customWidth="1" min="32" max="32"/>
    <col width="11" customWidth="1" min="33" max="33"/>
    <col width="10" customWidth="1" min="34" max="34"/>
    <col width="11" customWidth="1" min="35" max="35"/>
    <col width="13" customWidth="1" min="36" max="36"/>
    <col width="12" customWidth="1" min="38" max="38"/>
    <col width="10" customWidth="1" min="39" max="39"/>
    <col width="10" customWidth="1" min="40" max="40"/>
    <col width="10" customWidth="1" min="41" max="41"/>
    <col width="10" customWidth="1" min="42" max="42"/>
    <col width="11" customWidth="1" min="43" max="43"/>
    <col width="11" customWidth="1" min="44" max="44"/>
    <col width="10" customWidth="1" min="45" max="45"/>
    <col width="10" customWidth="1" min="46" max="46"/>
    <col width="10" customWidth="1" min="47" max="47"/>
    <col width="10" customWidth="1" min="48" max="48"/>
    <col width="11" customWidth="1" min="49" max="49"/>
    <col width="11" customWidth="1" min="50" max="50"/>
    <col width="10" customWidth="1" min="51" max="51"/>
    <col width="11" customWidth="1" min="52" max="52"/>
    <col width="13" customWidth="1" min="53" max="53"/>
    <col width="12" customWidth="1" min="55" max="55"/>
    <col width="10" customWidth="1" min="56" max="56"/>
    <col width="10" customWidth="1" min="57" max="57"/>
    <col width="10" customWidth="1" min="58" max="58"/>
    <col width="10" customWidth="1" min="59" max="59"/>
    <col width="11" customWidth="1" min="60" max="60"/>
    <col width="11" customWidth="1" min="61" max="61"/>
    <col width="10" customWidth="1" min="62" max="62"/>
    <col width="10" customWidth="1" min="63" max="63"/>
    <col width="10" customWidth="1" min="64" max="64"/>
    <col width="10" customWidth="1" min="65" max="65"/>
    <col width="11" customWidth="1" min="66" max="66"/>
    <col width="11" customWidth="1" min="67" max="67"/>
    <col width="10" customWidth="1" min="68" max="68"/>
    <col width="11" customWidth="1" min="69" max="69"/>
    <col width="13" customWidth="1" min="70" max="70"/>
    <col width="12" customWidth="1" min="72" max="72"/>
    <col width="10" customWidth="1" min="73" max="73"/>
    <col width="10" customWidth="1" min="74" max="74"/>
    <col width="10" customWidth="1" min="75" max="75"/>
    <col width="10" customWidth="1" min="76" max="76"/>
    <col width="11" customWidth="1" min="77" max="77"/>
    <col width="11" customWidth="1" min="78" max="78"/>
    <col width="10" customWidth="1" min="79" max="79"/>
    <col width="10" customWidth="1" min="80" max="80"/>
    <col width="10" customWidth="1" min="81" max="81"/>
    <col width="10" customWidth="1" min="82" max="82"/>
    <col width="11" customWidth="1" min="83" max="83"/>
    <col width="11" customWidth="1" min="84" max="84"/>
    <col width="10" customWidth="1" min="85" max="85"/>
    <col width="11" customWidth="1" min="86" max="86"/>
    <col width="13" customWidth="1" min="87" max="87"/>
    <col width="12" customWidth="1" min="89" max="89"/>
    <col width="10" customWidth="1" min="90" max="90"/>
    <col width="10" customWidth="1" min="91" max="91"/>
    <col width="10" customWidth="1" min="92" max="92"/>
    <col width="10" customWidth="1" min="93" max="93"/>
    <col width="11" customWidth="1" min="94" max="94"/>
    <col width="11" customWidth="1" min="95" max="95"/>
    <col width="10" customWidth="1" min="96" max="96"/>
    <col width="10" customWidth="1" min="97" max="97"/>
    <col width="10" customWidth="1" min="98" max="98"/>
    <col width="10" customWidth="1" min="99" max="99"/>
    <col width="11" customWidth="1" min="100" max="100"/>
    <col width="11" customWidth="1" min="101" max="101"/>
    <col width="10" customWidth="1" min="102" max="102"/>
    <col width="11" customWidth="1" min="103" max="103"/>
    <col width="13" customWidth="1" min="104" max="104"/>
    <col width="12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1" customWidth="1" min="111" max="111"/>
    <col width="11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1" customWidth="1" min="117" max="117"/>
    <col width="11" customWidth="1" min="118" max="118"/>
    <col width="10" customWidth="1" min="119" max="119"/>
    <col width="11" customWidth="1" min="120" max="120"/>
    <col width="13" customWidth="1" min="121" max="121"/>
    <col width="12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1" customWidth="1" min="128" max="128"/>
    <col width="11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1" customWidth="1" min="134" max="134"/>
    <col width="11" customWidth="1" min="135" max="135"/>
    <col width="10" customWidth="1" min="136" max="136"/>
    <col width="11" customWidth="1" min="137" max="137"/>
    <col width="13" customWidth="1" min="138" max="138"/>
    <col width="12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1" customWidth="1" min="145" max="145"/>
    <col width="11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1" customWidth="1" min="151" max="151"/>
    <col width="11" customWidth="1" min="152" max="152"/>
    <col width="10" customWidth="1" min="153" max="153"/>
    <col width="11" customWidth="1" min="154" max="154"/>
    <col width="13" customWidth="1" min="155" max="155"/>
    <col width="12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1" customWidth="1" min="162" max="162"/>
    <col width="11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1" customWidth="1" min="168" max="168"/>
    <col width="11" customWidth="1" min="169" max="169"/>
    <col width="10" customWidth="1" min="170" max="170"/>
    <col width="11" customWidth="1" min="171" max="171"/>
    <col width="13" customWidth="1" min="172" max="172"/>
    <col width="12" customWidth="1" min="174" max="174"/>
    <col width="10" customWidth="1" min="175" max="175"/>
    <col width="10" customWidth="1" min="176" max="176"/>
    <col width="10" customWidth="1" min="177" max="177"/>
    <col width="10" customWidth="1" min="178" max="178"/>
    <col width="11" customWidth="1" min="179" max="179"/>
    <col width="11" customWidth="1" min="180" max="180"/>
    <col width="10" customWidth="1" min="181" max="181"/>
    <col width="10" customWidth="1" min="182" max="182"/>
    <col width="10" customWidth="1" min="183" max="183"/>
    <col width="10" customWidth="1" min="184" max="184"/>
    <col width="11" customWidth="1" min="185" max="185"/>
    <col width="11" customWidth="1" min="186" max="186"/>
    <col width="10" customWidth="1" min="187" max="187"/>
    <col width="11" customWidth="1" min="188" max="188"/>
    <col width="13" customWidth="1" min="189" max="189"/>
    <col width="12" customWidth="1" min="191" max="191"/>
    <col width="10" customWidth="1" min="192" max="192"/>
    <col width="10" customWidth="1" min="193" max="193"/>
    <col width="10" customWidth="1" min="194" max="194"/>
    <col width="10" customWidth="1" min="195" max="195"/>
    <col width="11" customWidth="1" min="196" max="196"/>
    <col width="11" customWidth="1" min="197" max="197"/>
    <col width="10" customWidth="1" min="198" max="198"/>
    <col width="10" customWidth="1" min="199" max="199"/>
    <col width="10" customWidth="1" min="200" max="200"/>
    <col width="10" customWidth="1" min="201" max="201"/>
    <col width="11" customWidth="1" min="202" max="202"/>
    <col width="11" customWidth="1" min="203" max="203"/>
    <col width="10" customWidth="1" min="204" max="204"/>
    <col width="11" customWidth="1" min="205" max="205"/>
    <col width="13" customWidth="1" min="206" max="206"/>
    <col width="12" customWidth="1" min="208" max="208"/>
    <col width="10" customWidth="1" min="209" max="209"/>
    <col width="10" customWidth="1" min="210" max="210"/>
    <col width="10" customWidth="1" min="211" max="211"/>
    <col width="10" customWidth="1" min="212" max="212"/>
    <col width="11" customWidth="1" min="213" max="213"/>
    <col width="11" customWidth="1" min="214" max="214"/>
    <col width="10" customWidth="1" min="215" max="215"/>
    <col width="10" customWidth="1" min="216" max="216"/>
    <col width="10" customWidth="1" min="217" max="217"/>
    <col width="10" customWidth="1" min="218" max="218"/>
    <col width="11" customWidth="1" min="219" max="219"/>
    <col width="11" customWidth="1" min="220" max="220"/>
    <col width="10" customWidth="1" min="221" max="221"/>
    <col width="11" customWidth="1" min="222" max="222"/>
    <col width="13" customWidth="1" min="223" max="223"/>
    <col width="12" customWidth="1" min="225" max="225"/>
    <col width="10" customWidth="1" min="226" max="226"/>
    <col width="10" customWidth="1" min="227" max="227"/>
    <col width="10" customWidth="1" min="228" max="228"/>
    <col width="10" customWidth="1" min="229" max="229"/>
    <col width="11" customWidth="1" min="230" max="230"/>
    <col width="11" customWidth="1" min="231" max="231"/>
    <col width="10" customWidth="1" min="232" max="232"/>
    <col width="10" customWidth="1" min="233" max="233"/>
    <col width="10" customWidth="1" min="234" max="234"/>
    <col width="10" customWidth="1" min="235" max="235"/>
    <col width="11" customWidth="1" min="236" max="236"/>
    <col width="11" customWidth="1" min="237" max="237"/>
    <col width="10" customWidth="1" min="238" max="238"/>
    <col width="11" customWidth="1" min="239" max="239"/>
    <col width="13" customWidth="1" min="240" max="240"/>
    <col width="12" customWidth="1" min="242" max="242"/>
    <col width="10" customWidth="1" min="243" max="243"/>
    <col width="10" customWidth="1" min="244" max="244"/>
    <col width="10" customWidth="1" min="245" max="245"/>
    <col width="10" customWidth="1" min="246" max="246"/>
    <col width="11" customWidth="1" min="247" max="247"/>
    <col width="11" customWidth="1" min="248" max="248"/>
    <col width="10" customWidth="1" min="249" max="249"/>
    <col width="10" customWidth="1" min="250" max="250"/>
    <col width="10" customWidth="1" min="251" max="251"/>
    <col width="10" customWidth="1" min="252" max="252"/>
    <col width="11" customWidth="1" min="253" max="253"/>
    <col width="11" customWidth="1" min="254" max="254"/>
    <col width="10" customWidth="1" min="255" max="255"/>
    <col width="11" customWidth="1" min="256" max="256"/>
    <col width="13" customWidth="1" min="257" max="257"/>
    <col width="12" customWidth="1" min="259" max="259"/>
    <col width="10" customWidth="1" min="260" max="260"/>
    <col width="10" customWidth="1" min="261" max="261"/>
    <col width="10" customWidth="1" min="262" max="262"/>
    <col width="10" customWidth="1" min="263" max="263"/>
    <col width="11" customWidth="1" min="264" max="264"/>
    <col width="11" customWidth="1" min="265" max="265"/>
    <col width="10" customWidth="1" min="266" max="266"/>
    <col width="10" customWidth="1" min="267" max="267"/>
    <col width="10" customWidth="1" min="268" max="268"/>
    <col width="10" customWidth="1" min="269" max="269"/>
    <col width="11" customWidth="1" min="270" max="270"/>
    <col width="11" customWidth="1" min="271" max="271"/>
    <col width="10" customWidth="1" min="272" max="272"/>
    <col width="11" customWidth="1" min="273" max="273"/>
    <col width="13" customWidth="1" min="274" max="274"/>
    <col width="12" customWidth="1" min="276" max="276"/>
    <col width="10" customWidth="1" min="277" max="277"/>
    <col width="10" customWidth="1" min="278" max="278"/>
    <col width="10" customWidth="1" min="279" max="279"/>
    <col width="10" customWidth="1" min="280" max="280"/>
    <col width="11" customWidth="1" min="281" max="281"/>
    <col width="11" customWidth="1" min="282" max="282"/>
    <col width="10" customWidth="1" min="283" max="283"/>
    <col width="10" customWidth="1" min="284" max="284"/>
    <col width="10" customWidth="1" min="285" max="285"/>
    <col width="10" customWidth="1" min="286" max="286"/>
    <col width="11" customWidth="1" min="287" max="287"/>
    <col width="11" customWidth="1" min="288" max="288"/>
    <col width="10" customWidth="1" min="289" max="289"/>
    <col width="11" customWidth="1" min="290" max="290"/>
    <col width="13" customWidth="1" min="291" max="291"/>
    <col width="12" customWidth="1" min="293" max="293"/>
    <col width="10" customWidth="1" min="294" max="294"/>
    <col width="10" customWidth="1" min="295" max="295"/>
    <col width="10" customWidth="1" min="296" max="296"/>
    <col width="10" customWidth="1" min="297" max="297"/>
    <col width="11" customWidth="1" min="298" max="298"/>
    <col width="11" customWidth="1" min="299" max="299"/>
    <col width="10" customWidth="1" min="300" max="300"/>
    <col width="10" customWidth="1" min="301" max="301"/>
    <col width="10" customWidth="1" min="302" max="302"/>
    <col width="10" customWidth="1" min="303" max="303"/>
    <col width="11" customWidth="1" min="304" max="304"/>
    <col width="11" customWidth="1" min="305" max="305"/>
    <col width="10" customWidth="1" min="306" max="306"/>
    <col width="11" customWidth="1" min="307" max="307"/>
    <col width="13" customWidth="1" min="308" max="308"/>
    <col width="12" customWidth="1" min="310" max="310"/>
    <col width="10" customWidth="1" min="311" max="311"/>
    <col width="10" customWidth="1" min="312" max="312"/>
    <col width="10" customWidth="1" min="313" max="313"/>
    <col width="10" customWidth="1" min="314" max="314"/>
    <col width="11" customWidth="1" min="315" max="315"/>
    <col width="11" customWidth="1" min="316" max="316"/>
    <col width="10" customWidth="1" min="317" max="317"/>
    <col width="10" customWidth="1" min="318" max="318"/>
    <col width="10" customWidth="1" min="319" max="319"/>
    <col width="10" customWidth="1" min="320" max="320"/>
    <col width="11" customWidth="1" min="321" max="321"/>
    <col width="11" customWidth="1" min="322" max="322"/>
    <col width="10" customWidth="1" min="323" max="323"/>
    <col width="11" customWidth="1" min="324" max="324"/>
    <col width="13" customWidth="1" min="325" max="325"/>
    <col width="12" customWidth="1" min="327" max="327"/>
    <col width="10" customWidth="1" min="328" max="328"/>
    <col width="10" customWidth="1" min="329" max="329"/>
    <col width="10" customWidth="1" min="330" max="330"/>
    <col width="10" customWidth="1" min="331" max="331"/>
    <col width="11" customWidth="1" min="332" max="332"/>
    <col width="11" customWidth="1" min="333" max="333"/>
    <col width="10" customWidth="1" min="334" max="334"/>
    <col width="10" customWidth="1" min="335" max="335"/>
    <col width="10" customWidth="1" min="336" max="336"/>
    <col width="10" customWidth="1" min="337" max="337"/>
    <col width="11" customWidth="1" min="338" max="338"/>
    <col width="11" customWidth="1" min="339" max="339"/>
    <col width="10" customWidth="1" min="340" max="340"/>
    <col width="11" customWidth="1" min="341" max="341"/>
    <col width="13" customWidth="1" min="342" max="342"/>
    <col width="12" customWidth="1" min="344" max="344"/>
    <col width="10" customWidth="1" min="345" max="345"/>
    <col width="10" customWidth="1" min="346" max="346"/>
    <col width="10" customWidth="1" min="347" max="347"/>
    <col width="10" customWidth="1" min="348" max="348"/>
    <col width="11" customWidth="1" min="349" max="349"/>
    <col width="11" customWidth="1" min="350" max="350"/>
    <col width="10" customWidth="1" min="351" max="351"/>
    <col width="10" customWidth="1" min="352" max="352"/>
    <col width="10" customWidth="1" min="353" max="353"/>
    <col width="10" customWidth="1" min="354" max="354"/>
    <col width="11" customWidth="1" min="355" max="355"/>
    <col width="11" customWidth="1" min="356" max="356"/>
    <col width="10" customWidth="1" min="357" max="357"/>
    <col width="11" customWidth="1" min="358" max="358"/>
    <col width="13" customWidth="1" min="359" max="359"/>
    <col width="12" customWidth="1" min="361" max="361"/>
    <col width="10" customWidth="1" min="362" max="362"/>
    <col width="10" customWidth="1" min="363" max="363"/>
    <col width="10" customWidth="1" min="364" max="364"/>
    <col width="10" customWidth="1" min="365" max="365"/>
    <col width="11" customWidth="1" min="366" max="366"/>
    <col width="11" customWidth="1" min="367" max="367"/>
    <col width="10" customWidth="1" min="368" max="368"/>
    <col width="10" customWidth="1" min="369" max="369"/>
    <col width="10" customWidth="1" min="370" max="370"/>
    <col width="10" customWidth="1" min="371" max="371"/>
    <col width="11" customWidth="1" min="372" max="372"/>
    <col width="11" customWidth="1" min="373" max="373"/>
    <col width="10" customWidth="1" min="374" max="374"/>
    <col width="11" customWidth="1" min="375" max="375"/>
    <col width="13" customWidth="1" min="376" max="376"/>
    <col width="12" customWidth="1" min="378" max="378"/>
    <col width="10" customWidth="1" min="379" max="379"/>
    <col width="10" customWidth="1" min="380" max="380"/>
    <col width="10" customWidth="1" min="381" max="381"/>
    <col width="10" customWidth="1" min="382" max="382"/>
    <col width="11" customWidth="1" min="383" max="383"/>
    <col width="11" customWidth="1" min="384" max="384"/>
    <col width="10" customWidth="1" min="385" max="385"/>
    <col width="10" customWidth="1" min="386" max="386"/>
    <col width="10" customWidth="1" min="387" max="387"/>
    <col width="10" customWidth="1" min="388" max="388"/>
    <col width="11" customWidth="1" min="389" max="389"/>
    <col width="11" customWidth="1" min="390" max="390"/>
    <col width="10" customWidth="1" min="391" max="391"/>
    <col width="11" customWidth="1" min="392" max="392"/>
    <col width="13" customWidth="1" min="393" max="393"/>
    <col width="12" customWidth="1" min="395" max="395"/>
    <col width="10" customWidth="1" min="396" max="396"/>
    <col width="10" customWidth="1" min="397" max="397"/>
    <col width="10" customWidth="1" min="398" max="398"/>
    <col width="10" customWidth="1" min="399" max="399"/>
    <col width="11" customWidth="1" min="400" max="400"/>
    <col width="11" customWidth="1" min="401" max="401"/>
    <col width="10" customWidth="1" min="402" max="402"/>
    <col width="10" customWidth="1" min="403" max="403"/>
    <col width="10" customWidth="1" min="404" max="404"/>
    <col width="10" customWidth="1" min="405" max="405"/>
    <col width="11" customWidth="1" min="406" max="406"/>
    <col width="11" customWidth="1" min="407" max="407"/>
    <col width="10" customWidth="1" min="408" max="408"/>
    <col width="11" customWidth="1" min="409" max="409"/>
    <col width="13" customWidth="1" min="410" max="410"/>
    <col width="12" customWidth="1" min="412" max="412"/>
    <col width="10" customWidth="1" min="413" max="413"/>
    <col width="10" customWidth="1" min="414" max="414"/>
    <col width="10" customWidth="1" min="415" max="415"/>
    <col width="10" customWidth="1" min="416" max="416"/>
    <col width="11" customWidth="1" min="417" max="417"/>
    <col width="11" customWidth="1" min="418" max="418"/>
    <col width="10" customWidth="1" min="419" max="419"/>
    <col width="10" customWidth="1" min="420" max="420"/>
    <col width="10" customWidth="1" min="421" max="421"/>
    <col width="10" customWidth="1" min="422" max="422"/>
    <col width="11" customWidth="1" min="423" max="423"/>
    <col width="11" customWidth="1" min="424" max="424"/>
    <col width="10" customWidth="1" min="425" max="425"/>
    <col width="11" customWidth="1" min="426" max="426"/>
    <col width="13" customWidth="1" min="427" max="427"/>
    <col width="12" customWidth="1" min="429" max="429"/>
    <col width="10" customWidth="1" min="430" max="430"/>
    <col width="10" customWidth="1" min="431" max="431"/>
    <col width="10" customWidth="1" min="432" max="432"/>
    <col width="10" customWidth="1" min="433" max="433"/>
    <col width="11" customWidth="1" min="434" max="434"/>
    <col width="11" customWidth="1" min="435" max="435"/>
    <col width="10" customWidth="1" min="436" max="436"/>
    <col width="10" customWidth="1" min="437" max="437"/>
    <col width="10" customWidth="1" min="438" max="438"/>
    <col width="10" customWidth="1" min="439" max="439"/>
    <col width="11" customWidth="1" min="440" max="440"/>
    <col width="11" customWidth="1" min="441" max="441"/>
    <col width="10" customWidth="1" min="442" max="442"/>
    <col width="11" customWidth="1" min="443" max="443"/>
    <col width="13" customWidth="1" min="444" max="444"/>
    <col width="12" customWidth="1" min="446" max="446"/>
    <col width="10" customWidth="1" min="447" max="447"/>
    <col width="10" customWidth="1" min="448" max="448"/>
    <col width="10" customWidth="1" min="449" max="449"/>
    <col width="10" customWidth="1" min="450" max="450"/>
    <col width="11" customWidth="1" min="451" max="451"/>
    <col width="11" customWidth="1" min="452" max="452"/>
    <col width="10" customWidth="1" min="453" max="453"/>
    <col width="10" customWidth="1" min="454" max="454"/>
    <col width="10" customWidth="1" min="455" max="455"/>
    <col width="10" customWidth="1" min="456" max="456"/>
    <col width="11" customWidth="1" min="457" max="457"/>
    <col width="11" customWidth="1" min="458" max="458"/>
    <col width="10" customWidth="1" min="459" max="459"/>
    <col width="11" customWidth="1" min="460" max="460"/>
    <col width="13" customWidth="1" min="461" max="461"/>
    <col width="12" customWidth="1" min="463" max="463"/>
    <col width="10" customWidth="1" min="464" max="464"/>
    <col width="10" customWidth="1" min="465" max="465"/>
    <col width="10" customWidth="1" min="466" max="466"/>
    <col width="10" customWidth="1" min="467" max="467"/>
    <col width="11" customWidth="1" min="468" max="468"/>
    <col width="11" customWidth="1" min="469" max="469"/>
    <col width="10" customWidth="1" min="470" max="470"/>
    <col width="10" customWidth="1" min="471" max="471"/>
    <col width="10" customWidth="1" min="472" max="472"/>
    <col width="10" customWidth="1" min="473" max="473"/>
    <col width="11" customWidth="1" min="474" max="474"/>
    <col width="11" customWidth="1" min="475" max="475"/>
    <col width="10" customWidth="1" min="476" max="476"/>
    <col width="11" customWidth="1" min="477" max="477"/>
    <col width="13" customWidth="1" min="478" max="478"/>
    <col width="12" customWidth="1" min="480" max="480"/>
    <col width="10" customWidth="1" min="481" max="481"/>
    <col width="10" customWidth="1" min="482" max="482"/>
    <col width="10" customWidth="1" min="483" max="483"/>
    <col width="10" customWidth="1" min="484" max="484"/>
    <col width="11" customWidth="1" min="485" max="485"/>
    <col width="11" customWidth="1" min="486" max="486"/>
    <col width="10" customWidth="1" min="487" max="487"/>
    <col width="10" customWidth="1" min="488" max="488"/>
    <col width="10" customWidth="1" min="489" max="489"/>
    <col width="10" customWidth="1" min="490" max="490"/>
    <col width="11" customWidth="1" min="491" max="491"/>
    <col width="11" customWidth="1" min="492" max="492"/>
    <col width="10" customWidth="1" min="493" max="493"/>
    <col width="11" customWidth="1" min="494" max="494"/>
    <col width="13" customWidth="1" min="495" max="495"/>
    <col width="12" customWidth="1" min="497" max="497"/>
    <col width="10" customWidth="1" min="498" max="498"/>
    <col width="10" customWidth="1" min="499" max="499"/>
    <col width="10" customWidth="1" min="500" max="500"/>
    <col width="10" customWidth="1" min="501" max="501"/>
    <col width="11" customWidth="1" min="502" max="502"/>
    <col width="11" customWidth="1" min="503" max="503"/>
    <col width="10" customWidth="1" min="504" max="504"/>
    <col width="10" customWidth="1" min="505" max="505"/>
    <col width="10" customWidth="1" min="506" max="506"/>
    <col width="10" customWidth="1" min="507" max="507"/>
    <col width="11" customWidth="1" min="508" max="508"/>
    <col width="11" customWidth="1" min="509" max="509"/>
    <col width="10" customWidth="1" min="510" max="510"/>
    <col width="11" customWidth="1" min="511" max="511"/>
    <col width="13" customWidth="1" min="512" max="512"/>
    <col width="12" customWidth="1" min="514" max="514"/>
    <col width="10" customWidth="1" min="515" max="515"/>
    <col width="10" customWidth="1" min="516" max="516"/>
    <col width="10" customWidth="1" min="517" max="517"/>
    <col width="10" customWidth="1" min="518" max="518"/>
    <col width="11" customWidth="1" min="519" max="519"/>
    <col width="11" customWidth="1" min="520" max="520"/>
    <col width="10" customWidth="1" min="521" max="521"/>
    <col width="10" customWidth="1" min="522" max="522"/>
    <col width="10" customWidth="1" min="523" max="523"/>
    <col width="10" customWidth="1" min="524" max="524"/>
    <col width="11" customWidth="1" min="525" max="525"/>
    <col width="11" customWidth="1" min="526" max="526"/>
    <col width="10" customWidth="1" min="527" max="527"/>
    <col width="11" customWidth="1" min="528" max="528"/>
    <col width="13" customWidth="1" min="529" max="529"/>
    <col width="12" customWidth="1" min="531" max="531"/>
    <col width="10" customWidth="1" min="532" max="532"/>
    <col width="10" customWidth="1" min="533" max="533"/>
    <col width="10" customWidth="1" min="534" max="534"/>
    <col width="10" customWidth="1" min="535" max="535"/>
    <col width="11" customWidth="1" min="536" max="536"/>
    <col width="11" customWidth="1" min="537" max="537"/>
    <col width="10" customWidth="1" min="538" max="538"/>
    <col width="10" customWidth="1" min="539" max="539"/>
    <col width="10" customWidth="1" min="540" max="540"/>
    <col width="10" customWidth="1" min="541" max="541"/>
    <col width="11" customWidth="1" min="542" max="542"/>
    <col width="11" customWidth="1" min="543" max="543"/>
    <col width="10" customWidth="1" min="544" max="544"/>
    <col width="11" customWidth="1" min="545" max="545"/>
    <col width="13" customWidth="1" min="546" max="546"/>
    <col width="12" customWidth="1" min="548" max="548"/>
    <col width="10" customWidth="1" min="549" max="549"/>
    <col width="10" customWidth="1" min="550" max="550"/>
    <col width="10" customWidth="1" min="551" max="551"/>
    <col width="10" customWidth="1" min="552" max="552"/>
    <col width="11" customWidth="1" min="553" max="553"/>
    <col width="11" customWidth="1" min="554" max="554"/>
    <col width="10" customWidth="1" min="555" max="555"/>
    <col width="10" customWidth="1" min="556" max="556"/>
    <col width="10" customWidth="1" min="557" max="557"/>
    <col width="10" customWidth="1" min="558" max="558"/>
    <col width="11" customWidth="1" min="559" max="559"/>
    <col width="11" customWidth="1" min="560" max="560"/>
    <col width="10" customWidth="1" min="561" max="561"/>
    <col width="11" customWidth="1" min="562" max="562"/>
    <col width="13" customWidth="1" min="563" max="563"/>
    <col width="12" customWidth="1" min="565" max="565"/>
    <col width="10" customWidth="1" min="566" max="566"/>
    <col width="10" customWidth="1" min="567" max="567"/>
    <col width="10" customWidth="1" min="568" max="568"/>
    <col width="10" customWidth="1" min="569" max="569"/>
    <col width="11" customWidth="1" min="570" max="570"/>
    <col width="11" customWidth="1" min="571" max="571"/>
    <col width="10" customWidth="1" min="572" max="572"/>
    <col width="10" customWidth="1" min="573" max="573"/>
    <col width="10" customWidth="1" min="574" max="574"/>
    <col width="10" customWidth="1" min="575" max="575"/>
    <col width="11" customWidth="1" min="576" max="576"/>
    <col width="11" customWidth="1" min="577" max="577"/>
    <col width="10" customWidth="1" min="578" max="578"/>
    <col width="11" customWidth="1" min="579" max="579"/>
    <col width="13" customWidth="1" min="580" max="580"/>
  </cols>
  <sheetData>
    <row r="1">
      <c r="A1" s="2" t="inlineStr">
        <is>
          <t>Contract month</t>
        </is>
      </c>
      <c r="B1" s="9" t="n">
        <v>4</v>
      </c>
      <c r="D1" s="2">
        <f>IF(ISNUMBER(B$8),"CL"&amp;MID("FGHJKMNQUVXZ",B$1,1)&amp;B$4&amp;"C "&amp;IF(Settings!$F$14=2,TEXT((B$8-8),"0.00"),(B$8-8))&amp;" Comdty","")</f>
        <v/>
      </c>
      <c r="U1" s="2">
        <f>IF(ISNUMBER(B$8),"CL"&amp;MID("FGHJKMNQUVXZ",B$1,1)&amp;B$4&amp;"P "&amp;IF(Settings!$F$14=2,TEXT((B$8-8),"0.00"),(B$8-8))&amp;" Comdty","")</f>
        <v/>
      </c>
      <c r="AL1" s="2">
        <f>IF(ISNUMBER(B$8),"CL"&amp;MID("FGHJKMNQUVXZ",B$1,1)&amp;B$4&amp;"C "&amp;IF(Settings!$F$14=2,TEXT((B$8-7),"0.00"),(B$8-7))&amp;" Comdty","")</f>
        <v/>
      </c>
      <c r="BC1" s="2">
        <f>IF(ISNUMBER(B$8),"CL"&amp;MID("FGHJKMNQUVXZ",B$1,1)&amp;B$4&amp;"P "&amp;IF(Settings!$F$14=2,TEXT((B$8-7),"0.00"),(B$8-7))&amp;" Comdty","")</f>
        <v/>
      </c>
      <c r="BT1" s="2">
        <f>IF(ISNUMBER(B$8),"CL"&amp;MID("FGHJKMNQUVXZ",B$1,1)&amp;B$4&amp;"C "&amp;IF(Settings!$F$14=2,TEXT((B$8-6),"0.00"),(B$8-6))&amp;" Comdty","")</f>
        <v/>
      </c>
      <c r="CK1" s="2">
        <f>IF(ISNUMBER(B$8),"CL"&amp;MID("FGHJKMNQUVXZ",B$1,1)&amp;B$4&amp;"P "&amp;IF(Settings!$F$14=2,TEXT((B$8-6),"0.00"),(B$8-6))&amp;" Comdty","")</f>
        <v/>
      </c>
      <c r="DB1" s="2">
        <f>IF(ISNUMBER(B$8),"CL"&amp;MID("FGHJKMNQUVXZ",B$1,1)&amp;B$4&amp;"C "&amp;IF(Settings!$F$14=2,TEXT((B$8-5),"0.00"),(B$8-5))&amp;" Comdty","")</f>
        <v/>
      </c>
      <c r="DS1" s="2">
        <f>IF(ISNUMBER(B$8),"CL"&amp;MID("FGHJKMNQUVXZ",B$1,1)&amp;B$4&amp;"P "&amp;IF(Settings!$F$14=2,TEXT((B$8-5),"0.00"),(B$8-5))&amp;" Comdty","")</f>
        <v/>
      </c>
      <c r="EJ1" s="2">
        <f>IF(ISNUMBER(B$8),"CL"&amp;MID("FGHJKMNQUVXZ",B$1,1)&amp;B$4&amp;"C "&amp;IF(Settings!$F$14=2,TEXT((B$8-4),"0.00"),(B$8-4))&amp;" Comdty","")</f>
        <v/>
      </c>
      <c r="FA1" s="2">
        <f>IF(ISNUMBER(B$8),"CL"&amp;MID("FGHJKMNQUVXZ",B$1,1)&amp;B$4&amp;"P "&amp;IF(Settings!$F$14=2,TEXT((B$8-4),"0.00"),(B$8-4))&amp;" Comdty","")</f>
        <v/>
      </c>
      <c r="FR1" s="2">
        <f>IF(ISNUMBER(B$8),"CL"&amp;MID("FGHJKMNQUVXZ",B$1,1)&amp;B$4&amp;"C "&amp;IF(Settings!$F$14=2,TEXT((B$8-3),"0.00"),(B$8-3))&amp;" Comdty","")</f>
        <v/>
      </c>
      <c r="GI1" s="2">
        <f>IF(ISNUMBER(B$8),"CL"&amp;MID("FGHJKMNQUVXZ",B$1,1)&amp;B$4&amp;"P "&amp;IF(Settings!$F$14=2,TEXT((B$8-3),"0.00"),(B$8-3))&amp;" Comdty","")</f>
        <v/>
      </c>
      <c r="GZ1" s="2">
        <f>IF(ISNUMBER(B$8),"CL"&amp;MID("FGHJKMNQUVXZ",B$1,1)&amp;B$4&amp;"C "&amp;IF(Settings!$F$14=2,TEXT((B$8-2),"0.00"),(B$8-2))&amp;" Comdty","")</f>
        <v/>
      </c>
      <c r="HQ1" s="2">
        <f>IF(ISNUMBER(B$8),"CL"&amp;MID("FGHJKMNQUVXZ",B$1,1)&amp;B$4&amp;"P "&amp;IF(Settings!$F$14=2,TEXT((B$8-2),"0.00"),(B$8-2))&amp;" Comdty","")</f>
        <v/>
      </c>
      <c r="IH1" s="2">
        <f>IF(ISNUMBER(B$8),"CL"&amp;MID("FGHJKMNQUVXZ",B$1,1)&amp;B$4&amp;"C "&amp;IF(Settings!$F$14=2,TEXT((B$8-1),"0.00"),(B$8-1))&amp;" Comdty","")</f>
        <v/>
      </c>
      <c r="IY1" s="2">
        <f>IF(ISNUMBER(B$8),"CL"&amp;MID("FGHJKMNQUVXZ",B$1,1)&amp;B$4&amp;"P "&amp;IF(Settings!$F$14=2,TEXT((B$8-1),"0.00"),(B$8-1))&amp;" Comdty","")</f>
        <v/>
      </c>
      <c r="JP1" s="2">
        <f>IF(ISNUMBER(B$8),"CL"&amp;MID("FGHJKMNQUVXZ",B$1,1)&amp;B$4&amp;"C "&amp;IF(Settings!$F$14=2,TEXT(B$8,"0.00"),B$8)&amp;" Comdty","")</f>
        <v/>
      </c>
      <c r="KG1" s="2">
        <f>IF(ISNUMBER(B$8),"CL"&amp;MID("FGHJKMNQUVXZ",B$1,1)&amp;B$4&amp;"P "&amp;IF(Settings!$F$14=2,TEXT(B$8,"0.00"),B$8)&amp;" Comdty","")</f>
        <v/>
      </c>
      <c r="KX1" s="2">
        <f>IF(ISNUMBER(B$8),"CL"&amp;MID("FGHJKMNQUVXZ",B$1,1)&amp;B$4&amp;"C "&amp;IF(Settings!$F$14=2,TEXT((B$8+1),"0.00"),(B$8+1))&amp;" Comdty","")</f>
        <v/>
      </c>
      <c r="LO1" s="2">
        <f>IF(ISNUMBER(B$8),"CL"&amp;MID("FGHJKMNQUVXZ",B$1,1)&amp;B$4&amp;"P "&amp;IF(Settings!$F$14=2,TEXT((B$8+1),"0.00"),(B$8+1))&amp;" Comdty","")</f>
        <v/>
      </c>
      <c r="MF1" s="2">
        <f>IF(ISNUMBER(B$8),"CL"&amp;MID("FGHJKMNQUVXZ",B$1,1)&amp;B$4&amp;"C "&amp;IF(Settings!$F$14=2,TEXT((B$8+2),"0.00"),(B$8+2))&amp;" Comdty","")</f>
        <v/>
      </c>
      <c r="MW1" s="2">
        <f>IF(ISNUMBER(B$8),"CL"&amp;MID("FGHJKMNQUVXZ",B$1,1)&amp;B$4&amp;"P "&amp;IF(Settings!$F$14=2,TEXT((B$8+2),"0.00"),(B$8+2))&amp;" Comdty","")</f>
        <v/>
      </c>
      <c r="NN1" s="2">
        <f>IF(ISNUMBER(B$8),"CL"&amp;MID("FGHJKMNQUVXZ",B$1,1)&amp;B$4&amp;"C "&amp;IF(Settings!$F$14=2,TEXT((B$8+3),"0.00"),(B$8+3))&amp;" Comdty","")</f>
        <v/>
      </c>
      <c r="OE1" s="2">
        <f>IF(ISNUMBER(B$8),"CL"&amp;MID("FGHJKMNQUVXZ",B$1,1)&amp;B$4&amp;"P "&amp;IF(Settings!$F$14=2,TEXT((B$8+3),"0.00"),(B$8+3))&amp;" Comdty","")</f>
        <v/>
      </c>
      <c r="OV1" s="2">
        <f>IF(ISNUMBER(B$8),"CL"&amp;MID("FGHJKMNQUVXZ",B$1,1)&amp;B$4&amp;"C "&amp;IF(Settings!$F$14=2,TEXT((B$8+4),"0.00"),(B$8+4))&amp;" Comdty","")</f>
        <v/>
      </c>
      <c r="PM1" s="2">
        <f>IF(ISNUMBER(B$8),"CL"&amp;MID("FGHJKMNQUVXZ",B$1,1)&amp;B$4&amp;"P "&amp;IF(Settings!$F$14=2,TEXT((B$8+4),"0.00"),(B$8+4))&amp;" Comdty","")</f>
        <v/>
      </c>
      <c r="QD1" s="2">
        <f>IF(ISNUMBER(B$8),"CL"&amp;MID("FGHJKMNQUVXZ",B$1,1)&amp;B$4&amp;"C "&amp;IF(Settings!$F$14=2,TEXT((B$8+5),"0.00"),(B$8+5))&amp;" Comdty","")</f>
        <v/>
      </c>
      <c r="QU1" s="2">
        <f>IF(ISNUMBER(B$8),"CL"&amp;MID("FGHJKMNQUVXZ",B$1,1)&amp;B$4&amp;"P "&amp;IF(Settings!$F$14=2,TEXT((B$8+5),"0.00"),(B$8+5))&amp;" Comdty","")</f>
        <v/>
      </c>
      <c r="RL1" s="2">
        <f>IF(ISNUMBER(B$8),"CL"&amp;MID("FGHJKMNQUVXZ",B$1,1)&amp;B$4&amp;"C "&amp;IF(Settings!$F$14=2,TEXT((B$8+6),"0.00"),(B$8+6))&amp;" Comdty","")</f>
        <v/>
      </c>
      <c r="SC1" s="2">
        <f>IF(ISNUMBER(B$8),"CL"&amp;MID("FGHJKMNQUVXZ",B$1,1)&amp;B$4&amp;"P "&amp;IF(Settings!$F$14=2,TEXT((B$8+6),"0.00"),(B$8+6))&amp;" Comdty","")</f>
        <v/>
      </c>
      <c r="ST1" s="2">
        <f>IF(ISNUMBER(B$8),"CL"&amp;MID("FGHJKMNQUVXZ",B$1,1)&amp;B$4&amp;"C "&amp;IF(Settings!$F$14=2,TEXT((B$8+7),"0.00"),(B$8+7))&amp;" Comdty","")</f>
        <v/>
      </c>
      <c r="TK1" s="2">
        <f>IF(ISNUMBER(B$8),"CL"&amp;MID("FGHJKMNQUVXZ",B$1,1)&amp;B$4&amp;"P "&amp;IF(Settings!$F$14=2,TEXT((B$8+7),"0.00"),(B$8+7))&amp;" Comdty","")</f>
        <v/>
      </c>
      <c r="UB1" s="2">
        <f>IF(ISNUMBER(B$8),"CL"&amp;MID("FGHJKMNQUVXZ",B$1,1)&amp;B$4&amp;"C "&amp;IF(Settings!$F$14=2,TEXT((B$8+8),"0.00"),(B$8+8))&amp;" Comdty","")</f>
        <v/>
      </c>
      <c r="US1" s="2">
        <f>IF(ISNUMBER(B$8),"CL"&amp;MID("FGHJKMNQUVXZ",B$1,1)&amp;B$4&amp;"P "&amp;IF(Settings!$F$14=2,TEXT((B$8+8),"0.00"),(B$8+8))&amp;" Comdty","")</f>
        <v/>
      </c>
    </row>
    <row r="2">
      <c r="A2" s="2" t="inlineStr">
        <is>
          <t>Futures last trade</t>
        </is>
      </c>
      <c r="B2" s="8">
        <f>WORKDAY(DATE(Settings!$E$14,B1-1,25),-3)</f>
        <v/>
      </c>
      <c r="D2" s="4" t="inlineStr">
        <is>
          <t>call -8 from ATM</t>
        </is>
      </c>
      <c r="U2" s="4" t="inlineStr">
        <is>
          <t>put -8 from ATM</t>
        </is>
      </c>
      <c r="AL2" s="4" t="inlineStr">
        <is>
          <t>call -7 from ATM</t>
        </is>
      </c>
      <c r="BC2" s="4" t="inlineStr">
        <is>
          <t>put -7 from ATM</t>
        </is>
      </c>
      <c r="BT2" s="4" t="inlineStr">
        <is>
          <t>call -6 from ATM</t>
        </is>
      </c>
      <c r="CK2" s="4" t="inlineStr">
        <is>
          <t>put -6 from ATM</t>
        </is>
      </c>
      <c r="DB2" s="4" t="inlineStr">
        <is>
          <t>call -5 from ATM</t>
        </is>
      </c>
      <c r="DS2" s="4" t="inlineStr">
        <is>
          <t>put -5 from ATM</t>
        </is>
      </c>
      <c r="EJ2" s="4" t="inlineStr">
        <is>
          <t>call -4 from ATM</t>
        </is>
      </c>
      <c r="FA2" s="4" t="inlineStr">
        <is>
          <t>put -4 from ATM</t>
        </is>
      </c>
      <c r="FR2" s="4" t="inlineStr">
        <is>
          <t>call -3 from ATM</t>
        </is>
      </c>
      <c r="GI2" s="4" t="inlineStr">
        <is>
          <t>put -3 from ATM</t>
        </is>
      </c>
      <c r="GZ2" s="4" t="inlineStr">
        <is>
          <t>call -2 from ATM</t>
        </is>
      </c>
      <c r="HQ2" s="4" t="inlineStr">
        <is>
          <t>put -2 from ATM</t>
        </is>
      </c>
      <c r="IH2" s="4" t="inlineStr">
        <is>
          <t>call -1 from ATM</t>
        </is>
      </c>
      <c r="IY2" s="4" t="inlineStr">
        <is>
          <t>put -1 from ATM</t>
        </is>
      </c>
      <c r="JP2" s="4" t="inlineStr">
        <is>
          <t>call +0 from ATM</t>
        </is>
      </c>
      <c r="KG2" s="4" t="inlineStr">
        <is>
          <t>put +0 from ATM</t>
        </is>
      </c>
      <c r="KX2" s="4" t="inlineStr">
        <is>
          <t>call +1 from ATM</t>
        </is>
      </c>
      <c r="LO2" s="4" t="inlineStr">
        <is>
          <t>put +1 from ATM</t>
        </is>
      </c>
      <c r="MF2" s="4" t="inlineStr">
        <is>
          <t>call +2 from ATM</t>
        </is>
      </c>
      <c r="MW2" s="4" t="inlineStr">
        <is>
          <t>put +2 from ATM</t>
        </is>
      </c>
      <c r="NN2" s="4" t="inlineStr">
        <is>
          <t>call +3 from ATM</t>
        </is>
      </c>
      <c r="OE2" s="4" t="inlineStr">
        <is>
          <t>put +3 from ATM</t>
        </is>
      </c>
      <c r="OV2" s="4" t="inlineStr">
        <is>
          <t>call +4 from ATM</t>
        </is>
      </c>
      <c r="PM2" s="4" t="inlineStr">
        <is>
          <t>put +4 from ATM</t>
        </is>
      </c>
      <c r="QD2" s="4" t="inlineStr">
        <is>
          <t>call +5 from ATM</t>
        </is>
      </c>
      <c r="QU2" s="4" t="inlineStr">
        <is>
          <t>put +5 from ATM</t>
        </is>
      </c>
      <c r="RL2" s="4" t="inlineStr">
        <is>
          <t>call +6 from ATM</t>
        </is>
      </c>
      <c r="SC2" s="4" t="inlineStr">
        <is>
          <t>put +6 from ATM</t>
        </is>
      </c>
      <c r="ST2" s="4" t="inlineStr">
        <is>
          <t>call +7 from ATM</t>
        </is>
      </c>
      <c r="TK2" s="4" t="inlineStr">
        <is>
          <t>put +7 from ATM</t>
        </is>
      </c>
      <c r="UB2" s="4" t="inlineStr">
        <is>
          <t>call +8 from ATM</t>
        </is>
      </c>
      <c r="US2" s="4" t="inlineStr">
        <is>
          <t>put +8 from ATM</t>
        </is>
      </c>
    </row>
    <row r="3">
      <c r="A3" s="2" t="inlineStr">
        <is>
          <t>Option expiry (approx)</t>
        </is>
      </c>
      <c r="B3" s="8">
        <f>WORKDAY(B2,-1)</f>
        <v/>
      </c>
      <c r="D3" s="5" t="inlineStr">
        <is>
          <t>Date</t>
        </is>
      </c>
      <c r="E3" s="5" t="inlineStr">
        <is>
          <t>PX_BID</t>
        </is>
      </c>
      <c r="F3" s="5" t="inlineStr">
        <is>
          <t>PX_ASK</t>
        </is>
      </c>
      <c r="G3" s="5" t="inlineStr">
        <is>
          <t>PX_MID</t>
        </is>
      </c>
      <c r="H3" s="5" t="inlineStr">
        <is>
          <t>PX_LAST</t>
        </is>
      </c>
      <c r="I3" s="5" t="inlineStr">
        <is>
          <t>PX_SETTLE</t>
        </is>
      </c>
      <c r="J3" s="5" t="inlineStr">
        <is>
          <t>PX_VOLUME</t>
        </is>
      </c>
      <c r="K3" s="5" t="inlineStr">
        <is>
          <t>OPEN_INT</t>
        </is>
      </c>
      <c r="L3" s="5" t="inlineStr">
        <is>
          <t>IVOL_MID</t>
        </is>
      </c>
      <c r="M3" s="5" t="inlineStr">
        <is>
          <t>IVOL_BID</t>
        </is>
      </c>
      <c r="N3" s="5" t="inlineStr">
        <is>
          <t>IVOL_ASK</t>
        </is>
      </c>
      <c r="O3" s="5" t="inlineStr">
        <is>
          <t>DELTA_MID</t>
        </is>
      </c>
      <c r="P3" s="5" t="inlineStr">
        <is>
          <t>GAMMA_MID</t>
        </is>
      </c>
      <c r="Q3" s="5" t="inlineStr">
        <is>
          <t>VEGA_MID</t>
        </is>
      </c>
      <c r="R3" s="5" t="inlineStr">
        <is>
          <t>THETA_MID</t>
        </is>
      </c>
      <c r="S3" s="5" t="inlineStr">
        <is>
          <t>OPT_UNDL_PX</t>
        </is>
      </c>
      <c r="U3" s="5" t="inlineStr">
        <is>
          <t>Date</t>
        </is>
      </c>
      <c r="V3" s="5" t="inlineStr">
        <is>
          <t>PX_BID</t>
        </is>
      </c>
      <c r="W3" s="5" t="inlineStr">
        <is>
          <t>PX_ASK</t>
        </is>
      </c>
      <c r="X3" s="5" t="inlineStr">
        <is>
          <t>PX_MID</t>
        </is>
      </c>
      <c r="Y3" s="5" t="inlineStr">
        <is>
          <t>PX_LAST</t>
        </is>
      </c>
      <c r="Z3" s="5" t="inlineStr">
        <is>
          <t>PX_SETTLE</t>
        </is>
      </c>
      <c r="AA3" s="5" t="inlineStr">
        <is>
          <t>PX_VOLUME</t>
        </is>
      </c>
      <c r="AB3" s="5" t="inlineStr">
        <is>
          <t>OPEN_INT</t>
        </is>
      </c>
      <c r="AC3" s="5" t="inlineStr">
        <is>
          <t>IVOL_MID</t>
        </is>
      </c>
      <c r="AD3" s="5" t="inlineStr">
        <is>
          <t>IVOL_BID</t>
        </is>
      </c>
      <c r="AE3" s="5" t="inlineStr">
        <is>
          <t>IVOL_ASK</t>
        </is>
      </c>
      <c r="AF3" s="5" t="inlineStr">
        <is>
          <t>DELTA_MID</t>
        </is>
      </c>
      <c r="AG3" s="5" t="inlineStr">
        <is>
          <t>GAMMA_MID</t>
        </is>
      </c>
      <c r="AH3" s="5" t="inlineStr">
        <is>
          <t>VEGA_MID</t>
        </is>
      </c>
      <c r="AI3" s="5" t="inlineStr">
        <is>
          <t>THETA_MID</t>
        </is>
      </c>
      <c r="AJ3" s="5" t="inlineStr">
        <is>
          <t>OPT_UNDL_PX</t>
        </is>
      </c>
      <c r="AL3" s="5" t="inlineStr">
        <is>
          <t>Date</t>
        </is>
      </c>
      <c r="AM3" s="5" t="inlineStr">
        <is>
          <t>PX_BID</t>
        </is>
      </c>
      <c r="AN3" s="5" t="inlineStr">
        <is>
          <t>PX_ASK</t>
        </is>
      </c>
      <c r="AO3" s="5" t="inlineStr">
        <is>
          <t>PX_MID</t>
        </is>
      </c>
      <c r="AP3" s="5" t="inlineStr">
        <is>
          <t>PX_LAST</t>
        </is>
      </c>
      <c r="AQ3" s="5" t="inlineStr">
        <is>
          <t>PX_SETTLE</t>
        </is>
      </c>
      <c r="AR3" s="5" t="inlineStr">
        <is>
          <t>PX_VOLUME</t>
        </is>
      </c>
      <c r="AS3" s="5" t="inlineStr">
        <is>
          <t>OPEN_INT</t>
        </is>
      </c>
      <c r="AT3" s="5" t="inlineStr">
        <is>
          <t>IVOL_MID</t>
        </is>
      </c>
      <c r="AU3" s="5" t="inlineStr">
        <is>
          <t>IVOL_BID</t>
        </is>
      </c>
      <c r="AV3" s="5" t="inlineStr">
        <is>
          <t>IVOL_ASK</t>
        </is>
      </c>
      <c r="AW3" s="5" t="inlineStr">
        <is>
          <t>DELTA_MID</t>
        </is>
      </c>
      <c r="AX3" s="5" t="inlineStr">
        <is>
          <t>GAMMA_MID</t>
        </is>
      </c>
      <c r="AY3" s="5" t="inlineStr">
        <is>
          <t>VEGA_MID</t>
        </is>
      </c>
      <c r="AZ3" s="5" t="inlineStr">
        <is>
          <t>THETA_MID</t>
        </is>
      </c>
      <c r="BA3" s="5" t="inlineStr">
        <is>
          <t>OPT_UNDL_PX</t>
        </is>
      </c>
      <c r="BC3" s="5" t="inlineStr">
        <is>
          <t>Date</t>
        </is>
      </c>
      <c r="BD3" s="5" t="inlineStr">
        <is>
          <t>PX_BID</t>
        </is>
      </c>
      <c r="BE3" s="5" t="inlineStr">
        <is>
          <t>PX_ASK</t>
        </is>
      </c>
      <c r="BF3" s="5" t="inlineStr">
        <is>
          <t>PX_MID</t>
        </is>
      </c>
      <c r="BG3" s="5" t="inlineStr">
        <is>
          <t>PX_LAST</t>
        </is>
      </c>
      <c r="BH3" s="5" t="inlineStr">
        <is>
          <t>PX_SETTLE</t>
        </is>
      </c>
      <c r="BI3" s="5" t="inlineStr">
        <is>
          <t>PX_VOLUME</t>
        </is>
      </c>
      <c r="BJ3" s="5" t="inlineStr">
        <is>
          <t>OPEN_INT</t>
        </is>
      </c>
      <c r="BK3" s="5" t="inlineStr">
        <is>
          <t>IVOL_MID</t>
        </is>
      </c>
      <c r="BL3" s="5" t="inlineStr">
        <is>
          <t>IVOL_BID</t>
        </is>
      </c>
      <c r="BM3" s="5" t="inlineStr">
        <is>
          <t>IVOL_ASK</t>
        </is>
      </c>
      <c r="BN3" s="5" t="inlineStr">
        <is>
          <t>DELTA_MID</t>
        </is>
      </c>
      <c r="BO3" s="5" t="inlineStr">
        <is>
          <t>GAMMA_MID</t>
        </is>
      </c>
      <c r="BP3" s="5" t="inlineStr">
        <is>
          <t>VEGA_MID</t>
        </is>
      </c>
      <c r="BQ3" s="5" t="inlineStr">
        <is>
          <t>THETA_MID</t>
        </is>
      </c>
      <c r="BR3" s="5" t="inlineStr">
        <is>
          <t>OPT_UNDL_PX</t>
        </is>
      </c>
      <c r="BT3" s="5" t="inlineStr">
        <is>
          <t>Date</t>
        </is>
      </c>
      <c r="BU3" s="5" t="inlineStr">
        <is>
          <t>PX_BID</t>
        </is>
      </c>
      <c r="BV3" s="5" t="inlineStr">
        <is>
          <t>PX_ASK</t>
        </is>
      </c>
      <c r="BW3" s="5" t="inlineStr">
        <is>
          <t>PX_MID</t>
        </is>
      </c>
      <c r="BX3" s="5" t="inlineStr">
        <is>
          <t>PX_LAST</t>
        </is>
      </c>
      <c r="BY3" s="5" t="inlineStr">
        <is>
          <t>PX_SETTLE</t>
        </is>
      </c>
      <c r="BZ3" s="5" t="inlineStr">
        <is>
          <t>PX_VOLUME</t>
        </is>
      </c>
      <c r="CA3" s="5" t="inlineStr">
        <is>
          <t>OPEN_INT</t>
        </is>
      </c>
      <c r="CB3" s="5" t="inlineStr">
        <is>
          <t>IVOL_MID</t>
        </is>
      </c>
      <c r="CC3" s="5" t="inlineStr">
        <is>
          <t>IVOL_BID</t>
        </is>
      </c>
      <c r="CD3" s="5" t="inlineStr">
        <is>
          <t>IVOL_ASK</t>
        </is>
      </c>
      <c r="CE3" s="5" t="inlineStr">
        <is>
          <t>DELTA_MID</t>
        </is>
      </c>
      <c r="CF3" s="5" t="inlineStr">
        <is>
          <t>GAMMA_MID</t>
        </is>
      </c>
      <c r="CG3" s="5" t="inlineStr">
        <is>
          <t>VEGA_MID</t>
        </is>
      </c>
      <c r="CH3" s="5" t="inlineStr">
        <is>
          <t>THETA_MID</t>
        </is>
      </c>
      <c r="CI3" s="5" t="inlineStr">
        <is>
          <t>OPT_UNDL_PX</t>
        </is>
      </c>
      <c r="CK3" s="5" t="inlineStr">
        <is>
          <t>Date</t>
        </is>
      </c>
      <c r="CL3" s="5" t="inlineStr">
        <is>
          <t>PX_BID</t>
        </is>
      </c>
      <c r="CM3" s="5" t="inlineStr">
        <is>
          <t>PX_ASK</t>
        </is>
      </c>
      <c r="CN3" s="5" t="inlineStr">
        <is>
          <t>PX_MID</t>
        </is>
      </c>
      <c r="CO3" s="5" t="inlineStr">
        <is>
          <t>PX_LAST</t>
        </is>
      </c>
      <c r="CP3" s="5" t="inlineStr">
        <is>
          <t>PX_SETTLE</t>
        </is>
      </c>
      <c r="CQ3" s="5" t="inlineStr">
        <is>
          <t>PX_VOLUME</t>
        </is>
      </c>
      <c r="CR3" s="5" t="inlineStr">
        <is>
          <t>OPEN_INT</t>
        </is>
      </c>
      <c r="CS3" s="5" t="inlineStr">
        <is>
          <t>IVOL_MID</t>
        </is>
      </c>
      <c r="CT3" s="5" t="inlineStr">
        <is>
          <t>IVOL_BID</t>
        </is>
      </c>
      <c r="CU3" s="5" t="inlineStr">
        <is>
          <t>IVOL_ASK</t>
        </is>
      </c>
      <c r="CV3" s="5" t="inlineStr">
        <is>
          <t>DELTA_MID</t>
        </is>
      </c>
      <c r="CW3" s="5" t="inlineStr">
        <is>
          <t>GAMMA_MID</t>
        </is>
      </c>
      <c r="CX3" s="5" t="inlineStr">
        <is>
          <t>VEGA_MID</t>
        </is>
      </c>
      <c r="CY3" s="5" t="inlineStr">
        <is>
          <t>THETA_MID</t>
        </is>
      </c>
      <c r="CZ3" s="5" t="inlineStr">
        <is>
          <t>OPT_UNDL_PX</t>
        </is>
      </c>
      <c r="DB3" s="5" t="inlineStr">
        <is>
          <t>Date</t>
        </is>
      </c>
      <c r="DC3" s="5" t="inlineStr">
        <is>
          <t>PX_BID</t>
        </is>
      </c>
      <c r="DD3" s="5" t="inlineStr">
        <is>
          <t>PX_ASK</t>
        </is>
      </c>
      <c r="DE3" s="5" t="inlineStr">
        <is>
          <t>PX_MID</t>
        </is>
      </c>
      <c r="DF3" s="5" t="inlineStr">
        <is>
          <t>PX_LAST</t>
        </is>
      </c>
      <c r="DG3" s="5" t="inlineStr">
        <is>
          <t>PX_SETTLE</t>
        </is>
      </c>
      <c r="DH3" s="5" t="inlineStr">
        <is>
          <t>PX_VOLUME</t>
        </is>
      </c>
      <c r="DI3" s="5" t="inlineStr">
        <is>
          <t>OPEN_INT</t>
        </is>
      </c>
      <c r="DJ3" s="5" t="inlineStr">
        <is>
          <t>IVOL_MID</t>
        </is>
      </c>
      <c r="DK3" s="5" t="inlineStr">
        <is>
          <t>IVOL_BID</t>
        </is>
      </c>
      <c r="DL3" s="5" t="inlineStr">
        <is>
          <t>IVOL_ASK</t>
        </is>
      </c>
      <c r="DM3" s="5" t="inlineStr">
        <is>
          <t>DELTA_MID</t>
        </is>
      </c>
      <c r="DN3" s="5" t="inlineStr">
        <is>
          <t>GAMMA_MID</t>
        </is>
      </c>
      <c r="DO3" s="5" t="inlineStr">
        <is>
          <t>VEGA_MID</t>
        </is>
      </c>
      <c r="DP3" s="5" t="inlineStr">
        <is>
          <t>THETA_MID</t>
        </is>
      </c>
      <c r="DQ3" s="5" t="inlineStr">
        <is>
          <t>OPT_UNDL_PX</t>
        </is>
      </c>
      <c r="DS3" s="5" t="inlineStr">
        <is>
          <t>Date</t>
        </is>
      </c>
      <c r="DT3" s="5" t="inlineStr">
        <is>
          <t>PX_BID</t>
        </is>
      </c>
      <c r="DU3" s="5" t="inlineStr">
        <is>
          <t>PX_ASK</t>
        </is>
      </c>
      <c r="DV3" s="5" t="inlineStr">
        <is>
          <t>PX_MID</t>
        </is>
      </c>
      <c r="DW3" s="5" t="inlineStr">
        <is>
          <t>PX_LAST</t>
        </is>
      </c>
      <c r="DX3" s="5" t="inlineStr">
        <is>
          <t>PX_SETTLE</t>
        </is>
      </c>
      <c r="DY3" s="5" t="inlineStr">
        <is>
          <t>PX_VOLUME</t>
        </is>
      </c>
      <c r="DZ3" s="5" t="inlineStr">
        <is>
          <t>OPEN_INT</t>
        </is>
      </c>
      <c r="EA3" s="5" t="inlineStr">
        <is>
          <t>IVOL_MID</t>
        </is>
      </c>
      <c r="EB3" s="5" t="inlineStr">
        <is>
          <t>IVOL_BID</t>
        </is>
      </c>
      <c r="EC3" s="5" t="inlineStr">
        <is>
          <t>IVOL_ASK</t>
        </is>
      </c>
      <c r="ED3" s="5" t="inlineStr">
        <is>
          <t>DELTA_MID</t>
        </is>
      </c>
      <c r="EE3" s="5" t="inlineStr">
        <is>
          <t>GAMMA_MID</t>
        </is>
      </c>
      <c r="EF3" s="5" t="inlineStr">
        <is>
          <t>VEGA_MID</t>
        </is>
      </c>
      <c r="EG3" s="5" t="inlineStr">
        <is>
          <t>THETA_MID</t>
        </is>
      </c>
      <c r="EH3" s="5" t="inlineStr">
        <is>
          <t>OPT_UNDL_PX</t>
        </is>
      </c>
      <c r="EJ3" s="5" t="inlineStr">
        <is>
          <t>Date</t>
        </is>
      </c>
      <c r="EK3" s="5" t="inlineStr">
        <is>
          <t>PX_BID</t>
        </is>
      </c>
      <c r="EL3" s="5" t="inlineStr">
        <is>
          <t>PX_ASK</t>
        </is>
      </c>
      <c r="EM3" s="5" t="inlineStr">
        <is>
          <t>PX_MID</t>
        </is>
      </c>
      <c r="EN3" s="5" t="inlineStr">
        <is>
          <t>PX_LAST</t>
        </is>
      </c>
      <c r="EO3" s="5" t="inlineStr">
        <is>
          <t>PX_SETTLE</t>
        </is>
      </c>
      <c r="EP3" s="5" t="inlineStr">
        <is>
          <t>PX_VOLUME</t>
        </is>
      </c>
      <c r="EQ3" s="5" t="inlineStr">
        <is>
          <t>OPEN_INT</t>
        </is>
      </c>
      <c r="ER3" s="5" t="inlineStr">
        <is>
          <t>IVOL_MID</t>
        </is>
      </c>
      <c r="ES3" s="5" t="inlineStr">
        <is>
          <t>IVOL_BID</t>
        </is>
      </c>
      <c r="ET3" s="5" t="inlineStr">
        <is>
          <t>IVOL_ASK</t>
        </is>
      </c>
      <c r="EU3" s="5" t="inlineStr">
        <is>
          <t>DELTA_MID</t>
        </is>
      </c>
      <c r="EV3" s="5" t="inlineStr">
        <is>
          <t>GAMMA_MID</t>
        </is>
      </c>
      <c r="EW3" s="5" t="inlineStr">
        <is>
          <t>VEGA_MID</t>
        </is>
      </c>
      <c r="EX3" s="5" t="inlineStr">
        <is>
          <t>THETA_MID</t>
        </is>
      </c>
      <c r="EY3" s="5" t="inlineStr">
        <is>
          <t>OPT_UNDL_PX</t>
        </is>
      </c>
      <c r="FA3" s="5" t="inlineStr">
        <is>
          <t>Date</t>
        </is>
      </c>
      <c r="FB3" s="5" t="inlineStr">
        <is>
          <t>PX_BID</t>
        </is>
      </c>
      <c r="FC3" s="5" t="inlineStr">
        <is>
          <t>PX_ASK</t>
        </is>
      </c>
      <c r="FD3" s="5" t="inlineStr">
        <is>
          <t>PX_MID</t>
        </is>
      </c>
      <c r="FE3" s="5" t="inlineStr">
        <is>
          <t>PX_LAST</t>
        </is>
      </c>
      <c r="FF3" s="5" t="inlineStr">
        <is>
          <t>PX_SETTLE</t>
        </is>
      </c>
      <c r="FG3" s="5" t="inlineStr">
        <is>
          <t>PX_VOLUME</t>
        </is>
      </c>
      <c r="FH3" s="5" t="inlineStr">
        <is>
          <t>OPEN_INT</t>
        </is>
      </c>
      <c r="FI3" s="5" t="inlineStr">
        <is>
          <t>IVOL_MID</t>
        </is>
      </c>
      <c r="FJ3" s="5" t="inlineStr">
        <is>
          <t>IVOL_BID</t>
        </is>
      </c>
      <c r="FK3" s="5" t="inlineStr">
        <is>
          <t>IVOL_ASK</t>
        </is>
      </c>
      <c r="FL3" s="5" t="inlineStr">
        <is>
          <t>DELTA_MID</t>
        </is>
      </c>
      <c r="FM3" s="5" t="inlineStr">
        <is>
          <t>GAMMA_MID</t>
        </is>
      </c>
      <c r="FN3" s="5" t="inlineStr">
        <is>
          <t>VEGA_MID</t>
        </is>
      </c>
      <c r="FO3" s="5" t="inlineStr">
        <is>
          <t>THETA_MID</t>
        </is>
      </c>
      <c r="FP3" s="5" t="inlineStr">
        <is>
          <t>OPT_UNDL_PX</t>
        </is>
      </c>
      <c r="FR3" s="5" t="inlineStr">
        <is>
          <t>Date</t>
        </is>
      </c>
      <c r="FS3" s="5" t="inlineStr">
        <is>
          <t>PX_BID</t>
        </is>
      </c>
      <c r="FT3" s="5" t="inlineStr">
        <is>
          <t>PX_ASK</t>
        </is>
      </c>
      <c r="FU3" s="5" t="inlineStr">
        <is>
          <t>PX_MID</t>
        </is>
      </c>
      <c r="FV3" s="5" t="inlineStr">
        <is>
          <t>PX_LAST</t>
        </is>
      </c>
      <c r="FW3" s="5" t="inlineStr">
        <is>
          <t>PX_SETTLE</t>
        </is>
      </c>
      <c r="FX3" s="5" t="inlineStr">
        <is>
          <t>PX_VOLUME</t>
        </is>
      </c>
      <c r="FY3" s="5" t="inlineStr">
        <is>
          <t>OPEN_INT</t>
        </is>
      </c>
      <c r="FZ3" s="5" t="inlineStr">
        <is>
          <t>IVOL_MID</t>
        </is>
      </c>
      <c r="GA3" s="5" t="inlineStr">
        <is>
          <t>IVOL_BID</t>
        </is>
      </c>
      <c r="GB3" s="5" t="inlineStr">
        <is>
          <t>IVOL_ASK</t>
        </is>
      </c>
      <c r="GC3" s="5" t="inlineStr">
        <is>
          <t>DELTA_MID</t>
        </is>
      </c>
      <c r="GD3" s="5" t="inlineStr">
        <is>
          <t>GAMMA_MID</t>
        </is>
      </c>
      <c r="GE3" s="5" t="inlineStr">
        <is>
          <t>VEGA_MID</t>
        </is>
      </c>
      <c r="GF3" s="5" t="inlineStr">
        <is>
          <t>THETA_MID</t>
        </is>
      </c>
      <c r="GG3" s="5" t="inlineStr">
        <is>
          <t>OPT_UNDL_PX</t>
        </is>
      </c>
      <c r="GI3" s="5" t="inlineStr">
        <is>
          <t>Date</t>
        </is>
      </c>
      <c r="GJ3" s="5" t="inlineStr">
        <is>
          <t>PX_BID</t>
        </is>
      </c>
      <c r="GK3" s="5" t="inlineStr">
        <is>
          <t>PX_ASK</t>
        </is>
      </c>
      <c r="GL3" s="5" t="inlineStr">
        <is>
          <t>PX_MID</t>
        </is>
      </c>
      <c r="GM3" s="5" t="inlineStr">
        <is>
          <t>PX_LAST</t>
        </is>
      </c>
      <c r="GN3" s="5" t="inlineStr">
        <is>
          <t>PX_SETTLE</t>
        </is>
      </c>
      <c r="GO3" s="5" t="inlineStr">
        <is>
          <t>PX_VOLUME</t>
        </is>
      </c>
      <c r="GP3" s="5" t="inlineStr">
        <is>
          <t>OPEN_INT</t>
        </is>
      </c>
      <c r="GQ3" s="5" t="inlineStr">
        <is>
          <t>IVOL_MID</t>
        </is>
      </c>
      <c r="GR3" s="5" t="inlineStr">
        <is>
          <t>IVOL_BID</t>
        </is>
      </c>
      <c r="GS3" s="5" t="inlineStr">
        <is>
          <t>IVOL_ASK</t>
        </is>
      </c>
      <c r="GT3" s="5" t="inlineStr">
        <is>
          <t>DELTA_MID</t>
        </is>
      </c>
      <c r="GU3" s="5" t="inlineStr">
        <is>
          <t>GAMMA_MID</t>
        </is>
      </c>
      <c r="GV3" s="5" t="inlineStr">
        <is>
          <t>VEGA_MID</t>
        </is>
      </c>
      <c r="GW3" s="5" t="inlineStr">
        <is>
          <t>THETA_MID</t>
        </is>
      </c>
      <c r="GX3" s="5" t="inlineStr">
        <is>
          <t>OPT_UNDL_PX</t>
        </is>
      </c>
      <c r="GZ3" s="5" t="inlineStr">
        <is>
          <t>Date</t>
        </is>
      </c>
      <c r="HA3" s="5" t="inlineStr">
        <is>
          <t>PX_BID</t>
        </is>
      </c>
      <c r="HB3" s="5" t="inlineStr">
        <is>
          <t>PX_ASK</t>
        </is>
      </c>
      <c r="HC3" s="5" t="inlineStr">
        <is>
          <t>PX_MID</t>
        </is>
      </c>
      <c r="HD3" s="5" t="inlineStr">
        <is>
          <t>PX_LAST</t>
        </is>
      </c>
      <c r="HE3" s="5" t="inlineStr">
        <is>
          <t>PX_SETTLE</t>
        </is>
      </c>
      <c r="HF3" s="5" t="inlineStr">
        <is>
          <t>PX_VOLUME</t>
        </is>
      </c>
      <c r="HG3" s="5" t="inlineStr">
        <is>
          <t>OPEN_INT</t>
        </is>
      </c>
      <c r="HH3" s="5" t="inlineStr">
        <is>
          <t>IVOL_MID</t>
        </is>
      </c>
      <c r="HI3" s="5" t="inlineStr">
        <is>
          <t>IVOL_BID</t>
        </is>
      </c>
      <c r="HJ3" s="5" t="inlineStr">
        <is>
          <t>IVOL_ASK</t>
        </is>
      </c>
      <c r="HK3" s="5" t="inlineStr">
        <is>
          <t>DELTA_MID</t>
        </is>
      </c>
      <c r="HL3" s="5" t="inlineStr">
        <is>
          <t>GAMMA_MID</t>
        </is>
      </c>
      <c r="HM3" s="5" t="inlineStr">
        <is>
          <t>VEGA_MID</t>
        </is>
      </c>
      <c r="HN3" s="5" t="inlineStr">
        <is>
          <t>THETA_MID</t>
        </is>
      </c>
      <c r="HO3" s="5" t="inlineStr">
        <is>
          <t>OPT_UNDL_PX</t>
        </is>
      </c>
      <c r="HQ3" s="5" t="inlineStr">
        <is>
          <t>Date</t>
        </is>
      </c>
      <c r="HR3" s="5" t="inlineStr">
        <is>
          <t>PX_BID</t>
        </is>
      </c>
      <c r="HS3" s="5" t="inlineStr">
        <is>
          <t>PX_ASK</t>
        </is>
      </c>
      <c r="HT3" s="5" t="inlineStr">
        <is>
          <t>PX_MID</t>
        </is>
      </c>
      <c r="HU3" s="5" t="inlineStr">
        <is>
          <t>PX_LAST</t>
        </is>
      </c>
      <c r="HV3" s="5" t="inlineStr">
        <is>
          <t>PX_SETTLE</t>
        </is>
      </c>
      <c r="HW3" s="5" t="inlineStr">
        <is>
          <t>PX_VOLUME</t>
        </is>
      </c>
      <c r="HX3" s="5" t="inlineStr">
        <is>
          <t>OPEN_INT</t>
        </is>
      </c>
      <c r="HY3" s="5" t="inlineStr">
        <is>
          <t>IVOL_MID</t>
        </is>
      </c>
      <c r="HZ3" s="5" t="inlineStr">
        <is>
          <t>IVOL_BID</t>
        </is>
      </c>
      <c r="IA3" s="5" t="inlineStr">
        <is>
          <t>IVOL_ASK</t>
        </is>
      </c>
      <c r="IB3" s="5" t="inlineStr">
        <is>
          <t>DELTA_MID</t>
        </is>
      </c>
      <c r="IC3" s="5" t="inlineStr">
        <is>
          <t>GAMMA_MID</t>
        </is>
      </c>
      <c r="ID3" s="5" t="inlineStr">
        <is>
          <t>VEGA_MID</t>
        </is>
      </c>
      <c r="IE3" s="5" t="inlineStr">
        <is>
          <t>THETA_MID</t>
        </is>
      </c>
      <c r="IF3" s="5" t="inlineStr">
        <is>
          <t>OPT_UNDL_PX</t>
        </is>
      </c>
      <c r="IH3" s="5" t="inlineStr">
        <is>
          <t>Date</t>
        </is>
      </c>
      <c r="II3" s="5" t="inlineStr">
        <is>
          <t>PX_BID</t>
        </is>
      </c>
      <c r="IJ3" s="5" t="inlineStr">
        <is>
          <t>PX_ASK</t>
        </is>
      </c>
      <c r="IK3" s="5" t="inlineStr">
        <is>
          <t>PX_MID</t>
        </is>
      </c>
      <c r="IL3" s="5" t="inlineStr">
        <is>
          <t>PX_LAST</t>
        </is>
      </c>
      <c r="IM3" s="5" t="inlineStr">
        <is>
          <t>PX_SETTLE</t>
        </is>
      </c>
      <c r="IN3" s="5" t="inlineStr">
        <is>
          <t>PX_VOLUME</t>
        </is>
      </c>
      <c r="IO3" s="5" t="inlineStr">
        <is>
          <t>OPEN_INT</t>
        </is>
      </c>
      <c r="IP3" s="5" t="inlineStr">
        <is>
          <t>IVOL_MID</t>
        </is>
      </c>
      <c r="IQ3" s="5" t="inlineStr">
        <is>
          <t>IVOL_BID</t>
        </is>
      </c>
      <c r="IR3" s="5" t="inlineStr">
        <is>
          <t>IVOL_ASK</t>
        </is>
      </c>
      <c r="IS3" s="5" t="inlineStr">
        <is>
          <t>DELTA_MID</t>
        </is>
      </c>
      <c r="IT3" s="5" t="inlineStr">
        <is>
          <t>GAMMA_MID</t>
        </is>
      </c>
      <c r="IU3" s="5" t="inlineStr">
        <is>
          <t>VEGA_MID</t>
        </is>
      </c>
      <c r="IV3" s="5" t="inlineStr">
        <is>
          <t>THETA_MID</t>
        </is>
      </c>
      <c r="IW3" s="5" t="inlineStr">
        <is>
          <t>OPT_UNDL_PX</t>
        </is>
      </c>
      <c r="IY3" s="5" t="inlineStr">
        <is>
          <t>Date</t>
        </is>
      </c>
      <c r="IZ3" s="5" t="inlineStr">
        <is>
          <t>PX_BID</t>
        </is>
      </c>
      <c r="JA3" s="5" t="inlineStr">
        <is>
          <t>PX_ASK</t>
        </is>
      </c>
      <c r="JB3" s="5" t="inlineStr">
        <is>
          <t>PX_MID</t>
        </is>
      </c>
      <c r="JC3" s="5" t="inlineStr">
        <is>
          <t>PX_LAST</t>
        </is>
      </c>
      <c r="JD3" s="5" t="inlineStr">
        <is>
          <t>PX_SETTLE</t>
        </is>
      </c>
      <c r="JE3" s="5" t="inlineStr">
        <is>
          <t>PX_VOLUME</t>
        </is>
      </c>
      <c r="JF3" s="5" t="inlineStr">
        <is>
          <t>OPEN_INT</t>
        </is>
      </c>
      <c r="JG3" s="5" t="inlineStr">
        <is>
          <t>IVOL_MID</t>
        </is>
      </c>
      <c r="JH3" s="5" t="inlineStr">
        <is>
          <t>IVOL_BID</t>
        </is>
      </c>
      <c r="JI3" s="5" t="inlineStr">
        <is>
          <t>IVOL_ASK</t>
        </is>
      </c>
      <c r="JJ3" s="5" t="inlineStr">
        <is>
          <t>DELTA_MID</t>
        </is>
      </c>
      <c r="JK3" s="5" t="inlineStr">
        <is>
          <t>GAMMA_MID</t>
        </is>
      </c>
      <c r="JL3" s="5" t="inlineStr">
        <is>
          <t>VEGA_MID</t>
        </is>
      </c>
      <c r="JM3" s="5" t="inlineStr">
        <is>
          <t>THETA_MID</t>
        </is>
      </c>
      <c r="JN3" s="5" t="inlineStr">
        <is>
          <t>OPT_UNDL_PX</t>
        </is>
      </c>
      <c r="JP3" s="5" t="inlineStr">
        <is>
          <t>Date</t>
        </is>
      </c>
      <c r="JQ3" s="5" t="inlineStr">
        <is>
          <t>PX_BID</t>
        </is>
      </c>
      <c r="JR3" s="5" t="inlineStr">
        <is>
          <t>PX_ASK</t>
        </is>
      </c>
      <c r="JS3" s="5" t="inlineStr">
        <is>
          <t>PX_MID</t>
        </is>
      </c>
      <c r="JT3" s="5" t="inlineStr">
        <is>
          <t>PX_LAST</t>
        </is>
      </c>
      <c r="JU3" s="5" t="inlineStr">
        <is>
          <t>PX_SETTLE</t>
        </is>
      </c>
      <c r="JV3" s="5" t="inlineStr">
        <is>
          <t>PX_VOLUME</t>
        </is>
      </c>
      <c r="JW3" s="5" t="inlineStr">
        <is>
          <t>OPEN_INT</t>
        </is>
      </c>
      <c r="JX3" s="5" t="inlineStr">
        <is>
          <t>IVOL_MID</t>
        </is>
      </c>
      <c r="JY3" s="5" t="inlineStr">
        <is>
          <t>IVOL_BID</t>
        </is>
      </c>
      <c r="JZ3" s="5" t="inlineStr">
        <is>
          <t>IVOL_ASK</t>
        </is>
      </c>
      <c r="KA3" s="5" t="inlineStr">
        <is>
          <t>DELTA_MID</t>
        </is>
      </c>
      <c r="KB3" s="5" t="inlineStr">
        <is>
          <t>GAMMA_MID</t>
        </is>
      </c>
      <c r="KC3" s="5" t="inlineStr">
        <is>
          <t>VEGA_MID</t>
        </is>
      </c>
      <c r="KD3" s="5" t="inlineStr">
        <is>
          <t>THETA_MID</t>
        </is>
      </c>
      <c r="KE3" s="5" t="inlineStr">
        <is>
          <t>OPT_UNDL_PX</t>
        </is>
      </c>
      <c r="KG3" s="5" t="inlineStr">
        <is>
          <t>Date</t>
        </is>
      </c>
      <c r="KH3" s="5" t="inlineStr">
        <is>
          <t>PX_BID</t>
        </is>
      </c>
      <c r="KI3" s="5" t="inlineStr">
        <is>
          <t>PX_ASK</t>
        </is>
      </c>
      <c r="KJ3" s="5" t="inlineStr">
        <is>
          <t>PX_MID</t>
        </is>
      </c>
      <c r="KK3" s="5" t="inlineStr">
        <is>
          <t>PX_LAST</t>
        </is>
      </c>
      <c r="KL3" s="5" t="inlineStr">
        <is>
          <t>PX_SETTLE</t>
        </is>
      </c>
      <c r="KM3" s="5" t="inlineStr">
        <is>
          <t>PX_VOLUME</t>
        </is>
      </c>
      <c r="KN3" s="5" t="inlineStr">
        <is>
          <t>OPEN_INT</t>
        </is>
      </c>
      <c r="KO3" s="5" t="inlineStr">
        <is>
          <t>IVOL_MID</t>
        </is>
      </c>
      <c r="KP3" s="5" t="inlineStr">
        <is>
          <t>IVOL_BID</t>
        </is>
      </c>
      <c r="KQ3" s="5" t="inlineStr">
        <is>
          <t>IVOL_ASK</t>
        </is>
      </c>
      <c r="KR3" s="5" t="inlineStr">
        <is>
          <t>DELTA_MID</t>
        </is>
      </c>
      <c r="KS3" s="5" t="inlineStr">
        <is>
          <t>GAMMA_MID</t>
        </is>
      </c>
      <c r="KT3" s="5" t="inlineStr">
        <is>
          <t>VEGA_MID</t>
        </is>
      </c>
      <c r="KU3" s="5" t="inlineStr">
        <is>
          <t>THETA_MID</t>
        </is>
      </c>
      <c r="KV3" s="5" t="inlineStr">
        <is>
          <t>OPT_UNDL_PX</t>
        </is>
      </c>
      <c r="KX3" s="5" t="inlineStr">
        <is>
          <t>Date</t>
        </is>
      </c>
      <c r="KY3" s="5" t="inlineStr">
        <is>
          <t>PX_BID</t>
        </is>
      </c>
      <c r="KZ3" s="5" t="inlineStr">
        <is>
          <t>PX_ASK</t>
        </is>
      </c>
      <c r="LA3" s="5" t="inlineStr">
        <is>
          <t>PX_MID</t>
        </is>
      </c>
      <c r="LB3" s="5" t="inlineStr">
        <is>
          <t>PX_LAST</t>
        </is>
      </c>
      <c r="LC3" s="5" t="inlineStr">
        <is>
          <t>PX_SETTLE</t>
        </is>
      </c>
      <c r="LD3" s="5" t="inlineStr">
        <is>
          <t>PX_VOLUME</t>
        </is>
      </c>
      <c r="LE3" s="5" t="inlineStr">
        <is>
          <t>OPEN_INT</t>
        </is>
      </c>
      <c r="LF3" s="5" t="inlineStr">
        <is>
          <t>IVOL_MID</t>
        </is>
      </c>
      <c r="LG3" s="5" t="inlineStr">
        <is>
          <t>IVOL_BID</t>
        </is>
      </c>
      <c r="LH3" s="5" t="inlineStr">
        <is>
          <t>IVOL_ASK</t>
        </is>
      </c>
      <c r="LI3" s="5" t="inlineStr">
        <is>
          <t>DELTA_MID</t>
        </is>
      </c>
      <c r="LJ3" s="5" t="inlineStr">
        <is>
          <t>GAMMA_MID</t>
        </is>
      </c>
      <c r="LK3" s="5" t="inlineStr">
        <is>
          <t>VEGA_MID</t>
        </is>
      </c>
      <c r="LL3" s="5" t="inlineStr">
        <is>
          <t>THETA_MID</t>
        </is>
      </c>
      <c r="LM3" s="5" t="inlineStr">
        <is>
          <t>OPT_UNDL_PX</t>
        </is>
      </c>
      <c r="LO3" s="5" t="inlineStr">
        <is>
          <t>Date</t>
        </is>
      </c>
      <c r="LP3" s="5" t="inlineStr">
        <is>
          <t>PX_BID</t>
        </is>
      </c>
      <c r="LQ3" s="5" t="inlineStr">
        <is>
          <t>PX_ASK</t>
        </is>
      </c>
      <c r="LR3" s="5" t="inlineStr">
        <is>
          <t>PX_MID</t>
        </is>
      </c>
      <c r="LS3" s="5" t="inlineStr">
        <is>
          <t>PX_LAST</t>
        </is>
      </c>
      <c r="LT3" s="5" t="inlineStr">
        <is>
          <t>PX_SETTLE</t>
        </is>
      </c>
      <c r="LU3" s="5" t="inlineStr">
        <is>
          <t>PX_VOLUME</t>
        </is>
      </c>
      <c r="LV3" s="5" t="inlineStr">
        <is>
          <t>OPEN_INT</t>
        </is>
      </c>
      <c r="LW3" s="5" t="inlineStr">
        <is>
          <t>IVOL_MID</t>
        </is>
      </c>
      <c r="LX3" s="5" t="inlineStr">
        <is>
          <t>IVOL_BID</t>
        </is>
      </c>
      <c r="LY3" s="5" t="inlineStr">
        <is>
          <t>IVOL_ASK</t>
        </is>
      </c>
      <c r="LZ3" s="5" t="inlineStr">
        <is>
          <t>DELTA_MID</t>
        </is>
      </c>
      <c r="MA3" s="5" t="inlineStr">
        <is>
          <t>GAMMA_MID</t>
        </is>
      </c>
      <c r="MB3" s="5" t="inlineStr">
        <is>
          <t>VEGA_MID</t>
        </is>
      </c>
      <c r="MC3" s="5" t="inlineStr">
        <is>
          <t>THETA_MID</t>
        </is>
      </c>
      <c r="MD3" s="5" t="inlineStr">
        <is>
          <t>OPT_UNDL_PX</t>
        </is>
      </c>
      <c r="MF3" s="5" t="inlineStr">
        <is>
          <t>Date</t>
        </is>
      </c>
      <c r="MG3" s="5" t="inlineStr">
        <is>
          <t>PX_BID</t>
        </is>
      </c>
      <c r="MH3" s="5" t="inlineStr">
        <is>
          <t>PX_ASK</t>
        </is>
      </c>
      <c r="MI3" s="5" t="inlineStr">
        <is>
          <t>PX_MID</t>
        </is>
      </c>
      <c r="MJ3" s="5" t="inlineStr">
        <is>
          <t>PX_LAST</t>
        </is>
      </c>
      <c r="MK3" s="5" t="inlineStr">
        <is>
          <t>PX_SETTLE</t>
        </is>
      </c>
      <c r="ML3" s="5" t="inlineStr">
        <is>
          <t>PX_VOLUME</t>
        </is>
      </c>
      <c r="MM3" s="5" t="inlineStr">
        <is>
          <t>OPEN_INT</t>
        </is>
      </c>
      <c r="MN3" s="5" t="inlineStr">
        <is>
          <t>IVOL_MID</t>
        </is>
      </c>
      <c r="MO3" s="5" t="inlineStr">
        <is>
          <t>IVOL_BID</t>
        </is>
      </c>
      <c r="MP3" s="5" t="inlineStr">
        <is>
          <t>IVOL_ASK</t>
        </is>
      </c>
      <c r="MQ3" s="5" t="inlineStr">
        <is>
          <t>DELTA_MID</t>
        </is>
      </c>
      <c r="MR3" s="5" t="inlineStr">
        <is>
          <t>GAMMA_MID</t>
        </is>
      </c>
      <c r="MS3" s="5" t="inlineStr">
        <is>
          <t>VEGA_MID</t>
        </is>
      </c>
      <c r="MT3" s="5" t="inlineStr">
        <is>
          <t>THETA_MID</t>
        </is>
      </c>
      <c r="MU3" s="5" t="inlineStr">
        <is>
          <t>OPT_UNDL_PX</t>
        </is>
      </c>
      <c r="MW3" s="5" t="inlineStr">
        <is>
          <t>Date</t>
        </is>
      </c>
      <c r="MX3" s="5" t="inlineStr">
        <is>
          <t>PX_BID</t>
        </is>
      </c>
      <c r="MY3" s="5" t="inlineStr">
        <is>
          <t>PX_ASK</t>
        </is>
      </c>
      <c r="MZ3" s="5" t="inlineStr">
        <is>
          <t>PX_MID</t>
        </is>
      </c>
      <c r="NA3" s="5" t="inlineStr">
        <is>
          <t>PX_LAST</t>
        </is>
      </c>
      <c r="NB3" s="5" t="inlineStr">
        <is>
          <t>PX_SETTLE</t>
        </is>
      </c>
      <c r="NC3" s="5" t="inlineStr">
        <is>
          <t>PX_VOLUME</t>
        </is>
      </c>
      <c r="ND3" s="5" t="inlineStr">
        <is>
          <t>OPEN_INT</t>
        </is>
      </c>
      <c r="NE3" s="5" t="inlineStr">
        <is>
          <t>IVOL_MID</t>
        </is>
      </c>
      <c r="NF3" s="5" t="inlineStr">
        <is>
          <t>IVOL_BID</t>
        </is>
      </c>
      <c r="NG3" s="5" t="inlineStr">
        <is>
          <t>IVOL_ASK</t>
        </is>
      </c>
      <c r="NH3" s="5" t="inlineStr">
        <is>
          <t>DELTA_MID</t>
        </is>
      </c>
      <c r="NI3" s="5" t="inlineStr">
        <is>
          <t>GAMMA_MID</t>
        </is>
      </c>
      <c r="NJ3" s="5" t="inlineStr">
        <is>
          <t>VEGA_MID</t>
        </is>
      </c>
      <c r="NK3" s="5" t="inlineStr">
        <is>
          <t>THETA_MID</t>
        </is>
      </c>
      <c r="NL3" s="5" t="inlineStr">
        <is>
          <t>OPT_UNDL_PX</t>
        </is>
      </c>
      <c r="NN3" s="5" t="inlineStr">
        <is>
          <t>Date</t>
        </is>
      </c>
      <c r="NO3" s="5" t="inlineStr">
        <is>
          <t>PX_BID</t>
        </is>
      </c>
      <c r="NP3" s="5" t="inlineStr">
        <is>
          <t>PX_ASK</t>
        </is>
      </c>
      <c r="NQ3" s="5" t="inlineStr">
        <is>
          <t>PX_MID</t>
        </is>
      </c>
      <c r="NR3" s="5" t="inlineStr">
        <is>
          <t>PX_LAST</t>
        </is>
      </c>
      <c r="NS3" s="5" t="inlineStr">
        <is>
          <t>PX_SETTLE</t>
        </is>
      </c>
      <c r="NT3" s="5" t="inlineStr">
        <is>
          <t>PX_VOLUME</t>
        </is>
      </c>
      <c r="NU3" s="5" t="inlineStr">
        <is>
          <t>OPEN_INT</t>
        </is>
      </c>
      <c r="NV3" s="5" t="inlineStr">
        <is>
          <t>IVOL_MID</t>
        </is>
      </c>
      <c r="NW3" s="5" t="inlineStr">
        <is>
          <t>IVOL_BID</t>
        </is>
      </c>
      <c r="NX3" s="5" t="inlineStr">
        <is>
          <t>IVOL_ASK</t>
        </is>
      </c>
      <c r="NY3" s="5" t="inlineStr">
        <is>
          <t>DELTA_MID</t>
        </is>
      </c>
      <c r="NZ3" s="5" t="inlineStr">
        <is>
          <t>GAMMA_MID</t>
        </is>
      </c>
      <c r="OA3" s="5" t="inlineStr">
        <is>
          <t>VEGA_MID</t>
        </is>
      </c>
      <c r="OB3" s="5" t="inlineStr">
        <is>
          <t>THETA_MID</t>
        </is>
      </c>
      <c r="OC3" s="5" t="inlineStr">
        <is>
          <t>OPT_UNDL_PX</t>
        </is>
      </c>
      <c r="OE3" s="5" t="inlineStr">
        <is>
          <t>Date</t>
        </is>
      </c>
      <c r="OF3" s="5" t="inlineStr">
        <is>
          <t>PX_BID</t>
        </is>
      </c>
      <c r="OG3" s="5" t="inlineStr">
        <is>
          <t>PX_ASK</t>
        </is>
      </c>
      <c r="OH3" s="5" t="inlineStr">
        <is>
          <t>PX_MID</t>
        </is>
      </c>
      <c r="OI3" s="5" t="inlineStr">
        <is>
          <t>PX_LAST</t>
        </is>
      </c>
      <c r="OJ3" s="5" t="inlineStr">
        <is>
          <t>PX_SETTLE</t>
        </is>
      </c>
      <c r="OK3" s="5" t="inlineStr">
        <is>
          <t>PX_VOLUME</t>
        </is>
      </c>
      <c r="OL3" s="5" t="inlineStr">
        <is>
          <t>OPEN_INT</t>
        </is>
      </c>
      <c r="OM3" s="5" t="inlineStr">
        <is>
          <t>IVOL_MID</t>
        </is>
      </c>
      <c r="ON3" s="5" t="inlineStr">
        <is>
          <t>IVOL_BID</t>
        </is>
      </c>
      <c r="OO3" s="5" t="inlineStr">
        <is>
          <t>IVOL_ASK</t>
        </is>
      </c>
      <c r="OP3" s="5" t="inlineStr">
        <is>
          <t>DELTA_MID</t>
        </is>
      </c>
      <c r="OQ3" s="5" t="inlineStr">
        <is>
          <t>GAMMA_MID</t>
        </is>
      </c>
      <c r="OR3" s="5" t="inlineStr">
        <is>
          <t>VEGA_MID</t>
        </is>
      </c>
      <c r="OS3" s="5" t="inlineStr">
        <is>
          <t>THETA_MID</t>
        </is>
      </c>
      <c r="OT3" s="5" t="inlineStr">
        <is>
          <t>OPT_UNDL_PX</t>
        </is>
      </c>
      <c r="OV3" s="5" t="inlineStr">
        <is>
          <t>Date</t>
        </is>
      </c>
      <c r="OW3" s="5" t="inlineStr">
        <is>
          <t>PX_BID</t>
        </is>
      </c>
      <c r="OX3" s="5" t="inlineStr">
        <is>
          <t>PX_ASK</t>
        </is>
      </c>
      <c r="OY3" s="5" t="inlineStr">
        <is>
          <t>PX_MID</t>
        </is>
      </c>
      <c r="OZ3" s="5" t="inlineStr">
        <is>
          <t>PX_LAST</t>
        </is>
      </c>
      <c r="PA3" s="5" t="inlineStr">
        <is>
          <t>PX_SETTLE</t>
        </is>
      </c>
      <c r="PB3" s="5" t="inlineStr">
        <is>
          <t>PX_VOLUME</t>
        </is>
      </c>
      <c r="PC3" s="5" t="inlineStr">
        <is>
          <t>OPEN_INT</t>
        </is>
      </c>
      <c r="PD3" s="5" t="inlineStr">
        <is>
          <t>IVOL_MID</t>
        </is>
      </c>
      <c r="PE3" s="5" t="inlineStr">
        <is>
          <t>IVOL_BID</t>
        </is>
      </c>
      <c r="PF3" s="5" t="inlineStr">
        <is>
          <t>IVOL_ASK</t>
        </is>
      </c>
      <c r="PG3" s="5" t="inlineStr">
        <is>
          <t>DELTA_MID</t>
        </is>
      </c>
      <c r="PH3" s="5" t="inlineStr">
        <is>
          <t>GAMMA_MID</t>
        </is>
      </c>
      <c r="PI3" s="5" t="inlineStr">
        <is>
          <t>VEGA_MID</t>
        </is>
      </c>
      <c r="PJ3" s="5" t="inlineStr">
        <is>
          <t>THETA_MID</t>
        </is>
      </c>
      <c r="PK3" s="5" t="inlineStr">
        <is>
          <t>OPT_UNDL_PX</t>
        </is>
      </c>
      <c r="PM3" s="5" t="inlineStr">
        <is>
          <t>Date</t>
        </is>
      </c>
      <c r="PN3" s="5" t="inlineStr">
        <is>
          <t>PX_BID</t>
        </is>
      </c>
      <c r="PO3" s="5" t="inlineStr">
        <is>
          <t>PX_ASK</t>
        </is>
      </c>
      <c r="PP3" s="5" t="inlineStr">
        <is>
          <t>PX_MID</t>
        </is>
      </c>
      <c r="PQ3" s="5" t="inlineStr">
        <is>
          <t>PX_LAST</t>
        </is>
      </c>
      <c r="PR3" s="5" t="inlineStr">
        <is>
          <t>PX_SETTLE</t>
        </is>
      </c>
      <c r="PS3" s="5" t="inlineStr">
        <is>
          <t>PX_VOLUME</t>
        </is>
      </c>
      <c r="PT3" s="5" t="inlineStr">
        <is>
          <t>OPEN_INT</t>
        </is>
      </c>
      <c r="PU3" s="5" t="inlineStr">
        <is>
          <t>IVOL_MID</t>
        </is>
      </c>
      <c r="PV3" s="5" t="inlineStr">
        <is>
          <t>IVOL_BID</t>
        </is>
      </c>
      <c r="PW3" s="5" t="inlineStr">
        <is>
          <t>IVOL_ASK</t>
        </is>
      </c>
      <c r="PX3" s="5" t="inlineStr">
        <is>
          <t>DELTA_MID</t>
        </is>
      </c>
      <c r="PY3" s="5" t="inlineStr">
        <is>
          <t>GAMMA_MID</t>
        </is>
      </c>
      <c r="PZ3" s="5" t="inlineStr">
        <is>
          <t>VEGA_MID</t>
        </is>
      </c>
      <c r="QA3" s="5" t="inlineStr">
        <is>
          <t>THETA_MID</t>
        </is>
      </c>
      <c r="QB3" s="5" t="inlineStr">
        <is>
          <t>OPT_UNDL_PX</t>
        </is>
      </c>
      <c r="QD3" s="5" t="inlineStr">
        <is>
          <t>Date</t>
        </is>
      </c>
      <c r="QE3" s="5" t="inlineStr">
        <is>
          <t>PX_BID</t>
        </is>
      </c>
      <c r="QF3" s="5" t="inlineStr">
        <is>
          <t>PX_ASK</t>
        </is>
      </c>
      <c r="QG3" s="5" t="inlineStr">
        <is>
          <t>PX_MID</t>
        </is>
      </c>
      <c r="QH3" s="5" t="inlineStr">
        <is>
          <t>PX_LAST</t>
        </is>
      </c>
      <c r="QI3" s="5" t="inlineStr">
        <is>
          <t>PX_SETTLE</t>
        </is>
      </c>
      <c r="QJ3" s="5" t="inlineStr">
        <is>
          <t>PX_VOLUME</t>
        </is>
      </c>
      <c r="QK3" s="5" t="inlineStr">
        <is>
          <t>OPEN_INT</t>
        </is>
      </c>
      <c r="QL3" s="5" t="inlineStr">
        <is>
          <t>IVOL_MID</t>
        </is>
      </c>
      <c r="QM3" s="5" t="inlineStr">
        <is>
          <t>IVOL_BID</t>
        </is>
      </c>
      <c r="QN3" s="5" t="inlineStr">
        <is>
          <t>IVOL_ASK</t>
        </is>
      </c>
      <c r="QO3" s="5" t="inlineStr">
        <is>
          <t>DELTA_MID</t>
        </is>
      </c>
      <c r="QP3" s="5" t="inlineStr">
        <is>
          <t>GAMMA_MID</t>
        </is>
      </c>
      <c r="QQ3" s="5" t="inlineStr">
        <is>
          <t>VEGA_MID</t>
        </is>
      </c>
      <c r="QR3" s="5" t="inlineStr">
        <is>
          <t>THETA_MID</t>
        </is>
      </c>
      <c r="QS3" s="5" t="inlineStr">
        <is>
          <t>OPT_UNDL_PX</t>
        </is>
      </c>
      <c r="QU3" s="5" t="inlineStr">
        <is>
          <t>Date</t>
        </is>
      </c>
      <c r="QV3" s="5" t="inlineStr">
        <is>
          <t>PX_BID</t>
        </is>
      </c>
      <c r="QW3" s="5" t="inlineStr">
        <is>
          <t>PX_ASK</t>
        </is>
      </c>
      <c r="QX3" s="5" t="inlineStr">
        <is>
          <t>PX_MID</t>
        </is>
      </c>
      <c r="QY3" s="5" t="inlineStr">
        <is>
          <t>PX_LAST</t>
        </is>
      </c>
      <c r="QZ3" s="5" t="inlineStr">
        <is>
          <t>PX_SETTLE</t>
        </is>
      </c>
      <c r="RA3" s="5" t="inlineStr">
        <is>
          <t>PX_VOLUME</t>
        </is>
      </c>
      <c r="RB3" s="5" t="inlineStr">
        <is>
          <t>OPEN_INT</t>
        </is>
      </c>
      <c r="RC3" s="5" t="inlineStr">
        <is>
          <t>IVOL_MID</t>
        </is>
      </c>
      <c r="RD3" s="5" t="inlineStr">
        <is>
          <t>IVOL_BID</t>
        </is>
      </c>
      <c r="RE3" s="5" t="inlineStr">
        <is>
          <t>IVOL_ASK</t>
        </is>
      </c>
      <c r="RF3" s="5" t="inlineStr">
        <is>
          <t>DELTA_MID</t>
        </is>
      </c>
      <c r="RG3" s="5" t="inlineStr">
        <is>
          <t>GAMMA_MID</t>
        </is>
      </c>
      <c r="RH3" s="5" t="inlineStr">
        <is>
          <t>VEGA_MID</t>
        </is>
      </c>
      <c r="RI3" s="5" t="inlineStr">
        <is>
          <t>THETA_MID</t>
        </is>
      </c>
      <c r="RJ3" s="5" t="inlineStr">
        <is>
          <t>OPT_UNDL_PX</t>
        </is>
      </c>
      <c r="RL3" s="5" t="inlineStr">
        <is>
          <t>Date</t>
        </is>
      </c>
      <c r="RM3" s="5" t="inlineStr">
        <is>
          <t>PX_BID</t>
        </is>
      </c>
      <c r="RN3" s="5" t="inlineStr">
        <is>
          <t>PX_ASK</t>
        </is>
      </c>
      <c r="RO3" s="5" t="inlineStr">
        <is>
          <t>PX_MID</t>
        </is>
      </c>
      <c r="RP3" s="5" t="inlineStr">
        <is>
          <t>PX_LAST</t>
        </is>
      </c>
      <c r="RQ3" s="5" t="inlineStr">
        <is>
          <t>PX_SETTLE</t>
        </is>
      </c>
      <c r="RR3" s="5" t="inlineStr">
        <is>
          <t>PX_VOLUME</t>
        </is>
      </c>
      <c r="RS3" s="5" t="inlineStr">
        <is>
          <t>OPEN_INT</t>
        </is>
      </c>
      <c r="RT3" s="5" t="inlineStr">
        <is>
          <t>IVOL_MID</t>
        </is>
      </c>
      <c r="RU3" s="5" t="inlineStr">
        <is>
          <t>IVOL_BID</t>
        </is>
      </c>
      <c r="RV3" s="5" t="inlineStr">
        <is>
          <t>IVOL_ASK</t>
        </is>
      </c>
      <c r="RW3" s="5" t="inlineStr">
        <is>
          <t>DELTA_MID</t>
        </is>
      </c>
      <c r="RX3" s="5" t="inlineStr">
        <is>
          <t>GAMMA_MID</t>
        </is>
      </c>
      <c r="RY3" s="5" t="inlineStr">
        <is>
          <t>VEGA_MID</t>
        </is>
      </c>
      <c r="RZ3" s="5" t="inlineStr">
        <is>
          <t>THETA_MID</t>
        </is>
      </c>
      <c r="SA3" s="5" t="inlineStr">
        <is>
          <t>OPT_UNDL_PX</t>
        </is>
      </c>
      <c r="SC3" s="5" t="inlineStr">
        <is>
          <t>Date</t>
        </is>
      </c>
      <c r="SD3" s="5" t="inlineStr">
        <is>
          <t>PX_BID</t>
        </is>
      </c>
      <c r="SE3" s="5" t="inlineStr">
        <is>
          <t>PX_ASK</t>
        </is>
      </c>
      <c r="SF3" s="5" t="inlineStr">
        <is>
          <t>PX_MID</t>
        </is>
      </c>
      <c r="SG3" s="5" t="inlineStr">
        <is>
          <t>PX_LAST</t>
        </is>
      </c>
      <c r="SH3" s="5" t="inlineStr">
        <is>
          <t>PX_SETTLE</t>
        </is>
      </c>
      <c r="SI3" s="5" t="inlineStr">
        <is>
          <t>PX_VOLUME</t>
        </is>
      </c>
      <c r="SJ3" s="5" t="inlineStr">
        <is>
          <t>OPEN_INT</t>
        </is>
      </c>
      <c r="SK3" s="5" t="inlineStr">
        <is>
          <t>IVOL_MID</t>
        </is>
      </c>
      <c r="SL3" s="5" t="inlineStr">
        <is>
          <t>IVOL_BID</t>
        </is>
      </c>
      <c r="SM3" s="5" t="inlineStr">
        <is>
          <t>IVOL_ASK</t>
        </is>
      </c>
      <c r="SN3" s="5" t="inlineStr">
        <is>
          <t>DELTA_MID</t>
        </is>
      </c>
      <c r="SO3" s="5" t="inlineStr">
        <is>
          <t>GAMMA_MID</t>
        </is>
      </c>
      <c r="SP3" s="5" t="inlineStr">
        <is>
          <t>VEGA_MID</t>
        </is>
      </c>
      <c r="SQ3" s="5" t="inlineStr">
        <is>
          <t>THETA_MID</t>
        </is>
      </c>
      <c r="SR3" s="5" t="inlineStr">
        <is>
          <t>OPT_UNDL_PX</t>
        </is>
      </c>
      <c r="ST3" s="5" t="inlineStr">
        <is>
          <t>Date</t>
        </is>
      </c>
      <c r="SU3" s="5" t="inlineStr">
        <is>
          <t>PX_BID</t>
        </is>
      </c>
      <c r="SV3" s="5" t="inlineStr">
        <is>
          <t>PX_ASK</t>
        </is>
      </c>
      <c r="SW3" s="5" t="inlineStr">
        <is>
          <t>PX_MID</t>
        </is>
      </c>
      <c r="SX3" s="5" t="inlineStr">
        <is>
          <t>PX_LAST</t>
        </is>
      </c>
      <c r="SY3" s="5" t="inlineStr">
        <is>
          <t>PX_SETTLE</t>
        </is>
      </c>
      <c r="SZ3" s="5" t="inlineStr">
        <is>
          <t>PX_VOLUME</t>
        </is>
      </c>
      <c r="TA3" s="5" t="inlineStr">
        <is>
          <t>OPEN_INT</t>
        </is>
      </c>
      <c r="TB3" s="5" t="inlineStr">
        <is>
          <t>IVOL_MID</t>
        </is>
      </c>
      <c r="TC3" s="5" t="inlineStr">
        <is>
          <t>IVOL_BID</t>
        </is>
      </c>
      <c r="TD3" s="5" t="inlineStr">
        <is>
          <t>IVOL_ASK</t>
        </is>
      </c>
      <c r="TE3" s="5" t="inlineStr">
        <is>
          <t>DELTA_MID</t>
        </is>
      </c>
      <c r="TF3" s="5" t="inlineStr">
        <is>
          <t>GAMMA_MID</t>
        </is>
      </c>
      <c r="TG3" s="5" t="inlineStr">
        <is>
          <t>VEGA_MID</t>
        </is>
      </c>
      <c r="TH3" s="5" t="inlineStr">
        <is>
          <t>THETA_MID</t>
        </is>
      </c>
      <c r="TI3" s="5" t="inlineStr">
        <is>
          <t>OPT_UNDL_PX</t>
        </is>
      </c>
      <c r="TK3" s="5" t="inlineStr">
        <is>
          <t>Date</t>
        </is>
      </c>
      <c r="TL3" s="5" t="inlineStr">
        <is>
          <t>PX_BID</t>
        </is>
      </c>
      <c r="TM3" s="5" t="inlineStr">
        <is>
          <t>PX_ASK</t>
        </is>
      </c>
      <c r="TN3" s="5" t="inlineStr">
        <is>
          <t>PX_MID</t>
        </is>
      </c>
      <c r="TO3" s="5" t="inlineStr">
        <is>
          <t>PX_LAST</t>
        </is>
      </c>
      <c r="TP3" s="5" t="inlineStr">
        <is>
          <t>PX_SETTLE</t>
        </is>
      </c>
      <c r="TQ3" s="5" t="inlineStr">
        <is>
          <t>PX_VOLUME</t>
        </is>
      </c>
      <c r="TR3" s="5" t="inlineStr">
        <is>
          <t>OPEN_INT</t>
        </is>
      </c>
      <c r="TS3" s="5" t="inlineStr">
        <is>
          <t>IVOL_MID</t>
        </is>
      </c>
      <c r="TT3" s="5" t="inlineStr">
        <is>
          <t>IVOL_BID</t>
        </is>
      </c>
      <c r="TU3" s="5" t="inlineStr">
        <is>
          <t>IVOL_ASK</t>
        </is>
      </c>
      <c r="TV3" s="5" t="inlineStr">
        <is>
          <t>DELTA_MID</t>
        </is>
      </c>
      <c r="TW3" s="5" t="inlineStr">
        <is>
          <t>GAMMA_MID</t>
        </is>
      </c>
      <c r="TX3" s="5" t="inlineStr">
        <is>
          <t>VEGA_MID</t>
        </is>
      </c>
      <c r="TY3" s="5" t="inlineStr">
        <is>
          <t>THETA_MID</t>
        </is>
      </c>
      <c r="TZ3" s="5" t="inlineStr">
        <is>
          <t>OPT_UNDL_PX</t>
        </is>
      </c>
      <c r="UB3" s="5" t="inlineStr">
        <is>
          <t>Date</t>
        </is>
      </c>
      <c r="UC3" s="5" t="inlineStr">
        <is>
          <t>PX_BID</t>
        </is>
      </c>
      <c r="UD3" s="5" t="inlineStr">
        <is>
          <t>PX_ASK</t>
        </is>
      </c>
      <c r="UE3" s="5" t="inlineStr">
        <is>
          <t>PX_MID</t>
        </is>
      </c>
      <c r="UF3" s="5" t="inlineStr">
        <is>
          <t>PX_LAST</t>
        </is>
      </c>
      <c r="UG3" s="5" t="inlineStr">
        <is>
          <t>PX_SETTLE</t>
        </is>
      </c>
      <c r="UH3" s="5" t="inlineStr">
        <is>
          <t>PX_VOLUME</t>
        </is>
      </c>
      <c r="UI3" s="5" t="inlineStr">
        <is>
          <t>OPEN_INT</t>
        </is>
      </c>
      <c r="UJ3" s="5" t="inlineStr">
        <is>
          <t>IVOL_MID</t>
        </is>
      </c>
      <c r="UK3" s="5" t="inlineStr">
        <is>
          <t>IVOL_BID</t>
        </is>
      </c>
      <c r="UL3" s="5" t="inlineStr">
        <is>
          <t>IVOL_ASK</t>
        </is>
      </c>
      <c r="UM3" s="5" t="inlineStr">
        <is>
          <t>DELTA_MID</t>
        </is>
      </c>
      <c r="UN3" s="5" t="inlineStr">
        <is>
          <t>GAMMA_MID</t>
        </is>
      </c>
      <c r="UO3" s="5" t="inlineStr">
        <is>
          <t>VEGA_MID</t>
        </is>
      </c>
      <c r="UP3" s="5" t="inlineStr">
        <is>
          <t>THETA_MID</t>
        </is>
      </c>
      <c r="UQ3" s="5" t="inlineStr">
        <is>
          <t>OPT_UNDL_PX</t>
        </is>
      </c>
      <c r="US3" s="5" t="inlineStr">
        <is>
          <t>Date</t>
        </is>
      </c>
      <c r="UT3" s="5" t="inlineStr">
        <is>
          <t>PX_BID</t>
        </is>
      </c>
      <c r="UU3" s="5" t="inlineStr">
        <is>
          <t>PX_ASK</t>
        </is>
      </c>
      <c r="UV3" s="5" t="inlineStr">
        <is>
          <t>PX_MID</t>
        </is>
      </c>
      <c r="UW3" s="5" t="inlineStr">
        <is>
          <t>PX_LAST</t>
        </is>
      </c>
      <c r="UX3" s="5" t="inlineStr">
        <is>
          <t>PX_SETTLE</t>
        </is>
      </c>
      <c r="UY3" s="5" t="inlineStr">
        <is>
          <t>PX_VOLUME</t>
        </is>
      </c>
      <c r="UZ3" s="5" t="inlineStr">
        <is>
          <t>OPEN_INT</t>
        </is>
      </c>
      <c r="VA3" s="5" t="inlineStr">
        <is>
          <t>IVOL_MID</t>
        </is>
      </c>
      <c r="VB3" s="5" t="inlineStr">
        <is>
          <t>IVOL_BID</t>
        </is>
      </c>
      <c r="VC3" s="5" t="inlineStr">
        <is>
          <t>IVOL_ASK</t>
        </is>
      </c>
      <c r="VD3" s="5" t="inlineStr">
        <is>
          <t>DELTA_MID</t>
        </is>
      </c>
      <c r="VE3" s="5" t="inlineStr">
        <is>
          <t>GAMMA_MID</t>
        </is>
      </c>
      <c r="VF3" s="5" t="inlineStr">
        <is>
          <t>VEGA_MID</t>
        </is>
      </c>
      <c r="VG3" s="5" t="inlineStr">
        <is>
          <t>THETA_MID</t>
        </is>
      </c>
      <c r="VH3" s="5" t="inlineStr">
        <is>
          <t>OPT_UNDL_PX</t>
        </is>
      </c>
    </row>
    <row r="4">
      <c r="A4" s="2" t="inlineStr">
        <is>
          <t>Year in ticker</t>
        </is>
      </c>
      <c r="B4" s="4">
        <f>IF(B2&lt;Settings!$B$3,TEXT(MOD(Settings!$E$14,100),"00"),TEXT(MOD(Settings!$E$14,10),"0"))</f>
        <v/>
      </c>
      <c r="D4" s="4">
        <f>BDH(D$1,E$3:S$3,$B$9,$B$10,"Dir=V","Dts=S","Sort=A","Days=T","Fill=B")</f>
        <v/>
      </c>
      <c r="U4" s="4">
        <f>BDH(U$1,V$3:AJ$3,$B$9,$B$10,"Dir=V","Dts=S","Sort=A","Days=T","Fill=B")</f>
        <v/>
      </c>
      <c r="AL4" s="4">
        <f>BDH(AL$1,AM$3:BA$3,$B$9,$B$10,"Dir=V","Dts=S","Sort=A","Days=T","Fill=B")</f>
        <v/>
      </c>
      <c r="BC4" s="4">
        <f>BDH(BC$1,BD$3:BR$3,$B$9,$B$10,"Dir=V","Dts=S","Sort=A","Days=T","Fill=B")</f>
        <v/>
      </c>
      <c r="BT4" s="4">
        <f>BDH(BT$1,BU$3:CI$3,$B$9,$B$10,"Dir=V","Dts=S","Sort=A","Days=T","Fill=B")</f>
        <v/>
      </c>
      <c r="CK4" s="4">
        <f>BDH(CK$1,CL$3:CZ$3,$B$9,$B$10,"Dir=V","Dts=S","Sort=A","Days=T","Fill=B")</f>
        <v/>
      </c>
      <c r="DB4" s="4">
        <f>BDH(DB$1,DC$3:DQ$3,$B$9,$B$10,"Dir=V","Dts=S","Sort=A","Days=T","Fill=B")</f>
        <v/>
      </c>
      <c r="DS4" s="4">
        <f>BDH(DS$1,DT$3:EH$3,$B$9,$B$10,"Dir=V","Dts=S","Sort=A","Days=T","Fill=B")</f>
        <v/>
      </c>
      <c r="EJ4" s="4">
        <f>BDH(EJ$1,EK$3:EY$3,$B$9,$B$10,"Dir=V","Dts=S","Sort=A","Days=T","Fill=B")</f>
        <v/>
      </c>
      <c r="FA4" s="4">
        <f>BDH(FA$1,FB$3:FP$3,$B$9,$B$10,"Dir=V","Dts=S","Sort=A","Days=T","Fill=B")</f>
        <v/>
      </c>
      <c r="FR4" s="4">
        <f>BDH(FR$1,FS$3:GG$3,$B$9,$B$10,"Dir=V","Dts=S","Sort=A","Days=T","Fill=B")</f>
        <v/>
      </c>
      <c r="GI4" s="4">
        <f>BDH(GI$1,GJ$3:GX$3,$B$9,$B$10,"Dir=V","Dts=S","Sort=A","Days=T","Fill=B")</f>
        <v/>
      </c>
      <c r="GZ4" s="4">
        <f>BDH(GZ$1,HA$3:HO$3,$B$9,$B$10,"Dir=V","Dts=S","Sort=A","Days=T","Fill=B")</f>
        <v/>
      </c>
      <c r="HQ4" s="4">
        <f>BDH(HQ$1,HR$3:IF$3,$B$9,$B$10,"Dir=V","Dts=S","Sort=A","Days=T","Fill=B")</f>
        <v/>
      </c>
      <c r="IH4" s="4">
        <f>BDH(IH$1,II$3:IW$3,$B$9,$B$10,"Dir=V","Dts=S","Sort=A","Days=T","Fill=B")</f>
        <v/>
      </c>
      <c r="IY4" s="4">
        <f>BDH(IY$1,IZ$3:JN$3,$B$9,$B$10,"Dir=V","Dts=S","Sort=A","Days=T","Fill=B")</f>
        <v/>
      </c>
      <c r="JP4" s="4">
        <f>BDH(JP$1,JQ$3:KE$3,$B$9,$B$10,"Dir=V","Dts=S","Sort=A","Days=T","Fill=B")</f>
        <v/>
      </c>
      <c r="KG4" s="4">
        <f>BDH(KG$1,KH$3:KV$3,$B$9,$B$10,"Dir=V","Dts=S","Sort=A","Days=T","Fill=B")</f>
        <v/>
      </c>
      <c r="KX4" s="4">
        <f>BDH(KX$1,KY$3:LM$3,$B$9,$B$10,"Dir=V","Dts=S","Sort=A","Days=T","Fill=B")</f>
        <v/>
      </c>
      <c r="LO4" s="4">
        <f>BDH(LO$1,LP$3:MD$3,$B$9,$B$10,"Dir=V","Dts=S","Sort=A","Days=T","Fill=B")</f>
        <v/>
      </c>
      <c r="MF4" s="4">
        <f>BDH(MF$1,MG$3:MU$3,$B$9,$B$10,"Dir=V","Dts=S","Sort=A","Days=T","Fill=B")</f>
        <v/>
      </c>
      <c r="MW4" s="4">
        <f>BDH(MW$1,MX$3:NL$3,$B$9,$B$10,"Dir=V","Dts=S","Sort=A","Days=T","Fill=B")</f>
        <v/>
      </c>
      <c r="NN4" s="4">
        <f>BDH(NN$1,NO$3:OC$3,$B$9,$B$10,"Dir=V","Dts=S","Sort=A","Days=T","Fill=B")</f>
        <v/>
      </c>
      <c r="OE4" s="4">
        <f>BDH(OE$1,OF$3:OT$3,$B$9,$B$10,"Dir=V","Dts=S","Sort=A","Days=T","Fill=B")</f>
        <v/>
      </c>
      <c r="OV4" s="4">
        <f>BDH(OV$1,OW$3:PK$3,$B$9,$B$10,"Dir=V","Dts=S","Sort=A","Days=T","Fill=B")</f>
        <v/>
      </c>
      <c r="PM4" s="4">
        <f>BDH(PM$1,PN$3:QB$3,$B$9,$B$10,"Dir=V","Dts=S","Sort=A","Days=T","Fill=B")</f>
        <v/>
      </c>
      <c r="QD4" s="4">
        <f>BDH(QD$1,QE$3:QS$3,$B$9,$B$10,"Dir=V","Dts=S","Sort=A","Days=T","Fill=B")</f>
        <v/>
      </c>
      <c r="QU4" s="4">
        <f>BDH(QU$1,QV$3:RJ$3,$B$9,$B$10,"Dir=V","Dts=S","Sort=A","Days=T","Fill=B")</f>
        <v/>
      </c>
      <c r="RL4" s="4">
        <f>BDH(RL$1,RM$3:SA$3,$B$9,$B$10,"Dir=V","Dts=S","Sort=A","Days=T","Fill=B")</f>
        <v/>
      </c>
      <c r="SC4" s="4">
        <f>BDH(SC$1,SD$3:SR$3,$B$9,$B$10,"Dir=V","Dts=S","Sort=A","Days=T","Fill=B")</f>
        <v/>
      </c>
      <c r="ST4" s="4">
        <f>BDH(ST$1,SU$3:TI$3,$B$9,$B$10,"Dir=V","Dts=S","Sort=A","Days=T","Fill=B")</f>
        <v/>
      </c>
      <c r="TK4" s="4">
        <f>BDH(TK$1,TL$3:TZ$3,$B$9,$B$10,"Dir=V","Dts=S","Sort=A","Days=T","Fill=B")</f>
        <v/>
      </c>
      <c r="UB4" s="4">
        <f>BDH(UB$1,UC$3:UQ$3,$B$9,$B$10,"Dir=V","Dts=S","Sort=A","Days=T","Fill=B")</f>
        <v/>
      </c>
      <c r="US4" s="4">
        <f>BDH(US$1,UT$3:VH$3,$B$9,$B$10,"Dir=V","Dts=S","Sort=A","Days=T","Fill=B")</f>
        <v/>
      </c>
    </row>
    <row r="5">
      <c r="A5" s="2" t="inlineStr">
        <is>
          <t>Futures ticker</t>
        </is>
      </c>
      <c r="B5" s="4">
        <f>IF(Settings!$B$14="Y","CL"&amp;MID("FGHJKMNQUVXZ",B1,1)&amp;B4&amp;" Comdty","")</f>
        <v/>
      </c>
    </row>
    <row r="6">
      <c r="A6" s="2" t="inlineStr">
        <is>
          <t>Strike reference date</t>
        </is>
      </c>
      <c r="B6" s="8">
        <f>B3-45</f>
        <v/>
      </c>
    </row>
    <row r="7">
      <c r="A7" s="2" t="inlineStr">
        <is>
          <t>Futures price on that date</t>
        </is>
      </c>
      <c r="B7" s="10">
        <f>IF(B5="","",BDH(B5,"PX_LAST",B6,B6,"Days=A","Fill=P","Dts=H"))</f>
        <v/>
      </c>
    </row>
    <row r="8">
      <c r="A8" s="2" t="inlineStr">
        <is>
          <t>ATM strike</t>
        </is>
      </c>
      <c r="B8" s="9">
        <f>IF(ISNUMBER(B7),ROUND(B7,0),"")</f>
        <v/>
      </c>
    </row>
    <row r="9">
      <c r="A9" s="2" t="inlineStr">
        <is>
          <t>History start</t>
        </is>
      </c>
      <c r="B9" s="8">
        <f>B3-100</f>
        <v/>
      </c>
    </row>
    <row r="10">
      <c r="A10" s="2" t="inlineStr">
        <is>
          <t>History end</t>
        </is>
      </c>
      <c r="B10" s="8">
        <f>B3</f>
        <v/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VH10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2" customWidth="1" min="2" max="2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1" customWidth="1" min="15" max="15"/>
    <col width="11" customWidth="1" min="16" max="16"/>
    <col width="10" customWidth="1" min="17" max="17"/>
    <col width="11" customWidth="1" min="18" max="18"/>
    <col width="13" customWidth="1" min="19" max="19"/>
    <col width="12" customWidth="1" min="21" max="21"/>
    <col width="10" customWidth="1" min="22" max="22"/>
    <col width="10" customWidth="1" min="23" max="23"/>
    <col width="10" customWidth="1" min="24" max="24"/>
    <col width="10" customWidth="1" min="25" max="25"/>
    <col width="11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1" customWidth="1" min="32" max="32"/>
    <col width="11" customWidth="1" min="33" max="33"/>
    <col width="10" customWidth="1" min="34" max="34"/>
    <col width="11" customWidth="1" min="35" max="35"/>
    <col width="13" customWidth="1" min="36" max="36"/>
    <col width="12" customWidth="1" min="38" max="38"/>
    <col width="10" customWidth="1" min="39" max="39"/>
    <col width="10" customWidth="1" min="40" max="40"/>
    <col width="10" customWidth="1" min="41" max="41"/>
    <col width="10" customWidth="1" min="42" max="42"/>
    <col width="11" customWidth="1" min="43" max="43"/>
    <col width="11" customWidth="1" min="44" max="44"/>
    <col width="10" customWidth="1" min="45" max="45"/>
    <col width="10" customWidth="1" min="46" max="46"/>
    <col width="10" customWidth="1" min="47" max="47"/>
    <col width="10" customWidth="1" min="48" max="48"/>
    <col width="11" customWidth="1" min="49" max="49"/>
    <col width="11" customWidth="1" min="50" max="50"/>
    <col width="10" customWidth="1" min="51" max="51"/>
    <col width="11" customWidth="1" min="52" max="52"/>
    <col width="13" customWidth="1" min="53" max="53"/>
    <col width="12" customWidth="1" min="55" max="55"/>
    <col width="10" customWidth="1" min="56" max="56"/>
    <col width="10" customWidth="1" min="57" max="57"/>
    <col width="10" customWidth="1" min="58" max="58"/>
    <col width="10" customWidth="1" min="59" max="59"/>
    <col width="11" customWidth="1" min="60" max="60"/>
    <col width="11" customWidth="1" min="61" max="61"/>
    <col width="10" customWidth="1" min="62" max="62"/>
    <col width="10" customWidth="1" min="63" max="63"/>
    <col width="10" customWidth="1" min="64" max="64"/>
    <col width="10" customWidth="1" min="65" max="65"/>
    <col width="11" customWidth="1" min="66" max="66"/>
    <col width="11" customWidth="1" min="67" max="67"/>
    <col width="10" customWidth="1" min="68" max="68"/>
    <col width="11" customWidth="1" min="69" max="69"/>
    <col width="13" customWidth="1" min="70" max="70"/>
    <col width="12" customWidth="1" min="72" max="72"/>
    <col width="10" customWidth="1" min="73" max="73"/>
    <col width="10" customWidth="1" min="74" max="74"/>
    <col width="10" customWidth="1" min="75" max="75"/>
    <col width="10" customWidth="1" min="76" max="76"/>
    <col width="11" customWidth="1" min="77" max="77"/>
    <col width="11" customWidth="1" min="78" max="78"/>
    <col width="10" customWidth="1" min="79" max="79"/>
    <col width="10" customWidth="1" min="80" max="80"/>
    <col width="10" customWidth="1" min="81" max="81"/>
    <col width="10" customWidth="1" min="82" max="82"/>
    <col width="11" customWidth="1" min="83" max="83"/>
    <col width="11" customWidth="1" min="84" max="84"/>
    <col width="10" customWidth="1" min="85" max="85"/>
    <col width="11" customWidth="1" min="86" max="86"/>
    <col width="13" customWidth="1" min="87" max="87"/>
    <col width="12" customWidth="1" min="89" max="89"/>
    <col width="10" customWidth="1" min="90" max="90"/>
    <col width="10" customWidth="1" min="91" max="91"/>
    <col width="10" customWidth="1" min="92" max="92"/>
    <col width="10" customWidth="1" min="93" max="93"/>
    <col width="11" customWidth="1" min="94" max="94"/>
    <col width="11" customWidth="1" min="95" max="95"/>
    <col width="10" customWidth="1" min="96" max="96"/>
    <col width="10" customWidth="1" min="97" max="97"/>
    <col width="10" customWidth="1" min="98" max="98"/>
    <col width="10" customWidth="1" min="99" max="99"/>
    <col width="11" customWidth="1" min="100" max="100"/>
    <col width="11" customWidth="1" min="101" max="101"/>
    <col width="10" customWidth="1" min="102" max="102"/>
    <col width="11" customWidth="1" min="103" max="103"/>
    <col width="13" customWidth="1" min="104" max="104"/>
    <col width="12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1" customWidth="1" min="111" max="111"/>
    <col width="11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1" customWidth="1" min="117" max="117"/>
    <col width="11" customWidth="1" min="118" max="118"/>
    <col width="10" customWidth="1" min="119" max="119"/>
    <col width="11" customWidth="1" min="120" max="120"/>
    <col width="13" customWidth="1" min="121" max="121"/>
    <col width="12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1" customWidth="1" min="128" max="128"/>
    <col width="11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1" customWidth="1" min="134" max="134"/>
    <col width="11" customWidth="1" min="135" max="135"/>
    <col width="10" customWidth="1" min="136" max="136"/>
    <col width="11" customWidth="1" min="137" max="137"/>
    <col width="13" customWidth="1" min="138" max="138"/>
    <col width="12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1" customWidth="1" min="145" max="145"/>
    <col width="11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1" customWidth="1" min="151" max="151"/>
    <col width="11" customWidth="1" min="152" max="152"/>
    <col width="10" customWidth="1" min="153" max="153"/>
    <col width="11" customWidth="1" min="154" max="154"/>
    <col width="13" customWidth="1" min="155" max="155"/>
    <col width="12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1" customWidth="1" min="162" max="162"/>
    <col width="11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1" customWidth="1" min="168" max="168"/>
    <col width="11" customWidth="1" min="169" max="169"/>
    <col width="10" customWidth="1" min="170" max="170"/>
    <col width="11" customWidth="1" min="171" max="171"/>
    <col width="13" customWidth="1" min="172" max="172"/>
    <col width="12" customWidth="1" min="174" max="174"/>
    <col width="10" customWidth="1" min="175" max="175"/>
    <col width="10" customWidth="1" min="176" max="176"/>
    <col width="10" customWidth="1" min="177" max="177"/>
    <col width="10" customWidth="1" min="178" max="178"/>
    <col width="11" customWidth="1" min="179" max="179"/>
    <col width="11" customWidth="1" min="180" max="180"/>
    <col width="10" customWidth="1" min="181" max="181"/>
    <col width="10" customWidth="1" min="182" max="182"/>
    <col width="10" customWidth="1" min="183" max="183"/>
    <col width="10" customWidth="1" min="184" max="184"/>
    <col width="11" customWidth="1" min="185" max="185"/>
    <col width="11" customWidth="1" min="186" max="186"/>
    <col width="10" customWidth="1" min="187" max="187"/>
    <col width="11" customWidth="1" min="188" max="188"/>
    <col width="13" customWidth="1" min="189" max="189"/>
    <col width="12" customWidth="1" min="191" max="191"/>
    <col width="10" customWidth="1" min="192" max="192"/>
    <col width="10" customWidth="1" min="193" max="193"/>
    <col width="10" customWidth="1" min="194" max="194"/>
    <col width="10" customWidth="1" min="195" max="195"/>
    <col width="11" customWidth="1" min="196" max="196"/>
    <col width="11" customWidth="1" min="197" max="197"/>
    <col width="10" customWidth="1" min="198" max="198"/>
    <col width="10" customWidth="1" min="199" max="199"/>
    <col width="10" customWidth="1" min="200" max="200"/>
    <col width="10" customWidth="1" min="201" max="201"/>
    <col width="11" customWidth="1" min="202" max="202"/>
    <col width="11" customWidth="1" min="203" max="203"/>
    <col width="10" customWidth="1" min="204" max="204"/>
    <col width="11" customWidth="1" min="205" max="205"/>
    <col width="13" customWidth="1" min="206" max="206"/>
    <col width="12" customWidth="1" min="208" max="208"/>
    <col width="10" customWidth="1" min="209" max="209"/>
    <col width="10" customWidth="1" min="210" max="210"/>
    <col width="10" customWidth="1" min="211" max="211"/>
    <col width="10" customWidth="1" min="212" max="212"/>
    <col width="11" customWidth="1" min="213" max="213"/>
    <col width="11" customWidth="1" min="214" max="214"/>
    <col width="10" customWidth="1" min="215" max="215"/>
    <col width="10" customWidth="1" min="216" max="216"/>
    <col width="10" customWidth="1" min="217" max="217"/>
    <col width="10" customWidth="1" min="218" max="218"/>
    <col width="11" customWidth="1" min="219" max="219"/>
    <col width="11" customWidth="1" min="220" max="220"/>
    <col width="10" customWidth="1" min="221" max="221"/>
    <col width="11" customWidth="1" min="222" max="222"/>
    <col width="13" customWidth="1" min="223" max="223"/>
    <col width="12" customWidth="1" min="225" max="225"/>
    <col width="10" customWidth="1" min="226" max="226"/>
    <col width="10" customWidth="1" min="227" max="227"/>
    <col width="10" customWidth="1" min="228" max="228"/>
    <col width="10" customWidth="1" min="229" max="229"/>
    <col width="11" customWidth="1" min="230" max="230"/>
    <col width="11" customWidth="1" min="231" max="231"/>
    <col width="10" customWidth="1" min="232" max="232"/>
    <col width="10" customWidth="1" min="233" max="233"/>
    <col width="10" customWidth="1" min="234" max="234"/>
    <col width="10" customWidth="1" min="235" max="235"/>
    <col width="11" customWidth="1" min="236" max="236"/>
    <col width="11" customWidth="1" min="237" max="237"/>
    <col width="10" customWidth="1" min="238" max="238"/>
    <col width="11" customWidth="1" min="239" max="239"/>
    <col width="13" customWidth="1" min="240" max="240"/>
    <col width="12" customWidth="1" min="242" max="242"/>
    <col width="10" customWidth="1" min="243" max="243"/>
    <col width="10" customWidth="1" min="244" max="244"/>
    <col width="10" customWidth="1" min="245" max="245"/>
    <col width="10" customWidth="1" min="246" max="246"/>
    <col width="11" customWidth="1" min="247" max="247"/>
    <col width="11" customWidth="1" min="248" max="248"/>
    <col width="10" customWidth="1" min="249" max="249"/>
    <col width="10" customWidth="1" min="250" max="250"/>
    <col width="10" customWidth="1" min="251" max="251"/>
    <col width="10" customWidth="1" min="252" max="252"/>
    <col width="11" customWidth="1" min="253" max="253"/>
    <col width="11" customWidth="1" min="254" max="254"/>
    <col width="10" customWidth="1" min="255" max="255"/>
    <col width="11" customWidth="1" min="256" max="256"/>
    <col width="13" customWidth="1" min="257" max="257"/>
    <col width="12" customWidth="1" min="259" max="259"/>
    <col width="10" customWidth="1" min="260" max="260"/>
    <col width="10" customWidth="1" min="261" max="261"/>
    <col width="10" customWidth="1" min="262" max="262"/>
    <col width="10" customWidth="1" min="263" max="263"/>
    <col width="11" customWidth="1" min="264" max="264"/>
    <col width="11" customWidth="1" min="265" max="265"/>
    <col width="10" customWidth="1" min="266" max="266"/>
    <col width="10" customWidth="1" min="267" max="267"/>
    <col width="10" customWidth="1" min="268" max="268"/>
    <col width="10" customWidth="1" min="269" max="269"/>
    <col width="11" customWidth="1" min="270" max="270"/>
    <col width="11" customWidth="1" min="271" max="271"/>
    <col width="10" customWidth="1" min="272" max="272"/>
    <col width="11" customWidth="1" min="273" max="273"/>
    <col width="13" customWidth="1" min="274" max="274"/>
    <col width="12" customWidth="1" min="276" max="276"/>
    <col width="10" customWidth="1" min="277" max="277"/>
    <col width="10" customWidth="1" min="278" max="278"/>
    <col width="10" customWidth="1" min="279" max="279"/>
    <col width="10" customWidth="1" min="280" max="280"/>
    <col width="11" customWidth="1" min="281" max="281"/>
    <col width="11" customWidth="1" min="282" max="282"/>
    <col width="10" customWidth="1" min="283" max="283"/>
    <col width="10" customWidth="1" min="284" max="284"/>
    <col width="10" customWidth="1" min="285" max="285"/>
    <col width="10" customWidth="1" min="286" max="286"/>
    <col width="11" customWidth="1" min="287" max="287"/>
    <col width="11" customWidth="1" min="288" max="288"/>
    <col width="10" customWidth="1" min="289" max="289"/>
    <col width="11" customWidth="1" min="290" max="290"/>
    <col width="13" customWidth="1" min="291" max="291"/>
    <col width="12" customWidth="1" min="293" max="293"/>
    <col width="10" customWidth="1" min="294" max="294"/>
    <col width="10" customWidth="1" min="295" max="295"/>
    <col width="10" customWidth="1" min="296" max="296"/>
    <col width="10" customWidth="1" min="297" max="297"/>
    <col width="11" customWidth="1" min="298" max="298"/>
    <col width="11" customWidth="1" min="299" max="299"/>
    <col width="10" customWidth="1" min="300" max="300"/>
    <col width="10" customWidth="1" min="301" max="301"/>
    <col width="10" customWidth="1" min="302" max="302"/>
    <col width="10" customWidth="1" min="303" max="303"/>
    <col width="11" customWidth="1" min="304" max="304"/>
    <col width="11" customWidth="1" min="305" max="305"/>
    <col width="10" customWidth="1" min="306" max="306"/>
    <col width="11" customWidth="1" min="307" max="307"/>
    <col width="13" customWidth="1" min="308" max="308"/>
    <col width="12" customWidth="1" min="310" max="310"/>
    <col width="10" customWidth="1" min="311" max="311"/>
    <col width="10" customWidth="1" min="312" max="312"/>
    <col width="10" customWidth="1" min="313" max="313"/>
    <col width="10" customWidth="1" min="314" max="314"/>
    <col width="11" customWidth="1" min="315" max="315"/>
    <col width="11" customWidth="1" min="316" max="316"/>
    <col width="10" customWidth="1" min="317" max="317"/>
    <col width="10" customWidth="1" min="318" max="318"/>
    <col width="10" customWidth="1" min="319" max="319"/>
    <col width="10" customWidth="1" min="320" max="320"/>
    <col width="11" customWidth="1" min="321" max="321"/>
    <col width="11" customWidth="1" min="322" max="322"/>
    <col width="10" customWidth="1" min="323" max="323"/>
    <col width="11" customWidth="1" min="324" max="324"/>
    <col width="13" customWidth="1" min="325" max="325"/>
    <col width="12" customWidth="1" min="327" max="327"/>
    <col width="10" customWidth="1" min="328" max="328"/>
    <col width="10" customWidth="1" min="329" max="329"/>
    <col width="10" customWidth="1" min="330" max="330"/>
    <col width="10" customWidth="1" min="331" max="331"/>
    <col width="11" customWidth="1" min="332" max="332"/>
    <col width="11" customWidth="1" min="333" max="333"/>
    <col width="10" customWidth="1" min="334" max="334"/>
    <col width="10" customWidth="1" min="335" max="335"/>
    <col width="10" customWidth="1" min="336" max="336"/>
    <col width="10" customWidth="1" min="337" max="337"/>
    <col width="11" customWidth="1" min="338" max="338"/>
    <col width="11" customWidth="1" min="339" max="339"/>
    <col width="10" customWidth="1" min="340" max="340"/>
    <col width="11" customWidth="1" min="341" max="341"/>
    <col width="13" customWidth="1" min="342" max="342"/>
    <col width="12" customWidth="1" min="344" max="344"/>
    <col width="10" customWidth="1" min="345" max="345"/>
    <col width="10" customWidth="1" min="346" max="346"/>
    <col width="10" customWidth="1" min="347" max="347"/>
    <col width="10" customWidth="1" min="348" max="348"/>
    <col width="11" customWidth="1" min="349" max="349"/>
    <col width="11" customWidth="1" min="350" max="350"/>
    <col width="10" customWidth="1" min="351" max="351"/>
    <col width="10" customWidth="1" min="352" max="352"/>
    <col width="10" customWidth="1" min="353" max="353"/>
    <col width="10" customWidth="1" min="354" max="354"/>
    <col width="11" customWidth="1" min="355" max="355"/>
    <col width="11" customWidth="1" min="356" max="356"/>
    <col width="10" customWidth="1" min="357" max="357"/>
    <col width="11" customWidth="1" min="358" max="358"/>
    <col width="13" customWidth="1" min="359" max="359"/>
    <col width="12" customWidth="1" min="361" max="361"/>
    <col width="10" customWidth="1" min="362" max="362"/>
    <col width="10" customWidth="1" min="363" max="363"/>
    <col width="10" customWidth="1" min="364" max="364"/>
    <col width="10" customWidth="1" min="365" max="365"/>
    <col width="11" customWidth="1" min="366" max="366"/>
    <col width="11" customWidth="1" min="367" max="367"/>
    <col width="10" customWidth="1" min="368" max="368"/>
    <col width="10" customWidth="1" min="369" max="369"/>
    <col width="10" customWidth="1" min="370" max="370"/>
    <col width="10" customWidth="1" min="371" max="371"/>
    <col width="11" customWidth="1" min="372" max="372"/>
    <col width="11" customWidth="1" min="373" max="373"/>
    <col width="10" customWidth="1" min="374" max="374"/>
    <col width="11" customWidth="1" min="375" max="375"/>
    <col width="13" customWidth="1" min="376" max="376"/>
    <col width="12" customWidth="1" min="378" max="378"/>
    <col width="10" customWidth="1" min="379" max="379"/>
    <col width="10" customWidth="1" min="380" max="380"/>
    <col width="10" customWidth="1" min="381" max="381"/>
    <col width="10" customWidth="1" min="382" max="382"/>
    <col width="11" customWidth="1" min="383" max="383"/>
    <col width="11" customWidth="1" min="384" max="384"/>
    <col width="10" customWidth="1" min="385" max="385"/>
    <col width="10" customWidth="1" min="386" max="386"/>
    <col width="10" customWidth="1" min="387" max="387"/>
    <col width="10" customWidth="1" min="388" max="388"/>
    <col width="11" customWidth="1" min="389" max="389"/>
    <col width="11" customWidth="1" min="390" max="390"/>
    <col width="10" customWidth="1" min="391" max="391"/>
    <col width="11" customWidth="1" min="392" max="392"/>
    <col width="13" customWidth="1" min="393" max="393"/>
    <col width="12" customWidth="1" min="395" max="395"/>
    <col width="10" customWidth="1" min="396" max="396"/>
    <col width="10" customWidth="1" min="397" max="397"/>
    <col width="10" customWidth="1" min="398" max="398"/>
    <col width="10" customWidth="1" min="399" max="399"/>
    <col width="11" customWidth="1" min="400" max="400"/>
    <col width="11" customWidth="1" min="401" max="401"/>
    <col width="10" customWidth="1" min="402" max="402"/>
    <col width="10" customWidth="1" min="403" max="403"/>
    <col width="10" customWidth="1" min="404" max="404"/>
    <col width="10" customWidth="1" min="405" max="405"/>
    <col width="11" customWidth="1" min="406" max="406"/>
    <col width="11" customWidth="1" min="407" max="407"/>
    <col width="10" customWidth="1" min="408" max="408"/>
    <col width="11" customWidth="1" min="409" max="409"/>
    <col width="13" customWidth="1" min="410" max="410"/>
    <col width="12" customWidth="1" min="412" max="412"/>
    <col width="10" customWidth="1" min="413" max="413"/>
    <col width="10" customWidth="1" min="414" max="414"/>
    <col width="10" customWidth="1" min="415" max="415"/>
    <col width="10" customWidth="1" min="416" max="416"/>
    <col width="11" customWidth="1" min="417" max="417"/>
    <col width="11" customWidth="1" min="418" max="418"/>
    <col width="10" customWidth="1" min="419" max="419"/>
    <col width="10" customWidth="1" min="420" max="420"/>
    <col width="10" customWidth="1" min="421" max="421"/>
    <col width="10" customWidth="1" min="422" max="422"/>
    <col width="11" customWidth="1" min="423" max="423"/>
    <col width="11" customWidth="1" min="424" max="424"/>
    <col width="10" customWidth="1" min="425" max="425"/>
    <col width="11" customWidth="1" min="426" max="426"/>
    <col width="13" customWidth="1" min="427" max="427"/>
    <col width="12" customWidth="1" min="429" max="429"/>
    <col width="10" customWidth="1" min="430" max="430"/>
    <col width="10" customWidth="1" min="431" max="431"/>
    <col width="10" customWidth="1" min="432" max="432"/>
    <col width="10" customWidth="1" min="433" max="433"/>
    <col width="11" customWidth="1" min="434" max="434"/>
    <col width="11" customWidth="1" min="435" max="435"/>
    <col width="10" customWidth="1" min="436" max="436"/>
    <col width="10" customWidth="1" min="437" max="437"/>
    <col width="10" customWidth="1" min="438" max="438"/>
    <col width="10" customWidth="1" min="439" max="439"/>
    <col width="11" customWidth="1" min="440" max="440"/>
    <col width="11" customWidth="1" min="441" max="441"/>
    <col width="10" customWidth="1" min="442" max="442"/>
    <col width="11" customWidth="1" min="443" max="443"/>
    <col width="13" customWidth="1" min="444" max="444"/>
    <col width="12" customWidth="1" min="446" max="446"/>
    <col width="10" customWidth="1" min="447" max="447"/>
    <col width="10" customWidth="1" min="448" max="448"/>
    <col width="10" customWidth="1" min="449" max="449"/>
    <col width="10" customWidth="1" min="450" max="450"/>
    <col width="11" customWidth="1" min="451" max="451"/>
    <col width="11" customWidth="1" min="452" max="452"/>
    <col width="10" customWidth="1" min="453" max="453"/>
    <col width="10" customWidth="1" min="454" max="454"/>
    <col width="10" customWidth="1" min="455" max="455"/>
    <col width="10" customWidth="1" min="456" max="456"/>
    <col width="11" customWidth="1" min="457" max="457"/>
    <col width="11" customWidth="1" min="458" max="458"/>
    <col width="10" customWidth="1" min="459" max="459"/>
    <col width="11" customWidth="1" min="460" max="460"/>
    <col width="13" customWidth="1" min="461" max="461"/>
    <col width="12" customWidth="1" min="463" max="463"/>
    <col width="10" customWidth="1" min="464" max="464"/>
    <col width="10" customWidth="1" min="465" max="465"/>
    <col width="10" customWidth="1" min="466" max="466"/>
    <col width="10" customWidth="1" min="467" max="467"/>
    <col width="11" customWidth="1" min="468" max="468"/>
    <col width="11" customWidth="1" min="469" max="469"/>
    <col width="10" customWidth="1" min="470" max="470"/>
    <col width="10" customWidth="1" min="471" max="471"/>
    <col width="10" customWidth="1" min="472" max="472"/>
    <col width="10" customWidth="1" min="473" max="473"/>
    <col width="11" customWidth="1" min="474" max="474"/>
    <col width="11" customWidth="1" min="475" max="475"/>
    <col width="10" customWidth="1" min="476" max="476"/>
    <col width="11" customWidth="1" min="477" max="477"/>
    <col width="13" customWidth="1" min="478" max="478"/>
    <col width="12" customWidth="1" min="480" max="480"/>
    <col width="10" customWidth="1" min="481" max="481"/>
    <col width="10" customWidth="1" min="482" max="482"/>
    <col width="10" customWidth="1" min="483" max="483"/>
    <col width="10" customWidth="1" min="484" max="484"/>
    <col width="11" customWidth="1" min="485" max="485"/>
    <col width="11" customWidth="1" min="486" max="486"/>
    <col width="10" customWidth="1" min="487" max="487"/>
    <col width="10" customWidth="1" min="488" max="488"/>
    <col width="10" customWidth="1" min="489" max="489"/>
    <col width="10" customWidth="1" min="490" max="490"/>
    <col width="11" customWidth="1" min="491" max="491"/>
    <col width="11" customWidth="1" min="492" max="492"/>
    <col width="10" customWidth="1" min="493" max="493"/>
    <col width="11" customWidth="1" min="494" max="494"/>
    <col width="13" customWidth="1" min="495" max="495"/>
    <col width="12" customWidth="1" min="497" max="497"/>
    <col width="10" customWidth="1" min="498" max="498"/>
    <col width="10" customWidth="1" min="499" max="499"/>
    <col width="10" customWidth="1" min="500" max="500"/>
    <col width="10" customWidth="1" min="501" max="501"/>
    <col width="11" customWidth="1" min="502" max="502"/>
    <col width="11" customWidth="1" min="503" max="503"/>
    <col width="10" customWidth="1" min="504" max="504"/>
    <col width="10" customWidth="1" min="505" max="505"/>
    <col width="10" customWidth="1" min="506" max="506"/>
    <col width="10" customWidth="1" min="507" max="507"/>
    <col width="11" customWidth="1" min="508" max="508"/>
    <col width="11" customWidth="1" min="509" max="509"/>
    <col width="10" customWidth="1" min="510" max="510"/>
    <col width="11" customWidth="1" min="511" max="511"/>
    <col width="13" customWidth="1" min="512" max="512"/>
    <col width="12" customWidth="1" min="514" max="514"/>
    <col width="10" customWidth="1" min="515" max="515"/>
    <col width="10" customWidth="1" min="516" max="516"/>
    <col width="10" customWidth="1" min="517" max="517"/>
    <col width="10" customWidth="1" min="518" max="518"/>
    <col width="11" customWidth="1" min="519" max="519"/>
    <col width="11" customWidth="1" min="520" max="520"/>
    <col width="10" customWidth="1" min="521" max="521"/>
    <col width="10" customWidth="1" min="522" max="522"/>
    <col width="10" customWidth="1" min="523" max="523"/>
    <col width="10" customWidth="1" min="524" max="524"/>
    <col width="11" customWidth="1" min="525" max="525"/>
    <col width="11" customWidth="1" min="526" max="526"/>
    <col width="10" customWidth="1" min="527" max="527"/>
    <col width="11" customWidth="1" min="528" max="528"/>
    <col width="13" customWidth="1" min="529" max="529"/>
    <col width="12" customWidth="1" min="531" max="531"/>
    <col width="10" customWidth="1" min="532" max="532"/>
    <col width="10" customWidth="1" min="533" max="533"/>
    <col width="10" customWidth="1" min="534" max="534"/>
    <col width="10" customWidth="1" min="535" max="535"/>
    <col width="11" customWidth="1" min="536" max="536"/>
    <col width="11" customWidth="1" min="537" max="537"/>
    <col width="10" customWidth="1" min="538" max="538"/>
    <col width="10" customWidth="1" min="539" max="539"/>
    <col width="10" customWidth="1" min="540" max="540"/>
    <col width="10" customWidth="1" min="541" max="541"/>
    <col width="11" customWidth="1" min="542" max="542"/>
    <col width="11" customWidth="1" min="543" max="543"/>
    <col width="10" customWidth="1" min="544" max="544"/>
    <col width="11" customWidth="1" min="545" max="545"/>
    <col width="13" customWidth="1" min="546" max="546"/>
    <col width="12" customWidth="1" min="548" max="548"/>
    <col width="10" customWidth="1" min="549" max="549"/>
    <col width="10" customWidth="1" min="550" max="550"/>
    <col width="10" customWidth="1" min="551" max="551"/>
    <col width="10" customWidth="1" min="552" max="552"/>
    <col width="11" customWidth="1" min="553" max="553"/>
    <col width="11" customWidth="1" min="554" max="554"/>
    <col width="10" customWidth="1" min="555" max="555"/>
    <col width="10" customWidth="1" min="556" max="556"/>
    <col width="10" customWidth="1" min="557" max="557"/>
    <col width="10" customWidth="1" min="558" max="558"/>
    <col width="11" customWidth="1" min="559" max="559"/>
    <col width="11" customWidth="1" min="560" max="560"/>
    <col width="10" customWidth="1" min="561" max="561"/>
    <col width="11" customWidth="1" min="562" max="562"/>
    <col width="13" customWidth="1" min="563" max="563"/>
    <col width="12" customWidth="1" min="565" max="565"/>
    <col width="10" customWidth="1" min="566" max="566"/>
    <col width="10" customWidth="1" min="567" max="567"/>
    <col width="10" customWidth="1" min="568" max="568"/>
    <col width="10" customWidth="1" min="569" max="569"/>
    <col width="11" customWidth="1" min="570" max="570"/>
    <col width="11" customWidth="1" min="571" max="571"/>
    <col width="10" customWidth="1" min="572" max="572"/>
    <col width="10" customWidth="1" min="573" max="573"/>
    <col width="10" customWidth="1" min="574" max="574"/>
    <col width="10" customWidth="1" min="575" max="575"/>
    <col width="11" customWidth="1" min="576" max="576"/>
    <col width="11" customWidth="1" min="577" max="577"/>
    <col width="10" customWidth="1" min="578" max="578"/>
    <col width="11" customWidth="1" min="579" max="579"/>
    <col width="13" customWidth="1" min="580" max="580"/>
  </cols>
  <sheetData>
    <row r="1">
      <c r="A1" s="2" t="inlineStr">
        <is>
          <t>Contract month</t>
        </is>
      </c>
      <c r="B1" s="9" t="n">
        <v>5</v>
      </c>
      <c r="D1" s="2">
        <f>IF(ISNUMBER(B$8),"CL"&amp;MID("FGHJKMNQUVXZ",B$1,1)&amp;B$4&amp;"C "&amp;IF(Settings!$F$14=2,TEXT((B$8-8),"0.00"),(B$8-8))&amp;" Comdty","")</f>
        <v/>
      </c>
      <c r="U1" s="2">
        <f>IF(ISNUMBER(B$8),"CL"&amp;MID("FGHJKMNQUVXZ",B$1,1)&amp;B$4&amp;"P "&amp;IF(Settings!$F$14=2,TEXT((B$8-8),"0.00"),(B$8-8))&amp;" Comdty","")</f>
        <v/>
      </c>
      <c r="AL1" s="2">
        <f>IF(ISNUMBER(B$8),"CL"&amp;MID("FGHJKMNQUVXZ",B$1,1)&amp;B$4&amp;"C "&amp;IF(Settings!$F$14=2,TEXT((B$8-7),"0.00"),(B$8-7))&amp;" Comdty","")</f>
        <v/>
      </c>
      <c r="BC1" s="2">
        <f>IF(ISNUMBER(B$8),"CL"&amp;MID("FGHJKMNQUVXZ",B$1,1)&amp;B$4&amp;"P "&amp;IF(Settings!$F$14=2,TEXT((B$8-7),"0.00"),(B$8-7))&amp;" Comdty","")</f>
        <v/>
      </c>
      <c r="BT1" s="2">
        <f>IF(ISNUMBER(B$8),"CL"&amp;MID("FGHJKMNQUVXZ",B$1,1)&amp;B$4&amp;"C "&amp;IF(Settings!$F$14=2,TEXT((B$8-6),"0.00"),(B$8-6))&amp;" Comdty","")</f>
        <v/>
      </c>
      <c r="CK1" s="2">
        <f>IF(ISNUMBER(B$8),"CL"&amp;MID("FGHJKMNQUVXZ",B$1,1)&amp;B$4&amp;"P "&amp;IF(Settings!$F$14=2,TEXT((B$8-6),"0.00"),(B$8-6))&amp;" Comdty","")</f>
        <v/>
      </c>
      <c r="DB1" s="2">
        <f>IF(ISNUMBER(B$8),"CL"&amp;MID("FGHJKMNQUVXZ",B$1,1)&amp;B$4&amp;"C "&amp;IF(Settings!$F$14=2,TEXT((B$8-5),"0.00"),(B$8-5))&amp;" Comdty","")</f>
        <v/>
      </c>
      <c r="DS1" s="2">
        <f>IF(ISNUMBER(B$8),"CL"&amp;MID("FGHJKMNQUVXZ",B$1,1)&amp;B$4&amp;"P "&amp;IF(Settings!$F$14=2,TEXT((B$8-5),"0.00"),(B$8-5))&amp;" Comdty","")</f>
        <v/>
      </c>
      <c r="EJ1" s="2">
        <f>IF(ISNUMBER(B$8),"CL"&amp;MID("FGHJKMNQUVXZ",B$1,1)&amp;B$4&amp;"C "&amp;IF(Settings!$F$14=2,TEXT((B$8-4),"0.00"),(B$8-4))&amp;" Comdty","")</f>
        <v/>
      </c>
      <c r="FA1" s="2">
        <f>IF(ISNUMBER(B$8),"CL"&amp;MID("FGHJKMNQUVXZ",B$1,1)&amp;B$4&amp;"P "&amp;IF(Settings!$F$14=2,TEXT((B$8-4),"0.00"),(B$8-4))&amp;" Comdty","")</f>
        <v/>
      </c>
      <c r="FR1" s="2">
        <f>IF(ISNUMBER(B$8),"CL"&amp;MID("FGHJKMNQUVXZ",B$1,1)&amp;B$4&amp;"C "&amp;IF(Settings!$F$14=2,TEXT((B$8-3),"0.00"),(B$8-3))&amp;" Comdty","")</f>
        <v/>
      </c>
      <c r="GI1" s="2">
        <f>IF(ISNUMBER(B$8),"CL"&amp;MID("FGHJKMNQUVXZ",B$1,1)&amp;B$4&amp;"P "&amp;IF(Settings!$F$14=2,TEXT((B$8-3),"0.00"),(B$8-3))&amp;" Comdty","")</f>
        <v/>
      </c>
      <c r="GZ1" s="2">
        <f>IF(ISNUMBER(B$8),"CL"&amp;MID("FGHJKMNQUVXZ",B$1,1)&amp;B$4&amp;"C "&amp;IF(Settings!$F$14=2,TEXT((B$8-2),"0.00"),(B$8-2))&amp;" Comdty","")</f>
        <v/>
      </c>
      <c r="HQ1" s="2">
        <f>IF(ISNUMBER(B$8),"CL"&amp;MID("FGHJKMNQUVXZ",B$1,1)&amp;B$4&amp;"P "&amp;IF(Settings!$F$14=2,TEXT((B$8-2),"0.00"),(B$8-2))&amp;" Comdty","")</f>
        <v/>
      </c>
      <c r="IH1" s="2">
        <f>IF(ISNUMBER(B$8),"CL"&amp;MID("FGHJKMNQUVXZ",B$1,1)&amp;B$4&amp;"C "&amp;IF(Settings!$F$14=2,TEXT((B$8-1),"0.00"),(B$8-1))&amp;" Comdty","")</f>
        <v/>
      </c>
      <c r="IY1" s="2">
        <f>IF(ISNUMBER(B$8),"CL"&amp;MID("FGHJKMNQUVXZ",B$1,1)&amp;B$4&amp;"P "&amp;IF(Settings!$F$14=2,TEXT((B$8-1),"0.00"),(B$8-1))&amp;" Comdty","")</f>
        <v/>
      </c>
      <c r="JP1" s="2">
        <f>IF(ISNUMBER(B$8),"CL"&amp;MID("FGHJKMNQUVXZ",B$1,1)&amp;B$4&amp;"C "&amp;IF(Settings!$F$14=2,TEXT(B$8,"0.00"),B$8)&amp;" Comdty","")</f>
        <v/>
      </c>
      <c r="KG1" s="2">
        <f>IF(ISNUMBER(B$8),"CL"&amp;MID("FGHJKMNQUVXZ",B$1,1)&amp;B$4&amp;"P "&amp;IF(Settings!$F$14=2,TEXT(B$8,"0.00"),B$8)&amp;" Comdty","")</f>
        <v/>
      </c>
      <c r="KX1" s="2">
        <f>IF(ISNUMBER(B$8),"CL"&amp;MID("FGHJKMNQUVXZ",B$1,1)&amp;B$4&amp;"C "&amp;IF(Settings!$F$14=2,TEXT((B$8+1),"0.00"),(B$8+1))&amp;" Comdty","")</f>
        <v/>
      </c>
      <c r="LO1" s="2">
        <f>IF(ISNUMBER(B$8),"CL"&amp;MID("FGHJKMNQUVXZ",B$1,1)&amp;B$4&amp;"P "&amp;IF(Settings!$F$14=2,TEXT((B$8+1),"0.00"),(B$8+1))&amp;" Comdty","")</f>
        <v/>
      </c>
      <c r="MF1" s="2">
        <f>IF(ISNUMBER(B$8),"CL"&amp;MID("FGHJKMNQUVXZ",B$1,1)&amp;B$4&amp;"C "&amp;IF(Settings!$F$14=2,TEXT((B$8+2),"0.00"),(B$8+2))&amp;" Comdty","")</f>
        <v/>
      </c>
      <c r="MW1" s="2">
        <f>IF(ISNUMBER(B$8),"CL"&amp;MID("FGHJKMNQUVXZ",B$1,1)&amp;B$4&amp;"P "&amp;IF(Settings!$F$14=2,TEXT((B$8+2),"0.00"),(B$8+2))&amp;" Comdty","")</f>
        <v/>
      </c>
      <c r="NN1" s="2">
        <f>IF(ISNUMBER(B$8),"CL"&amp;MID("FGHJKMNQUVXZ",B$1,1)&amp;B$4&amp;"C "&amp;IF(Settings!$F$14=2,TEXT((B$8+3),"0.00"),(B$8+3))&amp;" Comdty","")</f>
        <v/>
      </c>
      <c r="OE1" s="2">
        <f>IF(ISNUMBER(B$8),"CL"&amp;MID("FGHJKMNQUVXZ",B$1,1)&amp;B$4&amp;"P "&amp;IF(Settings!$F$14=2,TEXT((B$8+3),"0.00"),(B$8+3))&amp;" Comdty","")</f>
        <v/>
      </c>
      <c r="OV1" s="2">
        <f>IF(ISNUMBER(B$8),"CL"&amp;MID("FGHJKMNQUVXZ",B$1,1)&amp;B$4&amp;"C "&amp;IF(Settings!$F$14=2,TEXT((B$8+4),"0.00"),(B$8+4))&amp;" Comdty","")</f>
        <v/>
      </c>
      <c r="PM1" s="2">
        <f>IF(ISNUMBER(B$8),"CL"&amp;MID("FGHJKMNQUVXZ",B$1,1)&amp;B$4&amp;"P "&amp;IF(Settings!$F$14=2,TEXT((B$8+4),"0.00"),(B$8+4))&amp;" Comdty","")</f>
        <v/>
      </c>
      <c r="QD1" s="2">
        <f>IF(ISNUMBER(B$8),"CL"&amp;MID("FGHJKMNQUVXZ",B$1,1)&amp;B$4&amp;"C "&amp;IF(Settings!$F$14=2,TEXT((B$8+5),"0.00"),(B$8+5))&amp;" Comdty","")</f>
        <v/>
      </c>
      <c r="QU1" s="2">
        <f>IF(ISNUMBER(B$8),"CL"&amp;MID("FGHJKMNQUVXZ",B$1,1)&amp;B$4&amp;"P "&amp;IF(Settings!$F$14=2,TEXT((B$8+5),"0.00"),(B$8+5))&amp;" Comdty","")</f>
        <v/>
      </c>
      <c r="RL1" s="2">
        <f>IF(ISNUMBER(B$8),"CL"&amp;MID("FGHJKMNQUVXZ",B$1,1)&amp;B$4&amp;"C "&amp;IF(Settings!$F$14=2,TEXT((B$8+6),"0.00"),(B$8+6))&amp;" Comdty","")</f>
        <v/>
      </c>
      <c r="SC1" s="2">
        <f>IF(ISNUMBER(B$8),"CL"&amp;MID("FGHJKMNQUVXZ",B$1,1)&amp;B$4&amp;"P "&amp;IF(Settings!$F$14=2,TEXT((B$8+6),"0.00"),(B$8+6))&amp;" Comdty","")</f>
        <v/>
      </c>
      <c r="ST1" s="2">
        <f>IF(ISNUMBER(B$8),"CL"&amp;MID("FGHJKMNQUVXZ",B$1,1)&amp;B$4&amp;"C "&amp;IF(Settings!$F$14=2,TEXT((B$8+7),"0.00"),(B$8+7))&amp;" Comdty","")</f>
        <v/>
      </c>
      <c r="TK1" s="2">
        <f>IF(ISNUMBER(B$8),"CL"&amp;MID("FGHJKMNQUVXZ",B$1,1)&amp;B$4&amp;"P "&amp;IF(Settings!$F$14=2,TEXT((B$8+7),"0.00"),(B$8+7))&amp;" Comdty","")</f>
        <v/>
      </c>
      <c r="UB1" s="2">
        <f>IF(ISNUMBER(B$8),"CL"&amp;MID("FGHJKMNQUVXZ",B$1,1)&amp;B$4&amp;"C "&amp;IF(Settings!$F$14=2,TEXT((B$8+8),"0.00"),(B$8+8))&amp;" Comdty","")</f>
        <v/>
      </c>
      <c r="US1" s="2">
        <f>IF(ISNUMBER(B$8),"CL"&amp;MID("FGHJKMNQUVXZ",B$1,1)&amp;B$4&amp;"P "&amp;IF(Settings!$F$14=2,TEXT((B$8+8),"0.00"),(B$8+8))&amp;" Comdty","")</f>
        <v/>
      </c>
    </row>
    <row r="2">
      <c r="A2" s="2" t="inlineStr">
        <is>
          <t>Futures last trade</t>
        </is>
      </c>
      <c r="B2" s="8">
        <f>WORKDAY(DATE(Settings!$E$14,B1-1,25),-3)</f>
        <v/>
      </c>
      <c r="D2" s="4" t="inlineStr">
        <is>
          <t>call -8 from ATM</t>
        </is>
      </c>
      <c r="U2" s="4" t="inlineStr">
        <is>
          <t>put -8 from ATM</t>
        </is>
      </c>
      <c r="AL2" s="4" t="inlineStr">
        <is>
          <t>call -7 from ATM</t>
        </is>
      </c>
      <c r="BC2" s="4" t="inlineStr">
        <is>
          <t>put -7 from ATM</t>
        </is>
      </c>
      <c r="BT2" s="4" t="inlineStr">
        <is>
          <t>call -6 from ATM</t>
        </is>
      </c>
      <c r="CK2" s="4" t="inlineStr">
        <is>
          <t>put -6 from ATM</t>
        </is>
      </c>
      <c r="DB2" s="4" t="inlineStr">
        <is>
          <t>call -5 from ATM</t>
        </is>
      </c>
      <c r="DS2" s="4" t="inlineStr">
        <is>
          <t>put -5 from ATM</t>
        </is>
      </c>
      <c r="EJ2" s="4" t="inlineStr">
        <is>
          <t>call -4 from ATM</t>
        </is>
      </c>
      <c r="FA2" s="4" t="inlineStr">
        <is>
          <t>put -4 from ATM</t>
        </is>
      </c>
      <c r="FR2" s="4" t="inlineStr">
        <is>
          <t>call -3 from ATM</t>
        </is>
      </c>
      <c r="GI2" s="4" t="inlineStr">
        <is>
          <t>put -3 from ATM</t>
        </is>
      </c>
      <c r="GZ2" s="4" t="inlineStr">
        <is>
          <t>call -2 from ATM</t>
        </is>
      </c>
      <c r="HQ2" s="4" t="inlineStr">
        <is>
          <t>put -2 from ATM</t>
        </is>
      </c>
      <c r="IH2" s="4" t="inlineStr">
        <is>
          <t>call -1 from ATM</t>
        </is>
      </c>
      <c r="IY2" s="4" t="inlineStr">
        <is>
          <t>put -1 from ATM</t>
        </is>
      </c>
      <c r="JP2" s="4" t="inlineStr">
        <is>
          <t>call +0 from ATM</t>
        </is>
      </c>
      <c r="KG2" s="4" t="inlineStr">
        <is>
          <t>put +0 from ATM</t>
        </is>
      </c>
      <c r="KX2" s="4" t="inlineStr">
        <is>
          <t>call +1 from ATM</t>
        </is>
      </c>
      <c r="LO2" s="4" t="inlineStr">
        <is>
          <t>put +1 from ATM</t>
        </is>
      </c>
      <c r="MF2" s="4" t="inlineStr">
        <is>
          <t>call +2 from ATM</t>
        </is>
      </c>
      <c r="MW2" s="4" t="inlineStr">
        <is>
          <t>put +2 from ATM</t>
        </is>
      </c>
      <c r="NN2" s="4" t="inlineStr">
        <is>
          <t>call +3 from ATM</t>
        </is>
      </c>
      <c r="OE2" s="4" t="inlineStr">
        <is>
          <t>put +3 from ATM</t>
        </is>
      </c>
      <c r="OV2" s="4" t="inlineStr">
        <is>
          <t>call +4 from ATM</t>
        </is>
      </c>
      <c r="PM2" s="4" t="inlineStr">
        <is>
          <t>put +4 from ATM</t>
        </is>
      </c>
      <c r="QD2" s="4" t="inlineStr">
        <is>
          <t>call +5 from ATM</t>
        </is>
      </c>
      <c r="QU2" s="4" t="inlineStr">
        <is>
          <t>put +5 from ATM</t>
        </is>
      </c>
      <c r="RL2" s="4" t="inlineStr">
        <is>
          <t>call +6 from ATM</t>
        </is>
      </c>
      <c r="SC2" s="4" t="inlineStr">
        <is>
          <t>put +6 from ATM</t>
        </is>
      </c>
      <c r="ST2" s="4" t="inlineStr">
        <is>
          <t>call +7 from ATM</t>
        </is>
      </c>
      <c r="TK2" s="4" t="inlineStr">
        <is>
          <t>put +7 from ATM</t>
        </is>
      </c>
      <c r="UB2" s="4" t="inlineStr">
        <is>
          <t>call +8 from ATM</t>
        </is>
      </c>
      <c r="US2" s="4" t="inlineStr">
        <is>
          <t>put +8 from ATM</t>
        </is>
      </c>
    </row>
    <row r="3">
      <c r="A3" s="2" t="inlineStr">
        <is>
          <t>Option expiry (approx)</t>
        </is>
      </c>
      <c r="B3" s="8">
        <f>WORKDAY(B2,-1)</f>
        <v/>
      </c>
      <c r="D3" s="5" t="inlineStr">
        <is>
          <t>Date</t>
        </is>
      </c>
      <c r="E3" s="5" t="inlineStr">
        <is>
          <t>PX_BID</t>
        </is>
      </c>
      <c r="F3" s="5" t="inlineStr">
        <is>
          <t>PX_ASK</t>
        </is>
      </c>
      <c r="G3" s="5" t="inlineStr">
        <is>
          <t>PX_MID</t>
        </is>
      </c>
      <c r="H3" s="5" t="inlineStr">
        <is>
          <t>PX_LAST</t>
        </is>
      </c>
      <c r="I3" s="5" t="inlineStr">
        <is>
          <t>PX_SETTLE</t>
        </is>
      </c>
      <c r="J3" s="5" t="inlineStr">
        <is>
          <t>PX_VOLUME</t>
        </is>
      </c>
      <c r="K3" s="5" t="inlineStr">
        <is>
          <t>OPEN_INT</t>
        </is>
      </c>
      <c r="L3" s="5" t="inlineStr">
        <is>
          <t>IVOL_MID</t>
        </is>
      </c>
      <c r="M3" s="5" t="inlineStr">
        <is>
          <t>IVOL_BID</t>
        </is>
      </c>
      <c r="N3" s="5" t="inlineStr">
        <is>
          <t>IVOL_ASK</t>
        </is>
      </c>
      <c r="O3" s="5" t="inlineStr">
        <is>
          <t>DELTA_MID</t>
        </is>
      </c>
      <c r="P3" s="5" t="inlineStr">
        <is>
          <t>GAMMA_MID</t>
        </is>
      </c>
      <c r="Q3" s="5" t="inlineStr">
        <is>
          <t>VEGA_MID</t>
        </is>
      </c>
      <c r="R3" s="5" t="inlineStr">
        <is>
          <t>THETA_MID</t>
        </is>
      </c>
      <c r="S3" s="5" t="inlineStr">
        <is>
          <t>OPT_UNDL_PX</t>
        </is>
      </c>
      <c r="U3" s="5" t="inlineStr">
        <is>
          <t>Date</t>
        </is>
      </c>
      <c r="V3" s="5" t="inlineStr">
        <is>
          <t>PX_BID</t>
        </is>
      </c>
      <c r="W3" s="5" t="inlineStr">
        <is>
          <t>PX_ASK</t>
        </is>
      </c>
      <c r="X3" s="5" t="inlineStr">
        <is>
          <t>PX_MID</t>
        </is>
      </c>
      <c r="Y3" s="5" t="inlineStr">
        <is>
          <t>PX_LAST</t>
        </is>
      </c>
      <c r="Z3" s="5" t="inlineStr">
        <is>
          <t>PX_SETTLE</t>
        </is>
      </c>
      <c r="AA3" s="5" t="inlineStr">
        <is>
          <t>PX_VOLUME</t>
        </is>
      </c>
      <c r="AB3" s="5" t="inlineStr">
        <is>
          <t>OPEN_INT</t>
        </is>
      </c>
      <c r="AC3" s="5" t="inlineStr">
        <is>
          <t>IVOL_MID</t>
        </is>
      </c>
      <c r="AD3" s="5" t="inlineStr">
        <is>
          <t>IVOL_BID</t>
        </is>
      </c>
      <c r="AE3" s="5" t="inlineStr">
        <is>
          <t>IVOL_ASK</t>
        </is>
      </c>
      <c r="AF3" s="5" t="inlineStr">
        <is>
          <t>DELTA_MID</t>
        </is>
      </c>
      <c r="AG3" s="5" t="inlineStr">
        <is>
          <t>GAMMA_MID</t>
        </is>
      </c>
      <c r="AH3" s="5" t="inlineStr">
        <is>
          <t>VEGA_MID</t>
        </is>
      </c>
      <c r="AI3" s="5" t="inlineStr">
        <is>
          <t>THETA_MID</t>
        </is>
      </c>
      <c r="AJ3" s="5" t="inlineStr">
        <is>
          <t>OPT_UNDL_PX</t>
        </is>
      </c>
      <c r="AL3" s="5" t="inlineStr">
        <is>
          <t>Date</t>
        </is>
      </c>
      <c r="AM3" s="5" t="inlineStr">
        <is>
          <t>PX_BID</t>
        </is>
      </c>
      <c r="AN3" s="5" t="inlineStr">
        <is>
          <t>PX_ASK</t>
        </is>
      </c>
      <c r="AO3" s="5" t="inlineStr">
        <is>
          <t>PX_MID</t>
        </is>
      </c>
      <c r="AP3" s="5" t="inlineStr">
        <is>
          <t>PX_LAST</t>
        </is>
      </c>
      <c r="AQ3" s="5" t="inlineStr">
        <is>
          <t>PX_SETTLE</t>
        </is>
      </c>
      <c r="AR3" s="5" t="inlineStr">
        <is>
          <t>PX_VOLUME</t>
        </is>
      </c>
      <c r="AS3" s="5" t="inlineStr">
        <is>
          <t>OPEN_INT</t>
        </is>
      </c>
      <c r="AT3" s="5" t="inlineStr">
        <is>
          <t>IVOL_MID</t>
        </is>
      </c>
      <c r="AU3" s="5" t="inlineStr">
        <is>
          <t>IVOL_BID</t>
        </is>
      </c>
      <c r="AV3" s="5" t="inlineStr">
        <is>
          <t>IVOL_ASK</t>
        </is>
      </c>
      <c r="AW3" s="5" t="inlineStr">
        <is>
          <t>DELTA_MID</t>
        </is>
      </c>
      <c r="AX3" s="5" t="inlineStr">
        <is>
          <t>GAMMA_MID</t>
        </is>
      </c>
      <c r="AY3" s="5" t="inlineStr">
        <is>
          <t>VEGA_MID</t>
        </is>
      </c>
      <c r="AZ3" s="5" t="inlineStr">
        <is>
          <t>THETA_MID</t>
        </is>
      </c>
      <c r="BA3" s="5" t="inlineStr">
        <is>
          <t>OPT_UNDL_PX</t>
        </is>
      </c>
      <c r="BC3" s="5" t="inlineStr">
        <is>
          <t>Date</t>
        </is>
      </c>
      <c r="BD3" s="5" t="inlineStr">
        <is>
          <t>PX_BID</t>
        </is>
      </c>
      <c r="BE3" s="5" t="inlineStr">
        <is>
          <t>PX_ASK</t>
        </is>
      </c>
      <c r="BF3" s="5" t="inlineStr">
        <is>
          <t>PX_MID</t>
        </is>
      </c>
      <c r="BG3" s="5" t="inlineStr">
        <is>
          <t>PX_LAST</t>
        </is>
      </c>
      <c r="BH3" s="5" t="inlineStr">
        <is>
          <t>PX_SETTLE</t>
        </is>
      </c>
      <c r="BI3" s="5" t="inlineStr">
        <is>
          <t>PX_VOLUME</t>
        </is>
      </c>
      <c r="BJ3" s="5" t="inlineStr">
        <is>
          <t>OPEN_INT</t>
        </is>
      </c>
      <c r="BK3" s="5" t="inlineStr">
        <is>
          <t>IVOL_MID</t>
        </is>
      </c>
      <c r="BL3" s="5" t="inlineStr">
        <is>
          <t>IVOL_BID</t>
        </is>
      </c>
      <c r="BM3" s="5" t="inlineStr">
        <is>
          <t>IVOL_ASK</t>
        </is>
      </c>
      <c r="BN3" s="5" t="inlineStr">
        <is>
          <t>DELTA_MID</t>
        </is>
      </c>
      <c r="BO3" s="5" t="inlineStr">
        <is>
          <t>GAMMA_MID</t>
        </is>
      </c>
      <c r="BP3" s="5" t="inlineStr">
        <is>
          <t>VEGA_MID</t>
        </is>
      </c>
      <c r="BQ3" s="5" t="inlineStr">
        <is>
          <t>THETA_MID</t>
        </is>
      </c>
      <c r="BR3" s="5" t="inlineStr">
        <is>
          <t>OPT_UNDL_PX</t>
        </is>
      </c>
      <c r="BT3" s="5" t="inlineStr">
        <is>
          <t>Date</t>
        </is>
      </c>
      <c r="BU3" s="5" t="inlineStr">
        <is>
          <t>PX_BID</t>
        </is>
      </c>
      <c r="BV3" s="5" t="inlineStr">
        <is>
          <t>PX_ASK</t>
        </is>
      </c>
      <c r="BW3" s="5" t="inlineStr">
        <is>
          <t>PX_MID</t>
        </is>
      </c>
      <c r="BX3" s="5" t="inlineStr">
        <is>
          <t>PX_LAST</t>
        </is>
      </c>
      <c r="BY3" s="5" t="inlineStr">
        <is>
          <t>PX_SETTLE</t>
        </is>
      </c>
      <c r="BZ3" s="5" t="inlineStr">
        <is>
          <t>PX_VOLUME</t>
        </is>
      </c>
      <c r="CA3" s="5" t="inlineStr">
        <is>
          <t>OPEN_INT</t>
        </is>
      </c>
      <c r="CB3" s="5" t="inlineStr">
        <is>
          <t>IVOL_MID</t>
        </is>
      </c>
      <c r="CC3" s="5" t="inlineStr">
        <is>
          <t>IVOL_BID</t>
        </is>
      </c>
      <c r="CD3" s="5" t="inlineStr">
        <is>
          <t>IVOL_ASK</t>
        </is>
      </c>
      <c r="CE3" s="5" t="inlineStr">
        <is>
          <t>DELTA_MID</t>
        </is>
      </c>
      <c r="CF3" s="5" t="inlineStr">
        <is>
          <t>GAMMA_MID</t>
        </is>
      </c>
      <c r="CG3" s="5" t="inlineStr">
        <is>
          <t>VEGA_MID</t>
        </is>
      </c>
      <c r="CH3" s="5" t="inlineStr">
        <is>
          <t>THETA_MID</t>
        </is>
      </c>
      <c r="CI3" s="5" t="inlineStr">
        <is>
          <t>OPT_UNDL_PX</t>
        </is>
      </c>
      <c r="CK3" s="5" t="inlineStr">
        <is>
          <t>Date</t>
        </is>
      </c>
      <c r="CL3" s="5" t="inlineStr">
        <is>
          <t>PX_BID</t>
        </is>
      </c>
      <c r="CM3" s="5" t="inlineStr">
        <is>
          <t>PX_ASK</t>
        </is>
      </c>
      <c r="CN3" s="5" t="inlineStr">
        <is>
          <t>PX_MID</t>
        </is>
      </c>
      <c r="CO3" s="5" t="inlineStr">
        <is>
          <t>PX_LAST</t>
        </is>
      </c>
      <c r="CP3" s="5" t="inlineStr">
        <is>
          <t>PX_SETTLE</t>
        </is>
      </c>
      <c r="CQ3" s="5" t="inlineStr">
        <is>
          <t>PX_VOLUME</t>
        </is>
      </c>
      <c r="CR3" s="5" t="inlineStr">
        <is>
          <t>OPEN_INT</t>
        </is>
      </c>
      <c r="CS3" s="5" t="inlineStr">
        <is>
          <t>IVOL_MID</t>
        </is>
      </c>
      <c r="CT3" s="5" t="inlineStr">
        <is>
          <t>IVOL_BID</t>
        </is>
      </c>
      <c r="CU3" s="5" t="inlineStr">
        <is>
          <t>IVOL_ASK</t>
        </is>
      </c>
      <c r="CV3" s="5" t="inlineStr">
        <is>
          <t>DELTA_MID</t>
        </is>
      </c>
      <c r="CW3" s="5" t="inlineStr">
        <is>
          <t>GAMMA_MID</t>
        </is>
      </c>
      <c r="CX3" s="5" t="inlineStr">
        <is>
          <t>VEGA_MID</t>
        </is>
      </c>
      <c r="CY3" s="5" t="inlineStr">
        <is>
          <t>THETA_MID</t>
        </is>
      </c>
      <c r="CZ3" s="5" t="inlineStr">
        <is>
          <t>OPT_UNDL_PX</t>
        </is>
      </c>
      <c r="DB3" s="5" t="inlineStr">
        <is>
          <t>Date</t>
        </is>
      </c>
      <c r="DC3" s="5" t="inlineStr">
        <is>
          <t>PX_BID</t>
        </is>
      </c>
      <c r="DD3" s="5" t="inlineStr">
        <is>
          <t>PX_ASK</t>
        </is>
      </c>
      <c r="DE3" s="5" t="inlineStr">
        <is>
          <t>PX_MID</t>
        </is>
      </c>
      <c r="DF3" s="5" t="inlineStr">
        <is>
          <t>PX_LAST</t>
        </is>
      </c>
      <c r="DG3" s="5" t="inlineStr">
        <is>
          <t>PX_SETTLE</t>
        </is>
      </c>
      <c r="DH3" s="5" t="inlineStr">
        <is>
          <t>PX_VOLUME</t>
        </is>
      </c>
      <c r="DI3" s="5" t="inlineStr">
        <is>
          <t>OPEN_INT</t>
        </is>
      </c>
      <c r="DJ3" s="5" t="inlineStr">
        <is>
          <t>IVOL_MID</t>
        </is>
      </c>
      <c r="DK3" s="5" t="inlineStr">
        <is>
          <t>IVOL_BID</t>
        </is>
      </c>
      <c r="DL3" s="5" t="inlineStr">
        <is>
          <t>IVOL_ASK</t>
        </is>
      </c>
      <c r="DM3" s="5" t="inlineStr">
        <is>
          <t>DELTA_MID</t>
        </is>
      </c>
      <c r="DN3" s="5" t="inlineStr">
        <is>
          <t>GAMMA_MID</t>
        </is>
      </c>
      <c r="DO3" s="5" t="inlineStr">
        <is>
          <t>VEGA_MID</t>
        </is>
      </c>
      <c r="DP3" s="5" t="inlineStr">
        <is>
          <t>THETA_MID</t>
        </is>
      </c>
      <c r="DQ3" s="5" t="inlineStr">
        <is>
          <t>OPT_UNDL_PX</t>
        </is>
      </c>
      <c r="DS3" s="5" t="inlineStr">
        <is>
          <t>Date</t>
        </is>
      </c>
      <c r="DT3" s="5" t="inlineStr">
        <is>
          <t>PX_BID</t>
        </is>
      </c>
      <c r="DU3" s="5" t="inlineStr">
        <is>
          <t>PX_ASK</t>
        </is>
      </c>
      <c r="DV3" s="5" t="inlineStr">
        <is>
          <t>PX_MID</t>
        </is>
      </c>
      <c r="DW3" s="5" t="inlineStr">
        <is>
          <t>PX_LAST</t>
        </is>
      </c>
      <c r="DX3" s="5" t="inlineStr">
        <is>
          <t>PX_SETTLE</t>
        </is>
      </c>
      <c r="DY3" s="5" t="inlineStr">
        <is>
          <t>PX_VOLUME</t>
        </is>
      </c>
      <c r="DZ3" s="5" t="inlineStr">
        <is>
          <t>OPEN_INT</t>
        </is>
      </c>
      <c r="EA3" s="5" t="inlineStr">
        <is>
          <t>IVOL_MID</t>
        </is>
      </c>
      <c r="EB3" s="5" t="inlineStr">
        <is>
          <t>IVOL_BID</t>
        </is>
      </c>
      <c r="EC3" s="5" t="inlineStr">
        <is>
          <t>IVOL_ASK</t>
        </is>
      </c>
      <c r="ED3" s="5" t="inlineStr">
        <is>
          <t>DELTA_MID</t>
        </is>
      </c>
      <c r="EE3" s="5" t="inlineStr">
        <is>
          <t>GAMMA_MID</t>
        </is>
      </c>
      <c r="EF3" s="5" t="inlineStr">
        <is>
          <t>VEGA_MID</t>
        </is>
      </c>
      <c r="EG3" s="5" t="inlineStr">
        <is>
          <t>THETA_MID</t>
        </is>
      </c>
      <c r="EH3" s="5" t="inlineStr">
        <is>
          <t>OPT_UNDL_PX</t>
        </is>
      </c>
      <c r="EJ3" s="5" t="inlineStr">
        <is>
          <t>Date</t>
        </is>
      </c>
      <c r="EK3" s="5" t="inlineStr">
        <is>
          <t>PX_BID</t>
        </is>
      </c>
      <c r="EL3" s="5" t="inlineStr">
        <is>
          <t>PX_ASK</t>
        </is>
      </c>
      <c r="EM3" s="5" t="inlineStr">
        <is>
          <t>PX_MID</t>
        </is>
      </c>
      <c r="EN3" s="5" t="inlineStr">
        <is>
          <t>PX_LAST</t>
        </is>
      </c>
      <c r="EO3" s="5" t="inlineStr">
        <is>
          <t>PX_SETTLE</t>
        </is>
      </c>
      <c r="EP3" s="5" t="inlineStr">
        <is>
          <t>PX_VOLUME</t>
        </is>
      </c>
      <c r="EQ3" s="5" t="inlineStr">
        <is>
          <t>OPEN_INT</t>
        </is>
      </c>
      <c r="ER3" s="5" t="inlineStr">
        <is>
          <t>IVOL_MID</t>
        </is>
      </c>
      <c r="ES3" s="5" t="inlineStr">
        <is>
          <t>IVOL_BID</t>
        </is>
      </c>
      <c r="ET3" s="5" t="inlineStr">
        <is>
          <t>IVOL_ASK</t>
        </is>
      </c>
      <c r="EU3" s="5" t="inlineStr">
        <is>
          <t>DELTA_MID</t>
        </is>
      </c>
      <c r="EV3" s="5" t="inlineStr">
        <is>
          <t>GAMMA_MID</t>
        </is>
      </c>
      <c r="EW3" s="5" t="inlineStr">
        <is>
          <t>VEGA_MID</t>
        </is>
      </c>
      <c r="EX3" s="5" t="inlineStr">
        <is>
          <t>THETA_MID</t>
        </is>
      </c>
      <c r="EY3" s="5" t="inlineStr">
        <is>
          <t>OPT_UNDL_PX</t>
        </is>
      </c>
      <c r="FA3" s="5" t="inlineStr">
        <is>
          <t>Date</t>
        </is>
      </c>
      <c r="FB3" s="5" t="inlineStr">
        <is>
          <t>PX_BID</t>
        </is>
      </c>
      <c r="FC3" s="5" t="inlineStr">
        <is>
          <t>PX_ASK</t>
        </is>
      </c>
      <c r="FD3" s="5" t="inlineStr">
        <is>
          <t>PX_MID</t>
        </is>
      </c>
      <c r="FE3" s="5" t="inlineStr">
        <is>
          <t>PX_LAST</t>
        </is>
      </c>
      <c r="FF3" s="5" t="inlineStr">
        <is>
          <t>PX_SETTLE</t>
        </is>
      </c>
      <c r="FG3" s="5" t="inlineStr">
        <is>
          <t>PX_VOLUME</t>
        </is>
      </c>
      <c r="FH3" s="5" t="inlineStr">
        <is>
          <t>OPEN_INT</t>
        </is>
      </c>
      <c r="FI3" s="5" t="inlineStr">
        <is>
          <t>IVOL_MID</t>
        </is>
      </c>
      <c r="FJ3" s="5" t="inlineStr">
        <is>
          <t>IVOL_BID</t>
        </is>
      </c>
      <c r="FK3" s="5" t="inlineStr">
        <is>
          <t>IVOL_ASK</t>
        </is>
      </c>
      <c r="FL3" s="5" t="inlineStr">
        <is>
          <t>DELTA_MID</t>
        </is>
      </c>
      <c r="FM3" s="5" t="inlineStr">
        <is>
          <t>GAMMA_MID</t>
        </is>
      </c>
      <c r="FN3" s="5" t="inlineStr">
        <is>
          <t>VEGA_MID</t>
        </is>
      </c>
      <c r="FO3" s="5" t="inlineStr">
        <is>
          <t>THETA_MID</t>
        </is>
      </c>
      <c r="FP3" s="5" t="inlineStr">
        <is>
          <t>OPT_UNDL_PX</t>
        </is>
      </c>
      <c r="FR3" s="5" t="inlineStr">
        <is>
          <t>Date</t>
        </is>
      </c>
      <c r="FS3" s="5" t="inlineStr">
        <is>
          <t>PX_BID</t>
        </is>
      </c>
      <c r="FT3" s="5" t="inlineStr">
        <is>
          <t>PX_ASK</t>
        </is>
      </c>
      <c r="FU3" s="5" t="inlineStr">
        <is>
          <t>PX_MID</t>
        </is>
      </c>
      <c r="FV3" s="5" t="inlineStr">
        <is>
          <t>PX_LAST</t>
        </is>
      </c>
      <c r="FW3" s="5" t="inlineStr">
        <is>
          <t>PX_SETTLE</t>
        </is>
      </c>
      <c r="FX3" s="5" t="inlineStr">
        <is>
          <t>PX_VOLUME</t>
        </is>
      </c>
      <c r="FY3" s="5" t="inlineStr">
        <is>
          <t>OPEN_INT</t>
        </is>
      </c>
      <c r="FZ3" s="5" t="inlineStr">
        <is>
          <t>IVOL_MID</t>
        </is>
      </c>
      <c r="GA3" s="5" t="inlineStr">
        <is>
          <t>IVOL_BID</t>
        </is>
      </c>
      <c r="GB3" s="5" t="inlineStr">
        <is>
          <t>IVOL_ASK</t>
        </is>
      </c>
      <c r="GC3" s="5" t="inlineStr">
        <is>
          <t>DELTA_MID</t>
        </is>
      </c>
      <c r="GD3" s="5" t="inlineStr">
        <is>
          <t>GAMMA_MID</t>
        </is>
      </c>
      <c r="GE3" s="5" t="inlineStr">
        <is>
          <t>VEGA_MID</t>
        </is>
      </c>
      <c r="GF3" s="5" t="inlineStr">
        <is>
          <t>THETA_MID</t>
        </is>
      </c>
      <c r="GG3" s="5" t="inlineStr">
        <is>
          <t>OPT_UNDL_PX</t>
        </is>
      </c>
      <c r="GI3" s="5" t="inlineStr">
        <is>
          <t>Date</t>
        </is>
      </c>
      <c r="GJ3" s="5" t="inlineStr">
        <is>
          <t>PX_BID</t>
        </is>
      </c>
      <c r="GK3" s="5" t="inlineStr">
        <is>
          <t>PX_ASK</t>
        </is>
      </c>
      <c r="GL3" s="5" t="inlineStr">
        <is>
          <t>PX_MID</t>
        </is>
      </c>
      <c r="GM3" s="5" t="inlineStr">
        <is>
          <t>PX_LAST</t>
        </is>
      </c>
      <c r="GN3" s="5" t="inlineStr">
        <is>
          <t>PX_SETTLE</t>
        </is>
      </c>
      <c r="GO3" s="5" t="inlineStr">
        <is>
          <t>PX_VOLUME</t>
        </is>
      </c>
      <c r="GP3" s="5" t="inlineStr">
        <is>
          <t>OPEN_INT</t>
        </is>
      </c>
      <c r="GQ3" s="5" t="inlineStr">
        <is>
          <t>IVOL_MID</t>
        </is>
      </c>
      <c r="GR3" s="5" t="inlineStr">
        <is>
          <t>IVOL_BID</t>
        </is>
      </c>
      <c r="GS3" s="5" t="inlineStr">
        <is>
          <t>IVOL_ASK</t>
        </is>
      </c>
      <c r="GT3" s="5" t="inlineStr">
        <is>
          <t>DELTA_MID</t>
        </is>
      </c>
      <c r="GU3" s="5" t="inlineStr">
        <is>
          <t>GAMMA_MID</t>
        </is>
      </c>
      <c r="GV3" s="5" t="inlineStr">
        <is>
          <t>VEGA_MID</t>
        </is>
      </c>
      <c r="GW3" s="5" t="inlineStr">
        <is>
          <t>THETA_MID</t>
        </is>
      </c>
      <c r="GX3" s="5" t="inlineStr">
        <is>
          <t>OPT_UNDL_PX</t>
        </is>
      </c>
      <c r="GZ3" s="5" t="inlineStr">
        <is>
          <t>Date</t>
        </is>
      </c>
      <c r="HA3" s="5" t="inlineStr">
        <is>
          <t>PX_BID</t>
        </is>
      </c>
      <c r="HB3" s="5" t="inlineStr">
        <is>
          <t>PX_ASK</t>
        </is>
      </c>
      <c r="HC3" s="5" t="inlineStr">
        <is>
          <t>PX_MID</t>
        </is>
      </c>
      <c r="HD3" s="5" t="inlineStr">
        <is>
          <t>PX_LAST</t>
        </is>
      </c>
      <c r="HE3" s="5" t="inlineStr">
        <is>
          <t>PX_SETTLE</t>
        </is>
      </c>
      <c r="HF3" s="5" t="inlineStr">
        <is>
          <t>PX_VOLUME</t>
        </is>
      </c>
      <c r="HG3" s="5" t="inlineStr">
        <is>
          <t>OPEN_INT</t>
        </is>
      </c>
      <c r="HH3" s="5" t="inlineStr">
        <is>
          <t>IVOL_MID</t>
        </is>
      </c>
      <c r="HI3" s="5" t="inlineStr">
        <is>
          <t>IVOL_BID</t>
        </is>
      </c>
      <c r="HJ3" s="5" t="inlineStr">
        <is>
          <t>IVOL_ASK</t>
        </is>
      </c>
      <c r="HK3" s="5" t="inlineStr">
        <is>
          <t>DELTA_MID</t>
        </is>
      </c>
      <c r="HL3" s="5" t="inlineStr">
        <is>
          <t>GAMMA_MID</t>
        </is>
      </c>
      <c r="HM3" s="5" t="inlineStr">
        <is>
          <t>VEGA_MID</t>
        </is>
      </c>
      <c r="HN3" s="5" t="inlineStr">
        <is>
          <t>THETA_MID</t>
        </is>
      </c>
      <c r="HO3" s="5" t="inlineStr">
        <is>
          <t>OPT_UNDL_PX</t>
        </is>
      </c>
      <c r="HQ3" s="5" t="inlineStr">
        <is>
          <t>Date</t>
        </is>
      </c>
      <c r="HR3" s="5" t="inlineStr">
        <is>
          <t>PX_BID</t>
        </is>
      </c>
      <c r="HS3" s="5" t="inlineStr">
        <is>
          <t>PX_ASK</t>
        </is>
      </c>
      <c r="HT3" s="5" t="inlineStr">
        <is>
          <t>PX_MID</t>
        </is>
      </c>
      <c r="HU3" s="5" t="inlineStr">
        <is>
          <t>PX_LAST</t>
        </is>
      </c>
      <c r="HV3" s="5" t="inlineStr">
        <is>
          <t>PX_SETTLE</t>
        </is>
      </c>
      <c r="HW3" s="5" t="inlineStr">
        <is>
          <t>PX_VOLUME</t>
        </is>
      </c>
      <c r="HX3" s="5" t="inlineStr">
        <is>
          <t>OPEN_INT</t>
        </is>
      </c>
      <c r="HY3" s="5" t="inlineStr">
        <is>
          <t>IVOL_MID</t>
        </is>
      </c>
      <c r="HZ3" s="5" t="inlineStr">
        <is>
          <t>IVOL_BID</t>
        </is>
      </c>
      <c r="IA3" s="5" t="inlineStr">
        <is>
          <t>IVOL_ASK</t>
        </is>
      </c>
      <c r="IB3" s="5" t="inlineStr">
        <is>
          <t>DELTA_MID</t>
        </is>
      </c>
      <c r="IC3" s="5" t="inlineStr">
        <is>
          <t>GAMMA_MID</t>
        </is>
      </c>
      <c r="ID3" s="5" t="inlineStr">
        <is>
          <t>VEGA_MID</t>
        </is>
      </c>
      <c r="IE3" s="5" t="inlineStr">
        <is>
          <t>THETA_MID</t>
        </is>
      </c>
      <c r="IF3" s="5" t="inlineStr">
        <is>
          <t>OPT_UNDL_PX</t>
        </is>
      </c>
      <c r="IH3" s="5" t="inlineStr">
        <is>
          <t>Date</t>
        </is>
      </c>
      <c r="II3" s="5" t="inlineStr">
        <is>
          <t>PX_BID</t>
        </is>
      </c>
      <c r="IJ3" s="5" t="inlineStr">
        <is>
          <t>PX_ASK</t>
        </is>
      </c>
      <c r="IK3" s="5" t="inlineStr">
        <is>
          <t>PX_MID</t>
        </is>
      </c>
      <c r="IL3" s="5" t="inlineStr">
        <is>
          <t>PX_LAST</t>
        </is>
      </c>
      <c r="IM3" s="5" t="inlineStr">
        <is>
          <t>PX_SETTLE</t>
        </is>
      </c>
      <c r="IN3" s="5" t="inlineStr">
        <is>
          <t>PX_VOLUME</t>
        </is>
      </c>
      <c r="IO3" s="5" t="inlineStr">
        <is>
          <t>OPEN_INT</t>
        </is>
      </c>
      <c r="IP3" s="5" t="inlineStr">
        <is>
          <t>IVOL_MID</t>
        </is>
      </c>
      <c r="IQ3" s="5" t="inlineStr">
        <is>
          <t>IVOL_BID</t>
        </is>
      </c>
      <c r="IR3" s="5" t="inlineStr">
        <is>
          <t>IVOL_ASK</t>
        </is>
      </c>
      <c r="IS3" s="5" t="inlineStr">
        <is>
          <t>DELTA_MID</t>
        </is>
      </c>
      <c r="IT3" s="5" t="inlineStr">
        <is>
          <t>GAMMA_MID</t>
        </is>
      </c>
      <c r="IU3" s="5" t="inlineStr">
        <is>
          <t>VEGA_MID</t>
        </is>
      </c>
      <c r="IV3" s="5" t="inlineStr">
        <is>
          <t>THETA_MID</t>
        </is>
      </c>
      <c r="IW3" s="5" t="inlineStr">
        <is>
          <t>OPT_UNDL_PX</t>
        </is>
      </c>
      <c r="IY3" s="5" t="inlineStr">
        <is>
          <t>Date</t>
        </is>
      </c>
      <c r="IZ3" s="5" t="inlineStr">
        <is>
          <t>PX_BID</t>
        </is>
      </c>
      <c r="JA3" s="5" t="inlineStr">
        <is>
          <t>PX_ASK</t>
        </is>
      </c>
      <c r="JB3" s="5" t="inlineStr">
        <is>
          <t>PX_MID</t>
        </is>
      </c>
      <c r="JC3" s="5" t="inlineStr">
        <is>
          <t>PX_LAST</t>
        </is>
      </c>
      <c r="JD3" s="5" t="inlineStr">
        <is>
          <t>PX_SETTLE</t>
        </is>
      </c>
      <c r="JE3" s="5" t="inlineStr">
        <is>
          <t>PX_VOLUME</t>
        </is>
      </c>
      <c r="JF3" s="5" t="inlineStr">
        <is>
          <t>OPEN_INT</t>
        </is>
      </c>
      <c r="JG3" s="5" t="inlineStr">
        <is>
          <t>IVOL_MID</t>
        </is>
      </c>
      <c r="JH3" s="5" t="inlineStr">
        <is>
          <t>IVOL_BID</t>
        </is>
      </c>
      <c r="JI3" s="5" t="inlineStr">
        <is>
          <t>IVOL_ASK</t>
        </is>
      </c>
      <c r="JJ3" s="5" t="inlineStr">
        <is>
          <t>DELTA_MID</t>
        </is>
      </c>
      <c r="JK3" s="5" t="inlineStr">
        <is>
          <t>GAMMA_MID</t>
        </is>
      </c>
      <c r="JL3" s="5" t="inlineStr">
        <is>
          <t>VEGA_MID</t>
        </is>
      </c>
      <c r="JM3" s="5" t="inlineStr">
        <is>
          <t>THETA_MID</t>
        </is>
      </c>
      <c r="JN3" s="5" t="inlineStr">
        <is>
          <t>OPT_UNDL_PX</t>
        </is>
      </c>
      <c r="JP3" s="5" t="inlineStr">
        <is>
          <t>Date</t>
        </is>
      </c>
      <c r="JQ3" s="5" t="inlineStr">
        <is>
          <t>PX_BID</t>
        </is>
      </c>
      <c r="JR3" s="5" t="inlineStr">
        <is>
          <t>PX_ASK</t>
        </is>
      </c>
      <c r="JS3" s="5" t="inlineStr">
        <is>
          <t>PX_MID</t>
        </is>
      </c>
      <c r="JT3" s="5" t="inlineStr">
        <is>
          <t>PX_LAST</t>
        </is>
      </c>
      <c r="JU3" s="5" t="inlineStr">
        <is>
          <t>PX_SETTLE</t>
        </is>
      </c>
      <c r="JV3" s="5" t="inlineStr">
        <is>
          <t>PX_VOLUME</t>
        </is>
      </c>
      <c r="JW3" s="5" t="inlineStr">
        <is>
          <t>OPEN_INT</t>
        </is>
      </c>
      <c r="JX3" s="5" t="inlineStr">
        <is>
          <t>IVOL_MID</t>
        </is>
      </c>
      <c r="JY3" s="5" t="inlineStr">
        <is>
          <t>IVOL_BID</t>
        </is>
      </c>
      <c r="JZ3" s="5" t="inlineStr">
        <is>
          <t>IVOL_ASK</t>
        </is>
      </c>
      <c r="KA3" s="5" t="inlineStr">
        <is>
          <t>DELTA_MID</t>
        </is>
      </c>
      <c r="KB3" s="5" t="inlineStr">
        <is>
          <t>GAMMA_MID</t>
        </is>
      </c>
      <c r="KC3" s="5" t="inlineStr">
        <is>
          <t>VEGA_MID</t>
        </is>
      </c>
      <c r="KD3" s="5" t="inlineStr">
        <is>
          <t>THETA_MID</t>
        </is>
      </c>
      <c r="KE3" s="5" t="inlineStr">
        <is>
          <t>OPT_UNDL_PX</t>
        </is>
      </c>
      <c r="KG3" s="5" t="inlineStr">
        <is>
          <t>Date</t>
        </is>
      </c>
      <c r="KH3" s="5" t="inlineStr">
        <is>
          <t>PX_BID</t>
        </is>
      </c>
      <c r="KI3" s="5" t="inlineStr">
        <is>
          <t>PX_ASK</t>
        </is>
      </c>
      <c r="KJ3" s="5" t="inlineStr">
        <is>
          <t>PX_MID</t>
        </is>
      </c>
      <c r="KK3" s="5" t="inlineStr">
        <is>
          <t>PX_LAST</t>
        </is>
      </c>
      <c r="KL3" s="5" t="inlineStr">
        <is>
          <t>PX_SETTLE</t>
        </is>
      </c>
      <c r="KM3" s="5" t="inlineStr">
        <is>
          <t>PX_VOLUME</t>
        </is>
      </c>
      <c r="KN3" s="5" t="inlineStr">
        <is>
          <t>OPEN_INT</t>
        </is>
      </c>
      <c r="KO3" s="5" t="inlineStr">
        <is>
          <t>IVOL_MID</t>
        </is>
      </c>
      <c r="KP3" s="5" t="inlineStr">
        <is>
          <t>IVOL_BID</t>
        </is>
      </c>
      <c r="KQ3" s="5" t="inlineStr">
        <is>
          <t>IVOL_ASK</t>
        </is>
      </c>
      <c r="KR3" s="5" t="inlineStr">
        <is>
          <t>DELTA_MID</t>
        </is>
      </c>
      <c r="KS3" s="5" t="inlineStr">
        <is>
          <t>GAMMA_MID</t>
        </is>
      </c>
      <c r="KT3" s="5" t="inlineStr">
        <is>
          <t>VEGA_MID</t>
        </is>
      </c>
      <c r="KU3" s="5" t="inlineStr">
        <is>
          <t>THETA_MID</t>
        </is>
      </c>
      <c r="KV3" s="5" t="inlineStr">
        <is>
          <t>OPT_UNDL_PX</t>
        </is>
      </c>
      <c r="KX3" s="5" t="inlineStr">
        <is>
          <t>Date</t>
        </is>
      </c>
      <c r="KY3" s="5" t="inlineStr">
        <is>
          <t>PX_BID</t>
        </is>
      </c>
      <c r="KZ3" s="5" t="inlineStr">
        <is>
          <t>PX_ASK</t>
        </is>
      </c>
      <c r="LA3" s="5" t="inlineStr">
        <is>
          <t>PX_MID</t>
        </is>
      </c>
      <c r="LB3" s="5" t="inlineStr">
        <is>
          <t>PX_LAST</t>
        </is>
      </c>
      <c r="LC3" s="5" t="inlineStr">
        <is>
          <t>PX_SETTLE</t>
        </is>
      </c>
      <c r="LD3" s="5" t="inlineStr">
        <is>
          <t>PX_VOLUME</t>
        </is>
      </c>
      <c r="LE3" s="5" t="inlineStr">
        <is>
          <t>OPEN_INT</t>
        </is>
      </c>
      <c r="LF3" s="5" t="inlineStr">
        <is>
          <t>IVOL_MID</t>
        </is>
      </c>
      <c r="LG3" s="5" t="inlineStr">
        <is>
          <t>IVOL_BID</t>
        </is>
      </c>
      <c r="LH3" s="5" t="inlineStr">
        <is>
          <t>IVOL_ASK</t>
        </is>
      </c>
      <c r="LI3" s="5" t="inlineStr">
        <is>
          <t>DELTA_MID</t>
        </is>
      </c>
      <c r="LJ3" s="5" t="inlineStr">
        <is>
          <t>GAMMA_MID</t>
        </is>
      </c>
      <c r="LK3" s="5" t="inlineStr">
        <is>
          <t>VEGA_MID</t>
        </is>
      </c>
      <c r="LL3" s="5" t="inlineStr">
        <is>
          <t>THETA_MID</t>
        </is>
      </c>
      <c r="LM3" s="5" t="inlineStr">
        <is>
          <t>OPT_UNDL_PX</t>
        </is>
      </c>
      <c r="LO3" s="5" t="inlineStr">
        <is>
          <t>Date</t>
        </is>
      </c>
      <c r="LP3" s="5" t="inlineStr">
        <is>
          <t>PX_BID</t>
        </is>
      </c>
      <c r="LQ3" s="5" t="inlineStr">
        <is>
          <t>PX_ASK</t>
        </is>
      </c>
      <c r="LR3" s="5" t="inlineStr">
        <is>
          <t>PX_MID</t>
        </is>
      </c>
      <c r="LS3" s="5" t="inlineStr">
        <is>
          <t>PX_LAST</t>
        </is>
      </c>
      <c r="LT3" s="5" t="inlineStr">
        <is>
          <t>PX_SETTLE</t>
        </is>
      </c>
      <c r="LU3" s="5" t="inlineStr">
        <is>
          <t>PX_VOLUME</t>
        </is>
      </c>
      <c r="LV3" s="5" t="inlineStr">
        <is>
          <t>OPEN_INT</t>
        </is>
      </c>
      <c r="LW3" s="5" t="inlineStr">
        <is>
          <t>IVOL_MID</t>
        </is>
      </c>
      <c r="LX3" s="5" t="inlineStr">
        <is>
          <t>IVOL_BID</t>
        </is>
      </c>
      <c r="LY3" s="5" t="inlineStr">
        <is>
          <t>IVOL_ASK</t>
        </is>
      </c>
      <c r="LZ3" s="5" t="inlineStr">
        <is>
          <t>DELTA_MID</t>
        </is>
      </c>
      <c r="MA3" s="5" t="inlineStr">
        <is>
          <t>GAMMA_MID</t>
        </is>
      </c>
      <c r="MB3" s="5" t="inlineStr">
        <is>
          <t>VEGA_MID</t>
        </is>
      </c>
      <c r="MC3" s="5" t="inlineStr">
        <is>
          <t>THETA_MID</t>
        </is>
      </c>
      <c r="MD3" s="5" t="inlineStr">
        <is>
          <t>OPT_UNDL_PX</t>
        </is>
      </c>
      <c r="MF3" s="5" t="inlineStr">
        <is>
          <t>Date</t>
        </is>
      </c>
      <c r="MG3" s="5" t="inlineStr">
        <is>
          <t>PX_BID</t>
        </is>
      </c>
      <c r="MH3" s="5" t="inlineStr">
        <is>
          <t>PX_ASK</t>
        </is>
      </c>
      <c r="MI3" s="5" t="inlineStr">
        <is>
          <t>PX_MID</t>
        </is>
      </c>
      <c r="MJ3" s="5" t="inlineStr">
        <is>
          <t>PX_LAST</t>
        </is>
      </c>
      <c r="MK3" s="5" t="inlineStr">
        <is>
          <t>PX_SETTLE</t>
        </is>
      </c>
      <c r="ML3" s="5" t="inlineStr">
        <is>
          <t>PX_VOLUME</t>
        </is>
      </c>
      <c r="MM3" s="5" t="inlineStr">
        <is>
          <t>OPEN_INT</t>
        </is>
      </c>
      <c r="MN3" s="5" t="inlineStr">
        <is>
          <t>IVOL_MID</t>
        </is>
      </c>
      <c r="MO3" s="5" t="inlineStr">
        <is>
          <t>IVOL_BID</t>
        </is>
      </c>
      <c r="MP3" s="5" t="inlineStr">
        <is>
          <t>IVOL_ASK</t>
        </is>
      </c>
      <c r="MQ3" s="5" t="inlineStr">
        <is>
          <t>DELTA_MID</t>
        </is>
      </c>
      <c r="MR3" s="5" t="inlineStr">
        <is>
          <t>GAMMA_MID</t>
        </is>
      </c>
      <c r="MS3" s="5" t="inlineStr">
        <is>
          <t>VEGA_MID</t>
        </is>
      </c>
      <c r="MT3" s="5" t="inlineStr">
        <is>
          <t>THETA_MID</t>
        </is>
      </c>
      <c r="MU3" s="5" t="inlineStr">
        <is>
          <t>OPT_UNDL_PX</t>
        </is>
      </c>
      <c r="MW3" s="5" t="inlineStr">
        <is>
          <t>Date</t>
        </is>
      </c>
      <c r="MX3" s="5" t="inlineStr">
        <is>
          <t>PX_BID</t>
        </is>
      </c>
      <c r="MY3" s="5" t="inlineStr">
        <is>
          <t>PX_ASK</t>
        </is>
      </c>
      <c r="MZ3" s="5" t="inlineStr">
        <is>
          <t>PX_MID</t>
        </is>
      </c>
      <c r="NA3" s="5" t="inlineStr">
        <is>
          <t>PX_LAST</t>
        </is>
      </c>
      <c r="NB3" s="5" t="inlineStr">
        <is>
          <t>PX_SETTLE</t>
        </is>
      </c>
      <c r="NC3" s="5" t="inlineStr">
        <is>
          <t>PX_VOLUME</t>
        </is>
      </c>
      <c r="ND3" s="5" t="inlineStr">
        <is>
          <t>OPEN_INT</t>
        </is>
      </c>
      <c r="NE3" s="5" t="inlineStr">
        <is>
          <t>IVOL_MID</t>
        </is>
      </c>
      <c r="NF3" s="5" t="inlineStr">
        <is>
          <t>IVOL_BID</t>
        </is>
      </c>
      <c r="NG3" s="5" t="inlineStr">
        <is>
          <t>IVOL_ASK</t>
        </is>
      </c>
      <c r="NH3" s="5" t="inlineStr">
        <is>
          <t>DELTA_MID</t>
        </is>
      </c>
      <c r="NI3" s="5" t="inlineStr">
        <is>
          <t>GAMMA_MID</t>
        </is>
      </c>
      <c r="NJ3" s="5" t="inlineStr">
        <is>
          <t>VEGA_MID</t>
        </is>
      </c>
      <c r="NK3" s="5" t="inlineStr">
        <is>
          <t>THETA_MID</t>
        </is>
      </c>
      <c r="NL3" s="5" t="inlineStr">
        <is>
          <t>OPT_UNDL_PX</t>
        </is>
      </c>
      <c r="NN3" s="5" t="inlineStr">
        <is>
          <t>Date</t>
        </is>
      </c>
      <c r="NO3" s="5" t="inlineStr">
        <is>
          <t>PX_BID</t>
        </is>
      </c>
      <c r="NP3" s="5" t="inlineStr">
        <is>
          <t>PX_ASK</t>
        </is>
      </c>
      <c r="NQ3" s="5" t="inlineStr">
        <is>
          <t>PX_MID</t>
        </is>
      </c>
      <c r="NR3" s="5" t="inlineStr">
        <is>
          <t>PX_LAST</t>
        </is>
      </c>
      <c r="NS3" s="5" t="inlineStr">
        <is>
          <t>PX_SETTLE</t>
        </is>
      </c>
      <c r="NT3" s="5" t="inlineStr">
        <is>
          <t>PX_VOLUME</t>
        </is>
      </c>
      <c r="NU3" s="5" t="inlineStr">
        <is>
          <t>OPEN_INT</t>
        </is>
      </c>
      <c r="NV3" s="5" t="inlineStr">
        <is>
          <t>IVOL_MID</t>
        </is>
      </c>
      <c r="NW3" s="5" t="inlineStr">
        <is>
          <t>IVOL_BID</t>
        </is>
      </c>
      <c r="NX3" s="5" t="inlineStr">
        <is>
          <t>IVOL_ASK</t>
        </is>
      </c>
      <c r="NY3" s="5" t="inlineStr">
        <is>
          <t>DELTA_MID</t>
        </is>
      </c>
      <c r="NZ3" s="5" t="inlineStr">
        <is>
          <t>GAMMA_MID</t>
        </is>
      </c>
      <c r="OA3" s="5" t="inlineStr">
        <is>
          <t>VEGA_MID</t>
        </is>
      </c>
      <c r="OB3" s="5" t="inlineStr">
        <is>
          <t>THETA_MID</t>
        </is>
      </c>
      <c r="OC3" s="5" t="inlineStr">
        <is>
          <t>OPT_UNDL_PX</t>
        </is>
      </c>
      <c r="OE3" s="5" t="inlineStr">
        <is>
          <t>Date</t>
        </is>
      </c>
      <c r="OF3" s="5" t="inlineStr">
        <is>
          <t>PX_BID</t>
        </is>
      </c>
      <c r="OG3" s="5" t="inlineStr">
        <is>
          <t>PX_ASK</t>
        </is>
      </c>
      <c r="OH3" s="5" t="inlineStr">
        <is>
          <t>PX_MID</t>
        </is>
      </c>
      <c r="OI3" s="5" t="inlineStr">
        <is>
          <t>PX_LAST</t>
        </is>
      </c>
      <c r="OJ3" s="5" t="inlineStr">
        <is>
          <t>PX_SETTLE</t>
        </is>
      </c>
      <c r="OK3" s="5" t="inlineStr">
        <is>
          <t>PX_VOLUME</t>
        </is>
      </c>
      <c r="OL3" s="5" t="inlineStr">
        <is>
          <t>OPEN_INT</t>
        </is>
      </c>
      <c r="OM3" s="5" t="inlineStr">
        <is>
          <t>IVOL_MID</t>
        </is>
      </c>
      <c r="ON3" s="5" t="inlineStr">
        <is>
          <t>IVOL_BID</t>
        </is>
      </c>
      <c r="OO3" s="5" t="inlineStr">
        <is>
          <t>IVOL_ASK</t>
        </is>
      </c>
      <c r="OP3" s="5" t="inlineStr">
        <is>
          <t>DELTA_MID</t>
        </is>
      </c>
      <c r="OQ3" s="5" t="inlineStr">
        <is>
          <t>GAMMA_MID</t>
        </is>
      </c>
      <c r="OR3" s="5" t="inlineStr">
        <is>
          <t>VEGA_MID</t>
        </is>
      </c>
      <c r="OS3" s="5" t="inlineStr">
        <is>
          <t>THETA_MID</t>
        </is>
      </c>
      <c r="OT3" s="5" t="inlineStr">
        <is>
          <t>OPT_UNDL_PX</t>
        </is>
      </c>
      <c r="OV3" s="5" t="inlineStr">
        <is>
          <t>Date</t>
        </is>
      </c>
      <c r="OW3" s="5" t="inlineStr">
        <is>
          <t>PX_BID</t>
        </is>
      </c>
      <c r="OX3" s="5" t="inlineStr">
        <is>
          <t>PX_ASK</t>
        </is>
      </c>
      <c r="OY3" s="5" t="inlineStr">
        <is>
          <t>PX_MID</t>
        </is>
      </c>
      <c r="OZ3" s="5" t="inlineStr">
        <is>
          <t>PX_LAST</t>
        </is>
      </c>
      <c r="PA3" s="5" t="inlineStr">
        <is>
          <t>PX_SETTLE</t>
        </is>
      </c>
      <c r="PB3" s="5" t="inlineStr">
        <is>
          <t>PX_VOLUME</t>
        </is>
      </c>
      <c r="PC3" s="5" t="inlineStr">
        <is>
          <t>OPEN_INT</t>
        </is>
      </c>
      <c r="PD3" s="5" t="inlineStr">
        <is>
          <t>IVOL_MID</t>
        </is>
      </c>
      <c r="PE3" s="5" t="inlineStr">
        <is>
          <t>IVOL_BID</t>
        </is>
      </c>
      <c r="PF3" s="5" t="inlineStr">
        <is>
          <t>IVOL_ASK</t>
        </is>
      </c>
      <c r="PG3" s="5" t="inlineStr">
        <is>
          <t>DELTA_MID</t>
        </is>
      </c>
      <c r="PH3" s="5" t="inlineStr">
        <is>
          <t>GAMMA_MID</t>
        </is>
      </c>
      <c r="PI3" s="5" t="inlineStr">
        <is>
          <t>VEGA_MID</t>
        </is>
      </c>
      <c r="PJ3" s="5" t="inlineStr">
        <is>
          <t>THETA_MID</t>
        </is>
      </c>
      <c r="PK3" s="5" t="inlineStr">
        <is>
          <t>OPT_UNDL_PX</t>
        </is>
      </c>
      <c r="PM3" s="5" t="inlineStr">
        <is>
          <t>Date</t>
        </is>
      </c>
      <c r="PN3" s="5" t="inlineStr">
        <is>
          <t>PX_BID</t>
        </is>
      </c>
      <c r="PO3" s="5" t="inlineStr">
        <is>
          <t>PX_ASK</t>
        </is>
      </c>
      <c r="PP3" s="5" t="inlineStr">
        <is>
          <t>PX_MID</t>
        </is>
      </c>
      <c r="PQ3" s="5" t="inlineStr">
        <is>
          <t>PX_LAST</t>
        </is>
      </c>
      <c r="PR3" s="5" t="inlineStr">
        <is>
          <t>PX_SETTLE</t>
        </is>
      </c>
      <c r="PS3" s="5" t="inlineStr">
        <is>
          <t>PX_VOLUME</t>
        </is>
      </c>
      <c r="PT3" s="5" t="inlineStr">
        <is>
          <t>OPEN_INT</t>
        </is>
      </c>
      <c r="PU3" s="5" t="inlineStr">
        <is>
          <t>IVOL_MID</t>
        </is>
      </c>
      <c r="PV3" s="5" t="inlineStr">
        <is>
          <t>IVOL_BID</t>
        </is>
      </c>
      <c r="PW3" s="5" t="inlineStr">
        <is>
          <t>IVOL_ASK</t>
        </is>
      </c>
      <c r="PX3" s="5" t="inlineStr">
        <is>
          <t>DELTA_MID</t>
        </is>
      </c>
      <c r="PY3" s="5" t="inlineStr">
        <is>
          <t>GAMMA_MID</t>
        </is>
      </c>
      <c r="PZ3" s="5" t="inlineStr">
        <is>
          <t>VEGA_MID</t>
        </is>
      </c>
      <c r="QA3" s="5" t="inlineStr">
        <is>
          <t>THETA_MID</t>
        </is>
      </c>
      <c r="QB3" s="5" t="inlineStr">
        <is>
          <t>OPT_UNDL_PX</t>
        </is>
      </c>
      <c r="QD3" s="5" t="inlineStr">
        <is>
          <t>Date</t>
        </is>
      </c>
      <c r="QE3" s="5" t="inlineStr">
        <is>
          <t>PX_BID</t>
        </is>
      </c>
      <c r="QF3" s="5" t="inlineStr">
        <is>
          <t>PX_ASK</t>
        </is>
      </c>
      <c r="QG3" s="5" t="inlineStr">
        <is>
          <t>PX_MID</t>
        </is>
      </c>
      <c r="QH3" s="5" t="inlineStr">
        <is>
          <t>PX_LAST</t>
        </is>
      </c>
      <c r="QI3" s="5" t="inlineStr">
        <is>
          <t>PX_SETTLE</t>
        </is>
      </c>
      <c r="QJ3" s="5" t="inlineStr">
        <is>
          <t>PX_VOLUME</t>
        </is>
      </c>
      <c r="QK3" s="5" t="inlineStr">
        <is>
          <t>OPEN_INT</t>
        </is>
      </c>
      <c r="QL3" s="5" t="inlineStr">
        <is>
          <t>IVOL_MID</t>
        </is>
      </c>
      <c r="QM3" s="5" t="inlineStr">
        <is>
          <t>IVOL_BID</t>
        </is>
      </c>
      <c r="QN3" s="5" t="inlineStr">
        <is>
          <t>IVOL_ASK</t>
        </is>
      </c>
      <c r="QO3" s="5" t="inlineStr">
        <is>
          <t>DELTA_MID</t>
        </is>
      </c>
      <c r="QP3" s="5" t="inlineStr">
        <is>
          <t>GAMMA_MID</t>
        </is>
      </c>
      <c r="QQ3" s="5" t="inlineStr">
        <is>
          <t>VEGA_MID</t>
        </is>
      </c>
      <c r="QR3" s="5" t="inlineStr">
        <is>
          <t>THETA_MID</t>
        </is>
      </c>
      <c r="QS3" s="5" t="inlineStr">
        <is>
          <t>OPT_UNDL_PX</t>
        </is>
      </c>
      <c r="QU3" s="5" t="inlineStr">
        <is>
          <t>Date</t>
        </is>
      </c>
      <c r="QV3" s="5" t="inlineStr">
        <is>
          <t>PX_BID</t>
        </is>
      </c>
      <c r="QW3" s="5" t="inlineStr">
        <is>
          <t>PX_ASK</t>
        </is>
      </c>
      <c r="QX3" s="5" t="inlineStr">
        <is>
          <t>PX_MID</t>
        </is>
      </c>
      <c r="QY3" s="5" t="inlineStr">
        <is>
          <t>PX_LAST</t>
        </is>
      </c>
      <c r="QZ3" s="5" t="inlineStr">
        <is>
          <t>PX_SETTLE</t>
        </is>
      </c>
      <c r="RA3" s="5" t="inlineStr">
        <is>
          <t>PX_VOLUME</t>
        </is>
      </c>
      <c r="RB3" s="5" t="inlineStr">
        <is>
          <t>OPEN_INT</t>
        </is>
      </c>
      <c r="RC3" s="5" t="inlineStr">
        <is>
          <t>IVOL_MID</t>
        </is>
      </c>
      <c r="RD3" s="5" t="inlineStr">
        <is>
          <t>IVOL_BID</t>
        </is>
      </c>
      <c r="RE3" s="5" t="inlineStr">
        <is>
          <t>IVOL_ASK</t>
        </is>
      </c>
      <c r="RF3" s="5" t="inlineStr">
        <is>
          <t>DELTA_MID</t>
        </is>
      </c>
      <c r="RG3" s="5" t="inlineStr">
        <is>
          <t>GAMMA_MID</t>
        </is>
      </c>
      <c r="RH3" s="5" t="inlineStr">
        <is>
          <t>VEGA_MID</t>
        </is>
      </c>
      <c r="RI3" s="5" t="inlineStr">
        <is>
          <t>THETA_MID</t>
        </is>
      </c>
      <c r="RJ3" s="5" t="inlineStr">
        <is>
          <t>OPT_UNDL_PX</t>
        </is>
      </c>
      <c r="RL3" s="5" t="inlineStr">
        <is>
          <t>Date</t>
        </is>
      </c>
      <c r="RM3" s="5" t="inlineStr">
        <is>
          <t>PX_BID</t>
        </is>
      </c>
      <c r="RN3" s="5" t="inlineStr">
        <is>
          <t>PX_ASK</t>
        </is>
      </c>
      <c r="RO3" s="5" t="inlineStr">
        <is>
          <t>PX_MID</t>
        </is>
      </c>
      <c r="RP3" s="5" t="inlineStr">
        <is>
          <t>PX_LAST</t>
        </is>
      </c>
      <c r="RQ3" s="5" t="inlineStr">
        <is>
          <t>PX_SETTLE</t>
        </is>
      </c>
      <c r="RR3" s="5" t="inlineStr">
        <is>
          <t>PX_VOLUME</t>
        </is>
      </c>
      <c r="RS3" s="5" t="inlineStr">
        <is>
          <t>OPEN_INT</t>
        </is>
      </c>
      <c r="RT3" s="5" t="inlineStr">
        <is>
          <t>IVOL_MID</t>
        </is>
      </c>
      <c r="RU3" s="5" t="inlineStr">
        <is>
          <t>IVOL_BID</t>
        </is>
      </c>
      <c r="RV3" s="5" t="inlineStr">
        <is>
          <t>IVOL_ASK</t>
        </is>
      </c>
      <c r="RW3" s="5" t="inlineStr">
        <is>
          <t>DELTA_MID</t>
        </is>
      </c>
      <c r="RX3" s="5" t="inlineStr">
        <is>
          <t>GAMMA_MID</t>
        </is>
      </c>
      <c r="RY3" s="5" t="inlineStr">
        <is>
          <t>VEGA_MID</t>
        </is>
      </c>
      <c r="RZ3" s="5" t="inlineStr">
        <is>
          <t>THETA_MID</t>
        </is>
      </c>
      <c r="SA3" s="5" t="inlineStr">
        <is>
          <t>OPT_UNDL_PX</t>
        </is>
      </c>
      <c r="SC3" s="5" t="inlineStr">
        <is>
          <t>Date</t>
        </is>
      </c>
      <c r="SD3" s="5" t="inlineStr">
        <is>
          <t>PX_BID</t>
        </is>
      </c>
      <c r="SE3" s="5" t="inlineStr">
        <is>
          <t>PX_ASK</t>
        </is>
      </c>
      <c r="SF3" s="5" t="inlineStr">
        <is>
          <t>PX_MID</t>
        </is>
      </c>
      <c r="SG3" s="5" t="inlineStr">
        <is>
          <t>PX_LAST</t>
        </is>
      </c>
      <c r="SH3" s="5" t="inlineStr">
        <is>
          <t>PX_SETTLE</t>
        </is>
      </c>
      <c r="SI3" s="5" t="inlineStr">
        <is>
          <t>PX_VOLUME</t>
        </is>
      </c>
      <c r="SJ3" s="5" t="inlineStr">
        <is>
          <t>OPEN_INT</t>
        </is>
      </c>
      <c r="SK3" s="5" t="inlineStr">
        <is>
          <t>IVOL_MID</t>
        </is>
      </c>
      <c r="SL3" s="5" t="inlineStr">
        <is>
          <t>IVOL_BID</t>
        </is>
      </c>
      <c r="SM3" s="5" t="inlineStr">
        <is>
          <t>IVOL_ASK</t>
        </is>
      </c>
      <c r="SN3" s="5" t="inlineStr">
        <is>
          <t>DELTA_MID</t>
        </is>
      </c>
      <c r="SO3" s="5" t="inlineStr">
        <is>
          <t>GAMMA_MID</t>
        </is>
      </c>
      <c r="SP3" s="5" t="inlineStr">
        <is>
          <t>VEGA_MID</t>
        </is>
      </c>
      <c r="SQ3" s="5" t="inlineStr">
        <is>
          <t>THETA_MID</t>
        </is>
      </c>
      <c r="SR3" s="5" t="inlineStr">
        <is>
          <t>OPT_UNDL_PX</t>
        </is>
      </c>
      <c r="ST3" s="5" t="inlineStr">
        <is>
          <t>Date</t>
        </is>
      </c>
      <c r="SU3" s="5" t="inlineStr">
        <is>
          <t>PX_BID</t>
        </is>
      </c>
      <c r="SV3" s="5" t="inlineStr">
        <is>
          <t>PX_ASK</t>
        </is>
      </c>
      <c r="SW3" s="5" t="inlineStr">
        <is>
          <t>PX_MID</t>
        </is>
      </c>
      <c r="SX3" s="5" t="inlineStr">
        <is>
          <t>PX_LAST</t>
        </is>
      </c>
      <c r="SY3" s="5" t="inlineStr">
        <is>
          <t>PX_SETTLE</t>
        </is>
      </c>
      <c r="SZ3" s="5" t="inlineStr">
        <is>
          <t>PX_VOLUME</t>
        </is>
      </c>
      <c r="TA3" s="5" t="inlineStr">
        <is>
          <t>OPEN_INT</t>
        </is>
      </c>
      <c r="TB3" s="5" t="inlineStr">
        <is>
          <t>IVOL_MID</t>
        </is>
      </c>
      <c r="TC3" s="5" t="inlineStr">
        <is>
          <t>IVOL_BID</t>
        </is>
      </c>
      <c r="TD3" s="5" t="inlineStr">
        <is>
          <t>IVOL_ASK</t>
        </is>
      </c>
      <c r="TE3" s="5" t="inlineStr">
        <is>
          <t>DELTA_MID</t>
        </is>
      </c>
      <c r="TF3" s="5" t="inlineStr">
        <is>
          <t>GAMMA_MID</t>
        </is>
      </c>
      <c r="TG3" s="5" t="inlineStr">
        <is>
          <t>VEGA_MID</t>
        </is>
      </c>
      <c r="TH3" s="5" t="inlineStr">
        <is>
          <t>THETA_MID</t>
        </is>
      </c>
      <c r="TI3" s="5" t="inlineStr">
        <is>
          <t>OPT_UNDL_PX</t>
        </is>
      </c>
      <c r="TK3" s="5" t="inlineStr">
        <is>
          <t>Date</t>
        </is>
      </c>
      <c r="TL3" s="5" t="inlineStr">
        <is>
          <t>PX_BID</t>
        </is>
      </c>
      <c r="TM3" s="5" t="inlineStr">
        <is>
          <t>PX_ASK</t>
        </is>
      </c>
      <c r="TN3" s="5" t="inlineStr">
        <is>
          <t>PX_MID</t>
        </is>
      </c>
      <c r="TO3" s="5" t="inlineStr">
        <is>
          <t>PX_LAST</t>
        </is>
      </c>
      <c r="TP3" s="5" t="inlineStr">
        <is>
          <t>PX_SETTLE</t>
        </is>
      </c>
      <c r="TQ3" s="5" t="inlineStr">
        <is>
          <t>PX_VOLUME</t>
        </is>
      </c>
      <c r="TR3" s="5" t="inlineStr">
        <is>
          <t>OPEN_INT</t>
        </is>
      </c>
      <c r="TS3" s="5" t="inlineStr">
        <is>
          <t>IVOL_MID</t>
        </is>
      </c>
      <c r="TT3" s="5" t="inlineStr">
        <is>
          <t>IVOL_BID</t>
        </is>
      </c>
      <c r="TU3" s="5" t="inlineStr">
        <is>
          <t>IVOL_ASK</t>
        </is>
      </c>
      <c r="TV3" s="5" t="inlineStr">
        <is>
          <t>DELTA_MID</t>
        </is>
      </c>
      <c r="TW3" s="5" t="inlineStr">
        <is>
          <t>GAMMA_MID</t>
        </is>
      </c>
      <c r="TX3" s="5" t="inlineStr">
        <is>
          <t>VEGA_MID</t>
        </is>
      </c>
      <c r="TY3" s="5" t="inlineStr">
        <is>
          <t>THETA_MID</t>
        </is>
      </c>
      <c r="TZ3" s="5" t="inlineStr">
        <is>
          <t>OPT_UNDL_PX</t>
        </is>
      </c>
      <c r="UB3" s="5" t="inlineStr">
        <is>
          <t>Date</t>
        </is>
      </c>
      <c r="UC3" s="5" t="inlineStr">
        <is>
          <t>PX_BID</t>
        </is>
      </c>
      <c r="UD3" s="5" t="inlineStr">
        <is>
          <t>PX_ASK</t>
        </is>
      </c>
      <c r="UE3" s="5" t="inlineStr">
        <is>
          <t>PX_MID</t>
        </is>
      </c>
      <c r="UF3" s="5" t="inlineStr">
        <is>
          <t>PX_LAST</t>
        </is>
      </c>
      <c r="UG3" s="5" t="inlineStr">
        <is>
          <t>PX_SETTLE</t>
        </is>
      </c>
      <c r="UH3" s="5" t="inlineStr">
        <is>
          <t>PX_VOLUME</t>
        </is>
      </c>
      <c r="UI3" s="5" t="inlineStr">
        <is>
          <t>OPEN_INT</t>
        </is>
      </c>
      <c r="UJ3" s="5" t="inlineStr">
        <is>
          <t>IVOL_MID</t>
        </is>
      </c>
      <c r="UK3" s="5" t="inlineStr">
        <is>
          <t>IVOL_BID</t>
        </is>
      </c>
      <c r="UL3" s="5" t="inlineStr">
        <is>
          <t>IVOL_ASK</t>
        </is>
      </c>
      <c r="UM3" s="5" t="inlineStr">
        <is>
          <t>DELTA_MID</t>
        </is>
      </c>
      <c r="UN3" s="5" t="inlineStr">
        <is>
          <t>GAMMA_MID</t>
        </is>
      </c>
      <c r="UO3" s="5" t="inlineStr">
        <is>
          <t>VEGA_MID</t>
        </is>
      </c>
      <c r="UP3" s="5" t="inlineStr">
        <is>
          <t>THETA_MID</t>
        </is>
      </c>
      <c r="UQ3" s="5" t="inlineStr">
        <is>
          <t>OPT_UNDL_PX</t>
        </is>
      </c>
      <c r="US3" s="5" t="inlineStr">
        <is>
          <t>Date</t>
        </is>
      </c>
      <c r="UT3" s="5" t="inlineStr">
        <is>
          <t>PX_BID</t>
        </is>
      </c>
      <c r="UU3" s="5" t="inlineStr">
        <is>
          <t>PX_ASK</t>
        </is>
      </c>
      <c r="UV3" s="5" t="inlineStr">
        <is>
          <t>PX_MID</t>
        </is>
      </c>
      <c r="UW3" s="5" t="inlineStr">
        <is>
          <t>PX_LAST</t>
        </is>
      </c>
      <c r="UX3" s="5" t="inlineStr">
        <is>
          <t>PX_SETTLE</t>
        </is>
      </c>
      <c r="UY3" s="5" t="inlineStr">
        <is>
          <t>PX_VOLUME</t>
        </is>
      </c>
      <c r="UZ3" s="5" t="inlineStr">
        <is>
          <t>OPEN_INT</t>
        </is>
      </c>
      <c r="VA3" s="5" t="inlineStr">
        <is>
          <t>IVOL_MID</t>
        </is>
      </c>
      <c r="VB3" s="5" t="inlineStr">
        <is>
          <t>IVOL_BID</t>
        </is>
      </c>
      <c r="VC3" s="5" t="inlineStr">
        <is>
          <t>IVOL_ASK</t>
        </is>
      </c>
      <c r="VD3" s="5" t="inlineStr">
        <is>
          <t>DELTA_MID</t>
        </is>
      </c>
      <c r="VE3" s="5" t="inlineStr">
        <is>
          <t>GAMMA_MID</t>
        </is>
      </c>
      <c r="VF3" s="5" t="inlineStr">
        <is>
          <t>VEGA_MID</t>
        </is>
      </c>
      <c r="VG3" s="5" t="inlineStr">
        <is>
          <t>THETA_MID</t>
        </is>
      </c>
      <c r="VH3" s="5" t="inlineStr">
        <is>
          <t>OPT_UNDL_PX</t>
        </is>
      </c>
    </row>
    <row r="4">
      <c r="A4" s="2" t="inlineStr">
        <is>
          <t>Year in ticker</t>
        </is>
      </c>
      <c r="B4" s="4">
        <f>IF(B2&lt;Settings!$B$3,TEXT(MOD(Settings!$E$14,100),"00"),TEXT(MOD(Settings!$E$14,10),"0"))</f>
        <v/>
      </c>
      <c r="D4" s="4">
        <f>BDH(D$1,E$3:S$3,$B$9,$B$10,"Dir=V","Dts=S","Sort=A","Days=T","Fill=B")</f>
        <v/>
      </c>
      <c r="U4" s="4">
        <f>BDH(U$1,V$3:AJ$3,$B$9,$B$10,"Dir=V","Dts=S","Sort=A","Days=T","Fill=B")</f>
        <v/>
      </c>
      <c r="AL4" s="4">
        <f>BDH(AL$1,AM$3:BA$3,$B$9,$B$10,"Dir=V","Dts=S","Sort=A","Days=T","Fill=B")</f>
        <v/>
      </c>
      <c r="BC4" s="4">
        <f>BDH(BC$1,BD$3:BR$3,$B$9,$B$10,"Dir=V","Dts=S","Sort=A","Days=T","Fill=B")</f>
        <v/>
      </c>
      <c r="BT4" s="4">
        <f>BDH(BT$1,BU$3:CI$3,$B$9,$B$10,"Dir=V","Dts=S","Sort=A","Days=T","Fill=B")</f>
        <v/>
      </c>
      <c r="CK4" s="4">
        <f>BDH(CK$1,CL$3:CZ$3,$B$9,$B$10,"Dir=V","Dts=S","Sort=A","Days=T","Fill=B")</f>
        <v/>
      </c>
      <c r="DB4" s="4">
        <f>BDH(DB$1,DC$3:DQ$3,$B$9,$B$10,"Dir=V","Dts=S","Sort=A","Days=T","Fill=B")</f>
        <v/>
      </c>
      <c r="DS4" s="4">
        <f>BDH(DS$1,DT$3:EH$3,$B$9,$B$10,"Dir=V","Dts=S","Sort=A","Days=T","Fill=B")</f>
        <v/>
      </c>
      <c r="EJ4" s="4">
        <f>BDH(EJ$1,EK$3:EY$3,$B$9,$B$10,"Dir=V","Dts=S","Sort=A","Days=T","Fill=B")</f>
        <v/>
      </c>
      <c r="FA4" s="4">
        <f>BDH(FA$1,FB$3:FP$3,$B$9,$B$10,"Dir=V","Dts=S","Sort=A","Days=T","Fill=B")</f>
        <v/>
      </c>
      <c r="FR4" s="4">
        <f>BDH(FR$1,FS$3:GG$3,$B$9,$B$10,"Dir=V","Dts=S","Sort=A","Days=T","Fill=B")</f>
        <v/>
      </c>
      <c r="GI4" s="4">
        <f>BDH(GI$1,GJ$3:GX$3,$B$9,$B$10,"Dir=V","Dts=S","Sort=A","Days=T","Fill=B")</f>
        <v/>
      </c>
      <c r="GZ4" s="4">
        <f>BDH(GZ$1,HA$3:HO$3,$B$9,$B$10,"Dir=V","Dts=S","Sort=A","Days=T","Fill=B")</f>
        <v/>
      </c>
      <c r="HQ4" s="4">
        <f>BDH(HQ$1,HR$3:IF$3,$B$9,$B$10,"Dir=V","Dts=S","Sort=A","Days=T","Fill=B")</f>
        <v/>
      </c>
      <c r="IH4" s="4">
        <f>BDH(IH$1,II$3:IW$3,$B$9,$B$10,"Dir=V","Dts=S","Sort=A","Days=T","Fill=B")</f>
        <v/>
      </c>
      <c r="IY4" s="4">
        <f>BDH(IY$1,IZ$3:JN$3,$B$9,$B$10,"Dir=V","Dts=S","Sort=A","Days=T","Fill=B")</f>
        <v/>
      </c>
      <c r="JP4" s="4">
        <f>BDH(JP$1,JQ$3:KE$3,$B$9,$B$10,"Dir=V","Dts=S","Sort=A","Days=T","Fill=B")</f>
        <v/>
      </c>
      <c r="KG4" s="4">
        <f>BDH(KG$1,KH$3:KV$3,$B$9,$B$10,"Dir=V","Dts=S","Sort=A","Days=T","Fill=B")</f>
        <v/>
      </c>
      <c r="KX4" s="4">
        <f>BDH(KX$1,KY$3:LM$3,$B$9,$B$10,"Dir=V","Dts=S","Sort=A","Days=T","Fill=B")</f>
        <v/>
      </c>
      <c r="LO4" s="4">
        <f>BDH(LO$1,LP$3:MD$3,$B$9,$B$10,"Dir=V","Dts=S","Sort=A","Days=T","Fill=B")</f>
        <v/>
      </c>
      <c r="MF4" s="4">
        <f>BDH(MF$1,MG$3:MU$3,$B$9,$B$10,"Dir=V","Dts=S","Sort=A","Days=T","Fill=B")</f>
        <v/>
      </c>
      <c r="MW4" s="4">
        <f>BDH(MW$1,MX$3:NL$3,$B$9,$B$10,"Dir=V","Dts=S","Sort=A","Days=T","Fill=B")</f>
        <v/>
      </c>
      <c r="NN4" s="4">
        <f>BDH(NN$1,NO$3:OC$3,$B$9,$B$10,"Dir=V","Dts=S","Sort=A","Days=T","Fill=B")</f>
        <v/>
      </c>
      <c r="OE4" s="4">
        <f>BDH(OE$1,OF$3:OT$3,$B$9,$B$10,"Dir=V","Dts=S","Sort=A","Days=T","Fill=B")</f>
        <v/>
      </c>
      <c r="OV4" s="4">
        <f>BDH(OV$1,OW$3:PK$3,$B$9,$B$10,"Dir=V","Dts=S","Sort=A","Days=T","Fill=B")</f>
        <v/>
      </c>
      <c r="PM4" s="4">
        <f>BDH(PM$1,PN$3:QB$3,$B$9,$B$10,"Dir=V","Dts=S","Sort=A","Days=T","Fill=B")</f>
        <v/>
      </c>
      <c r="QD4" s="4">
        <f>BDH(QD$1,QE$3:QS$3,$B$9,$B$10,"Dir=V","Dts=S","Sort=A","Days=T","Fill=B")</f>
        <v/>
      </c>
      <c r="QU4" s="4">
        <f>BDH(QU$1,QV$3:RJ$3,$B$9,$B$10,"Dir=V","Dts=S","Sort=A","Days=T","Fill=B")</f>
        <v/>
      </c>
      <c r="RL4" s="4">
        <f>BDH(RL$1,RM$3:SA$3,$B$9,$B$10,"Dir=V","Dts=S","Sort=A","Days=T","Fill=B")</f>
        <v/>
      </c>
      <c r="SC4" s="4">
        <f>BDH(SC$1,SD$3:SR$3,$B$9,$B$10,"Dir=V","Dts=S","Sort=A","Days=T","Fill=B")</f>
        <v/>
      </c>
      <c r="ST4" s="4">
        <f>BDH(ST$1,SU$3:TI$3,$B$9,$B$10,"Dir=V","Dts=S","Sort=A","Days=T","Fill=B")</f>
        <v/>
      </c>
      <c r="TK4" s="4">
        <f>BDH(TK$1,TL$3:TZ$3,$B$9,$B$10,"Dir=V","Dts=S","Sort=A","Days=T","Fill=B")</f>
        <v/>
      </c>
      <c r="UB4" s="4">
        <f>BDH(UB$1,UC$3:UQ$3,$B$9,$B$10,"Dir=V","Dts=S","Sort=A","Days=T","Fill=B")</f>
        <v/>
      </c>
      <c r="US4" s="4">
        <f>BDH(US$1,UT$3:VH$3,$B$9,$B$10,"Dir=V","Dts=S","Sort=A","Days=T","Fill=B")</f>
        <v/>
      </c>
    </row>
    <row r="5">
      <c r="A5" s="2" t="inlineStr">
        <is>
          <t>Futures ticker</t>
        </is>
      </c>
      <c r="B5" s="4">
        <f>IF(Settings!$B$14="Y","CL"&amp;MID("FGHJKMNQUVXZ",B1,1)&amp;B4&amp;" Comdty","")</f>
        <v/>
      </c>
    </row>
    <row r="6">
      <c r="A6" s="2" t="inlineStr">
        <is>
          <t>Strike reference date</t>
        </is>
      </c>
      <c r="B6" s="8">
        <f>B3-45</f>
        <v/>
      </c>
    </row>
    <row r="7">
      <c r="A7" s="2" t="inlineStr">
        <is>
          <t>Futures price on that date</t>
        </is>
      </c>
      <c r="B7" s="10">
        <f>IF(B5="","",BDH(B5,"PX_LAST",B6,B6,"Days=A","Fill=P","Dts=H"))</f>
        <v/>
      </c>
    </row>
    <row r="8">
      <c r="A8" s="2" t="inlineStr">
        <is>
          <t>ATM strike</t>
        </is>
      </c>
      <c r="B8" s="9">
        <f>IF(ISNUMBER(B7),ROUND(B7,0),"")</f>
        <v/>
      </c>
    </row>
    <row r="9">
      <c r="A9" s="2" t="inlineStr">
        <is>
          <t>History start</t>
        </is>
      </c>
      <c r="B9" s="8">
        <f>B3-100</f>
        <v/>
      </c>
    </row>
    <row r="10">
      <c r="A10" s="2" t="inlineStr">
        <is>
          <t>History end</t>
        </is>
      </c>
      <c r="B10" s="8">
        <f>B3</f>
        <v/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VH10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2" customWidth="1" min="2" max="2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1" customWidth="1" min="15" max="15"/>
    <col width="11" customWidth="1" min="16" max="16"/>
    <col width="10" customWidth="1" min="17" max="17"/>
    <col width="11" customWidth="1" min="18" max="18"/>
    <col width="13" customWidth="1" min="19" max="19"/>
    <col width="12" customWidth="1" min="21" max="21"/>
    <col width="10" customWidth="1" min="22" max="22"/>
    <col width="10" customWidth="1" min="23" max="23"/>
    <col width="10" customWidth="1" min="24" max="24"/>
    <col width="10" customWidth="1" min="25" max="25"/>
    <col width="11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1" customWidth="1" min="32" max="32"/>
    <col width="11" customWidth="1" min="33" max="33"/>
    <col width="10" customWidth="1" min="34" max="34"/>
    <col width="11" customWidth="1" min="35" max="35"/>
    <col width="13" customWidth="1" min="36" max="36"/>
    <col width="12" customWidth="1" min="38" max="38"/>
    <col width="10" customWidth="1" min="39" max="39"/>
    <col width="10" customWidth="1" min="40" max="40"/>
    <col width="10" customWidth="1" min="41" max="41"/>
    <col width="10" customWidth="1" min="42" max="42"/>
    <col width="11" customWidth="1" min="43" max="43"/>
    <col width="11" customWidth="1" min="44" max="44"/>
    <col width="10" customWidth="1" min="45" max="45"/>
    <col width="10" customWidth="1" min="46" max="46"/>
    <col width="10" customWidth="1" min="47" max="47"/>
    <col width="10" customWidth="1" min="48" max="48"/>
    <col width="11" customWidth="1" min="49" max="49"/>
    <col width="11" customWidth="1" min="50" max="50"/>
    <col width="10" customWidth="1" min="51" max="51"/>
    <col width="11" customWidth="1" min="52" max="52"/>
    <col width="13" customWidth="1" min="53" max="53"/>
    <col width="12" customWidth="1" min="55" max="55"/>
    <col width="10" customWidth="1" min="56" max="56"/>
    <col width="10" customWidth="1" min="57" max="57"/>
    <col width="10" customWidth="1" min="58" max="58"/>
    <col width="10" customWidth="1" min="59" max="59"/>
    <col width="11" customWidth="1" min="60" max="60"/>
    <col width="11" customWidth="1" min="61" max="61"/>
    <col width="10" customWidth="1" min="62" max="62"/>
    <col width="10" customWidth="1" min="63" max="63"/>
    <col width="10" customWidth="1" min="64" max="64"/>
    <col width="10" customWidth="1" min="65" max="65"/>
    <col width="11" customWidth="1" min="66" max="66"/>
    <col width="11" customWidth="1" min="67" max="67"/>
    <col width="10" customWidth="1" min="68" max="68"/>
    <col width="11" customWidth="1" min="69" max="69"/>
    <col width="13" customWidth="1" min="70" max="70"/>
    <col width="12" customWidth="1" min="72" max="72"/>
    <col width="10" customWidth="1" min="73" max="73"/>
    <col width="10" customWidth="1" min="74" max="74"/>
    <col width="10" customWidth="1" min="75" max="75"/>
    <col width="10" customWidth="1" min="76" max="76"/>
    <col width="11" customWidth="1" min="77" max="77"/>
    <col width="11" customWidth="1" min="78" max="78"/>
    <col width="10" customWidth="1" min="79" max="79"/>
    <col width="10" customWidth="1" min="80" max="80"/>
    <col width="10" customWidth="1" min="81" max="81"/>
    <col width="10" customWidth="1" min="82" max="82"/>
    <col width="11" customWidth="1" min="83" max="83"/>
    <col width="11" customWidth="1" min="84" max="84"/>
    <col width="10" customWidth="1" min="85" max="85"/>
    <col width="11" customWidth="1" min="86" max="86"/>
    <col width="13" customWidth="1" min="87" max="87"/>
    <col width="12" customWidth="1" min="89" max="89"/>
    <col width="10" customWidth="1" min="90" max="90"/>
    <col width="10" customWidth="1" min="91" max="91"/>
    <col width="10" customWidth="1" min="92" max="92"/>
    <col width="10" customWidth="1" min="93" max="93"/>
    <col width="11" customWidth="1" min="94" max="94"/>
    <col width="11" customWidth="1" min="95" max="95"/>
    <col width="10" customWidth="1" min="96" max="96"/>
    <col width="10" customWidth="1" min="97" max="97"/>
    <col width="10" customWidth="1" min="98" max="98"/>
    <col width="10" customWidth="1" min="99" max="99"/>
    <col width="11" customWidth="1" min="100" max="100"/>
    <col width="11" customWidth="1" min="101" max="101"/>
    <col width="10" customWidth="1" min="102" max="102"/>
    <col width="11" customWidth="1" min="103" max="103"/>
    <col width="13" customWidth="1" min="104" max="104"/>
    <col width="12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1" customWidth="1" min="111" max="111"/>
    <col width="11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1" customWidth="1" min="117" max="117"/>
    <col width="11" customWidth="1" min="118" max="118"/>
    <col width="10" customWidth="1" min="119" max="119"/>
    <col width="11" customWidth="1" min="120" max="120"/>
    <col width="13" customWidth="1" min="121" max="121"/>
    <col width="12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1" customWidth="1" min="128" max="128"/>
    <col width="11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1" customWidth="1" min="134" max="134"/>
    <col width="11" customWidth="1" min="135" max="135"/>
    <col width="10" customWidth="1" min="136" max="136"/>
    <col width="11" customWidth="1" min="137" max="137"/>
    <col width="13" customWidth="1" min="138" max="138"/>
    <col width="12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1" customWidth="1" min="145" max="145"/>
    <col width="11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1" customWidth="1" min="151" max="151"/>
    <col width="11" customWidth="1" min="152" max="152"/>
    <col width="10" customWidth="1" min="153" max="153"/>
    <col width="11" customWidth="1" min="154" max="154"/>
    <col width="13" customWidth="1" min="155" max="155"/>
    <col width="12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1" customWidth="1" min="162" max="162"/>
    <col width="11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1" customWidth="1" min="168" max="168"/>
    <col width="11" customWidth="1" min="169" max="169"/>
    <col width="10" customWidth="1" min="170" max="170"/>
    <col width="11" customWidth="1" min="171" max="171"/>
    <col width="13" customWidth="1" min="172" max="172"/>
    <col width="12" customWidth="1" min="174" max="174"/>
    <col width="10" customWidth="1" min="175" max="175"/>
    <col width="10" customWidth="1" min="176" max="176"/>
    <col width="10" customWidth="1" min="177" max="177"/>
    <col width="10" customWidth="1" min="178" max="178"/>
    <col width="11" customWidth="1" min="179" max="179"/>
    <col width="11" customWidth="1" min="180" max="180"/>
    <col width="10" customWidth="1" min="181" max="181"/>
    <col width="10" customWidth="1" min="182" max="182"/>
    <col width="10" customWidth="1" min="183" max="183"/>
    <col width="10" customWidth="1" min="184" max="184"/>
    <col width="11" customWidth="1" min="185" max="185"/>
    <col width="11" customWidth="1" min="186" max="186"/>
    <col width="10" customWidth="1" min="187" max="187"/>
    <col width="11" customWidth="1" min="188" max="188"/>
    <col width="13" customWidth="1" min="189" max="189"/>
    <col width="12" customWidth="1" min="191" max="191"/>
    <col width="10" customWidth="1" min="192" max="192"/>
    <col width="10" customWidth="1" min="193" max="193"/>
    <col width="10" customWidth="1" min="194" max="194"/>
    <col width="10" customWidth="1" min="195" max="195"/>
    <col width="11" customWidth="1" min="196" max="196"/>
    <col width="11" customWidth="1" min="197" max="197"/>
    <col width="10" customWidth="1" min="198" max="198"/>
    <col width="10" customWidth="1" min="199" max="199"/>
    <col width="10" customWidth="1" min="200" max="200"/>
    <col width="10" customWidth="1" min="201" max="201"/>
    <col width="11" customWidth="1" min="202" max="202"/>
    <col width="11" customWidth="1" min="203" max="203"/>
    <col width="10" customWidth="1" min="204" max="204"/>
    <col width="11" customWidth="1" min="205" max="205"/>
    <col width="13" customWidth="1" min="206" max="206"/>
    <col width="12" customWidth="1" min="208" max="208"/>
    <col width="10" customWidth="1" min="209" max="209"/>
    <col width="10" customWidth="1" min="210" max="210"/>
    <col width="10" customWidth="1" min="211" max="211"/>
    <col width="10" customWidth="1" min="212" max="212"/>
    <col width="11" customWidth="1" min="213" max="213"/>
    <col width="11" customWidth="1" min="214" max="214"/>
    <col width="10" customWidth="1" min="215" max="215"/>
    <col width="10" customWidth="1" min="216" max="216"/>
    <col width="10" customWidth="1" min="217" max="217"/>
    <col width="10" customWidth="1" min="218" max="218"/>
    <col width="11" customWidth="1" min="219" max="219"/>
    <col width="11" customWidth="1" min="220" max="220"/>
    <col width="10" customWidth="1" min="221" max="221"/>
    <col width="11" customWidth="1" min="222" max="222"/>
    <col width="13" customWidth="1" min="223" max="223"/>
    <col width="12" customWidth="1" min="225" max="225"/>
    <col width="10" customWidth="1" min="226" max="226"/>
    <col width="10" customWidth="1" min="227" max="227"/>
    <col width="10" customWidth="1" min="228" max="228"/>
    <col width="10" customWidth="1" min="229" max="229"/>
    <col width="11" customWidth="1" min="230" max="230"/>
    <col width="11" customWidth="1" min="231" max="231"/>
    <col width="10" customWidth="1" min="232" max="232"/>
    <col width="10" customWidth="1" min="233" max="233"/>
    <col width="10" customWidth="1" min="234" max="234"/>
    <col width="10" customWidth="1" min="235" max="235"/>
    <col width="11" customWidth="1" min="236" max="236"/>
    <col width="11" customWidth="1" min="237" max="237"/>
    <col width="10" customWidth="1" min="238" max="238"/>
    <col width="11" customWidth="1" min="239" max="239"/>
    <col width="13" customWidth="1" min="240" max="240"/>
    <col width="12" customWidth="1" min="242" max="242"/>
    <col width="10" customWidth="1" min="243" max="243"/>
    <col width="10" customWidth="1" min="244" max="244"/>
    <col width="10" customWidth="1" min="245" max="245"/>
    <col width="10" customWidth="1" min="246" max="246"/>
    <col width="11" customWidth="1" min="247" max="247"/>
    <col width="11" customWidth="1" min="248" max="248"/>
    <col width="10" customWidth="1" min="249" max="249"/>
    <col width="10" customWidth="1" min="250" max="250"/>
    <col width="10" customWidth="1" min="251" max="251"/>
    <col width="10" customWidth="1" min="252" max="252"/>
    <col width="11" customWidth="1" min="253" max="253"/>
    <col width="11" customWidth="1" min="254" max="254"/>
    <col width="10" customWidth="1" min="255" max="255"/>
    <col width="11" customWidth="1" min="256" max="256"/>
    <col width="13" customWidth="1" min="257" max="257"/>
    <col width="12" customWidth="1" min="259" max="259"/>
    <col width="10" customWidth="1" min="260" max="260"/>
    <col width="10" customWidth="1" min="261" max="261"/>
    <col width="10" customWidth="1" min="262" max="262"/>
    <col width="10" customWidth="1" min="263" max="263"/>
    <col width="11" customWidth="1" min="264" max="264"/>
    <col width="11" customWidth="1" min="265" max="265"/>
    <col width="10" customWidth="1" min="266" max="266"/>
    <col width="10" customWidth="1" min="267" max="267"/>
    <col width="10" customWidth="1" min="268" max="268"/>
    <col width="10" customWidth="1" min="269" max="269"/>
    <col width="11" customWidth="1" min="270" max="270"/>
    <col width="11" customWidth="1" min="271" max="271"/>
    <col width="10" customWidth="1" min="272" max="272"/>
    <col width="11" customWidth="1" min="273" max="273"/>
    <col width="13" customWidth="1" min="274" max="274"/>
    <col width="12" customWidth="1" min="276" max="276"/>
    <col width="10" customWidth="1" min="277" max="277"/>
    <col width="10" customWidth="1" min="278" max="278"/>
    <col width="10" customWidth="1" min="279" max="279"/>
    <col width="10" customWidth="1" min="280" max="280"/>
    <col width="11" customWidth="1" min="281" max="281"/>
    <col width="11" customWidth="1" min="282" max="282"/>
    <col width="10" customWidth="1" min="283" max="283"/>
    <col width="10" customWidth="1" min="284" max="284"/>
    <col width="10" customWidth="1" min="285" max="285"/>
    <col width="10" customWidth="1" min="286" max="286"/>
    <col width="11" customWidth="1" min="287" max="287"/>
    <col width="11" customWidth="1" min="288" max="288"/>
    <col width="10" customWidth="1" min="289" max="289"/>
    <col width="11" customWidth="1" min="290" max="290"/>
    <col width="13" customWidth="1" min="291" max="291"/>
    <col width="12" customWidth="1" min="293" max="293"/>
    <col width="10" customWidth="1" min="294" max="294"/>
    <col width="10" customWidth="1" min="295" max="295"/>
    <col width="10" customWidth="1" min="296" max="296"/>
    <col width="10" customWidth="1" min="297" max="297"/>
    <col width="11" customWidth="1" min="298" max="298"/>
    <col width="11" customWidth="1" min="299" max="299"/>
    <col width="10" customWidth="1" min="300" max="300"/>
    <col width="10" customWidth="1" min="301" max="301"/>
    <col width="10" customWidth="1" min="302" max="302"/>
    <col width="10" customWidth="1" min="303" max="303"/>
    <col width="11" customWidth="1" min="304" max="304"/>
    <col width="11" customWidth="1" min="305" max="305"/>
    <col width="10" customWidth="1" min="306" max="306"/>
    <col width="11" customWidth="1" min="307" max="307"/>
    <col width="13" customWidth="1" min="308" max="308"/>
    <col width="12" customWidth="1" min="310" max="310"/>
    <col width="10" customWidth="1" min="311" max="311"/>
    <col width="10" customWidth="1" min="312" max="312"/>
    <col width="10" customWidth="1" min="313" max="313"/>
    <col width="10" customWidth="1" min="314" max="314"/>
    <col width="11" customWidth="1" min="315" max="315"/>
    <col width="11" customWidth="1" min="316" max="316"/>
    <col width="10" customWidth="1" min="317" max="317"/>
    <col width="10" customWidth="1" min="318" max="318"/>
    <col width="10" customWidth="1" min="319" max="319"/>
    <col width="10" customWidth="1" min="320" max="320"/>
    <col width="11" customWidth="1" min="321" max="321"/>
    <col width="11" customWidth="1" min="322" max="322"/>
    <col width="10" customWidth="1" min="323" max="323"/>
    <col width="11" customWidth="1" min="324" max="324"/>
    <col width="13" customWidth="1" min="325" max="325"/>
    <col width="12" customWidth="1" min="327" max="327"/>
    <col width="10" customWidth="1" min="328" max="328"/>
    <col width="10" customWidth="1" min="329" max="329"/>
    <col width="10" customWidth="1" min="330" max="330"/>
    <col width="10" customWidth="1" min="331" max="331"/>
    <col width="11" customWidth="1" min="332" max="332"/>
    <col width="11" customWidth="1" min="333" max="333"/>
    <col width="10" customWidth="1" min="334" max="334"/>
    <col width="10" customWidth="1" min="335" max="335"/>
    <col width="10" customWidth="1" min="336" max="336"/>
    <col width="10" customWidth="1" min="337" max="337"/>
    <col width="11" customWidth="1" min="338" max="338"/>
    <col width="11" customWidth="1" min="339" max="339"/>
    <col width="10" customWidth="1" min="340" max="340"/>
    <col width="11" customWidth="1" min="341" max="341"/>
    <col width="13" customWidth="1" min="342" max="342"/>
    <col width="12" customWidth="1" min="344" max="344"/>
    <col width="10" customWidth="1" min="345" max="345"/>
    <col width="10" customWidth="1" min="346" max="346"/>
    <col width="10" customWidth="1" min="347" max="347"/>
    <col width="10" customWidth="1" min="348" max="348"/>
    <col width="11" customWidth="1" min="349" max="349"/>
    <col width="11" customWidth="1" min="350" max="350"/>
    <col width="10" customWidth="1" min="351" max="351"/>
    <col width="10" customWidth="1" min="352" max="352"/>
    <col width="10" customWidth="1" min="353" max="353"/>
    <col width="10" customWidth="1" min="354" max="354"/>
    <col width="11" customWidth="1" min="355" max="355"/>
    <col width="11" customWidth="1" min="356" max="356"/>
    <col width="10" customWidth="1" min="357" max="357"/>
    <col width="11" customWidth="1" min="358" max="358"/>
    <col width="13" customWidth="1" min="359" max="359"/>
    <col width="12" customWidth="1" min="361" max="361"/>
    <col width="10" customWidth="1" min="362" max="362"/>
    <col width="10" customWidth="1" min="363" max="363"/>
    <col width="10" customWidth="1" min="364" max="364"/>
    <col width="10" customWidth="1" min="365" max="365"/>
    <col width="11" customWidth="1" min="366" max="366"/>
    <col width="11" customWidth="1" min="367" max="367"/>
    <col width="10" customWidth="1" min="368" max="368"/>
    <col width="10" customWidth="1" min="369" max="369"/>
    <col width="10" customWidth="1" min="370" max="370"/>
    <col width="10" customWidth="1" min="371" max="371"/>
    <col width="11" customWidth="1" min="372" max="372"/>
    <col width="11" customWidth="1" min="373" max="373"/>
    <col width="10" customWidth="1" min="374" max="374"/>
    <col width="11" customWidth="1" min="375" max="375"/>
    <col width="13" customWidth="1" min="376" max="376"/>
    <col width="12" customWidth="1" min="378" max="378"/>
    <col width="10" customWidth="1" min="379" max="379"/>
    <col width="10" customWidth="1" min="380" max="380"/>
    <col width="10" customWidth="1" min="381" max="381"/>
    <col width="10" customWidth="1" min="382" max="382"/>
    <col width="11" customWidth="1" min="383" max="383"/>
    <col width="11" customWidth="1" min="384" max="384"/>
    <col width="10" customWidth="1" min="385" max="385"/>
    <col width="10" customWidth="1" min="386" max="386"/>
    <col width="10" customWidth="1" min="387" max="387"/>
    <col width="10" customWidth="1" min="388" max="388"/>
    <col width="11" customWidth="1" min="389" max="389"/>
    <col width="11" customWidth="1" min="390" max="390"/>
    <col width="10" customWidth="1" min="391" max="391"/>
    <col width="11" customWidth="1" min="392" max="392"/>
    <col width="13" customWidth="1" min="393" max="393"/>
    <col width="12" customWidth="1" min="395" max="395"/>
    <col width="10" customWidth="1" min="396" max="396"/>
    <col width="10" customWidth="1" min="397" max="397"/>
    <col width="10" customWidth="1" min="398" max="398"/>
    <col width="10" customWidth="1" min="399" max="399"/>
    <col width="11" customWidth="1" min="400" max="400"/>
    <col width="11" customWidth="1" min="401" max="401"/>
    <col width="10" customWidth="1" min="402" max="402"/>
    <col width="10" customWidth="1" min="403" max="403"/>
    <col width="10" customWidth="1" min="404" max="404"/>
    <col width="10" customWidth="1" min="405" max="405"/>
    <col width="11" customWidth="1" min="406" max="406"/>
    <col width="11" customWidth="1" min="407" max="407"/>
    <col width="10" customWidth="1" min="408" max="408"/>
    <col width="11" customWidth="1" min="409" max="409"/>
    <col width="13" customWidth="1" min="410" max="410"/>
    <col width="12" customWidth="1" min="412" max="412"/>
    <col width="10" customWidth="1" min="413" max="413"/>
    <col width="10" customWidth="1" min="414" max="414"/>
    <col width="10" customWidth="1" min="415" max="415"/>
    <col width="10" customWidth="1" min="416" max="416"/>
    <col width="11" customWidth="1" min="417" max="417"/>
    <col width="11" customWidth="1" min="418" max="418"/>
    <col width="10" customWidth="1" min="419" max="419"/>
    <col width="10" customWidth="1" min="420" max="420"/>
    <col width="10" customWidth="1" min="421" max="421"/>
    <col width="10" customWidth="1" min="422" max="422"/>
    <col width="11" customWidth="1" min="423" max="423"/>
    <col width="11" customWidth="1" min="424" max="424"/>
    <col width="10" customWidth="1" min="425" max="425"/>
    <col width="11" customWidth="1" min="426" max="426"/>
    <col width="13" customWidth="1" min="427" max="427"/>
    <col width="12" customWidth="1" min="429" max="429"/>
    <col width="10" customWidth="1" min="430" max="430"/>
    <col width="10" customWidth="1" min="431" max="431"/>
    <col width="10" customWidth="1" min="432" max="432"/>
    <col width="10" customWidth="1" min="433" max="433"/>
    <col width="11" customWidth="1" min="434" max="434"/>
    <col width="11" customWidth="1" min="435" max="435"/>
    <col width="10" customWidth="1" min="436" max="436"/>
    <col width="10" customWidth="1" min="437" max="437"/>
    <col width="10" customWidth="1" min="438" max="438"/>
    <col width="10" customWidth="1" min="439" max="439"/>
    <col width="11" customWidth="1" min="440" max="440"/>
    <col width="11" customWidth="1" min="441" max="441"/>
    <col width="10" customWidth="1" min="442" max="442"/>
    <col width="11" customWidth="1" min="443" max="443"/>
    <col width="13" customWidth="1" min="444" max="444"/>
    <col width="12" customWidth="1" min="446" max="446"/>
    <col width="10" customWidth="1" min="447" max="447"/>
    <col width="10" customWidth="1" min="448" max="448"/>
    <col width="10" customWidth="1" min="449" max="449"/>
    <col width="10" customWidth="1" min="450" max="450"/>
    <col width="11" customWidth="1" min="451" max="451"/>
    <col width="11" customWidth="1" min="452" max="452"/>
    <col width="10" customWidth="1" min="453" max="453"/>
    <col width="10" customWidth="1" min="454" max="454"/>
    <col width="10" customWidth="1" min="455" max="455"/>
    <col width="10" customWidth="1" min="456" max="456"/>
    <col width="11" customWidth="1" min="457" max="457"/>
    <col width="11" customWidth="1" min="458" max="458"/>
    <col width="10" customWidth="1" min="459" max="459"/>
    <col width="11" customWidth="1" min="460" max="460"/>
    <col width="13" customWidth="1" min="461" max="461"/>
    <col width="12" customWidth="1" min="463" max="463"/>
    <col width="10" customWidth="1" min="464" max="464"/>
    <col width="10" customWidth="1" min="465" max="465"/>
    <col width="10" customWidth="1" min="466" max="466"/>
    <col width="10" customWidth="1" min="467" max="467"/>
    <col width="11" customWidth="1" min="468" max="468"/>
    <col width="11" customWidth="1" min="469" max="469"/>
    <col width="10" customWidth="1" min="470" max="470"/>
    <col width="10" customWidth="1" min="471" max="471"/>
    <col width="10" customWidth="1" min="472" max="472"/>
    <col width="10" customWidth="1" min="473" max="473"/>
    <col width="11" customWidth="1" min="474" max="474"/>
    <col width="11" customWidth="1" min="475" max="475"/>
    <col width="10" customWidth="1" min="476" max="476"/>
    <col width="11" customWidth="1" min="477" max="477"/>
    <col width="13" customWidth="1" min="478" max="478"/>
    <col width="12" customWidth="1" min="480" max="480"/>
    <col width="10" customWidth="1" min="481" max="481"/>
    <col width="10" customWidth="1" min="482" max="482"/>
    <col width="10" customWidth="1" min="483" max="483"/>
    <col width="10" customWidth="1" min="484" max="484"/>
    <col width="11" customWidth="1" min="485" max="485"/>
    <col width="11" customWidth="1" min="486" max="486"/>
    <col width="10" customWidth="1" min="487" max="487"/>
    <col width="10" customWidth="1" min="488" max="488"/>
    <col width="10" customWidth="1" min="489" max="489"/>
    <col width="10" customWidth="1" min="490" max="490"/>
    <col width="11" customWidth="1" min="491" max="491"/>
    <col width="11" customWidth="1" min="492" max="492"/>
    <col width="10" customWidth="1" min="493" max="493"/>
    <col width="11" customWidth="1" min="494" max="494"/>
    <col width="13" customWidth="1" min="495" max="495"/>
    <col width="12" customWidth="1" min="497" max="497"/>
    <col width="10" customWidth="1" min="498" max="498"/>
    <col width="10" customWidth="1" min="499" max="499"/>
    <col width="10" customWidth="1" min="500" max="500"/>
    <col width="10" customWidth="1" min="501" max="501"/>
    <col width="11" customWidth="1" min="502" max="502"/>
    <col width="11" customWidth="1" min="503" max="503"/>
    <col width="10" customWidth="1" min="504" max="504"/>
    <col width="10" customWidth="1" min="505" max="505"/>
    <col width="10" customWidth="1" min="506" max="506"/>
    <col width="10" customWidth="1" min="507" max="507"/>
    <col width="11" customWidth="1" min="508" max="508"/>
    <col width="11" customWidth="1" min="509" max="509"/>
    <col width="10" customWidth="1" min="510" max="510"/>
    <col width="11" customWidth="1" min="511" max="511"/>
    <col width="13" customWidth="1" min="512" max="512"/>
    <col width="12" customWidth="1" min="514" max="514"/>
    <col width="10" customWidth="1" min="515" max="515"/>
    <col width="10" customWidth="1" min="516" max="516"/>
    <col width="10" customWidth="1" min="517" max="517"/>
    <col width="10" customWidth="1" min="518" max="518"/>
    <col width="11" customWidth="1" min="519" max="519"/>
    <col width="11" customWidth="1" min="520" max="520"/>
    <col width="10" customWidth="1" min="521" max="521"/>
    <col width="10" customWidth="1" min="522" max="522"/>
    <col width="10" customWidth="1" min="523" max="523"/>
    <col width="10" customWidth="1" min="524" max="524"/>
    <col width="11" customWidth="1" min="525" max="525"/>
    <col width="11" customWidth="1" min="526" max="526"/>
    <col width="10" customWidth="1" min="527" max="527"/>
    <col width="11" customWidth="1" min="528" max="528"/>
    <col width="13" customWidth="1" min="529" max="529"/>
    <col width="12" customWidth="1" min="531" max="531"/>
    <col width="10" customWidth="1" min="532" max="532"/>
    <col width="10" customWidth="1" min="533" max="533"/>
    <col width="10" customWidth="1" min="534" max="534"/>
    <col width="10" customWidth="1" min="535" max="535"/>
    <col width="11" customWidth="1" min="536" max="536"/>
    <col width="11" customWidth="1" min="537" max="537"/>
    <col width="10" customWidth="1" min="538" max="538"/>
    <col width="10" customWidth="1" min="539" max="539"/>
    <col width="10" customWidth="1" min="540" max="540"/>
    <col width="10" customWidth="1" min="541" max="541"/>
    <col width="11" customWidth="1" min="542" max="542"/>
    <col width="11" customWidth="1" min="543" max="543"/>
    <col width="10" customWidth="1" min="544" max="544"/>
    <col width="11" customWidth="1" min="545" max="545"/>
    <col width="13" customWidth="1" min="546" max="546"/>
    <col width="12" customWidth="1" min="548" max="548"/>
    <col width="10" customWidth="1" min="549" max="549"/>
    <col width="10" customWidth="1" min="550" max="550"/>
    <col width="10" customWidth="1" min="551" max="551"/>
    <col width="10" customWidth="1" min="552" max="552"/>
    <col width="11" customWidth="1" min="553" max="553"/>
    <col width="11" customWidth="1" min="554" max="554"/>
    <col width="10" customWidth="1" min="555" max="555"/>
    <col width="10" customWidth="1" min="556" max="556"/>
    <col width="10" customWidth="1" min="557" max="557"/>
    <col width="10" customWidth="1" min="558" max="558"/>
    <col width="11" customWidth="1" min="559" max="559"/>
    <col width="11" customWidth="1" min="560" max="560"/>
    <col width="10" customWidth="1" min="561" max="561"/>
    <col width="11" customWidth="1" min="562" max="562"/>
    <col width="13" customWidth="1" min="563" max="563"/>
    <col width="12" customWidth="1" min="565" max="565"/>
    <col width="10" customWidth="1" min="566" max="566"/>
    <col width="10" customWidth="1" min="567" max="567"/>
    <col width="10" customWidth="1" min="568" max="568"/>
    <col width="10" customWidth="1" min="569" max="569"/>
    <col width="11" customWidth="1" min="570" max="570"/>
    <col width="11" customWidth="1" min="571" max="571"/>
    <col width="10" customWidth="1" min="572" max="572"/>
    <col width="10" customWidth="1" min="573" max="573"/>
    <col width="10" customWidth="1" min="574" max="574"/>
    <col width="10" customWidth="1" min="575" max="575"/>
    <col width="11" customWidth="1" min="576" max="576"/>
    <col width="11" customWidth="1" min="577" max="577"/>
    <col width="10" customWidth="1" min="578" max="578"/>
    <col width="11" customWidth="1" min="579" max="579"/>
    <col width="13" customWidth="1" min="580" max="580"/>
  </cols>
  <sheetData>
    <row r="1">
      <c r="A1" s="2" t="inlineStr">
        <is>
          <t>Contract month</t>
        </is>
      </c>
      <c r="B1" s="9" t="n">
        <v>6</v>
      </c>
      <c r="D1" s="2">
        <f>IF(ISNUMBER(B$8),"CL"&amp;MID("FGHJKMNQUVXZ",B$1,1)&amp;B$4&amp;"C "&amp;IF(Settings!$F$14=2,TEXT((B$8-8),"0.00"),(B$8-8))&amp;" Comdty","")</f>
        <v/>
      </c>
      <c r="U1" s="2">
        <f>IF(ISNUMBER(B$8),"CL"&amp;MID("FGHJKMNQUVXZ",B$1,1)&amp;B$4&amp;"P "&amp;IF(Settings!$F$14=2,TEXT((B$8-8),"0.00"),(B$8-8))&amp;" Comdty","")</f>
        <v/>
      </c>
      <c r="AL1" s="2">
        <f>IF(ISNUMBER(B$8),"CL"&amp;MID("FGHJKMNQUVXZ",B$1,1)&amp;B$4&amp;"C "&amp;IF(Settings!$F$14=2,TEXT((B$8-7),"0.00"),(B$8-7))&amp;" Comdty","")</f>
        <v/>
      </c>
      <c r="BC1" s="2">
        <f>IF(ISNUMBER(B$8),"CL"&amp;MID("FGHJKMNQUVXZ",B$1,1)&amp;B$4&amp;"P "&amp;IF(Settings!$F$14=2,TEXT((B$8-7),"0.00"),(B$8-7))&amp;" Comdty","")</f>
        <v/>
      </c>
      <c r="BT1" s="2">
        <f>IF(ISNUMBER(B$8),"CL"&amp;MID("FGHJKMNQUVXZ",B$1,1)&amp;B$4&amp;"C "&amp;IF(Settings!$F$14=2,TEXT((B$8-6),"0.00"),(B$8-6))&amp;" Comdty","")</f>
        <v/>
      </c>
      <c r="CK1" s="2">
        <f>IF(ISNUMBER(B$8),"CL"&amp;MID("FGHJKMNQUVXZ",B$1,1)&amp;B$4&amp;"P "&amp;IF(Settings!$F$14=2,TEXT((B$8-6),"0.00"),(B$8-6))&amp;" Comdty","")</f>
        <v/>
      </c>
      <c r="DB1" s="2">
        <f>IF(ISNUMBER(B$8),"CL"&amp;MID("FGHJKMNQUVXZ",B$1,1)&amp;B$4&amp;"C "&amp;IF(Settings!$F$14=2,TEXT((B$8-5),"0.00"),(B$8-5))&amp;" Comdty","")</f>
        <v/>
      </c>
      <c r="DS1" s="2">
        <f>IF(ISNUMBER(B$8),"CL"&amp;MID("FGHJKMNQUVXZ",B$1,1)&amp;B$4&amp;"P "&amp;IF(Settings!$F$14=2,TEXT((B$8-5),"0.00"),(B$8-5))&amp;" Comdty","")</f>
        <v/>
      </c>
      <c r="EJ1" s="2">
        <f>IF(ISNUMBER(B$8),"CL"&amp;MID("FGHJKMNQUVXZ",B$1,1)&amp;B$4&amp;"C "&amp;IF(Settings!$F$14=2,TEXT((B$8-4),"0.00"),(B$8-4))&amp;" Comdty","")</f>
        <v/>
      </c>
      <c r="FA1" s="2">
        <f>IF(ISNUMBER(B$8),"CL"&amp;MID("FGHJKMNQUVXZ",B$1,1)&amp;B$4&amp;"P "&amp;IF(Settings!$F$14=2,TEXT((B$8-4),"0.00"),(B$8-4))&amp;" Comdty","")</f>
        <v/>
      </c>
      <c r="FR1" s="2">
        <f>IF(ISNUMBER(B$8),"CL"&amp;MID("FGHJKMNQUVXZ",B$1,1)&amp;B$4&amp;"C "&amp;IF(Settings!$F$14=2,TEXT((B$8-3),"0.00"),(B$8-3))&amp;" Comdty","")</f>
        <v/>
      </c>
      <c r="GI1" s="2">
        <f>IF(ISNUMBER(B$8),"CL"&amp;MID("FGHJKMNQUVXZ",B$1,1)&amp;B$4&amp;"P "&amp;IF(Settings!$F$14=2,TEXT((B$8-3),"0.00"),(B$8-3))&amp;" Comdty","")</f>
        <v/>
      </c>
      <c r="GZ1" s="2">
        <f>IF(ISNUMBER(B$8),"CL"&amp;MID("FGHJKMNQUVXZ",B$1,1)&amp;B$4&amp;"C "&amp;IF(Settings!$F$14=2,TEXT((B$8-2),"0.00"),(B$8-2))&amp;" Comdty","")</f>
        <v/>
      </c>
      <c r="HQ1" s="2">
        <f>IF(ISNUMBER(B$8),"CL"&amp;MID("FGHJKMNQUVXZ",B$1,1)&amp;B$4&amp;"P "&amp;IF(Settings!$F$14=2,TEXT((B$8-2),"0.00"),(B$8-2))&amp;" Comdty","")</f>
        <v/>
      </c>
      <c r="IH1" s="2">
        <f>IF(ISNUMBER(B$8),"CL"&amp;MID("FGHJKMNQUVXZ",B$1,1)&amp;B$4&amp;"C "&amp;IF(Settings!$F$14=2,TEXT((B$8-1),"0.00"),(B$8-1))&amp;" Comdty","")</f>
        <v/>
      </c>
      <c r="IY1" s="2">
        <f>IF(ISNUMBER(B$8),"CL"&amp;MID("FGHJKMNQUVXZ",B$1,1)&amp;B$4&amp;"P "&amp;IF(Settings!$F$14=2,TEXT((B$8-1),"0.00"),(B$8-1))&amp;" Comdty","")</f>
        <v/>
      </c>
      <c r="JP1" s="2">
        <f>IF(ISNUMBER(B$8),"CL"&amp;MID("FGHJKMNQUVXZ",B$1,1)&amp;B$4&amp;"C "&amp;IF(Settings!$F$14=2,TEXT(B$8,"0.00"),B$8)&amp;" Comdty","")</f>
        <v/>
      </c>
      <c r="KG1" s="2">
        <f>IF(ISNUMBER(B$8),"CL"&amp;MID("FGHJKMNQUVXZ",B$1,1)&amp;B$4&amp;"P "&amp;IF(Settings!$F$14=2,TEXT(B$8,"0.00"),B$8)&amp;" Comdty","")</f>
        <v/>
      </c>
      <c r="KX1" s="2">
        <f>IF(ISNUMBER(B$8),"CL"&amp;MID("FGHJKMNQUVXZ",B$1,1)&amp;B$4&amp;"C "&amp;IF(Settings!$F$14=2,TEXT((B$8+1),"0.00"),(B$8+1))&amp;" Comdty","")</f>
        <v/>
      </c>
      <c r="LO1" s="2">
        <f>IF(ISNUMBER(B$8),"CL"&amp;MID("FGHJKMNQUVXZ",B$1,1)&amp;B$4&amp;"P "&amp;IF(Settings!$F$14=2,TEXT((B$8+1),"0.00"),(B$8+1))&amp;" Comdty","")</f>
        <v/>
      </c>
      <c r="MF1" s="2">
        <f>IF(ISNUMBER(B$8),"CL"&amp;MID("FGHJKMNQUVXZ",B$1,1)&amp;B$4&amp;"C "&amp;IF(Settings!$F$14=2,TEXT((B$8+2),"0.00"),(B$8+2))&amp;" Comdty","")</f>
        <v/>
      </c>
      <c r="MW1" s="2">
        <f>IF(ISNUMBER(B$8),"CL"&amp;MID("FGHJKMNQUVXZ",B$1,1)&amp;B$4&amp;"P "&amp;IF(Settings!$F$14=2,TEXT((B$8+2),"0.00"),(B$8+2))&amp;" Comdty","")</f>
        <v/>
      </c>
      <c r="NN1" s="2">
        <f>IF(ISNUMBER(B$8),"CL"&amp;MID("FGHJKMNQUVXZ",B$1,1)&amp;B$4&amp;"C "&amp;IF(Settings!$F$14=2,TEXT((B$8+3),"0.00"),(B$8+3))&amp;" Comdty","")</f>
        <v/>
      </c>
      <c r="OE1" s="2">
        <f>IF(ISNUMBER(B$8),"CL"&amp;MID("FGHJKMNQUVXZ",B$1,1)&amp;B$4&amp;"P "&amp;IF(Settings!$F$14=2,TEXT((B$8+3),"0.00"),(B$8+3))&amp;" Comdty","")</f>
        <v/>
      </c>
      <c r="OV1" s="2">
        <f>IF(ISNUMBER(B$8),"CL"&amp;MID("FGHJKMNQUVXZ",B$1,1)&amp;B$4&amp;"C "&amp;IF(Settings!$F$14=2,TEXT((B$8+4),"0.00"),(B$8+4))&amp;" Comdty","")</f>
        <v/>
      </c>
      <c r="PM1" s="2">
        <f>IF(ISNUMBER(B$8),"CL"&amp;MID("FGHJKMNQUVXZ",B$1,1)&amp;B$4&amp;"P "&amp;IF(Settings!$F$14=2,TEXT((B$8+4),"0.00"),(B$8+4))&amp;" Comdty","")</f>
        <v/>
      </c>
      <c r="QD1" s="2">
        <f>IF(ISNUMBER(B$8),"CL"&amp;MID("FGHJKMNQUVXZ",B$1,1)&amp;B$4&amp;"C "&amp;IF(Settings!$F$14=2,TEXT((B$8+5),"0.00"),(B$8+5))&amp;" Comdty","")</f>
        <v/>
      </c>
      <c r="QU1" s="2">
        <f>IF(ISNUMBER(B$8),"CL"&amp;MID("FGHJKMNQUVXZ",B$1,1)&amp;B$4&amp;"P "&amp;IF(Settings!$F$14=2,TEXT((B$8+5),"0.00"),(B$8+5))&amp;" Comdty","")</f>
        <v/>
      </c>
      <c r="RL1" s="2">
        <f>IF(ISNUMBER(B$8),"CL"&amp;MID("FGHJKMNQUVXZ",B$1,1)&amp;B$4&amp;"C "&amp;IF(Settings!$F$14=2,TEXT((B$8+6),"0.00"),(B$8+6))&amp;" Comdty","")</f>
        <v/>
      </c>
      <c r="SC1" s="2">
        <f>IF(ISNUMBER(B$8),"CL"&amp;MID("FGHJKMNQUVXZ",B$1,1)&amp;B$4&amp;"P "&amp;IF(Settings!$F$14=2,TEXT((B$8+6),"0.00"),(B$8+6))&amp;" Comdty","")</f>
        <v/>
      </c>
      <c r="ST1" s="2">
        <f>IF(ISNUMBER(B$8),"CL"&amp;MID("FGHJKMNQUVXZ",B$1,1)&amp;B$4&amp;"C "&amp;IF(Settings!$F$14=2,TEXT((B$8+7),"0.00"),(B$8+7))&amp;" Comdty","")</f>
        <v/>
      </c>
      <c r="TK1" s="2">
        <f>IF(ISNUMBER(B$8),"CL"&amp;MID("FGHJKMNQUVXZ",B$1,1)&amp;B$4&amp;"P "&amp;IF(Settings!$F$14=2,TEXT((B$8+7),"0.00"),(B$8+7))&amp;" Comdty","")</f>
        <v/>
      </c>
      <c r="UB1" s="2">
        <f>IF(ISNUMBER(B$8),"CL"&amp;MID("FGHJKMNQUVXZ",B$1,1)&amp;B$4&amp;"C "&amp;IF(Settings!$F$14=2,TEXT((B$8+8),"0.00"),(B$8+8))&amp;" Comdty","")</f>
        <v/>
      </c>
      <c r="US1" s="2">
        <f>IF(ISNUMBER(B$8),"CL"&amp;MID("FGHJKMNQUVXZ",B$1,1)&amp;B$4&amp;"P "&amp;IF(Settings!$F$14=2,TEXT((B$8+8),"0.00"),(B$8+8))&amp;" Comdty","")</f>
        <v/>
      </c>
    </row>
    <row r="2">
      <c r="A2" s="2" t="inlineStr">
        <is>
          <t>Futures last trade</t>
        </is>
      </c>
      <c r="B2" s="8">
        <f>WORKDAY(DATE(Settings!$E$14,B1-1,25),-3)</f>
        <v/>
      </c>
      <c r="D2" s="4" t="inlineStr">
        <is>
          <t>call -8 from ATM</t>
        </is>
      </c>
      <c r="U2" s="4" t="inlineStr">
        <is>
          <t>put -8 from ATM</t>
        </is>
      </c>
      <c r="AL2" s="4" t="inlineStr">
        <is>
          <t>call -7 from ATM</t>
        </is>
      </c>
      <c r="BC2" s="4" t="inlineStr">
        <is>
          <t>put -7 from ATM</t>
        </is>
      </c>
      <c r="BT2" s="4" t="inlineStr">
        <is>
          <t>call -6 from ATM</t>
        </is>
      </c>
      <c r="CK2" s="4" t="inlineStr">
        <is>
          <t>put -6 from ATM</t>
        </is>
      </c>
      <c r="DB2" s="4" t="inlineStr">
        <is>
          <t>call -5 from ATM</t>
        </is>
      </c>
      <c r="DS2" s="4" t="inlineStr">
        <is>
          <t>put -5 from ATM</t>
        </is>
      </c>
      <c r="EJ2" s="4" t="inlineStr">
        <is>
          <t>call -4 from ATM</t>
        </is>
      </c>
      <c r="FA2" s="4" t="inlineStr">
        <is>
          <t>put -4 from ATM</t>
        </is>
      </c>
      <c r="FR2" s="4" t="inlineStr">
        <is>
          <t>call -3 from ATM</t>
        </is>
      </c>
      <c r="GI2" s="4" t="inlineStr">
        <is>
          <t>put -3 from ATM</t>
        </is>
      </c>
      <c r="GZ2" s="4" t="inlineStr">
        <is>
          <t>call -2 from ATM</t>
        </is>
      </c>
      <c r="HQ2" s="4" t="inlineStr">
        <is>
          <t>put -2 from ATM</t>
        </is>
      </c>
      <c r="IH2" s="4" t="inlineStr">
        <is>
          <t>call -1 from ATM</t>
        </is>
      </c>
      <c r="IY2" s="4" t="inlineStr">
        <is>
          <t>put -1 from ATM</t>
        </is>
      </c>
      <c r="JP2" s="4" t="inlineStr">
        <is>
          <t>call +0 from ATM</t>
        </is>
      </c>
      <c r="KG2" s="4" t="inlineStr">
        <is>
          <t>put +0 from ATM</t>
        </is>
      </c>
      <c r="KX2" s="4" t="inlineStr">
        <is>
          <t>call +1 from ATM</t>
        </is>
      </c>
      <c r="LO2" s="4" t="inlineStr">
        <is>
          <t>put +1 from ATM</t>
        </is>
      </c>
      <c r="MF2" s="4" t="inlineStr">
        <is>
          <t>call +2 from ATM</t>
        </is>
      </c>
      <c r="MW2" s="4" t="inlineStr">
        <is>
          <t>put +2 from ATM</t>
        </is>
      </c>
      <c r="NN2" s="4" t="inlineStr">
        <is>
          <t>call +3 from ATM</t>
        </is>
      </c>
      <c r="OE2" s="4" t="inlineStr">
        <is>
          <t>put +3 from ATM</t>
        </is>
      </c>
      <c r="OV2" s="4" t="inlineStr">
        <is>
          <t>call +4 from ATM</t>
        </is>
      </c>
      <c r="PM2" s="4" t="inlineStr">
        <is>
          <t>put +4 from ATM</t>
        </is>
      </c>
      <c r="QD2" s="4" t="inlineStr">
        <is>
          <t>call +5 from ATM</t>
        </is>
      </c>
      <c r="QU2" s="4" t="inlineStr">
        <is>
          <t>put +5 from ATM</t>
        </is>
      </c>
      <c r="RL2" s="4" t="inlineStr">
        <is>
          <t>call +6 from ATM</t>
        </is>
      </c>
      <c r="SC2" s="4" t="inlineStr">
        <is>
          <t>put +6 from ATM</t>
        </is>
      </c>
      <c r="ST2" s="4" t="inlineStr">
        <is>
          <t>call +7 from ATM</t>
        </is>
      </c>
      <c r="TK2" s="4" t="inlineStr">
        <is>
          <t>put +7 from ATM</t>
        </is>
      </c>
      <c r="UB2" s="4" t="inlineStr">
        <is>
          <t>call +8 from ATM</t>
        </is>
      </c>
      <c r="US2" s="4" t="inlineStr">
        <is>
          <t>put +8 from ATM</t>
        </is>
      </c>
    </row>
    <row r="3">
      <c r="A3" s="2" t="inlineStr">
        <is>
          <t>Option expiry (approx)</t>
        </is>
      </c>
      <c r="B3" s="8">
        <f>WORKDAY(B2,-1)</f>
        <v/>
      </c>
      <c r="D3" s="5" t="inlineStr">
        <is>
          <t>Date</t>
        </is>
      </c>
      <c r="E3" s="5" t="inlineStr">
        <is>
          <t>PX_BID</t>
        </is>
      </c>
      <c r="F3" s="5" t="inlineStr">
        <is>
          <t>PX_ASK</t>
        </is>
      </c>
      <c r="G3" s="5" t="inlineStr">
        <is>
          <t>PX_MID</t>
        </is>
      </c>
      <c r="H3" s="5" t="inlineStr">
        <is>
          <t>PX_LAST</t>
        </is>
      </c>
      <c r="I3" s="5" t="inlineStr">
        <is>
          <t>PX_SETTLE</t>
        </is>
      </c>
      <c r="J3" s="5" t="inlineStr">
        <is>
          <t>PX_VOLUME</t>
        </is>
      </c>
      <c r="K3" s="5" t="inlineStr">
        <is>
          <t>OPEN_INT</t>
        </is>
      </c>
      <c r="L3" s="5" t="inlineStr">
        <is>
          <t>IVOL_MID</t>
        </is>
      </c>
      <c r="M3" s="5" t="inlineStr">
        <is>
          <t>IVOL_BID</t>
        </is>
      </c>
      <c r="N3" s="5" t="inlineStr">
        <is>
          <t>IVOL_ASK</t>
        </is>
      </c>
      <c r="O3" s="5" t="inlineStr">
        <is>
          <t>DELTA_MID</t>
        </is>
      </c>
      <c r="P3" s="5" t="inlineStr">
        <is>
          <t>GAMMA_MID</t>
        </is>
      </c>
      <c r="Q3" s="5" t="inlineStr">
        <is>
          <t>VEGA_MID</t>
        </is>
      </c>
      <c r="R3" s="5" t="inlineStr">
        <is>
          <t>THETA_MID</t>
        </is>
      </c>
      <c r="S3" s="5" t="inlineStr">
        <is>
          <t>OPT_UNDL_PX</t>
        </is>
      </c>
      <c r="U3" s="5" t="inlineStr">
        <is>
          <t>Date</t>
        </is>
      </c>
      <c r="V3" s="5" t="inlineStr">
        <is>
          <t>PX_BID</t>
        </is>
      </c>
      <c r="W3" s="5" t="inlineStr">
        <is>
          <t>PX_ASK</t>
        </is>
      </c>
      <c r="X3" s="5" t="inlineStr">
        <is>
          <t>PX_MID</t>
        </is>
      </c>
      <c r="Y3" s="5" t="inlineStr">
        <is>
          <t>PX_LAST</t>
        </is>
      </c>
      <c r="Z3" s="5" t="inlineStr">
        <is>
          <t>PX_SETTLE</t>
        </is>
      </c>
      <c r="AA3" s="5" t="inlineStr">
        <is>
          <t>PX_VOLUME</t>
        </is>
      </c>
      <c r="AB3" s="5" t="inlineStr">
        <is>
          <t>OPEN_INT</t>
        </is>
      </c>
      <c r="AC3" s="5" t="inlineStr">
        <is>
          <t>IVOL_MID</t>
        </is>
      </c>
      <c r="AD3" s="5" t="inlineStr">
        <is>
          <t>IVOL_BID</t>
        </is>
      </c>
      <c r="AE3" s="5" t="inlineStr">
        <is>
          <t>IVOL_ASK</t>
        </is>
      </c>
      <c r="AF3" s="5" t="inlineStr">
        <is>
          <t>DELTA_MID</t>
        </is>
      </c>
      <c r="AG3" s="5" t="inlineStr">
        <is>
          <t>GAMMA_MID</t>
        </is>
      </c>
      <c r="AH3" s="5" t="inlineStr">
        <is>
          <t>VEGA_MID</t>
        </is>
      </c>
      <c r="AI3" s="5" t="inlineStr">
        <is>
          <t>THETA_MID</t>
        </is>
      </c>
      <c r="AJ3" s="5" t="inlineStr">
        <is>
          <t>OPT_UNDL_PX</t>
        </is>
      </c>
      <c r="AL3" s="5" t="inlineStr">
        <is>
          <t>Date</t>
        </is>
      </c>
      <c r="AM3" s="5" t="inlineStr">
        <is>
          <t>PX_BID</t>
        </is>
      </c>
      <c r="AN3" s="5" t="inlineStr">
        <is>
          <t>PX_ASK</t>
        </is>
      </c>
      <c r="AO3" s="5" t="inlineStr">
        <is>
          <t>PX_MID</t>
        </is>
      </c>
      <c r="AP3" s="5" t="inlineStr">
        <is>
          <t>PX_LAST</t>
        </is>
      </c>
      <c r="AQ3" s="5" t="inlineStr">
        <is>
          <t>PX_SETTLE</t>
        </is>
      </c>
      <c r="AR3" s="5" t="inlineStr">
        <is>
          <t>PX_VOLUME</t>
        </is>
      </c>
      <c r="AS3" s="5" t="inlineStr">
        <is>
          <t>OPEN_INT</t>
        </is>
      </c>
      <c r="AT3" s="5" t="inlineStr">
        <is>
          <t>IVOL_MID</t>
        </is>
      </c>
      <c r="AU3" s="5" t="inlineStr">
        <is>
          <t>IVOL_BID</t>
        </is>
      </c>
      <c r="AV3" s="5" t="inlineStr">
        <is>
          <t>IVOL_ASK</t>
        </is>
      </c>
      <c r="AW3" s="5" t="inlineStr">
        <is>
          <t>DELTA_MID</t>
        </is>
      </c>
      <c r="AX3" s="5" t="inlineStr">
        <is>
          <t>GAMMA_MID</t>
        </is>
      </c>
      <c r="AY3" s="5" t="inlineStr">
        <is>
          <t>VEGA_MID</t>
        </is>
      </c>
      <c r="AZ3" s="5" t="inlineStr">
        <is>
          <t>THETA_MID</t>
        </is>
      </c>
      <c r="BA3" s="5" t="inlineStr">
        <is>
          <t>OPT_UNDL_PX</t>
        </is>
      </c>
      <c r="BC3" s="5" t="inlineStr">
        <is>
          <t>Date</t>
        </is>
      </c>
      <c r="BD3" s="5" t="inlineStr">
        <is>
          <t>PX_BID</t>
        </is>
      </c>
      <c r="BE3" s="5" t="inlineStr">
        <is>
          <t>PX_ASK</t>
        </is>
      </c>
      <c r="BF3" s="5" t="inlineStr">
        <is>
          <t>PX_MID</t>
        </is>
      </c>
      <c r="BG3" s="5" t="inlineStr">
        <is>
          <t>PX_LAST</t>
        </is>
      </c>
      <c r="BH3" s="5" t="inlineStr">
        <is>
          <t>PX_SETTLE</t>
        </is>
      </c>
      <c r="BI3" s="5" t="inlineStr">
        <is>
          <t>PX_VOLUME</t>
        </is>
      </c>
      <c r="BJ3" s="5" t="inlineStr">
        <is>
          <t>OPEN_INT</t>
        </is>
      </c>
      <c r="BK3" s="5" t="inlineStr">
        <is>
          <t>IVOL_MID</t>
        </is>
      </c>
      <c r="BL3" s="5" t="inlineStr">
        <is>
          <t>IVOL_BID</t>
        </is>
      </c>
      <c r="BM3" s="5" t="inlineStr">
        <is>
          <t>IVOL_ASK</t>
        </is>
      </c>
      <c r="BN3" s="5" t="inlineStr">
        <is>
          <t>DELTA_MID</t>
        </is>
      </c>
      <c r="BO3" s="5" t="inlineStr">
        <is>
          <t>GAMMA_MID</t>
        </is>
      </c>
      <c r="BP3" s="5" t="inlineStr">
        <is>
          <t>VEGA_MID</t>
        </is>
      </c>
      <c r="BQ3" s="5" t="inlineStr">
        <is>
          <t>THETA_MID</t>
        </is>
      </c>
      <c r="BR3" s="5" t="inlineStr">
        <is>
          <t>OPT_UNDL_PX</t>
        </is>
      </c>
      <c r="BT3" s="5" t="inlineStr">
        <is>
          <t>Date</t>
        </is>
      </c>
      <c r="BU3" s="5" t="inlineStr">
        <is>
          <t>PX_BID</t>
        </is>
      </c>
      <c r="BV3" s="5" t="inlineStr">
        <is>
          <t>PX_ASK</t>
        </is>
      </c>
      <c r="BW3" s="5" t="inlineStr">
        <is>
          <t>PX_MID</t>
        </is>
      </c>
      <c r="BX3" s="5" t="inlineStr">
        <is>
          <t>PX_LAST</t>
        </is>
      </c>
      <c r="BY3" s="5" t="inlineStr">
        <is>
          <t>PX_SETTLE</t>
        </is>
      </c>
      <c r="BZ3" s="5" t="inlineStr">
        <is>
          <t>PX_VOLUME</t>
        </is>
      </c>
      <c r="CA3" s="5" t="inlineStr">
        <is>
          <t>OPEN_INT</t>
        </is>
      </c>
      <c r="CB3" s="5" t="inlineStr">
        <is>
          <t>IVOL_MID</t>
        </is>
      </c>
      <c r="CC3" s="5" t="inlineStr">
        <is>
          <t>IVOL_BID</t>
        </is>
      </c>
      <c r="CD3" s="5" t="inlineStr">
        <is>
          <t>IVOL_ASK</t>
        </is>
      </c>
      <c r="CE3" s="5" t="inlineStr">
        <is>
          <t>DELTA_MID</t>
        </is>
      </c>
      <c r="CF3" s="5" t="inlineStr">
        <is>
          <t>GAMMA_MID</t>
        </is>
      </c>
      <c r="CG3" s="5" t="inlineStr">
        <is>
          <t>VEGA_MID</t>
        </is>
      </c>
      <c r="CH3" s="5" t="inlineStr">
        <is>
          <t>THETA_MID</t>
        </is>
      </c>
      <c r="CI3" s="5" t="inlineStr">
        <is>
          <t>OPT_UNDL_PX</t>
        </is>
      </c>
      <c r="CK3" s="5" t="inlineStr">
        <is>
          <t>Date</t>
        </is>
      </c>
      <c r="CL3" s="5" t="inlineStr">
        <is>
          <t>PX_BID</t>
        </is>
      </c>
      <c r="CM3" s="5" t="inlineStr">
        <is>
          <t>PX_ASK</t>
        </is>
      </c>
      <c r="CN3" s="5" t="inlineStr">
        <is>
          <t>PX_MID</t>
        </is>
      </c>
      <c r="CO3" s="5" t="inlineStr">
        <is>
          <t>PX_LAST</t>
        </is>
      </c>
      <c r="CP3" s="5" t="inlineStr">
        <is>
          <t>PX_SETTLE</t>
        </is>
      </c>
      <c r="CQ3" s="5" t="inlineStr">
        <is>
          <t>PX_VOLUME</t>
        </is>
      </c>
      <c r="CR3" s="5" t="inlineStr">
        <is>
          <t>OPEN_INT</t>
        </is>
      </c>
      <c r="CS3" s="5" t="inlineStr">
        <is>
          <t>IVOL_MID</t>
        </is>
      </c>
      <c r="CT3" s="5" t="inlineStr">
        <is>
          <t>IVOL_BID</t>
        </is>
      </c>
      <c r="CU3" s="5" t="inlineStr">
        <is>
          <t>IVOL_ASK</t>
        </is>
      </c>
      <c r="CV3" s="5" t="inlineStr">
        <is>
          <t>DELTA_MID</t>
        </is>
      </c>
      <c r="CW3" s="5" t="inlineStr">
        <is>
          <t>GAMMA_MID</t>
        </is>
      </c>
      <c r="CX3" s="5" t="inlineStr">
        <is>
          <t>VEGA_MID</t>
        </is>
      </c>
      <c r="CY3" s="5" t="inlineStr">
        <is>
          <t>THETA_MID</t>
        </is>
      </c>
      <c r="CZ3" s="5" t="inlineStr">
        <is>
          <t>OPT_UNDL_PX</t>
        </is>
      </c>
      <c r="DB3" s="5" t="inlineStr">
        <is>
          <t>Date</t>
        </is>
      </c>
      <c r="DC3" s="5" t="inlineStr">
        <is>
          <t>PX_BID</t>
        </is>
      </c>
      <c r="DD3" s="5" t="inlineStr">
        <is>
          <t>PX_ASK</t>
        </is>
      </c>
      <c r="DE3" s="5" t="inlineStr">
        <is>
          <t>PX_MID</t>
        </is>
      </c>
      <c r="DF3" s="5" t="inlineStr">
        <is>
          <t>PX_LAST</t>
        </is>
      </c>
      <c r="DG3" s="5" t="inlineStr">
        <is>
          <t>PX_SETTLE</t>
        </is>
      </c>
      <c r="DH3" s="5" t="inlineStr">
        <is>
          <t>PX_VOLUME</t>
        </is>
      </c>
      <c r="DI3" s="5" t="inlineStr">
        <is>
          <t>OPEN_INT</t>
        </is>
      </c>
      <c r="DJ3" s="5" t="inlineStr">
        <is>
          <t>IVOL_MID</t>
        </is>
      </c>
      <c r="DK3" s="5" t="inlineStr">
        <is>
          <t>IVOL_BID</t>
        </is>
      </c>
      <c r="DL3" s="5" t="inlineStr">
        <is>
          <t>IVOL_ASK</t>
        </is>
      </c>
      <c r="DM3" s="5" t="inlineStr">
        <is>
          <t>DELTA_MID</t>
        </is>
      </c>
      <c r="DN3" s="5" t="inlineStr">
        <is>
          <t>GAMMA_MID</t>
        </is>
      </c>
      <c r="DO3" s="5" t="inlineStr">
        <is>
          <t>VEGA_MID</t>
        </is>
      </c>
      <c r="DP3" s="5" t="inlineStr">
        <is>
          <t>THETA_MID</t>
        </is>
      </c>
      <c r="DQ3" s="5" t="inlineStr">
        <is>
          <t>OPT_UNDL_PX</t>
        </is>
      </c>
      <c r="DS3" s="5" t="inlineStr">
        <is>
          <t>Date</t>
        </is>
      </c>
      <c r="DT3" s="5" t="inlineStr">
        <is>
          <t>PX_BID</t>
        </is>
      </c>
      <c r="DU3" s="5" t="inlineStr">
        <is>
          <t>PX_ASK</t>
        </is>
      </c>
      <c r="DV3" s="5" t="inlineStr">
        <is>
          <t>PX_MID</t>
        </is>
      </c>
      <c r="DW3" s="5" t="inlineStr">
        <is>
          <t>PX_LAST</t>
        </is>
      </c>
      <c r="DX3" s="5" t="inlineStr">
        <is>
          <t>PX_SETTLE</t>
        </is>
      </c>
      <c r="DY3" s="5" t="inlineStr">
        <is>
          <t>PX_VOLUME</t>
        </is>
      </c>
      <c r="DZ3" s="5" t="inlineStr">
        <is>
          <t>OPEN_INT</t>
        </is>
      </c>
      <c r="EA3" s="5" t="inlineStr">
        <is>
          <t>IVOL_MID</t>
        </is>
      </c>
      <c r="EB3" s="5" t="inlineStr">
        <is>
          <t>IVOL_BID</t>
        </is>
      </c>
      <c r="EC3" s="5" t="inlineStr">
        <is>
          <t>IVOL_ASK</t>
        </is>
      </c>
      <c r="ED3" s="5" t="inlineStr">
        <is>
          <t>DELTA_MID</t>
        </is>
      </c>
      <c r="EE3" s="5" t="inlineStr">
        <is>
          <t>GAMMA_MID</t>
        </is>
      </c>
      <c r="EF3" s="5" t="inlineStr">
        <is>
          <t>VEGA_MID</t>
        </is>
      </c>
      <c r="EG3" s="5" t="inlineStr">
        <is>
          <t>THETA_MID</t>
        </is>
      </c>
      <c r="EH3" s="5" t="inlineStr">
        <is>
          <t>OPT_UNDL_PX</t>
        </is>
      </c>
      <c r="EJ3" s="5" t="inlineStr">
        <is>
          <t>Date</t>
        </is>
      </c>
      <c r="EK3" s="5" t="inlineStr">
        <is>
          <t>PX_BID</t>
        </is>
      </c>
      <c r="EL3" s="5" t="inlineStr">
        <is>
          <t>PX_ASK</t>
        </is>
      </c>
      <c r="EM3" s="5" t="inlineStr">
        <is>
          <t>PX_MID</t>
        </is>
      </c>
      <c r="EN3" s="5" t="inlineStr">
        <is>
          <t>PX_LAST</t>
        </is>
      </c>
      <c r="EO3" s="5" t="inlineStr">
        <is>
          <t>PX_SETTLE</t>
        </is>
      </c>
      <c r="EP3" s="5" t="inlineStr">
        <is>
          <t>PX_VOLUME</t>
        </is>
      </c>
      <c r="EQ3" s="5" t="inlineStr">
        <is>
          <t>OPEN_INT</t>
        </is>
      </c>
      <c r="ER3" s="5" t="inlineStr">
        <is>
          <t>IVOL_MID</t>
        </is>
      </c>
      <c r="ES3" s="5" t="inlineStr">
        <is>
          <t>IVOL_BID</t>
        </is>
      </c>
      <c r="ET3" s="5" t="inlineStr">
        <is>
          <t>IVOL_ASK</t>
        </is>
      </c>
      <c r="EU3" s="5" t="inlineStr">
        <is>
          <t>DELTA_MID</t>
        </is>
      </c>
      <c r="EV3" s="5" t="inlineStr">
        <is>
          <t>GAMMA_MID</t>
        </is>
      </c>
      <c r="EW3" s="5" t="inlineStr">
        <is>
          <t>VEGA_MID</t>
        </is>
      </c>
      <c r="EX3" s="5" t="inlineStr">
        <is>
          <t>THETA_MID</t>
        </is>
      </c>
      <c r="EY3" s="5" t="inlineStr">
        <is>
          <t>OPT_UNDL_PX</t>
        </is>
      </c>
      <c r="FA3" s="5" t="inlineStr">
        <is>
          <t>Date</t>
        </is>
      </c>
      <c r="FB3" s="5" t="inlineStr">
        <is>
          <t>PX_BID</t>
        </is>
      </c>
      <c r="FC3" s="5" t="inlineStr">
        <is>
          <t>PX_ASK</t>
        </is>
      </c>
      <c r="FD3" s="5" t="inlineStr">
        <is>
          <t>PX_MID</t>
        </is>
      </c>
      <c r="FE3" s="5" t="inlineStr">
        <is>
          <t>PX_LAST</t>
        </is>
      </c>
      <c r="FF3" s="5" t="inlineStr">
        <is>
          <t>PX_SETTLE</t>
        </is>
      </c>
      <c r="FG3" s="5" t="inlineStr">
        <is>
          <t>PX_VOLUME</t>
        </is>
      </c>
      <c r="FH3" s="5" t="inlineStr">
        <is>
          <t>OPEN_INT</t>
        </is>
      </c>
      <c r="FI3" s="5" t="inlineStr">
        <is>
          <t>IVOL_MID</t>
        </is>
      </c>
      <c r="FJ3" s="5" t="inlineStr">
        <is>
          <t>IVOL_BID</t>
        </is>
      </c>
      <c r="FK3" s="5" t="inlineStr">
        <is>
          <t>IVOL_ASK</t>
        </is>
      </c>
      <c r="FL3" s="5" t="inlineStr">
        <is>
          <t>DELTA_MID</t>
        </is>
      </c>
      <c r="FM3" s="5" t="inlineStr">
        <is>
          <t>GAMMA_MID</t>
        </is>
      </c>
      <c r="FN3" s="5" t="inlineStr">
        <is>
          <t>VEGA_MID</t>
        </is>
      </c>
      <c r="FO3" s="5" t="inlineStr">
        <is>
          <t>THETA_MID</t>
        </is>
      </c>
      <c r="FP3" s="5" t="inlineStr">
        <is>
          <t>OPT_UNDL_PX</t>
        </is>
      </c>
      <c r="FR3" s="5" t="inlineStr">
        <is>
          <t>Date</t>
        </is>
      </c>
      <c r="FS3" s="5" t="inlineStr">
        <is>
          <t>PX_BID</t>
        </is>
      </c>
      <c r="FT3" s="5" t="inlineStr">
        <is>
          <t>PX_ASK</t>
        </is>
      </c>
      <c r="FU3" s="5" t="inlineStr">
        <is>
          <t>PX_MID</t>
        </is>
      </c>
      <c r="FV3" s="5" t="inlineStr">
        <is>
          <t>PX_LAST</t>
        </is>
      </c>
      <c r="FW3" s="5" t="inlineStr">
        <is>
          <t>PX_SETTLE</t>
        </is>
      </c>
      <c r="FX3" s="5" t="inlineStr">
        <is>
          <t>PX_VOLUME</t>
        </is>
      </c>
      <c r="FY3" s="5" t="inlineStr">
        <is>
          <t>OPEN_INT</t>
        </is>
      </c>
      <c r="FZ3" s="5" t="inlineStr">
        <is>
          <t>IVOL_MID</t>
        </is>
      </c>
      <c r="GA3" s="5" t="inlineStr">
        <is>
          <t>IVOL_BID</t>
        </is>
      </c>
      <c r="GB3" s="5" t="inlineStr">
        <is>
          <t>IVOL_ASK</t>
        </is>
      </c>
      <c r="GC3" s="5" t="inlineStr">
        <is>
          <t>DELTA_MID</t>
        </is>
      </c>
      <c r="GD3" s="5" t="inlineStr">
        <is>
          <t>GAMMA_MID</t>
        </is>
      </c>
      <c r="GE3" s="5" t="inlineStr">
        <is>
          <t>VEGA_MID</t>
        </is>
      </c>
      <c r="GF3" s="5" t="inlineStr">
        <is>
          <t>THETA_MID</t>
        </is>
      </c>
      <c r="GG3" s="5" t="inlineStr">
        <is>
          <t>OPT_UNDL_PX</t>
        </is>
      </c>
      <c r="GI3" s="5" t="inlineStr">
        <is>
          <t>Date</t>
        </is>
      </c>
      <c r="GJ3" s="5" t="inlineStr">
        <is>
          <t>PX_BID</t>
        </is>
      </c>
      <c r="GK3" s="5" t="inlineStr">
        <is>
          <t>PX_ASK</t>
        </is>
      </c>
      <c r="GL3" s="5" t="inlineStr">
        <is>
          <t>PX_MID</t>
        </is>
      </c>
      <c r="GM3" s="5" t="inlineStr">
        <is>
          <t>PX_LAST</t>
        </is>
      </c>
      <c r="GN3" s="5" t="inlineStr">
        <is>
          <t>PX_SETTLE</t>
        </is>
      </c>
      <c r="GO3" s="5" t="inlineStr">
        <is>
          <t>PX_VOLUME</t>
        </is>
      </c>
      <c r="GP3" s="5" t="inlineStr">
        <is>
          <t>OPEN_INT</t>
        </is>
      </c>
      <c r="GQ3" s="5" t="inlineStr">
        <is>
          <t>IVOL_MID</t>
        </is>
      </c>
      <c r="GR3" s="5" t="inlineStr">
        <is>
          <t>IVOL_BID</t>
        </is>
      </c>
      <c r="GS3" s="5" t="inlineStr">
        <is>
          <t>IVOL_ASK</t>
        </is>
      </c>
      <c r="GT3" s="5" t="inlineStr">
        <is>
          <t>DELTA_MID</t>
        </is>
      </c>
      <c r="GU3" s="5" t="inlineStr">
        <is>
          <t>GAMMA_MID</t>
        </is>
      </c>
      <c r="GV3" s="5" t="inlineStr">
        <is>
          <t>VEGA_MID</t>
        </is>
      </c>
      <c r="GW3" s="5" t="inlineStr">
        <is>
          <t>THETA_MID</t>
        </is>
      </c>
      <c r="GX3" s="5" t="inlineStr">
        <is>
          <t>OPT_UNDL_PX</t>
        </is>
      </c>
      <c r="GZ3" s="5" t="inlineStr">
        <is>
          <t>Date</t>
        </is>
      </c>
      <c r="HA3" s="5" t="inlineStr">
        <is>
          <t>PX_BID</t>
        </is>
      </c>
      <c r="HB3" s="5" t="inlineStr">
        <is>
          <t>PX_ASK</t>
        </is>
      </c>
      <c r="HC3" s="5" t="inlineStr">
        <is>
          <t>PX_MID</t>
        </is>
      </c>
      <c r="HD3" s="5" t="inlineStr">
        <is>
          <t>PX_LAST</t>
        </is>
      </c>
      <c r="HE3" s="5" t="inlineStr">
        <is>
          <t>PX_SETTLE</t>
        </is>
      </c>
      <c r="HF3" s="5" t="inlineStr">
        <is>
          <t>PX_VOLUME</t>
        </is>
      </c>
      <c r="HG3" s="5" t="inlineStr">
        <is>
          <t>OPEN_INT</t>
        </is>
      </c>
      <c r="HH3" s="5" t="inlineStr">
        <is>
          <t>IVOL_MID</t>
        </is>
      </c>
      <c r="HI3" s="5" t="inlineStr">
        <is>
          <t>IVOL_BID</t>
        </is>
      </c>
      <c r="HJ3" s="5" t="inlineStr">
        <is>
          <t>IVOL_ASK</t>
        </is>
      </c>
      <c r="HK3" s="5" t="inlineStr">
        <is>
          <t>DELTA_MID</t>
        </is>
      </c>
      <c r="HL3" s="5" t="inlineStr">
        <is>
          <t>GAMMA_MID</t>
        </is>
      </c>
      <c r="HM3" s="5" t="inlineStr">
        <is>
          <t>VEGA_MID</t>
        </is>
      </c>
      <c r="HN3" s="5" t="inlineStr">
        <is>
          <t>THETA_MID</t>
        </is>
      </c>
      <c r="HO3" s="5" t="inlineStr">
        <is>
          <t>OPT_UNDL_PX</t>
        </is>
      </c>
      <c r="HQ3" s="5" t="inlineStr">
        <is>
          <t>Date</t>
        </is>
      </c>
      <c r="HR3" s="5" t="inlineStr">
        <is>
          <t>PX_BID</t>
        </is>
      </c>
      <c r="HS3" s="5" t="inlineStr">
        <is>
          <t>PX_ASK</t>
        </is>
      </c>
      <c r="HT3" s="5" t="inlineStr">
        <is>
          <t>PX_MID</t>
        </is>
      </c>
      <c r="HU3" s="5" t="inlineStr">
        <is>
          <t>PX_LAST</t>
        </is>
      </c>
      <c r="HV3" s="5" t="inlineStr">
        <is>
          <t>PX_SETTLE</t>
        </is>
      </c>
      <c r="HW3" s="5" t="inlineStr">
        <is>
          <t>PX_VOLUME</t>
        </is>
      </c>
      <c r="HX3" s="5" t="inlineStr">
        <is>
          <t>OPEN_INT</t>
        </is>
      </c>
      <c r="HY3" s="5" t="inlineStr">
        <is>
          <t>IVOL_MID</t>
        </is>
      </c>
      <c r="HZ3" s="5" t="inlineStr">
        <is>
          <t>IVOL_BID</t>
        </is>
      </c>
      <c r="IA3" s="5" t="inlineStr">
        <is>
          <t>IVOL_ASK</t>
        </is>
      </c>
      <c r="IB3" s="5" t="inlineStr">
        <is>
          <t>DELTA_MID</t>
        </is>
      </c>
      <c r="IC3" s="5" t="inlineStr">
        <is>
          <t>GAMMA_MID</t>
        </is>
      </c>
      <c r="ID3" s="5" t="inlineStr">
        <is>
          <t>VEGA_MID</t>
        </is>
      </c>
      <c r="IE3" s="5" t="inlineStr">
        <is>
          <t>THETA_MID</t>
        </is>
      </c>
      <c r="IF3" s="5" t="inlineStr">
        <is>
          <t>OPT_UNDL_PX</t>
        </is>
      </c>
      <c r="IH3" s="5" t="inlineStr">
        <is>
          <t>Date</t>
        </is>
      </c>
      <c r="II3" s="5" t="inlineStr">
        <is>
          <t>PX_BID</t>
        </is>
      </c>
      <c r="IJ3" s="5" t="inlineStr">
        <is>
          <t>PX_ASK</t>
        </is>
      </c>
      <c r="IK3" s="5" t="inlineStr">
        <is>
          <t>PX_MID</t>
        </is>
      </c>
      <c r="IL3" s="5" t="inlineStr">
        <is>
          <t>PX_LAST</t>
        </is>
      </c>
      <c r="IM3" s="5" t="inlineStr">
        <is>
          <t>PX_SETTLE</t>
        </is>
      </c>
      <c r="IN3" s="5" t="inlineStr">
        <is>
          <t>PX_VOLUME</t>
        </is>
      </c>
      <c r="IO3" s="5" t="inlineStr">
        <is>
          <t>OPEN_INT</t>
        </is>
      </c>
      <c r="IP3" s="5" t="inlineStr">
        <is>
          <t>IVOL_MID</t>
        </is>
      </c>
      <c r="IQ3" s="5" t="inlineStr">
        <is>
          <t>IVOL_BID</t>
        </is>
      </c>
      <c r="IR3" s="5" t="inlineStr">
        <is>
          <t>IVOL_ASK</t>
        </is>
      </c>
      <c r="IS3" s="5" t="inlineStr">
        <is>
          <t>DELTA_MID</t>
        </is>
      </c>
      <c r="IT3" s="5" t="inlineStr">
        <is>
          <t>GAMMA_MID</t>
        </is>
      </c>
      <c r="IU3" s="5" t="inlineStr">
        <is>
          <t>VEGA_MID</t>
        </is>
      </c>
      <c r="IV3" s="5" t="inlineStr">
        <is>
          <t>THETA_MID</t>
        </is>
      </c>
      <c r="IW3" s="5" t="inlineStr">
        <is>
          <t>OPT_UNDL_PX</t>
        </is>
      </c>
      <c r="IY3" s="5" t="inlineStr">
        <is>
          <t>Date</t>
        </is>
      </c>
      <c r="IZ3" s="5" t="inlineStr">
        <is>
          <t>PX_BID</t>
        </is>
      </c>
      <c r="JA3" s="5" t="inlineStr">
        <is>
          <t>PX_ASK</t>
        </is>
      </c>
      <c r="JB3" s="5" t="inlineStr">
        <is>
          <t>PX_MID</t>
        </is>
      </c>
      <c r="JC3" s="5" t="inlineStr">
        <is>
          <t>PX_LAST</t>
        </is>
      </c>
      <c r="JD3" s="5" t="inlineStr">
        <is>
          <t>PX_SETTLE</t>
        </is>
      </c>
      <c r="JE3" s="5" t="inlineStr">
        <is>
          <t>PX_VOLUME</t>
        </is>
      </c>
      <c r="JF3" s="5" t="inlineStr">
        <is>
          <t>OPEN_INT</t>
        </is>
      </c>
      <c r="JG3" s="5" t="inlineStr">
        <is>
          <t>IVOL_MID</t>
        </is>
      </c>
      <c r="JH3" s="5" t="inlineStr">
        <is>
          <t>IVOL_BID</t>
        </is>
      </c>
      <c r="JI3" s="5" t="inlineStr">
        <is>
          <t>IVOL_ASK</t>
        </is>
      </c>
      <c r="JJ3" s="5" t="inlineStr">
        <is>
          <t>DELTA_MID</t>
        </is>
      </c>
      <c r="JK3" s="5" t="inlineStr">
        <is>
          <t>GAMMA_MID</t>
        </is>
      </c>
      <c r="JL3" s="5" t="inlineStr">
        <is>
          <t>VEGA_MID</t>
        </is>
      </c>
      <c r="JM3" s="5" t="inlineStr">
        <is>
          <t>THETA_MID</t>
        </is>
      </c>
      <c r="JN3" s="5" t="inlineStr">
        <is>
          <t>OPT_UNDL_PX</t>
        </is>
      </c>
      <c r="JP3" s="5" t="inlineStr">
        <is>
          <t>Date</t>
        </is>
      </c>
      <c r="JQ3" s="5" t="inlineStr">
        <is>
          <t>PX_BID</t>
        </is>
      </c>
      <c r="JR3" s="5" t="inlineStr">
        <is>
          <t>PX_ASK</t>
        </is>
      </c>
      <c r="JS3" s="5" t="inlineStr">
        <is>
          <t>PX_MID</t>
        </is>
      </c>
      <c r="JT3" s="5" t="inlineStr">
        <is>
          <t>PX_LAST</t>
        </is>
      </c>
      <c r="JU3" s="5" t="inlineStr">
        <is>
          <t>PX_SETTLE</t>
        </is>
      </c>
      <c r="JV3" s="5" t="inlineStr">
        <is>
          <t>PX_VOLUME</t>
        </is>
      </c>
      <c r="JW3" s="5" t="inlineStr">
        <is>
          <t>OPEN_INT</t>
        </is>
      </c>
      <c r="JX3" s="5" t="inlineStr">
        <is>
          <t>IVOL_MID</t>
        </is>
      </c>
      <c r="JY3" s="5" t="inlineStr">
        <is>
          <t>IVOL_BID</t>
        </is>
      </c>
      <c r="JZ3" s="5" t="inlineStr">
        <is>
          <t>IVOL_ASK</t>
        </is>
      </c>
      <c r="KA3" s="5" t="inlineStr">
        <is>
          <t>DELTA_MID</t>
        </is>
      </c>
      <c r="KB3" s="5" t="inlineStr">
        <is>
          <t>GAMMA_MID</t>
        </is>
      </c>
      <c r="KC3" s="5" t="inlineStr">
        <is>
          <t>VEGA_MID</t>
        </is>
      </c>
      <c r="KD3" s="5" t="inlineStr">
        <is>
          <t>THETA_MID</t>
        </is>
      </c>
      <c r="KE3" s="5" t="inlineStr">
        <is>
          <t>OPT_UNDL_PX</t>
        </is>
      </c>
      <c r="KG3" s="5" t="inlineStr">
        <is>
          <t>Date</t>
        </is>
      </c>
      <c r="KH3" s="5" t="inlineStr">
        <is>
          <t>PX_BID</t>
        </is>
      </c>
      <c r="KI3" s="5" t="inlineStr">
        <is>
          <t>PX_ASK</t>
        </is>
      </c>
      <c r="KJ3" s="5" t="inlineStr">
        <is>
          <t>PX_MID</t>
        </is>
      </c>
      <c r="KK3" s="5" t="inlineStr">
        <is>
          <t>PX_LAST</t>
        </is>
      </c>
      <c r="KL3" s="5" t="inlineStr">
        <is>
          <t>PX_SETTLE</t>
        </is>
      </c>
      <c r="KM3" s="5" t="inlineStr">
        <is>
          <t>PX_VOLUME</t>
        </is>
      </c>
      <c r="KN3" s="5" t="inlineStr">
        <is>
          <t>OPEN_INT</t>
        </is>
      </c>
      <c r="KO3" s="5" t="inlineStr">
        <is>
          <t>IVOL_MID</t>
        </is>
      </c>
      <c r="KP3" s="5" t="inlineStr">
        <is>
          <t>IVOL_BID</t>
        </is>
      </c>
      <c r="KQ3" s="5" t="inlineStr">
        <is>
          <t>IVOL_ASK</t>
        </is>
      </c>
      <c r="KR3" s="5" t="inlineStr">
        <is>
          <t>DELTA_MID</t>
        </is>
      </c>
      <c r="KS3" s="5" t="inlineStr">
        <is>
          <t>GAMMA_MID</t>
        </is>
      </c>
      <c r="KT3" s="5" t="inlineStr">
        <is>
          <t>VEGA_MID</t>
        </is>
      </c>
      <c r="KU3" s="5" t="inlineStr">
        <is>
          <t>THETA_MID</t>
        </is>
      </c>
      <c r="KV3" s="5" t="inlineStr">
        <is>
          <t>OPT_UNDL_PX</t>
        </is>
      </c>
      <c r="KX3" s="5" t="inlineStr">
        <is>
          <t>Date</t>
        </is>
      </c>
      <c r="KY3" s="5" t="inlineStr">
        <is>
          <t>PX_BID</t>
        </is>
      </c>
      <c r="KZ3" s="5" t="inlineStr">
        <is>
          <t>PX_ASK</t>
        </is>
      </c>
      <c r="LA3" s="5" t="inlineStr">
        <is>
          <t>PX_MID</t>
        </is>
      </c>
      <c r="LB3" s="5" t="inlineStr">
        <is>
          <t>PX_LAST</t>
        </is>
      </c>
      <c r="LC3" s="5" t="inlineStr">
        <is>
          <t>PX_SETTLE</t>
        </is>
      </c>
      <c r="LD3" s="5" t="inlineStr">
        <is>
          <t>PX_VOLUME</t>
        </is>
      </c>
      <c r="LE3" s="5" t="inlineStr">
        <is>
          <t>OPEN_INT</t>
        </is>
      </c>
      <c r="LF3" s="5" t="inlineStr">
        <is>
          <t>IVOL_MID</t>
        </is>
      </c>
      <c r="LG3" s="5" t="inlineStr">
        <is>
          <t>IVOL_BID</t>
        </is>
      </c>
      <c r="LH3" s="5" t="inlineStr">
        <is>
          <t>IVOL_ASK</t>
        </is>
      </c>
      <c r="LI3" s="5" t="inlineStr">
        <is>
          <t>DELTA_MID</t>
        </is>
      </c>
      <c r="LJ3" s="5" t="inlineStr">
        <is>
          <t>GAMMA_MID</t>
        </is>
      </c>
      <c r="LK3" s="5" t="inlineStr">
        <is>
          <t>VEGA_MID</t>
        </is>
      </c>
      <c r="LL3" s="5" t="inlineStr">
        <is>
          <t>THETA_MID</t>
        </is>
      </c>
      <c r="LM3" s="5" t="inlineStr">
        <is>
          <t>OPT_UNDL_PX</t>
        </is>
      </c>
      <c r="LO3" s="5" t="inlineStr">
        <is>
          <t>Date</t>
        </is>
      </c>
      <c r="LP3" s="5" t="inlineStr">
        <is>
          <t>PX_BID</t>
        </is>
      </c>
      <c r="LQ3" s="5" t="inlineStr">
        <is>
          <t>PX_ASK</t>
        </is>
      </c>
      <c r="LR3" s="5" t="inlineStr">
        <is>
          <t>PX_MID</t>
        </is>
      </c>
      <c r="LS3" s="5" t="inlineStr">
        <is>
          <t>PX_LAST</t>
        </is>
      </c>
      <c r="LT3" s="5" t="inlineStr">
        <is>
          <t>PX_SETTLE</t>
        </is>
      </c>
      <c r="LU3" s="5" t="inlineStr">
        <is>
          <t>PX_VOLUME</t>
        </is>
      </c>
      <c r="LV3" s="5" t="inlineStr">
        <is>
          <t>OPEN_INT</t>
        </is>
      </c>
      <c r="LW3" s="5" t="inlineStr">
        <is>
          <t>IVOL_MID</t>
        </is>
      </c>
      <c r="LX3" s="5" t="inlineStr">
        <is>
          <t>IVOL_BID</t>
        </is>
      </c>
      <c r="LY3" s="5" t="inlineStr">
        <is>
          <t>IVOL_ASK</t>
        </is>
      </c>
      <c r="LZ3" s="5" t="inlineStr">
        <is>
          <t>DELTA_MID</t>
        </is>
      </c>
      <c r="MA3" s="5" t="inlineStr">
        <is>
          <t>GAMMA_MID</t>
        </is>
      </c>
      <c r="MB3" s="5" t="inlineStr">
        <is>
          <t>VEGA_MID</t>
        </is>
      </c>
      <c r="MC3" s="5" t="inlineStr">
        <is>
          <t>THETA_MID</t>
        </is>
      </c>
      <c r="MD3" s="5" t="inlineStr">
        <is>
          <t>OPT_UNDL_PX</t>
        </is>
      </c>
      <c r="MF3" s="5" t="inlineStr">
        <is>
          <t>Date</t>
        </is>
      </c>
      <c r="MG3" s="5" t="inlineStr">
        <is>
          <t>PX_BID</t>
        </is>
      </c>
      <c r="MH3" s="5" t="inlineStr">
        <is>
          <t>PX_ASK</t>
        </is>
      </c>
      <c r="MI3" s="5" t="inlineStr">
        <is>
          <t>PX_MID</t>
        </is>
      </c>
      <c r="MJ3" s="5" t="inlineStr">
        <is>
          <t>PX_LAST</t>
        </is>
      </c>
      <c r="MK3" s="5" t="inlineStr">
        <is>
          <t>PX_SETTLE</t>
        </is>
      </c>
      <c r="ML3" s="5" t="inlineStr">
        <is>
          <t>PX_VOLUME</t>
        </is>
      </c>
      <c r="MM3" s="5" t="inlineStr">
        <is>
          <t>OPEN_INT</t>
        </is>
      </c>
      <c r="MN3" s="5" t="inlineStr">
        <is>
          <t>IVOL_MID</t>
        </is>
      </c>
      <c r="MO3" s="5" t="inlineStr">
        <is>
          <t>IVOL_BID</t>
        </is>
      </c>
      <c r="MP3" s="5" t="inlineStr">
        <is>
          <t>IVOL_ASK</t>
        </is>
      </c>
      <c r="MQ3" s="5" t="inlineStr">
        <is>
          <t>DELTA_MID</t>
        </is>
      </c>
      <c r="MR3" s="5" t="inlineStr">
        <is>
          <t>GAMMA_MID</t>
        </is>
      </c>
      <c r="MS3" s="5" t="inlineStr">
        <is>
          <t>VEGA_MID</t>
        </is>
      </c>
      <c r="MT3" s="5" t="inlineStr">
        <is>
          <t>THETA_MID</t>
        </is>
      </c>
      <c r="MU3" s="5" t="inlineStr">
        <is>
          <t>OPT_UNDL_PX</t>
        </is>
      </c>
      <c r="MW3" s="5" t="inlineStr">
        <is>
          <t>Date</t>
        </is>
      </c>
      <c r="MX3" s="5" t="inlineStr">
        <is>
          <t>PX_BID</t>
        </is>
      </c>
      <c r="MY3" s="5" t="inlineStr">
        <is>
          <t>PX_ASK</t>
        </is>
      </c>
      <c r="MZ3" s="5" t="inlineStr">
        <is>
          <t>PX_MID</t>
        </is>
      </c>
      <c r="NA3" s="5" t="inlineStr">
        <is>
          <t>PX_LAST</t>
        </is>
      </c>
      <c r="NB3" s="5" t="inlineStr">
        <is>
          <t>PX_SETTLE</t>
        </is>
      </c>
      <c r="NC3" s="5" t="inlineStr">
        <is>
          <t>PX_VOLUME</t>
        </is>
      </c>
      <c r="ND3" s="5" t="inlineStr">
        <is>
          <t>OPEN_INT</t>
        </is>
      </c>
      <c r="NE3" s="5" t="inlineStr">
        <is>
          <t>IVOL_MID</t>
        </is>
      </c>
      <c r="NF3" s="5" t="inlineStr">
        <is>
          <t>IVOL_BID</t>
        </is>
      </c>
      <c r="NG3" s="5" t="inlineStr">
        <is>
          <t>IVOL_ASK</t>
        </is>
      </c>
      <c r="NH3" s="5" t="inlineStr">
        <is>
          <t>DELTA_MID</t>
        </is>
      </c>
      <c r="NI3" s="5" t="inlineStr">
        <is>
          <t>GAMMA_MID</t>
        </is>
      </c>
      <c r="NJ3" s="5" t="inlineStr">
        <is>
          <t>VEGA_MID</t>
        </is>
      </c>
      <c r="NK3" s="5" t="inlineStr">
        <is>
          <t>THETA_MID</t>
        </is>
      </c>
      <c r="NL3" s="5" t="inlineStr">
        <is>
          <t>OPT_UNDL_PX</t>
        </is>
      </c>
      <c r="NN3" s="5" t="inlineStr">
        <is>
          <t>Date</t>
        </is>
      </c>
      <c r="NO3" s="5" t="inlineStr">
        <is>
          <t>PX_BID</t>
        </is>
      </c>
      <c r="NP3" s="5" t="inlineStr">
        <is>
          <t>PX_ASK</t>
        </is>
      </c>
      <c r="NQ3" s="5" t="inlineStr">
        <is>
          <t>PX_MID</t>
        </is>
      </c>
      <c r="NR3" s="5" t="inlineStr">
        <is>
          <t>PX_LAST</t>
        </is>
      </c>
      <c r="NS3" s="5" t="inlineStr">
        <is>
          <t>PX_SETTLE</t>
        </is>
      </c>
      <c r="NT3" s="5" t="inlineStr">
        <is>
          <t>PX_VOLUME</t>
        </is>
      </c>
      <c r="NU3" s="5" t="inlineStr">
        <is>
          <t>OPEN_INT</t>
        </is>
      </c>
      <c r="NV3" s="5" t="inlineStr">
        <is>
          <t>IVOL_MID</t>
        </is>
      </c>
      <c r="NW3" s="5" t="inlineStr">
        <is>
          <t>IVOL_BID</t>
        </is>
      </c>
      <c r="NX3" s="5" t="inlineStr">
        <is>
          <t>IVOL_ASK</t>
        </is>
      </c>
      <c r="NY3" s="5" t="inlineStr">
        <is>
          <t>DELTA_MID</t>
        </is>
      </c>
      <c r="NZ3" s="5" t="inlineStr">
        <is>
          <t>GAMMA_MID</t>
        </is>
      </c>
      <c r="OA3" s="5" t="inlineStr">
        <is>
          <t>VEGA_MID</t>
        </is>
      </c>
      <c r="OB3" s="5" t="inlineStr">
        <is>
          <t>THETA_MID</t>
        </is>
      </c>
      <c r="OC3" s="5" t="inlineStr">
        <is>
          <t>OPT_UNDL_PX</t>
        </is>
      </c>
      <c r="OE3" s="5" t="inlineStr">
        <is>
          <t>Date</t>
        </is>
      </c>
      <c r="OF3" s="5" t="inlineStr">
        <is>
          <t>PX_BID</t>
        </is>
      </c>
      <c r="OG3" s="5" t="inlineStr">
        <is>
          <t>PX_ASK</t>
        </is>
      </c>
      <c r="OH3" s="5" t="inlineStr">
        <is>
          <t>PX_MID</t>
        </is>
      </c>
      <c r="OI3" s="5" t="inlineStr">
        <is>
          <t>PX_LAST</t>
        </is>
      </c>
      <c r="OJ3" s="5" t="inlineStr">
        <is>
          <t>PX_SETTLE</t>
        </is>
      </c>
      <c r="OK3" s="5" t="inlineStr">
        <is>
          <t>PX_VOLUME</t>
        </is>
      </c>
      <c r="OL3" s="5" t="inlineStr">
        <is>
          <t>OPEN_INT</t>
        </is>
      </c>
      <c r="OM3" s="5" t="inlineStr">
        <is>
          <t>IVOL_MID</t>
        </is>
      </c>
      <c r="ON3" s="5" t="inlineStr">
        <is>
          <t>IVOL_BID</t>
        </is>
      </c>
      <c r="OO3" s="5" t="inlineStr">
        <is>
          <t>IVOL_ASK</t>
        </is>
      </c>
      <c r="OP3" s="5" t="inlineStr">
        <is>
          <t>DELTA_MID</t>
        </is>
      </c>
      <c r="OQ3" s="5" t="inlineStr">
        <is>
          <t>GAMMA_MID</t>
        </is>
      </c>
      <c r="OR3" s="5" t="inlineStr">
        <is>
          <t>VEGA_MID</t>
        </is>
      </c>
      <c r="OS3" s="5" t="inlineStr">
        <is>
          <t>THETA_MID</t>
        </is>
      </c>
      <c r="OT3" s="5" t="inlineStr">
        <is>
          <t>OPT_UNDL_PX</t>
        </is>
      </c>
      <c r="OV3" s="5" t="inlineStr">
        <is>
          <t>Date</t>
        </is>
      </c>
      <c r="OW3" s="5" t="inlineStr">
        <is>
          <t>PX_BID</t>
        </is>
      </c>
      <c r="OX3" s="5" t="inlineStr">
        <is>
          <t>PX_ASK</t>
        </is>
      </c>
      <c r="OY3" s="5" t="inlineStr">
        <is>
          <t>PX_MID</t>
        </is>
      </c>
      <c r="OZ3" s="5" t="inlineStr">
        <is>
          <t>PX_LAST</t>
        </is>
      </c>
      <c r="PA3" s="5" t="inlineStr">
        <is>
          <t>PX_SETTLE</t>
        </is>
      </c>
      <c r="PB3" s="5" t="inlineStr">
        <is>
          <t>PX_VOLUME</t>
        </is>
      </c>
      <c r="PC3" s="5" t="inlineStr">
        <is>
          <t>OPEN_INT</t>
        </is>
      </c>
      <c r="PD3" s="5" t="inlineStr">
        <is>
          <t>IVOL_MID</t>
        </is>
      </c>
      <c r="PE3" s="5" t="inlineStr">
        <is>
          <t>IVOL_BID</t>
        </is>
      </c>
      <c r="PF3" s="5" t="inlineStr">
        <is>
          <t>IVOL_ASK</t>
        </is>
      </c>
      <c r="PG3" s="5" t="inlineStr">
        <is>
          <t>DELTA_MID</t>
        </is>
      </c>
      <c r="PH3" s="5" t="inlineStr">
        <is>
          <t>GAMMA_MID</t>
        </is>
      </c>
      <c r="PI3" s="5" t="inlineStr">
        <is>
          <t>VEGA_MID</t>
        </is>
      </c>
      <c r="PJ3" s="5" t="inlineStr">
        <is>
          <t>THETA_MID</t>
        </is>
      </c>
      <c r="PK3" s="5" t="inlineStr">
        <is>
          <t>OPT_UNDL_PX</t>
        </is>
      </c>
      <c r="PM3" s="5" t="inlineStr">
        <is>
          <t>Date</t>
        </is>
      </c>
      <c r="PN3" s="5" t="inlineStr">
        <is>
          <t>PX_BID</t>
        </is>
      </c>
      <c r="PO3" s="5" t="inlineStr">
        <is>
          <t>PX_ASK</t>
        </is>
      </c>
      <c r="PP3" s="5" t="inlineStr">
        <is>
          <t>PX_MID</t>
        </is>
      </c>
      <c r="PQ3" s="5" t="inlineStr">
        <is>
          <t>PX_LAST</t>
        </is>
      </c>
      <c r="PR3" s="5" t="inlineStr">
        <is>
          <t>PX_SETTLE</t>
        </is>
      </c>
      <c r="PS3" s="5" t="inlineStr">
        <is>
          <t>PX_VOLUME</t>
        </is>
      </c>
      <c r="PT3" s="5" t="inlineStr">
        <is>
          <t>OPEN_INT</t>
        </is>
      </c>
      <c r="PU3" s="5" t="inlineStr">
        <is>
          <t>IVOL_MID</t>
        </is>
      </c>
      <c r="PV3" s="5" t="inlineStr">
        <is>
          <t>IVOL_BID</t>
        </is>
      </c>
      <c r="PW3" s="5" t="inlineStr">
        <is>
          <t>IVOL_ASK</t>
        </is>
      </c>
      <c r="PX3" s="5" t="inlineStr">
        <is>
          <t>DELTA_MID</t>
        </is>
      </c>
      <c r="PY3" s="5" t="inlineStr">
        <is>
          <t>GAMMA_MID</t>
        </is>
      </c>
      <c r="PZ3" s="5" t="inlineStr">
        <is>
          <t>VEGA_MID</t>
        </is>
      </c>
      <c r="QA3" s="5" t="inlineStr">
        <is>
          <t>THETA_MID</t>
        </is>
      </c>
      <c r="QB3" s="5" t="inlineStr">
        <is>
          <t>OPT_UNDL_PX</t>
        </is>
      </c>
      <c r="QD3" s="5" t="inlineStr">
        <is>
          <t>Date</t>
        </is>
      </c>
      <c r="QE3" s="5" t="inlineStr">
        <is>
          <t>PX_BID</t>
        </is>
      </c>
      <c r="QF3" s="5" t="inlineStr">
        <is>
          <t>PX_ASK</t>
        </is>
      </c>
      <c r="QG3" s="5" t="inlineStr">
        <is>
          <t>PX_MID</t>
        </is>
      </c>
      <c r="QH3" s="5" t="inlineStr">
        <is>
          <t>PX_LAST</t>
        </is>
      </c>
      <c r="QI3" s="5" t="inlineStr">
        <is>
          <t>PX_SETTLE</t>
        </is>
      </c>
      <c r="QJ3" s="5" t="inlineStr">
        <is>
          <t>PX_VOLUME</t>
        </is>
      </c>
      <c r="QK3" s="5" t="inlineStr">
        <is>
          <t>OPEN_INT</t>
        </is>
      </c>
      <c r="QL3" s="5" t="inlineStr">
        <is>
          <t>IVOL_MID</t>
        </is>
      </c>
      <c r="QM3" s="5" t="inlineStr">
        <is>
          <t>IVOL_BID</t>
        </is>
      </c>
      <c r="QN3" s="5" t="inlineStr">
        <is>
          <t>IVOL_ASK</t>
        </is>
      </c>
      <c r="QO3" s="5" t="inlineStr">
        <is>
          <t>DELTA_MID</t>
        </is>
      </c>
      <c r="QP3" s="5" t="inlineStr">
        <is>
          <t>GAMMA_MID</t>
        </is>
      </c>
      <c r="QQ3" s="5" t="inlineStr">
        <is>
          <t>VEGA_MID</t>
        </is>
      </c>
      <c r="QR3" s="5" t="inlineStr">
        <is>
          <t>THETA_MID</t>
        </is>
      </c>
      <c r="QS3" s="5" t="inlineStr">
        <is>
          <t>OPT_UNDL_PX</t>
        </is>
      </c>
      <c r="QU3" s="5" t="inlineStr">
        <is>
          <t>Date</t>
        </is>
      </c>
      <c r="QV3" s="5" t="inlineStr">
        <is>
          <t>PX_BID</t>
        </is>
      </c>
      <c r="QW3" s="5" t="inlineStr">
        <is>
          <t>PX_ASK</t>
        </is>
      </c>
      <c r="QX3" s="5" t="inlineStr">
        <is>
          <t>PX_MID</t>
        </is>
      </c>
      <c r="QY3" s="5" t="inlineStr">
        <is>
          <t>PX_LAST</t>
        </is>
      </c>
      <c r="QZ3" s="5" t="inlineStr">
        <is>
          <t>PX_SETTLE</t>
        </is>
      </c>
      <c r="RA3" s="5" t="inlineStr">
        <is>
          <t>PX_VOLUME</t>
        </is>
      </c>
      <c r="RB3" s="5" t="inlineStr">
        <is>
          <t>OPEN_INT</t>
        </is>
      </c>
      <c r="RC3" s="5" t="inlineStr">
        <is>
          <t>IVOL_MID</t>
        </is>
      </c>
      <c r="RD3" s="5" t="inlineStr">
        <is>
          <t>IVOL_BID</t>
        </is>
      </c>
      <c r="RE3" s="5" t="inlineStr">
        <is>
          <t>IVOL_ASK</t>
        </is>
      </c>
      <c r="RF3" s="5" t="inlineStr">
        <is>
          <t>DELTA_MID</t>
        </is>
      </c>
      <c r="RG3" s="5" t="inlineStr">
        <is>
          <t>GAMMA_MID</t>
        </is>
      </c>
      <c r="RH3" s="5" t="inlineStr">
        <is>
          <t>VEGA_MID</t>
        </is>
      </c>
      <c r="RI3" s="5" t="inlineStr">
        <is>
          <t>THETA_MID</t>
        </is>
      </c>
      <c r="RJ3" s="5" t="inlineStr">
        <is>
          <t>OPT_UNDL_PX</t>
        </is>
      </c>
      <c r="RL3" s="5" t="inlineStr">
        <is>
          <t>Date</t>
        </is>
      </c>
      <c r="RM3" s="5" t="inlineStr">
        <is>
          <t>PX_BID</t>
        </is>
      </c>
      <c r="RN3" s="5" t="inlineStr">
        <is>
          <t>PX_ASK</t>
        </is>
      </c>
      <c r="RO3" s="5" t="inlineStr">
        <is>
          <t>PX_MID</t>
        </is>
      </c>
      <c r="RP3" s="5" t="inlineStr">
        <is>
          <t>PX_LAST</t>
        </is>
      </c>
      <c r="RQ3" s="5" t="inlineStr">
        <is>
          <t>PX_SETTLE</t>
        </is>
      </c>
      <c r="RR3" s="5" t="inlineStr">
        <is>
          <t>PX_VOLUME</t>
        </is>
      </c>
      <c r="RS3" s="5" t="inlineStr">
        <is>
          <t>OPEN_INT</t>
        </is>
      </c>
      <c r="RT3" s="5" t="inlineStr">
        <is>
          <t>IVOL_MID</t>
        </is>
      </c>
      <c r="RU3" s="5" t="inlineStr">
        <is>
          <t>IVOL_BID</t>
        </is>
      </c>
      <c r="RV3" s="5" t="inlineStr">
        <is>
          <t>IVOL_ASK</t>
        </is>
      </c>
      <c r="RW3" s="5" t="inlineStr">
        <is>
          <t>DELTA_MID</t>
        </is>
      </c>
      <c r="RX3" s="5" t="inlineStr">
        <is>
          <t>GAMMA_MID</t>
        </is>
      </c>
      <c r="RY3" s="5" t="inlineStr">
        <is>
          <t>VEGA_MID</t>
        </is>
      </c>
      <c r="RZ3" s="5" t="inlineStr">
        <is>
          <t>THETA_MID</t>
        </is>
      </c>
      <c r="SA3" s="5" t="inlineStr">
        <is>
          <t>OPT_UNDL_PX</t>
        </is>
      </c>
      <c r="SC3" s="5" t="inlineStr">
        <is>
          <t>Date</t>
        </is>
      </c>
      <c r="SD3" s="5" t="inlineStr">
        <is>
          <t>PX_BID</t>
        </is>
      </c>
      <c r="SE3" s="5" t="inlineStr">
        <is>
          <t>PX_ASK</t>
        </is>
      </c>
      <c r="SF3" s="5" t="inlineStr">
        <is>
          <t>PX_MID</t>
        </is>
      </c>
      <c r="SG3" s="5" t="inlineStr">
        <is>
          <t>PX_LAST</t>
        </is>
      </c>
      <c r="SH3" s="5" t="inlineStr">
        <is>
          <t>PX_SETTLE</t>
        </is>
      </c>
      <c r="SI3" s="5" t="inlineStr">
        <is>
          <t>PX_VOLUME</t>
        </is>
      </c>
      <c r="SJ3" s="5" t="inlineStr">
        <is>
          <t>OPEN_INT</t>
        </is>
      </c>
      <c r="SK3" s="5" t="inlineStr">
        <is>
          <t>IVOL_MID</t>
        </is>
      </c>
      <c r="SL3" s="5" t="inlineStr">
        <is>
          <t>IVOL_BID</t>
        </is>
      </c>
      <c r="SM3" s="5" t="inlineStr">
        <is>
          <t>IVOL_ASK</t>
        </is>
      </c>
      <c r="SN3" s="5" t="inlineStr">
        <is>
          <t>DELTA_MID</t>
        </is>
      </c>
      <c r="SO3" s="5" t="inlineStr">
        <is>
          <t>GAMMA_MID</t>
        </is>
      </c>
      <c r="SP3" s="5" t="inlineStr">
        <is>
          <t>VEGA_MID</t>
        </is>
      </c>
      <c r="SQ3" s="5" t="inlineStr">
        <is>
          <t>THETA_MID</t>
        </is>
      </c>
      <c r="SR3" s="5" t="inlineStr">
        <is>
          <t>OPT_UNDL_PX</t>
        </is>
      </c>
      <c r="ST3" s="5" t="inlineStr">
        <is>
          <t>Date</t>
        </is>
      </c>
      <c r="SU3" s="5" t="inlineStr">
        <is>
          <t>PX_BID</t>
        </is>
      </c>
      <c r="SV3" s="5" t="inlineStr">
        <is>
          <t>PX_ASK</t>
        </is>
      </c>
      <c r="SW3" s="5" t="inlineStr">
        <is>
          <t>PX_MID</t>
        </is>
      </c>
      <c r="SX3" s="5" t="inlineStr">
        <is>
          <t>PX_LAST</t>
        </is>
      </c>
      <c r="SY3" s="5" t="inlineStr">
        <is>
          <t>PX_SETTLE</t>
        </is>
      </c>
      <c r="SZ3" s="5" t="inlineStr">
        <is>
          <t>PX_VOLUME</t>
        </is>
      </c>
      <c r="TA3" s="5" t="inlineStr">
        <is>
          <t>OPEN_INT</t>
        </is>
      </c>
      <c r="TB3" s="5" t="inlineStr">
        <is>
          <t>IVOL_MID</t>
        </is>
      </c>
      <c r="TC3" s="5" t="inlineStr">
        <is>
          <t>IVOL_BID</t>
        </is>
      </c>
      <c r="TD3" s="5" t="inlineStr">
        <is>
          <t>IVOL_ASK</t>
        </is>
      </c>
      <c r="TE3" s="5" t="inlineStr">
        <is>
          <t>DELTA_MID</t>
        </is>
      </c>
      <c r="TF3" s="5" t="inlineStr">
        <is>
          <t>GAMMA_MID</t>
        </is>
      </c>
      <c r="TG3" s="5" t="inlineStr">
        <is>
          <t>VEGA_MID</t>
        </is>
      </c>
      <c r="TH3" s="5" t="inlineStr">
        <is>
          <t>THETA_MID</t>
        </is>
      </c>
      <c r="TI3" s="5" t="inlineStr">
        <is>
          <t>OPT_UNDL_PX</t>
        </is>
      </c>
      <c r="TK3" s="5" t="inlineStr">
        <is>
          <t>Date</t>
        </is>
      </c>
      <c r="TL3" s="5" t="inlineStr">
        <is>
          <t>PX_BID</t>
        </is>
      </c>
      <c r="TM3" s="5" t="inlineStr">
        <is>
          <t>PX_ASK</t>
        </is>
      </c>
      <c r="TN3" s="5" t="inlineStr">
        <is>
          <t>PX_MID</t>
        </is>
      </c>
      <c r="TO3" s="5" t="inlineStr">
        <is>
          <t>PX_LAST</t>
        </is>
      </c>
      <c r="TP3" s="5" t="inlineStr">
        <is>
          <t>PX_SETTLE</t>
        </is>
      </c>
      <c r="TQ3" s="5" t="inlineStr">
        <is>
          <t>PX_VOLUME</t>
        </is>
      </c>
      <c r="TR3" s="5" t="inlineStr">
        <is>
          <t>OPEN_INT</t>
        </is>
      </c>
      <c r="TS3" s="5" t="inlineStr">
        <is>
          <t>IVOL_MID</t>
        </is>
      </c>
      <c r="TT3" s="5" t="inlineStr">
        <is>
          <t>IVOL_BID</t>
        </is>
      </c>
      <c r="TU3" s="5" t="inlineStr">
        <is>
          <t>IVOL_ASK</t>
        </is>
      </c>
      <c r="TV3" s="5" t="inlineStr">
        <is>
          <t>DELTA_MID</t>
        </is>
      </c>
      <c r="TW3" s="5" t="inlineStr">
        <is>
          <t>GAMMA_MID</t>
        </is>
      </c>
      <c r="TX3" s="5" t="inlineStr">
        <is>
          <t>VEGA_MID</t>
        </is>
      </c>
      <c r="TY3" s="5" t="inlineStr">
        <is>
          <t>THETA_MID</t>
        </is>
      </c>
      <c r="TZ3" s="5" t="inlineStr">
        <is>
          <t>OPT_UNDL_PX</t>
        </is>
      </c>
      <c r="UB3" s="5" t="inlineStr">
        <is>
          <t>Date</t>
        </is>
      </c>
      <c r="UC3" s="5" t="inlineStr">
        <is>
          <t>PX_BID</t>
        </is>
      </c>
      <c r="UD3" s="5" t="inlineStr">
        <is>
          <t>PX_ASK</t>
        </is>
      </c>
      <c r="UE3" s="5" t="inlineStr">
        <is>
          <t>PX_MID</t>
        </is>
      </c>
      <c r="UF3" s="5" t="inlineStr">
        <is>
          <t>PX_LAST</t>
        </is>
      </c>
      <c r="UG3" s="5" t="inlineStr">
        <is>
          <t>PX_SETTLE</t>
        </is>
      </c>
      <c r="UH3" s="5" t="inlineStr">
        <is>
          <t>PX_VOLUME</t>
        </is>
      </c>
      <c r="UI3" s="5" t="inlineStr">
        <is>
          <t>OPEN_INT</t>
        </is>
      </c>
      <c r="UJ3" s="5" t="inlineStr">
        <is>
          <t>IVOL_MID</t>
        </is>
      </c>
      <c r="UK3" s="5" t="inlineStr">
        <is>
          <t>IVOL_BID</t>
        </is>
      </c>
      <c r="UL3" s="5" t="inlineStr">
        <is>
          <t>IVOL_ASK</t>
        </is>
      </c>
      <c r="UM3" s="5" t="inlineStr">
        <is>
          <t>DELTA_MID</t>
        </is>
      </c>
      <c r="UN3" s="5" t="inlineStr">
        <is>
          <t>GAMMA_MID</t>
        </is>
      </c>
      <c r="UO3" s="5" t="inlineStr">
        <is>
          <t>VEGA_MID</t>
        </is>
      </c>
      <c r="UP3" s="5" t="inlineStr">
        <is>
          <t>THETA_MID</t>
        </is>
      </c>
      <c r="UQ3" s="5" t="inlineStr">
        <is>
          <t>OPT_UNDL_PX</t>
        </is>
      </c>
      <c r="US3" s="5" t="inlineStr">
        <is>
          <t>Date</t>
        </is>
      </c>
      <c r="UT3" s="5" t="inlineStr">
        <is>
          <t>PX_BID</t>
        </is>
      </c>
      <c r="UU3" s="5" t="inlineStr">
        <is>
          <t>PX_ASK</t>
        </is>
      </c>
      <c r="UV3" s="5" t="inlineStr">
        <is>
          <t>PX_MID</t>
        </is>
      </c>
      <c r="UW3" s="5" t="inlineStr">
        <is>
          <t>PX_LAST</t>
        </is>
      </c>
      <c r="UX3" s="5" t="inlineStr">
        <is>
          <t>PX_SETTLE</t>
        </is>
      </c>
      <c r="UY3" s="5" t="inlineStr">
        <is>
          <t>PX_VOLUME</t>
        </is>
      </c>
      <c r="UZ3" s="5" t="inlineStr">
        <is>
          <t>OPEN_INT</t>
        </is>
      </c>
      <c r="VA3" s="5" t="inlineStr">
        <is>
          <t>IVOL_MID</t>
        </is>
      </c>
      <c r="VB3" s="5" t="inlineStr">
        <is>
          <t>IVOL_BID</t>
        </is>
      </c>
      <c r="VC3" s="5" t="inlineStr">
        <is>
          <t>IVOL_ASK</t>
        </is>
      </c>
      <c r="VD3" s="5" t="inlineStr">
        <is>
          <t>DELTA_MID</t>
        </is>
      </c>
      <c r="VE3" s="5" t="inlineStr">
        <is>
          <t>GAMMA_MID</t>
        </is>
      </c>
      <c r="VF3" s="5" t="inlineStr">
        <is>
          <t>VEGA_MID</t>
        </is>
      </c>
      <c r="VG3" s="5" t="inlineStr">
        <is>
          <t>THETA_MID</t>
        </is>
      </c>
      <c r="VH3" s="5" t="inlineStr">
        <is>
          <t>OPT_UNDL_PX</t>
        </is>
      </c>
    </row>
    <row r="4">
      <c r="A4" s="2" t="inlineStr">
        <is>
          <t>Year in ticker</t>
        </is>
      </c>
      <c r="B4" s="4">
        <f>IF(B2&lt;Settings!$B$3,TEXT(MOD(Settings!$E$14,100),"00"),TEXT(MOD(Settings!$E$14,10),"0"))</f>
        <v/>
      </c>
      <c r="D4" s="4">
        <f>BDH(D$1,E$3:S$3,$B$9,$B$10,"Dir=V","Dts=S","Sort=A","Days=T","Fill=B")</f>
        <v/>
      </c>
      <c r="U4" s="4">
        <f>BDH(U$1,V$3:AJ$3,$B$9,$B$10,"Dir=V","Dts=S","Sort=A","Days=T","Fill=B")</f>
        <v/>
      </c>
      <c r="AL4" s="4">
        <f>BDH(AL$1,AM$3:BA$3,$B$9,$B$10,"Dir=V","Dts=S","Sort=A","Days=T","Fill=B")</f>
        <v/>
      </c>
      <c r="BC4" s="4">
        <f>BDH(BC$1,BD$3:BR$3,$B$9,$B$10,"Dir=V","Dts=S","Sort=A","Days=T","Fill=B")</f>
        <v/>
      </c>
      <c r="BT4" s="4">
        <f>BDH(BT$1,BU$3:CI$3,$B$9,$B$10,"Dir=V","Dts=S","Sort=A","Days=T","Fill=B")</f>
        <v/>
      </c>
      <c r="CK4" s="4">
        <f>BDH(CK$1,CL$3:CZ$3,$B$9,$B$10,"Dir=V","Dts=S","Sort=A","Days=T","Fill=B")</f>
        <v/>
      </c>
      <c r="DB4" s="4">
        <f>BDH(DB$1,DC$3:DQ$3,$B$9,$B$10,"Dir=V","Dts=S","Sort=A","Days=T","Fill=B")</f>
        <v/>
      </c>
      <c r="DS4" s="4">
        <f>BDH(DS$1,DT$3:EH$3,$B$9,$B$10,"Dir=V","Dts=S","Sort=A","Days=T","Fill=B")</f>
        <v/>
      </c>
      <c r="EJ4" s="4">
        <f>BDH(EJ$1,EK$3:EY$3,$B$9,$B$10,"Dir=V","Dts=S","Sort=A","Days=T","Fill=B")</f>
        <v/>
      </c>
      <c r="FA4" s="4">
        <f>BDH(FA$1,FB$3:FP$3,$B$9,$B$10,"Dir=V","Dts=S","Sort=A","Days=T","Fill=B")</f>
        <v/>
      </c>
      <c r="FR4" s="4">
        <f>BDH(FR$1,FS$3:GG$3,$B$9,$B$10,"Dir=V","Dts=S","Sort=A","Days=T","Fill=B")</f>
        <v/>
      </c>
      <c r="GI4" s="4">
        <f>BDH(GI$1,GJ$3:GX$3,$B$9,$B$10,"Dir=V","Dts=S","Sort=A","Days=T","Fill=B")</f>
        <v/>
      </c>
      <c r="GZ4" s="4">
        <f>BDH(GZ$1,HA$3:HO$3,$B$9,$B$10,"Dir=V","Dts=S","Sort=A","Days=T","Fill=B")</f>
        <v/>
      </c>
      <c r="HQ4" s="4">
        <f>BDH(HQ$1,HR$3:IF$3,$B$9,$B$10,"Dir=V","Dts=S","Sort=A","Days=T","Fill=B")</f>
        <v/>
      </c>
      <c r="IH4" s="4">
        <f>BDH(IH$1,II$3:IW$3,$B$9,$B$10,"Dir=V","Dts=S","Sort=A","Days=T","Fill=B")</f>
        <v/>
      </c>
      <c r="IY4" s="4">
        <f>BDH(IY$1,IZ$3:JN$3,$B$9,$B$10,"Dir=V","Dts=S","Sort=A","Days=T","Fill=B")</f>
        <v/>
      </c>
      <c r="JP4" s="4">
        <f>BDH(JP$1,JQ$3:KE$3,$B$9,$B$10,"Dir=V","Dts=S","Sort=A","Days=T","Fill=B")</f>
        <v/>
      </c>
      <c r="KG4" s="4">
        <f>BDH(KG$1,KH$3:KV$3,$B$9,$B$10,"Dir=V","Dts=S","Sort=A","Days=T","Fill=B")</f>
        <v/>
      </c>
      <c r="KX4" s="4">
        <f>BDH(KX$1,KY$3:LM$3,$B$9,$B$10,"Dir=V","Dts=S","Sort=A","Days=T","Fill=B")</f>
        <v/>
      </c>
      <c r="LO4" s="4">
        <f>BDH(LO$1,LP$3:MD$3,$B$9,$B$10,"Dir=V","Dts=S","Sort=A","Days=T","Fill=B")</f>
        <v/>
      </c>
      <c r="MF4" s="4">
        <f>BDH(MF$1,MG$3:MU$3,$B$9,$B$10,"Dir=V","Dts=S","Sort=A","Days=T","Fill=B")</f>
        <v/>
      </c>
      <c r="MW4" s="4">
        <f>BDH(MW$1,MX$3:NL$3,$B$9,$B$10,"Dir=V","Dts=S","Sort=A","Days=T","Fill=B")</f>
        <v/>
      </c>
      <c r="NN4" s="4">
        <f>BDH(NN$1,NO$3:OC$3,$B$9,$B$10,"Dir=V","Dts=S","Sort=A","Days=T","Fill=B")</f>
        <v/>
      </c>
      <c r="OE4" s="4">
        <f>BDH(OE$1,OF$3:OT$3,$B$9,$B$10,"Dir=V","Dts=S","Sort=A","Days=T","Fill=B")</f>
        <v/>
      </c>
      <c r="OV4" s="4">
        <f>BDH(OV$1,OW$3:PK$3,$B$9,$B$10,"Dir=V","Dts=S","Sort=A","Days=T","Fill=B")</f>
        <v/>
      </c>
      <c r="PM4" s="4">
        <f>BDH(PM$1,PN$3:QB$3,$B$9,$B$10,"Dir=V","Dts=S","Sort=A","Days=T","Fill=B")</f>
        <v/>
      </c>
      <c r="QD4" s="4">
        <f>BDH(QD$1,QE$3:QS$3,$B$9,$B$10,"Dir=V","Dts=S","Sort=A","Days=T","Fill=B")</f>
        <v/>
      </c>
      <c r="QU4" s="4">
        <f>BDH(QU$1,QV$3:RJ$3,$B$9,$B$10,"Dir=V","Dts=S","Sort=A","Days=T","Fill=B")</f>
        <v/>
      </c>
      <c r="RL4" s="4">
        <f>BDH(RL$1,RM$3:SA$3,$B$9,$B$10,"Dir=V","Dts=S","Sort=A","Days=T","Fill=B")</f>
        <v/>
      </c>
      <c r="SC4" s="4">
        <f>BDH(SC$1,SD$3:SR$3,$B$9,$B$10,"Dir=V","Dts=S","Sort=A","Days=T","Fill=B")</f>
        <v/>
      </c>
      <c r="ST4" s="4">
        <f>BDH(ST$1,SU$3:TI$3,$B$9,$B$10,"Dir=V","Dts=S","Sort=A","Days=T","Fill=B")</f>
        <v/>
      </c>
      <c r="TK4" s="4">
        <f>BDH(TK$1,TL$3:TZ$3,$B$9,$B$10,"Dir=V","Dts=S","Sort=A","Days=T","Fill=B")</f>
        <v/>
      </c>
      <c r="UB4" s="4">
        <f>BDH(UB$1,UC$3:UQ$3,$B$9,$B$10,"Dir=V","Dts=S","Sort=A","Days=T","Fill=B")</f>
        <v/>
      </c>
      <c r="US4" s="4">
        <f>BDH(US$1,UT$3:VH$3,$B$9,$B$10,"Dir=V","Dts=S","Sort=A","Days=T","Fill=B")</f>
        <v/>
      </c>
    </row>
    <row r="5">
      <c r="A5" s="2" t="inlineStr">
        <is>
          <t>Futures ticker</t>
        </is>
      </c>
      <c r="B5" s="4">
        <f>IF(Settings!$B$14="Y","CL"&amp;MID("FGHJKMNQUVXZ",B1,1)&amp;B4&amp;" Comdty","")</f>
        <v/>
      </c>
    </row>
    <row r="6">
      <c r="A6" s="2" t="inlineStr">
        <is>
          <t>Strike reference date</t>
        </is>
      </c>
      <c r="B6" s="8">
        <f>B3-45</f>
        <v/>
      </c>
    </row>
    <row r="7">
      <c r="A7" s="2" t="inlineStr">
        <is>
          <t>Futures price on that date</t>
        </is>
      </c>
      <c r="B7" s="10">
        <f>IF(B5="","",BDH(B5,"PX_LAST",B6,B6,"Days=A","Fill=P","Dts=H"))</f>
        <v/>
      </c>
    </row>
    <row r="8">
      <c r="A8" s="2" t="inlineStr">
        <is>
          <t>ATM strike</t>
        </is>
      </c>
      <c r="B8" s="9">
        <f>IF(ISNUMBER(B7),ROUND(B7,0),"")</f>
        <v/>
      </c>
    </row>
    <row r="9">
      <c r="A9" s="2" t="inlineStr">
        <is>
          <t>History start</t>
        </is>
      </c>
      <c r="B9" s="8">
        <f>B3-100</f>
        <v/>
      </c>
    </row>
    <row r="10">
      <c r="A10" s="2" t="inlineStr">
        <is>
          <t>History end</t>
        </is>
      </c>
      <c r="B10" s="8">
        <f>B3</f>
        <v/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VH10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2" customWidth="1" min="2" max="2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1" customWidth="1" min="15" max="15"/>
    <col width="11" customWidth="1" min="16" max="16"/>
    <col width="10" customWidth="1" min="17" max="17"/>
    <col width="11" customWidth="1" min="18" max="18"/>
    <col width="13" customWidth="1" min="19" max="19"/>
    <col width="12" customWidth="1" min="21" max="21"/>
    <col width="10" customWidth="1" min="22" max="22"/>
    <col width="10" customWidth="1" min="23" max="23"/>
    <col width="10" customWidth="1" min="24" max="24"/>
    <col width="10" customWidth="1" min="25" max="25"/>
    <col width="11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1" customWidth="1" min="32" max="32"/>
    <col width="11" customWidth="1" min="33" max="33"/>
    <col width="10" customWidth="1" min="34" max="34"/>
    <col width="11" customWidth="1" min="35" max="35"/>
    <col width="13" customWidth="1" min="36" max="36"/>
    <col width="12" customWidth="1" min="38" max="38"/>
    <col width="10" customWidth="1" min="39" max="39"/>
    <col width="10" customWidth="1" min="40" max="40"/>
    <col width="10" customWidth="1" min="41" max="41"/>
    <col width="10" customWidth="1" min="42" max="42"/>
    <col width="11" customWidth="1" min="43" max="43"/>
    <col width="11" customWidth="1" min="44" max="44"/>
    <col width="10" customWidth="1" min="45" max="45"/>
    <col width="10" customWidth="1" min="46" max="46"/>
    <col width="10" customWidth="1" min="47" max="47"/>
    <col width="10" customWidth="1" min="48" max="48"/>
    <col width="11" customWidth="1" min="49" max="49"/>
    <col width="11" customWidth="1" min="50" max="50"/>
    <col width="10" customWidth="1" min="51" max="51"/>
    <col width="11" customWidth="1" min="52" max="52"/>
    <col width="13" customWidth="1" min="53" max="53"/>
    <col width="12" customWidth="1" min="55" max="55"/>
    <col width="10" customWidth="1" min="56" max="56"/>
    <col width="10" customWidth="1" min="57" max="57"/>
    <col width="10" customWidth="1" min="58" max="58"/>
    <col width="10" customWidth="1" min="59" max="59"/>
    <col width="11" customWidth="1" min="60" max="60"/>
    <col width="11" customWidth="1" min="61" max="61"/>
    <col width="10" customWidth="1" min="62" max="62"/>
    <col width="10" customWidth="1" min="63" max="63"/>
    <col width="10" customWidth="1" min="64" max="64"/>
    <col width="10" customWidth="1" min="65" max="65"/>
    <col width="11" customWidth="1" min="66" max="66"/>
    <col width="11" customWidth="1" min="67" max="67"/>
    <col width="10" customWidth="1" min="68" max="68"/>
    <col width="11" customWidth="1" min="69" max="69"/>
    <col width="13" customWidth="1" min="70" max="70"/>
    <col width="12" customWidth="1" min="72" max="72"/>
    <col width="10" customWidth="1" min="73" max="73"/>
    <col width="10" customWidth="1" min="74" max="74"/>
    <col width="10" customWidth="1" min="75" max="75"/>
    <col width="10" customWidth="1" min="76" max="76"/>
    <col width="11" customWidth="1" min="77" max="77"/>
    <col width="11" customWidth="1" min="78" max="78"/>
    <col width="10" customWidth="1" min="79" max="79"/>
    <col width="10" customWidth="1" min="80" max="80"/>
    <col width="10" customWidth="1" min="81" max="81"/>
    <col width="10" customWidth="1" min="82" max="82"/>
    <col width="11" customWidth="1" min="83" max="83"/>
    <col width="11" customWidth="1" min="84" max="84"/>
    <col width="10" customWidth="1" min="85" max="85"/>
    <col width="11" customWidth="1" min="86" max="86"/>
    <col width="13" customWidth="1" min="87" max="87"/>
    <col width="12" customWidth="1" min="89" max="89"/>
    <col width="10" customWidth="1" min="90" max="90"/>
    <col width="10" customWidth="1" min="91" max="91"/>
    <col width="10" customWidth="1" min="92" max="92"/>
    <col width="10" customWidth="1" min="93" max="93"/>
    <col width="11" customWidth="1" min="94" max="94"/>
    <col width="11" customWidth="1" min="95" max="95"/>
    <col width="10" customWidth="1" min="96" max="96"/>
    <col width="10" customWidth="1" min="97" max="97"/>
    <col width="10" customWidth="1" min="98" max="98"/>
    <col width="10" customWidth="1" min="99" max="99"/>
    <col width="11" customWidth="1" min="100" max="100"/>
    <col width="11" customWidth="1" min="101" max="101"/>
    <col width="10" customWidth="1" min="102" max="102"/>
    <col width="11" customWidth="1" min="103" max="103"/>
    <col width="13" customWidth="1" min="104" max="104"/>
    <col width="12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1" customWidth="1" min="111" max="111"/>
    <col width="11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1" customWidth="1" min="117" max="117"/>
    <col width="11" customWidth="1" min="118" max="118"/>
    <col width="10" customWidth="1" min="119" max="119"/>
    <col width="11" customWidth="1" min="120" max="120"/>
    <col width="13" customWidth="1" min="121" max="121"/>
    <col width="12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1" customWidth="1" min="128" max="128"/>
    <col width="11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1" customWidth="1" min="134" max="134"/>
    <col width="11" customWidth="1" min="135" max="135"/>
    <col width="10" customWidth="1" min="136" max="136"/>
    <col width="11" customWidth="1" min="137" max="137"/>
    <col width="13" customWidth="1" min="138" max="138"/>
    <col width="12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1" customWidth="1" min="145" max="145"/>
    <col width="11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1" customWidth="1" min="151" max="151"/>
    <col width="11" customWidth="1" min="152" max="152"/>
    <col width="10" customWidth="1" min="153" max="153"/>
    <col width="11" customWidth="1" min="154" max="154"/>
    <col width="13" customWidth="1" min="155" max="155"/>
    <col width="12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1" customWidth="1" min="162" max="162"/>
    <col width="11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1" customWidth="1" min="168" max="168"/>
    <col width="11" customWidth="1" min="169" max="169"/>
    <col width="10" customWidth="1" min="170" max="170"/>
    <col width="11" customWidth="1" min="171" max="171"/>
    <col width="13" customWidth="1" min="172" max="172"/>
    <col width="12" customWidth="1" min="174" max="174"/>
    <col width="10" customWidth="1" min="175" max="175"/>
    <col width="10" customWidth="1" min="176" max="176"/>
    <col width="10" customWidth="1" min="177" max="177"/>
    <col width="10" customWidth="1" min="178" max="178"/>
    <col width="11" customWidth="1" min="179" max="179"/>
    <col width="11" customWidth="1" min="180" max="180"/>
    <col width="10" customWidth="1" min="181" max="181"/>
    <col width="10" customWidth="1" min="182" max="182"/>
    <col width="10" customWidth="1" min="183" max="183"/>
    <col width="10" customWidth="1" min="184" max="184"/>
    <col width="11" customWidth="1" min="185" max="185"/>
    <col width="11" customWidth="1" min="186" max="186"/>
    <col width="10" customWidth="1" min="187" max="187"/>
    <col width="11" customWidth="1" min="188" max="188"/>
    <col width="13" customWidth="1" min="189" max="189"/>
    <col width="12" customWidth="1" min="191" max="191"/>
    <col width="10" customWidth="1" min="192" max="192"/>
    <col width="10" customWidth="1" min="193" max="193"/>
    <col width="10" customWidth="1" min="194" max="194"/>
    <col width="10" customWidth="1" min="195" max="195"/>
    <col width="11" customWidth="1" min="196" max="196"/>
    <col width="11" customWidth="1" min="197" max="197"/>
    <col width="10" customWidth="1" min="198" max="198"/>
    <col width="10" customWidth="1" min="199" max="199"/>
    <col width="10" customWidth="1" min="200" max="200"/>
    <col width="10" customWidth="1" min="201" max="201"/>
    <col width="11" customWidth="1" min="202" max="202"/>
    <col width="11" customWidth="1" min="203" max="203"/>
    <col width="10" customWidth="1" min="204" max="204"/>
    <col width="11" customWidth="1" min="205" max="205"/>
    <col width="13" customWidth="1" min="206" max="206"/>
    <col width="12" customWidth="1" min="208" max="208"/>
    <col width="10" customWidth="1" min="209" max="209"/>
    <col width="10" customWidth="1" min="210" max="210"/>
    <col width="10" customWidth="1" min="211" max="211"/>
    <col width="10" customWidth="1" min="212" max="212"/>
    <col width="11" customWidth="1" min="213" max="213"/>
    <col width="11" customWidth="1" min="214" max="214"/>
    <col width="10" customWidth="1" min="215" max="215"/>
    <col width="10" customWidth="1" min="216" max="216"/>
    <col width="10" customWidth="1" min="217" max="217"/>
    <col width="10" customWidth="1" min="218" max="218"/>
    <col width="11" customWidth="1" min="219" max="219"/>
    <col width="11" customWidth="1" min="220" max="220"/>
    <col width="10" customWidth="1" min="221" max="221"/>
    <col width="11" customWidth="1" min="222" max="222"/>
    <col width="13" customWidth="1" min="223" max="223"/>
    <col width="12" customWidth="1" min="225" max="225"/>
    <col width="10" customWidth="1" min="226" max="226"/>
    <col width="10" customWidth="1" min="227" max="227"/>
    <col width="10" customWidth="1" min="228" max="228"/>
    <col width="10" customWidth="1" min="229" max="229"/>
    <col width="11" customWidth="1" min="230" max="230"/>
    <col width="11" customWidth="1" min="231" max="231"/>
    <col width="10" customWidth="1" min="232" max="232"/>
    <col width="10" customWidth="1" min="233" max="233"/>
    <col width="10" customWidth="1" min="234" max="234"/>
    <col width="10" customWidth="1" min="235" max="235"/>
    <col width="11" customWidth="1" min="236" max="236"/>
    <col width="11" customWidth="1" min="237" max="237"/>
    <col width="10" customWidth="1" min="238" max="238"/>
    <col width="11" customWidth="1" min="239" max="239"/>
    <col width="13" customWidth="1" min="240" max="240"/>
    <col width="12" customWidth="1" min="242" max="242"/>
    <col width="10" customWidth="1" min="243" max="243"/>
    <col width="10" customWidth="1" min="244" max="244"/>
    <col width="10" customWidth="1" min="245" max="245"/>
    <col width="10" customWidth="1" min="246" max="246"/>
    <col width="11" customWidth="1" min="247" max="247"/>
    <col width="11" customWidth="1" min="248" max="248"/>
    <col width="10" customWidth="1" min="249" max="249"/>
    <col width="10" customWidth="1" min="250" max="250"/>
    <col width="10" customWidth="1" min="251" max="251"/>
    <col width="10" customWidth="1" min="252" max="252"/>
    <col width="11" customWidth="1" min="253" max="253"/>
    <col width="11" customWidth="1" min="254" max="254"/>
    <col width="10" customWidth="1" min="255" max="255"/>
    <col width="11" customWidth="1" min="256" max="256"/>
    <col width="13" customWidth="1" min="257" max="257"/>
    <col width="12" customWidth="1" min="259" max="259"/>
    <col width="10" customWidth="1" min="260" max="260"/>
    <col width="10" customWidth="1" min="261" max="261"/>
    <col width="10" customWidth="1" min="262" max="262"/>
    <col width="10" customWidth="1" min="263" max="263"/>
    <col width="11" customWidth="1" min="264" max="264"/>
    <col width="11" customWidth="1" min="265" max="265"/>
    <col width="10" customWidth="1" min="266" max="266"/>
    <col width="10" customWidth="1" min="267" max="267"/>
    <col width="10" customWidth="1" min="268" max="268"/>
    <col width="10" customWidth="1" min="269" max="269"/>
    <col width="11" customWidth="1" min="270" max="270"/>
    <col width="11" customWidth="1" min="271" max="271"/>
    <col width="10" customWidth="1" min="272" max="272"/>
    <col width="11" customWidth="1" min="273" max="273"/>
    <col width="13" customWidth="1" min="274" max="274"/>
    <col width="12" customWidth="1" min="276" max="276"/>
    <col width="10" customWidth="1" min="277" max="277"/>
    <col width="10" customWidth="1" min="278" max="278"/>
    <col width="10" customWidth="1" min="279" max="279"/>
    <col width="10" customWidth="1" min="280" max="280"/>
    <col width="11" customWidth="1" min="281" max="281"/>
    <col width="11" customWidth="1" min="282" max="282"/>
    <col width="10" customWidth="1" min="283" max="283"/>
    <col width="10" customWidth="1" min="284" max="284"/>
    <col width="10" customWidth="1" min="285" max="285"/>
    <col width="10" customWidth="1" min="286" max="286"/>
    <col width="11" customWidth="1" min="287" max="287"/>
    <col width="11" customWidth="1" min="288" max="288"/>
    <col width="10" customWidth="1" min="289" max="289"/>
    <col width="11" customWidth="1" min="290" max="290"/>
    <col width="13" customWidth="1" min="291" max="291"/>
    <col width="12" customWidth="1" min="293" max="293"/>
    <col width="10" customWidth="1" min="294" max="294"/>
    <col width="10" customWidth="1" min="295" max="295"/>
    <col width="10" customWidth="1" min="296" max="296"/>
    <col width="10" customWidth="1" min="297" max="297"/>
    <col width="11" customWidth="1" min="298" max="298"/>
    <col width="11" customWidth="1" min="299" max="299"/>
    <col width="10" customWidth="1" min="300" max="300"/>
    <col width="10" customWidth="1" min="301" max="301"/>
    <col width="10" customWidth="1" min="302" max="302"/>
    <col width="10" customWidth="1" min="303" max="303"/>
    <col width="11" customWidth="1" min="304" max="304"/>
    <col width="11" customWidth="1" min="305" max="305"/>
    <col width="10" customWidth="1" min="306" max="306"/>
    <col width="11" customWidth="1" min="307" max="307"/>
    <col width="13" customWidth="1" min="308" max="308"/>
    <col width="12" customWidth="1" min="310" max="310"/>
    <col width="10" customWidth="1" min="311" max="311"/>
    <col width="10" customWidth="1" min="312" max="312"/>
    <col width="10" customWidth="1" min="313" max="313"/>
    <col width="10" customWidth="1" min="314" max="314"/>
    <col width="11" customWidth="1" min="315" max="315"/>
    <col width="11" customWidth="1" min="316" max="316"/>
    <col width="10" customWidth="1" min="317" max="317"/>
    <col width="10" customWidth="1" min="318" max="318"/>
    <col width="10" customWidth="1" min="319" max="319"/>
    <col width="10" customWidth="1" min="320" max="320"/>
    <col width="11" customWidth="1" min="321" max="321"/>
    <col width="11" customWidth="1" min="322" max="322"/>
    <col width="10" customWidth="1" min="323" max="323"/>
    <col width="11" customWidth="1" min="324" max="324"/>
    <col width="13" customWidth="1" min="325" max="325"/>
    <col width="12" customWidth="1" min="327" max="327"/>
    <col width="10" customWidth="1" min="328" max="328"/>
    <col width="10" customWidth="1" min="329" max="329"/>
    <col width="10" customWidth="1" min="330" max="330"/>
    <col width="10" customWidth="1" min="331" max="331"/>
    <col width="11" customWidth="1" min="332" max="332"/>
    <col width="11" customWidth="1" min="333" max="333"/>
    <col width="10" customWidth="1" min="334" max="334"/>
    <col width="10" customWidth="1" min="335" max="335"/>
    <col width="10" customWidth="1" min="336" max="336"/>
    <col width="10" customWidth="1" min="337" max="337"/>
    <col width="11" customWidth="1" min="338" max="338"/>
    <col width="11" customWidth="1" min="339" max="339"/>
    <col width="10" customWidth="1" min="340" max="340"/>
    <col width="11" customWidth="1" min="341" max="341"/>
    <col width="13" customWidth="1" min="342" max="342"/>
    <col width="12" customWidth="1" min="344" max="344"/>
    <col width="10" customWidth="1" min="345" max="345"/>
    <col width="10" customWidth="1" min="346" max="346"/>
    <col width="10" customWidth="1" min="347" max="347"/>
    <col width="10" customWidth="1" min="348" max="348"/>
    <col width="11" customWidth="1" min="349" max="349"/>
    <col width="11" customWidth="1" min="350" max="350"/>
    <col width="10" customWidth="1" min="351" max="351"/>
    <col width="10" customWidth="1" min="352" max="352"/>
    <col width="10" customWidth="1" min="353" max="353"/>
    <col width="10" customWidth="1" min="354" max="354"/>
    <col width="11" customWidth="1" min="355" max="355"/>
    <col width="11" customWidth="1" min="356" max="356"/>
    <col width="10" customWidth="1" min="357" max="357"/>
    <col width="11" customWidth="1" min="358" max="358"/>
    <col width="13" customWidth="1" min="359" max="359"/>
    <col width="12" customWidth="1" min="361" max="361"/>
    <col width="10" customWidth="1" min="362" max="362"/>
    <col width="10" customWidth="1" min="363" max="363"/>
    <col width="10" customWidth="1" min="364" max="364"/>
    <col width="10" customWidth="1" min="365" max="365"/>
    <col width="11" customWidth="1" min="366" max="366"/>
    <col width="11" customWidth="1" min="367" max="367"/>
    <col width="10" customWidth="1" min="368" max="368"/>
    <col width="10" customWidth="1" min="369" max="369"/>
    <col width="10" customWidth="1" min="370" max="370"/>
    <col width="10" customWidth="1" min="371" max="371"/>
    <col width="11" customWidth="1" min="372" max="372"/>
    <col width="11" customWidth="1" min="373" max="373"/>
    <col width="10" customWidth="1" min="374" max="374"/>
    <col width="11" customWidth="1" min="375" max="375"/>
    <col width="13" customWidth="1" min="376" max="376"/>
    <col width="12" customWidth="1" min="378" max="378"/>
    <col width="10" customWidth="1" min="379" max="379"/>
    <col width="10" customWidth="1" min="380" max="380"/>
    <col width="10" customWidth="1" min="381" max="381"/>
    <col width="10" customWidth="1" min="382" max="382"/>
    <col width="11" customWidth="1" min="383" max="383"/>
    <col width="11" customWidth="1" min="384" max="384"/>
    <col width="10" customWidth="1" min="385" max="385"/>
    <col width="10" customWidth="1" min="386" max="386"/>
    <col width="10" customWidth="1" min="387" max="387"/>
    <col width="10" customWidth="1" min="388" max="388"/>
    <col width="11" customWidth="1" min="389" max="389"/>
    <col width="11" customWidth="1" min="390" max="390"/>
    <col width="10" customWidth="1" min="391" max="391"/>
    <col width="11" customWidth="1" min="392" max="392"/>
    <col width="13" customWidth="1" min="393" max="393"/>
    <col width="12" customWidth="1" min="395" max="395"/>
    <col width="10" customWidth="1" min="396" max="396"/>
    <col width="10" customWidth="1" min="397" max="397"/>
    <col width="10" customWidth="1" min="398" max="398"/>
    <col width="10" customWidth="1" min="399" max="399"/>
    <col width="11" customWidth="1" min="400" max="400"/>
    <col width="11" customWidth="1" min="401" max="401"/>
    <col width="10" customWidth="1" min="402" max="402"/>
    <col width="10" customWidth="1" min="403" max="403"/>
    <col width="10" customWidth="1" min="404" max="404"/>
    <col width="10" customWidth="1" min="405" max="405"/>
    <col width="11" customWidth="1" min="406" max="406"/>
    <col width="11" customWidth="1" min="407" max="407"/>
    <col width="10" customWidth="1" min="408" max="408"/>
    <col width="11" customWidth="1" min="409" max="409"/>
    <col width="13" customWidth="1" min="410" max="410"/>
    <col width="12" customWidth="1" min="412" max="412"/>
    <col width="10" customWidth="1" min="413" max="413"/>
    <col width="10" customWidth="1" min="414" max="414"/>
    <col width="10" customWidth="1" min="415" max="415"/>
    <col width="10" customWidth="1" min="416" max="416"/>
    <col width="11" customWidth="1" min="417" max="417"/>
    <col width="11" customWidth="1" min="418" max="418"/>
    <col width="10" customWidth="1" min="419" max="419"/>
    <col width="10" customWidth="1" min="420" max="420"/>
    <col width="10" customWidth="1" min="421" max="421"/>
    <col width="10" customWidth="1" min="422" max="422"/>
    <col width="11" customWidth="1" min="423" max="423"/>
    <col width="11" customWidth="1" min="424" max="424"/>
    <col width="10" customWidth="1" min="425" max="425"/>
    <col width="11" customWidth="1" min="426" max="426"/>
    <col width="13" customWidth="1" min="427" max="427"/>
    <col width="12" customWidth="1" min="429" max="429"/>
    <col width="10" customWidth="1" min="430" max="430"/>
    <col width="10" customWidth="1" min="431" max="431"/>
    <col width="10" customWidth="1" min="432" max="432"/>
    <col width="10" customWidth="1" min="433" max="433"/>
    <col width="11" customWidth="1" min="434" max="434"/>
    <col width="11" customWidth="1" min="435" max="435"/>
    <col width="10" customWidth="1" min="436" max="436"/>
    <col width="10" customWidth="1" min="437" max="437"/>
    <col width="10" customWidth="1" min="438" max="438"/>
    <col width="10" customWidth="1" min="439" max="439"/>
    <col width="11" customWidth="1" min="440" max="440"/>
    <col width="11" customWidth="1" min="441" max="441"/>
    <col width="10" customWidth="1" min="442" max="442"/>
    <col width="11" customWidth="1" min="443" max="443"/>
    <col width="13" customWidth="1" min="444" max="444"/>
    <col width="12" customWidth="1" min="446" max="446"/>
    <col width="10" customWidth="1" min="447" max="447"/>
    <col width="10" customWidth="1" min="448" max="448"/>
    <col width="10" customWidth="1" min="449" max="449"/>
    <col width="10" customWidth="1" min="450" max="450"/>
    <col width="11" customWidth="1" min="451" max="451"/>
    <col width="11" customWidth="1" min="452" max="452"/>
    <col width="10" customWidth="1" min="453" max="453"/>
    <col width="10" customWidth="1" min="454" max="454"/>
    <col width="10" customWidth="1" min="455" max="455"/>
    <col width="10" customWidth="1" min="456" max="456"/>
    <col width="11" customWidth="1" min="457" max="457"/>
    <col width="11" customWidth="1" min="458" max="458"/>
    <col width="10" customWidth="1" min="459" max="459"/>
    <col width="11" customWidth="1" min="460" max="460"/>
    <col width="13" customWidth="1" min="461" max="461"/>
    <col width="12" customWidth="1" min="463" max="463"/>
    <col width="10" customWidth="1" min="464" max="464"/>
    <col width="10" customWidth="1" min="465" max="465"/>
    <col width="10" customWidth="1" min="466" max="466"/>
    <col width="10" customWidth="1" min="467" max="467"/>
    <col width="11" customWidth="1" min="468" max="468"/>
    <col width="11" customWidth="1" min="469" max="469"/>
    <col width="10" customWidth="1" min="470" max="470"/>
    <col width="10" customWidth="1" min="471" max="471"/>
    <col width="10" customWidth="1" min="472" max="472"/>
    <col width="10" customWidth="1" min="473" max="473"/>
    <col width="11" customWidth="1" min="474" max="474"/>
    <col width="11" customWidth="1" min="475" max="475"/>
    <col width="10" customWidth="1" min="476" max="476"/>
    <col width="11" customWidth="1" min="477" max="477"/>
    <col width="13" customWidth="1" min="478" max="478"/>
    <col width="12" customWidth="1" min="480" max="480"/>
    <col width="10" customWidth="1" min="481" max="481"/>
    <col width="10" customWidth="1" min="482" max="482"/>
    <col width="10" customWidth="1" min="483" max="483"/>
    <col width="10" customWidth="1" min="484" max="484"/>
    <col width="11" customWidth="1" min="485" max="485"/>
    <col width="11" customWidth="1" min="486" max="486"/>
    <col width="10" customWidth="1" min="487" max="487"/>
    <col width="10" customWidth="1" min="488" max="488"/>
    <col width="10" customWidth="1" min="489" max="489"/>
    <col width="10" customWidth="1" min="490" max="490"/>
    <col width="11" customWidth="1" min="491" max="491"/>
    <col width="11" customWidth="1" min="492" max="492"/>
    <col width="10" customWidth="1" min="493" max="493"/>
    <col width="11" customWidth="1" min="494" max="494"/>
    <col width="13" customWidth="1" min="495" max="495"/>
    <col width="12" customWidth="1" min="497" max="497"/>
    <col width="10" customWidth="1" min="498" max="498"/>
    <col width="10" customWidth="1" min="499" max="499"/>
    <col width="10" customWidth="1" min="500" max="500"/>
    <col width="10" customWidth="1" min="501" max="501"/>
    <col width="11" customWidth="1" min="502" max="502"/>
    <col width="11" customWidth="1" min="503" max="503"/>
    <col width="10" customWidth="1" min="504" max="504"/>
    <col width="10" customWidth="1" min="505" max="505"/>
    <col width="10" customWidth="1" min="506" max="506"/>
    <col width="10" customWidth="1" min="507" max="507"/>
    <col width="11" customWidth="1" min="508" max="508"/>
    <col width="11" customWidth="1" min="509" max="509"/>
    <col width="10" customWidth="1" min="510" max="510"/>
    <col width="11" customWidth="1" min="511" max="511"/>
    <col width="13" customWidth="1" min="512" max="512"/>
    <col width="12" customWidth="1" min="514" max="514"/>
    <col width="10" customWidth="1" min="515" max="515"/>
    <col width="10" customWidth="1" min="516" max="516"/>
    <col width="10" customWidth="1" min="517" max="517"/>
    <col width="10" customWidth="1" min="518" max="518"/>
    <col width="11" customWidth="1" min="519" max="519"/>
    <col width="11" customWidth="1" min="520" max="520"/>
    <col width="10" customWidth="1" min="521" max="521"/>
    <col width="10" customWidth="1" min="522" max="522"/>
    <col width="10" customWidth="1" min="523" max="523"/>
    <col width="10" customWidth="1" min="524" max="524"/>
    <col width="11" customWidth="1" min="525" max="525"/>
    <col width="11" customWidth="1" min="526" max="526"/>
    <col width="10" customWidth="1" min="527" max="527"/>
    <col width="11" customWidth="1" min="528" max="528"/>
    <col width="13" customWidth="1" min="529" max="529"/>
    <col width="12" customWidth="1" min="531" max="531"/>
    <col width="10" customWidth="1" min="532" max="532"/>
    <col width="10" customWidth="1" min="533" max="533"/>
    <col width="10" customWidth="1" min="534" max="534"/>
    <col width="10" customWidth="1" min="535" max="535"/>
    <col width="11" customWidth="1" min="536" max="536"/>
    <col width="11" customWidth="1" min="537" max="537"/>
    <col width="10" customWidth="1" min="538" max="538"/>
    <col width="10" customWidth="1" min="539" max="539"/>
    <col width="10" customWidth="1" min="540" max="540"/>
    <col width="10" customWidth="1" min="541" max="541"/>
    <col width="11" customWidth="1" min="542" max="542"/>
    <col width="11" customWidth="1" min="543" max="543"/>
    <col width="10" customWidth="1" min="544" max="544"/>
    <col width="11" customWidth="1" min="545" max="545"/>
    <col width="13" customWidth="1" min="546" max="546"/>
    <col width="12" customWidth="1" min="548" max="548"/>
    <col width="10" customWidth="1" min="549" max="549"/>
    <col width="10" customWidth="1" min="550" max="550"/>
    <col width="10" customWidth="1" min="551" max="551"/>
    <col width="10" customWidth="1" min="552" max="552"/>
    <col width="11" customWidth="1" min="553" max="553"/>
    <col width="11" customWidth="1" min="554" max="554"/>
    <col width="10" customWidth="1" min="555" max="555"/>
    <col width="10" customWidth="1" min="556" max="556"/>
    <col width="10" customWidth="1" min="557" max="557"/>
    <col width="10" customWidth="1" min="558" max="558"/>
    <col width="11" customWidth="1" min="559" max="559"/>
    <col width="11" customWidth="1" min="560" max="560"/>
    <col width="10" customWidth="1" min="561" max="561"/>
    <col width="11" customWidth="1" min="562" max="562"/>
    <col width="13" customWidth="1" min="563" max="563"/>
    <col width="12" customWidth="1" min="565" max="565"/>
    <col width="10" customWidth="1" min="566" max="566"/>
    <col width="10" customWidth="1" min="567" max="567"/>
    <col width="10" customWidth="1" min="568" max="568"/>
    <col width="10" customWidth="1" min="569" max="569"/>
    <col width="11" customWidth="1" min="570" max="570"/>
    <col width="11" customWidth="1" min="571" max="571"/>
    <col width="10" customWidth="1" min="572" max="572"/>
    <col width="10" customWidth="1" min="573" max="573"/>
    <col width="10" customWidth="1" min="574" max="574"/>
    <col width="10" customWidth="1" min="575" max="575"/>
    <col width="11" customWidth="1" min="576" max="576"/>
    <col width="11" customWidth="1" min="577" max="577"/>
    <col width="10" customWidth="1" min="578" max="578"/>
    <col width="11" customWidth="1" min="579" max="579"/>
    <col width="13" customWidth="1" min="580" max="580"/>
  </cols>
  <sheetData>
    <row r="1">
      <c r="A1" s="2" t="inlineStr">
        <is>
          <t>Contract month</t>
        </is>
      </c>
      <c r="B1" s="9" t="n">
        <v>7</v>
      </c>
      <c r="D1" s="2">
        <f>IF(ISNUMBER(B$8),"CL"&amp;MID("FGHJKMNQUVXZ",B$1,1)&amp;B$4&amp;"C "&amp;IF(Settings!$F$14=2,TEXT((B$8-8),"0.00"),(B$8-8))&amp;" Comdty","")</f>
        <v/>
      </c>
      <c r="U1" s="2">
        <f>IF(ISNUMBER(B$8),"CL"&amp;MID("FGHJKMNQUVXZ",B$1,1)&amp;B$4&amp;"P "&amp;IF(Settings!$F$14=2,TEXT((B$8-8),"0.00"),(B$8-8))&amp;" Comdty","")</f>
        <v/>
      </c>
      <c r="AL1" s="2">
        <f>IF(ISNUMBER(B$8),"CL"&amp;MID("FGHJKMNQUVXZ",B$1,1)&amp;B$4&amp;"C "&amp;IF(Settings!$F$14=2,TEXT((B$8-7),"0.00"),(B$8-7))&amp;" Comdty","")</f>
        <v/>
      </c>
      <c r="BC1" s="2">
        <f>IF(ISNUMBER(B$8),"CL"&amp;MID("FGHJKMNQUVXZ",B$1,1)&amp;B$4&amp;"P "&amp;IF(Settings!$F$14=2,TEXT((B$8-7),"0.00"),(B$8-7))&amp;" Comdty","")</f>
        <v/>
      </c>
      <c r="BT1" s="2">
        <f>IF(ISNUMBER(B$8),"CL"&amp;MID("FGHJKMNQUVXZ",B$1,1)&amp;B$4&amp;"C "&amp;IF(Settings!$F$14=2,TEXT((B$8-6),"0.00"),(B$8-6))&amp;" Comdty","")</f>
        <v/>
      </c>
      <c r="CK1" s="2">
        <f>IF(ISNUMBER(B$8),"CL"&amp;MID("FGHJKMNQUVXZ",B$1,1)&amp;B$4&amp;"P "&amp;IF(Settings!$F$14=2,TEXT((B$8-6),"0.00"),(B$8-6))&amp;" Comdty","")</f>
        <v/>
      </c>
      <c r="DB1" s="2">
        <f>IF(ISNUMBER(B$8),"CL"&amp;MID("FGHJKMNQUVXZ",B$1,1)&amp;B$4&amp;"C "&amp;IF(Settings!$F$14=2,TEXT((B$8-5),"0.00"),(B$8-5))&amp;" Comdty","")</f>
        <v/>
      </c>
      <c r="DS1" s="2">
        <f>IF(ISNUMBER(B$8),"CL"&amp;MID("FGHJKMNQUVXZ",B$1,1)&amp;B$4&amp;"P "&amp;IF(Settings!$F$14=2,TEXT((B$8-5),"0.00"),(B$8-5))&amp;" Comdty","")</f>
        <v/>
      </c>
      <c r="EJ1" s="2">
        <f>IF(ISNUMBER(B$8),"CL"&amp;MID("FGHJKMNQUVXZ",B$1,1)&amp;B$4&amp;"C "&amp;IF(Settings!$F$14=2,TEXT((B$8-4),"0.00"),(B$8-4))&amp;" Comdty","")</f>
        <v/>
      </c>
      <c r="FA1" s="2">
        <f>IF(ISNUMBER(B$8),"CL"&amp;MID("FGHJKMNQUVXZ",B$1,1)&amp;B$4&amp;"P "&amp;IF(Settings!$F$14=2,TEXT((B$8-4),"0.00"),(B$8-4))&amp;" Comdty","")</f>
        <v/>
      </c>
      <c r="FR1" s="2">
        <f>IF(ISNUMBER(B$8),"CL"&amp;MID("FGHJKMNQUVXZ",B$1,1)&amp;B$4&amp;"C "&amp;IF(Settings!$F$14=2,TEXT((B$8-3),"0.00"),(B$8-3))&amp;" Comdty","")</f>
        <v/>
      </c>
      <c r="GI1" s="2">
        <f>IF(ISNUMBER(B$8),"CL"&amp;MID("FGHJKMNQUVXZ",B$1,1)&amp;B$4&amp;"P "&amp;IF(Settings!$F$14=2,TEXT((B$8-3),"0.00"),(B$8-3))&amp;" Comdty","")</f>
        <v/>
      </c>
      <c r="GZ1" s="2">
        <f>IF(ISNUMBER(B$8),"CL"&amp;MID("FGHJKMNQUVXZ",B$1,1)&amp;B$4&amp;"C "&amp;IF(Settings!$F$14=2,TEXT((B$8-2),"0.00"),(B$8-2))&amp;" Comdty","")</f>
        <v/>
      </c>
      <c r="HQ1" s="2">
        <f>IF(ISNUMBER(B$8),"CL"&amp;MID("FGHJKMNQUVXZ",B$1,1)&amp;B$4&amp;"P "&amp;IF(Settings!$F$14=2,TEXT((B$8-2),"0.00"),(B$8-2))&amp;" Comdty","")</f>
        <v/>
      </c>
      <c r="IH1" s="2">
        <f>IF(ISNUMBER(B$8),"CL"&amp;MID("FGHJKMNQUVXZ",B$1,1)&amp;B$4&amp;"C "&amp;IF(Settings!$F$14=2,TEXT((B$8-1),"0.00"),(B$8-1))&amp;" Comdty","")</f>
        <v/>
      </c>
      <c r="IY1" s="2">
        <f>IF(ISNUMBER(B$8),"CL"&amp;MID("FGHJKMNQUVXZ",B$1,1)&amp;B$4&amp;"P "&amp;IF(Settings!$F$14=2,TEXT((B$8-1),"0.00"),(B$8-1))&amp;" Comdty","")</f>
        <v/>
      </c>
      <c r="JP1" s="2">
        <f>IF(ISNUMBER(B$8),"CL"&amp;MID("FGHJKMNQUVXZ",B$1,1)&amp;B$4&amp;"C "&amp;IF(Settings!$F$14=2,TEXT(B$8,"0.00"),B$8)&amp;" Comdty","")</f>
        <v/>
      </c>
      <c r="KG1" s="2">
        <f>IF(ISNUMBER(B$8),"CL"&amp;MID("FGHJKMNQUVXZ",B$1,1)&amp;B$4&amp;"P "&amp;IF(Settings!$F$14=2,TEXT(B$8,"0.00"),B$8)&amp;" Comdty","")</f>
        <v/>
      </c>
      <c r="KX1" s="2">
        <f>IF(ISNUMBER(B$8),"CL"&amp;MID("FGHJKMNQUVXZ",B$1,1)&amp;B$4&amp;"C "&amp;IF(Settings!$F$14=2,TEXT((B$8+1),"0.00"),(B$8+1))&amp;" Comdty","")</f>
        <v/>
      </c>
      <c r="LO1" s="2">
        <f>IF(ISNUMBER(B$8),"CL"&amp;MID("FGHJKMNQUVXZ",B$1,1)&amp;B$4&amp;"P "&amp;IF(Settings!$F$14=2,TEXT((B$8+1),"0.00"),(B$8+1))&amp;" Comdty","")</f>
        <v/>
      </c>
      <c r="MF1" s="2">
        <f>IF(ISNUMBER(B$8),"CL"&amp;MID("FGHJKMNQUVXZ",B$1,1)&amp;B$4&amp;"C "&amp;IF(Settings!$F$14=2,TEXT((B$8+2),"0.00"),(B$8+2))&amp;" Comdty","")</f>
        <v/>
      </c>
      <c r="MW1" s="2">
        <f>IF(ISNUMBER(B$8),"CL"&amp;MID("FGHJKMNQUVXZ",B$1,1)&amp;B$4&amp;"P "&amp;IF(Settings!$F$14=2,TEXT((B$8+2),"0.00"),(B$8+2))&amp;" Comdty","")</f>
        <v/>
      </c>
      <c r="NN1" s="2">
        <f>IF(ISNUMBER(B$8),"CL"&amp;MID("FGHJKMNQUVXZ",B$1,1)&amp;B$4&amp;"C "&amp;IF(Settings!$F$14=2,TEXT((B$8+3),"0.00"),(B$8+3))&amp;" Comdty","")</f>
        <v/>
      </c>
      <c r="OE1" s="2">
        <f>IF(ISNUMBER(B$8),"CL"&amp;MID("FGHJKMNQUVXZ",B$1,1)&amp;B$4&amp;"P "&amp;IF(Settings!$F$14=2,TEXT((B$8+3),"0.00"),(B$8+3))&amp;" Comdty","")</f>
        <v/>
      </c>
      <c r="OV1" s="2">
        <f>IF(ISNUMBER(B$8),"CL"&amp;MID("FGHJKMNQUVXZ",B$1,1)&amp;B$4&amp;"C "&amp;IF(Settings!$F$14=2,TEXT((B$8+4),"0.00"),(B$8+4))&amp;" Comdty","")</f>
        <v/>
      </c>
      <c r="PM1" s="2">
        <f>IF(ISNUMBER(B$8),"CL"&amp;MID("FGHJKMNQUVXZ",B$1,1)&amp;B$4&amp;"P "&amp;IF(Settings!$F$14=2,TEXT((B$8+4),"0.00"),(B$8+4))&amp;" Comdty","")</f>
        <v/>
      </c>
      <c r="QD1" s="2">
        <f>IF(ISNUMBER(B$8),"CL"&amp;MID("FGHJKMNQUVXZ",B$1,1)&amp;B$4&amp;"C "&amp;IF(Settings!$F$14=2,TEXT((B$8+5),"0.00"),(B$8+5))&amp;" Comdty","")</f>
        <v/>
      </c>
      <c r="QU1" s="2">
        <f>IF(ISNUMBER(B$8),"CL"&amp;MID("FGHJKMNQUVXZ",B$1,1)&amp;B$4&amp;"P "&amp;IF(Settings!$F$14=2,TEXT((B$8+5),"0.00"),(B$8+5))&amp;" Comdty","")</f>
        <v/>
      </c>
      <c r="RL1" s="2">
        <f>IF(ISNUMBER(B$8),"CL"&amp;MID("FGHJKMNQUVXZ",B$1,1)&amp;B$4&amp;"C "&amp;IF(Settings!$F$14=2,TEXT((B$8+6),"0.00"),(B$8+6))&amp;" Comdty","")</f>
        <v/>
      </c>
      <c r="SC1" s="2">
        <f>IF(ISNUMBER(B$8),"CL"&amp;MID("FGHJKMNQUVXZ",B$1,1)&amp;B$4&amp;"P "&amp;IF(Settings!$F$14=2,TEXT((B$8+6),"0.00"),(B$8+6))&amp;" Comdty","")</f>
        <v/>
      </c>
      <c r="ST1" s="2">
        <f>IF(ISNUMBER(B$8),"CL"&amp;MID("FGHJKMNQUVXZ",B$1,1)&amp;B$4&amp;"C "&amp;IF(Settings!$F$14=2,TEXT((B$8+7),"0.00"),(B$8+7))&amp;" Comdty","")</f>
        <v/>
      </c>
      <c r="TK1" s="2">
        <f>IF(ISNUMBER(B$8),"CL"&amp;MID("FGHJKMNQUVXZ",B$1,1)&amp;B$4&amp;"P "&amp;IF(Settings!$F$14=2,TEXT((B$8+7),"0.00"),(B$8+7))&amp;" Comdty","")</f>
        <v/>
      </c>
      <c r="UB1" s="2">
        <f>IF(ISNUMBER(B$8),"CL"&amp;MID("FGHJKMNQUVXZ",B$1,1)&amp;B$4&amp;"C "&amp;IF(Settings!$F$14=2,TEXT((B$8+8),"0.00"),(B$8+8))&amp;" Comdty","")</f>
        <v/>
      </c>
      <c r="US1" s="2">
        <f>IF(ISNUMBER(B$8),"CL"&amp;MID("FGHJKMNQUVXZ",B$1,1)&amp;B$4&amp;"P "&amp;IF(Settings!$F$14=2,TEXT((B$8+8),"0.00"),(B$8+8))&amp;" Comdty","")</f>
        <v/>
      </c>
    </row>
    <row r="2">
      <c r="A2" s="2" t="inlineStr">
        <is>
          <t>Futures last trade</t>
        </is>
      </c>
      <c r="B2" s="8">
        <f>WORKDAY(DATE(Settings!$E$14,B1-1,25),-3)</f>
        <v/>
      </c>
      <c r="D2" s="4" t="inlineStr">
        <is>
          <t>call -8 from ATM</t>
        </is>
      </c>
      <c r="U2" s="4" t="inlineStr">
        <is>
          <t>put -8 from ATM</t>
        </is>
      </c>
      <c r="AL2" s="4" t="inlineStr">
        <is>
          <t>call -7 from ATM</t>
        </is>
      </c>
      <c r="BC2" s="4" t="inlineStr">
        <is>
          <t>put -7 from ATM</t>
        </is>
      </c>
      <c r="BT2" s="4" t="inlineStr">
        <is>
          <t>call -6 from ATM</t>
        </is>
      </c>
      <c r="CK2" s="4" t="inlineStr">
        <is>
          <t>put -6 from ATM</t>
        </is>
      </c>
      <c r="DB2" s="4" t="inlineStr">
        <is>
          <t>call -5 from ATM</t>
        </is>
      </c>
      <c r="DS2" s="4" t="inlineStr">
        <is>
          <t>put -5 from ATM</t>
        </is>
      </c>
      <c r="EJ2" s="4" t="inlineStr">
        <is>
          <t>call -4 from ATM</t>
        </is>
      </c>
      <c r="FA2" s="4" t="inlineStr">
        <is>
          <t>put -4 from ATM</t>
        </is>
      </c>
      <c r="FR2" s="4" t="inlineStr">
        <is>
          <t>call -3 from ATM</t>
        </is>
      </c>
      <c r="GI2" s="4" t="inlineStr">
        <is>
          <t>put -3 from ATM</t>
        </is>
      </c>
      <c r="GZ2" s="4" t="inlineStr">
        <is>
          <t>call -2 from ATM</t>
        </is>
      </c>
      <c r="HQ2" s="4" t="inlineStr">
        <is>
          <t>put -2 from ATM</t>
        </is>
      </c>
      <c r="IH2" s="4" t="inlineStr">
        <is>
          <t>call -1 from ATM</t>
        </is>
      </c>
      <c r="IY2" s="4" t="inlineStr">
        <is>
          <t>put -1 from ATM</t>
        </is>
      </c>
      <c r="JP2" s="4" t="inlineStr">
        <is>
          <t>call +0 from ATM</t>
        </is>
      </c>
      <c r="KG2" s="4" t="inlineStr">
        <is>
          <t>put +0 from ATM</t>
        </is>
      </c>
      <c r="KX2" s="4" t="inlineStr">
        <is>
          <t>call +1 from ATM</t>
        </is>
      </c>
      <c r="LO2" s="4" t="inlineStr">
        <is>
          <t>put +1 from ATM</t>
        </is>
      </c>
      <c r="MF2" s="4" t="inlineStr">
        <is>
          <t>call +2 from ATM</t>
        </is>
      </c>
      <c r="MW2" s="4" t="inlineStr">
        <is>
          <t>put +2 from ATM</t>
        </is>
      </c>
      <c r="NN2" s="4" t="inlineStr">
        <is>
          <t>call +3 from ATM</t>
        </is>
      </c>
      <c r="OE2" s="4" t="inlineStr">
        <is>
          <t>put +3 from ATM</t>
        </is>
      </c>
      <c r="OV2" s="4" t="inlineStr">
        <is>
          <t>call +4 from ATM</t>
        </is>
      </c>
      <c r="PM2" s="4" t="inlineStr">
        <is>
          <t>put +4 from ATM</t>
        </is>
      </c>
      <c r="QD2" s="4" t="inlineStr">
        <is>
          <t>call +5 from ATM</t>
        </is>
      </c>
      <c r="QU2" s="4" t="inlineStr">
        <is>
          <t>put +5 from ATM</t>
        </is>
      </c>
      <c r="RL2" s="4" t="inlineStr">
        <is>
          <t>call +6 from ATM</t>
        </is>
      </c>
      <c r="SC2" s="4" t="inlineStr">
        <is>
          <t>put +6 from ATM</t>
        </is>
      </c>
      <c r="ST2" s="4" t="inlineStr">
        <is>
          <t>call +7 from ATM</t>
        </is>
      </c>
      <c r="TK2" s="4" t="inlineStr">
        <is>
          <t>put +7 from ATM</t>
        </is>
      </c>
      <c r="UB2" s="4" t="inlineStr">
        <is>
          <t>call +8 from ATM</t>
        </is>
      </c>
      <c r="US2" s="4" t="inlineStr">
        <is>
          <t>put +8 from ATM</t>
        </is>
      </c>
    </row>
    <row r="3">
      <c r="A3" s="2" t="inlineStr">
        <is>
          <t>Option expiry (approx)</t>
        </is>
      </c>
      <c r="B3" s="8">
        <f>WORKDAY(B2,-1)</f>
        <v/>
      </c>
      <c r="D3" s="5" t="inlineStr">
        <is>
          <t>Date</t>
        </is>
      </c>
      <c r="E3" s="5" t="inlineStr">
        <is>
          <t>PX_BID</t>
        </is>
      </c>
      <c r="F3" s="5" t="inlineStr">
        <is>
          <t>PX_ASK</t>
        </is>
      </c>
      <c r="G3" s="5" t="inlineStr">
        <is>
          <t>PX_MID</t>
        </is>
      </c>
      <c r="H3" s="5" t="inlineStr">
        <is>
          <t>PX_LAST</t>
        </is>
      </c>
      <c r="I3" s="5" t="inlineStr">
        <is>
          <t>PX_SETTLE</t>
        </is>
      </c>
      <c r="J3" s="5" t="inlineStr">
        <is>
          <t>PX_VOLUME</t>
        </is>
      </c>
      <c r="K3" s="5" t="inlineStr">
        <is>
          <t>OPEN_INT</t>
        </is>
      </c>
      <c r="L3" s="5" t="inlineStr">
        <is>
          <t>IVOL_MID</t>
        </is>
      </c>
      <c r="M3" s="5" t="inlineStr">
        <is>
          <t>IVOL_BID</t>
        </is>
      </c>
      <c r="N3" s="5" t="inlineStr">
        <is>
          <t>IVOL_ASK</t>
        </is>
      </c>
      <c r="O3" s="5" t="inlineStr">
        <is>
          <t>DELTA_MID</t>
        </is>
      </c>
      <c r="P3" s="5" t="inlineStr">
        <is>
          <t>GAMMA_MID</t>
        </is>
      </c>
      <c r="Q3" s="5" t="inlineStr">
        <is>
          <t>VEGA_MID</t>
        </is>
      </c>
      <c r="R3" s="5" t="inlineStr">
        <is>
          <t>THETA_MID</t>
        </is>
      </c>
      <c r="S3" s="5" t="inlineStr">
        <is>
          <t>OPT_UNDL_PX</t>
        </is>
      </c>
      <c r="U3" s="5" t="inlineStr">
        <is>
          <t>Date</t>
        </is>
      </c>
      <c r="V3" s="5" t="inlineStr">
        <is>
          <t>PX_BID</t>
        </is>
      </c>
      <c r="W3" s="5" t="inlineStr">
        <is>
          <t>PX_ASK</t>
        </is>
      </c>
      <c r="X3" s="5" t="inlineStr">
        <is>
          <t>PX_MID</t>
        </is>
      </c>
      <c r="Y3" s="5" t="inlineStr">
        <is>
          <t>PX_LAST</t>
        </is>
      </c>
      <c r="Z3" s="5" t="inlineStr">
        <is>
          <t>PX_SETTLE</t>
        </is>
      </c>
      <c r="AA3" s="5" t="inlineStr">
        <is>
          <t>PX_VOLUME</t>
        </is>
      </c>
      <c r="AB3" s="5" t="inlineStr">
        <is>
          <t>OPEN_INT</t>
        </is>
      </c>
      <c r="AC3" s="5" t="inlineStr">
        <is>
          <t>IVOL_MID</t>
        </is>
      </c>
      <c r="AD3" s="5" t="inlineStr">
        <is>
          <t>IVOL_BID</t>
        </is>
      </c>
      <c r="AE3" s="5" t="inlineStr">
        <is>
          <t>IVOL_ASK</t>
        </is>
      </c>
      <c r="AF3" s="5" t="inlineStr">
        <is>
          <t>DELTA_MID</t>
        </is>
      </c>
      <c r="AG3" s="5" t="inlineStr">
        <is>
          <t>GAMMA_MID</t>
        </is>
      </c>
      <c r="AH3" s="5" t="inlineStr">
        <is>
          <t>VEGA_MID</t>
        </is>
      </c>
      <c r="AI3" s="5" t="inlineStr">
        <is>
          <t>THETA_MID</t>
        </is>
      </c>
      <c r="AJ3" s="5" t="inlineStr">
        <is>
          <t>OPT_UNDL_PX</t>
        </is>
      </c>
      <c r="AL3" s="5" t="inlineStr">
        <is>
          <t>Date</t>
        </is>
      </c>
      <c r="AM3" s="5" t="inlineStr">
        <is>
          <t>PX_BID</t>
        </is>
      </c>
      <c r="AN3" s="5" t="inlineStr">
        <is>
          <t>PX_ASK</t>
        </is>
      </c>
      <c r="AO3" s="5" t="inlineStr">
        <is>
          <t>PX_MID</t>
        </is>
      </c>
      <c r="AP3" s="5" t="inlineStr">
        <is>
          <t>PX_LAST</t>
        </is>
      </c>
      <c r="AQ3" s="5" t="inlineStr">
        <is>
          <t>PX_SETTLE</t>
        </is>
      </c>
      <c r="AR3" s="5" t="inlineStr">
        <is>
          <t>PX_VOLUME</t>
        </is>
      </c>
      <c r="AS3" s="5" t="inlineStr">
        <is>
          <t>OPEN_INT</t>
        </is>
      </c>
      <c r="AT3" s="5" t="inlineStr">
        <is>
          <t>IVOL_MID</t>
        </is>
      </c>
      <c r="AU3" s="5" t="inlineStr">
        <is>
          <t>IVOL_BID</t>
        </is>
      </c>
      <c r="AV3" s="5" t="inlineStr">
        <is>
          <t>IVOL_ASK</t>
        </is>
      </c>
      <c r="AW3" s="5" t="inlineStr">
        <is>
          <t>DELTA_MID</t>
        </is>
      </c>
      <c r="AX3" s="5" t="inlineStr">
        <is>
          <t>GAMMA_MID</t>
        </is>
      </c>
      <c r="AY3" s="5" t="inlineStr">
        <is>
          <t>VEGA_MID</t>
        </is>
      </c>
      <c r="AZ3" s="5" t="inlineStr">
        <is>
          <t>THETA_MID</t>
        </is>
      </c>
      <c r="BA3" s="5" t="inlineStr">
        <is>
          <t>OPT_UNDL_PX</t>
        </is>
      </c>
      <c r="BC3" s="5" t="inlineStr">
        <is>
          <t>Date</t>
        </is>
      </c>
      <c r="BD3" s="5" t="inlineStr">
        <is>
          <t>PX_BID</t>
        </is>
      </c>
      <c r="BE3" s="5" t="inlineStr">
        <is>
          <t>PX_ASK</t>
        </is>
      </c>
      <c r="BF3" s="5" t="inlineStr">
        <is>
          <t>PX_MID</t>
        </is>
      </c>
      <c r="BG3" s="5" t="inlineStr">
        <is>
          <t>PX_LAST</t>
        </is>
      </c>
      <c r="BH3" s="5" t="inlineStr">
        <is>
          <t>PX_SETTLE</t>
        </is>
      </c>
      <c r="BI3" s="5" t="inlineStr">
        <is>
          <t>PX_VOLUME</t>
        </is>
      </c>
      <c r="BJ3" s="5" t="inlineStr">
        <is>
          <t>OPEN_INT</t>
        </is>
      </c>
      <c r="BK3" s="5" t="inlineStr">
        <is>
          <t>IVOL_MID</t>
        </is>
      </c>
      <c r="BL3" s="5" t="inlineStr">
        <is>
          <t>IVOL_BID</t>
        </is>
      </c>
      <c r="BM3" s="5" t="inlineStr">
        <is>
          <t>IVOL_ASK</t>
        </is>
      </c>
      <c r="BN3" s="5" t="inlineStr">
        <is>
          <t>DELTA_MID</t>
        </is>
      </c>
      <c r="BO3" s="5" t="inlineStr">
        <is>
          <t>GAMMA_MID</t>
        </is>
      </c>
      <c r="BP3" s="5" t="inlineStr">
        <is>
          <t>VEGA_MID</t>
        </is>
      </c>
      <c r="BQ3" s="5" t="inlineStr">
        <is>
          <t>THETA_MID</t>
        </is>
      </c>
      <c r="BR3" s="5" t="inlineStr">
        <is>
          <t>OPT_UNDL_PX</t>
        </is>
      </c>
      <c r="BT3" s="5" t="inlineStr">
        <is>
          <t>Date</t>
        </is>
      </c>
      <c r="BU3" s="5" t="inlineStr">
        <is>
          <t>PX_BID</t>
        </is>
      </c>
      <c r="BV3" s="5" t="inlineStr">
        <is>
          <t>PX_ASK</t>
        </is>
      </c>
      <c r="BW3" s="5" t="inlineStr">
        <is>
          <t>PX_MID</t>
        </is>
      </c>
      <c r="BX3" s="5" t="inlineStr">
        <is>
          <t>PX_LAST</t>
        </is>
      </c>
      <c r="BY3" s="5" t="inlineStr">
        <is>
          <t>PX_SETTLE</t>
        </is>
      </c>
      <c r="BZ3" s="5" t="inlineStr">
        <is>
          <t>PX_VOLUME</t>
        </is>
      </c>
      <c r="CA3" s="5" t="inlineStr">
        <is>
          <t>OPEN_INT</t>
        </is>
      </c>
      <c r="CB3" s="5" t="inlineStr">
        <is>
          <t>IVOL_MID</t>
        </is>
      </c>
      <c r="CC3" s="5" t="inlineStr">
        <is>
          <t>IVOL_BID</t>
        </is>
      </c>
      <c r="CD3" s="5" t="inlineStr">
        <is>
          <t>IVOL_ASK</t>
        </is>
      </c>
      <c r="CE3" s="5" t="inlineStr">
        <is>
          <t>DELTA_MID</t>
        </is>
      </c>
      <c r="CF3" s="5" t="inlineStr">
        <is>
          <t>GAMMA_MID</t>
        </is>
      </c>
      <c r="CG3" s="5" t="inlineStr">
        <is>
          <t>VEGA_MID</t>
        </is>
      </c>
      <c r="CH3" s="5" t="inlineStr">
        <is>
          <t>THETA_MID</t>
        </is>
      </c>
      <c r="CI3" s="5" t="inlineStr">
        <is>
          <t>OPT_UNDL_PX</t>
        </is>
      </c>
      <c r="CK3" s="5" t="inlineStr">
        <is>
          <t>Date</t>
        </is>
      </c>
      <c r="CL3" s="5" t="inlineStr">
        <is>
          <t>PX_BID</t>
        </is>
      </c>
      <c r="CM3" s="5" t="inlineStr">
        <is>
          <t>PX_ASK</t>
        </is>
      </c>
      <c r="CN3" s="5" t="inlineStr">
        <is>
          <t>PX_MID</t>
        </is>
      </c>
      <c r="CO3" s="5" t="inlineStr">
        <is>
          <t>PX_LAST</t>
        </is>
      </c>
      <c r="CP3" s="5" t="inlineStr">
        <is>
          <t>PX_SETTLE</t>
        </is>
      </c>
      <c r="CQ3" s="5" t="inlineStr">
        <is>
          <t>PX_VOLUME</t>
        </is>
      </c>
      <c r="CR3" s="5" t="inlineStr">
        <is>
          <t>OPEN_INT</t>
        </is>
      </c>
      <c r="CS3" s="5" t="inlineStr">
        <is>
          <t>IVOL_MID</t>
        </is>
      </c>
      <c r="CT3" s="5" t="inlineStr">
        <is>
          <t>IVOL_BID</t>
        </is>
      </c>
      <c r="CU3" s="5" t="inlineStr">
        <is>
          <t>IVOL_ASK</t>
        </is>
      </c>
      <c r="CV3" s="5" t="inlineStr">
        <is>
          <t>DELTA_MID</t>
        </is>
      </c>
      <c r="CW3" s="5" t="inlineStr">
        <is>
          <t>GAMMA_MID</t>
        </is>
      </c>
      <c r="CX3" s="5" t="inlineStr">
        <is>
          <t>VEGA_MID</t>
        </is>
      </c>
      <c r="CY3" s="5" t="inlineStr">
        <is>
          <t>THETA_MID</t>
        </is>
      </c>
      <c r="CZ3" s="5" t="inlineStr">
        <is>
          <t>OPT_UNDL_PX</t>
        </is>
      </c>
      <c r="DB3" s="5" t="inlineStr">
        <is>
          <t>Date</t>
        </is>
      </c>
      <c r="DC3" s="5" t="inlineStr">
        <is>
          <t>PX_BID</t>
        </is>
      </c>
      <c r="DD3" s="5" t="inlineStr">
        <is>
          <t>PX_ASK</t>
        </is>
      </c>
      <c r="DE3" s="5" t="inlineStr">
        <is>
          <t>PX_MID</t>
        </is>
      </c>
      <c r="DF3" s="5" t="inlineStr">
        <is>
          <t>PX_LAST</t>
        </is>
      </c>
      <c r="DG3" s="5" t="inlineStr">
        <is>
          <t>PX_SETTLE</t>
        </is>
      </c>
      <c r="DH3" s="5" t="inlineStr">
        <is>
          <t>PX_VOLUME</t>
        </is>
      </c>
      <c r="DI3" s="5" t="inlineStr">
        <is>
          <t>OPEN_INT</t>
        </is>
      </c>
      <c r="DJ3" s="5" t="inlineStr">
        <is>
          <t>IVOL_MID</t>
        </is>
      </c>
      <c r="DK3" s="5" t="inlineStr">
        <is>
          <t>IVOL_BID</t>
        </is>
      </c>
      <c r="DL3" s="5" t="inlineStr">
        <is>
          <t>IVOL_ASK</t>
        </is>
      </c>
      <c r="DM3" s="5" t="inlineStr">
        <is>
          <t>DELTA_MID</t>
        </is>
      </c>
      <c r="DN3" s="5" t="inlineStr">
        <is>
          <t>GAMMA_MID</t>
        </is>
      </c>
      <c r="DO3" s="5" t="inlineStr">
        <is>
          <t>VEGA_MID</t>
        </is>
      </c>
      <c r="DP3" s="5" t="inlineStr">
        <is>
          <t>THETA_MID</t>
        </is>
      </c>
      <c r="DQ3" s="5" t="inlineStr">
        <is>
          <t>OPT_UNDL_PX</t>
        </is>
      </c>
      <c r="DS3" s="5" t="inlineStr">
        <is>
          <t>Date</t>
        </is>
      </c>
      <c r="DT3" s="5" t="inlineStr">
        <is>
          <t>PX_BID</t>
        </is>
      </c>
      <c r="DU3" s="5" t="inlineStr">
        <is>
          <t>PX_ASK</t>
        </is>
      </c>
      <c r="DV3" s="5" t="inlineStr">
        <is>
          <t>PX_MID</t>
        </is>
      </c>
      <c r="DW3" s="5" t="inlineStr">
        <is>
          <t>PX_LAST</t>
        </is>
      </c>
      <c r="DX3" s="5" t="inlineStr">
        <is>
          <t>PX_SETTLE</t>
        </is>
      </c>
      <c r="DY3" s="5" t="inlineStr">
        <is>
          <t>PX_VOLUME</t>
        </is>
      </c>
      <c r="DZ3" s="5" t="inlineStr">
        <is>
          <t>OPEN_INT</t>
        </is>
      </c>
      <c r="EA3" s="5" t="inlineStr">
        <is>
          <t>IVOL_MID</t>
        </is>
      </c>
      <c r="EB3" s="5" t="inlineStr">
        <is>
          <t>IVOL_BID</t>
        </is>
      </c>
      <c r="EC3" s="5" t="inlineStr">
        <is>
          <t>IVOL_ASK</t>
        </is>
      </c>
      <c r="ED3" s="5" t="inlineStr">
        <is>
          <t>DELTA_MID</t>
        </is>
      </c>
      <c r="EE3" s="5" t="inlineStr">
        <is>
          <t>GAMMA_MID</t>
        </is>
      </c>
      <c r="EF3" s="5" t="inlineStr">
        <is>
          <t>VEGA_MID</t>
        </is>
      </c>
      <c r="EG3" s="5" t="inlineStr">
        <is>
          <t>THETA_MID</t>
        </is>
      </c>
      <c r="EH3" s="5" t="inlineStr">
        <is>
          <t>OPT_UNDL_PX</t>
        </is>
      </c>
      <c r="EJ3" s="5" t="inlineStr">
        <is>
          <t>Date</t>
        </is>
      </c>
      <c r="EK3" s="5" t="inlineStr">
        <is>
          <t>PX_BID</t>
        </is>
      </c>
      <c r="EL3" s="5" t="inlineStr">
        <is>
          <t>PX_ASK</t>
        </is>
      </c>
      <c r="EM3" s="5" t="inlineStr">
        <is>
          <t>PX_MID</t>
        </is>
      </c>
      <c r="EN3" s="5" t="inlineStr">
        <is>
          <t>PX_LAST</t>
        </is>
      </c>
      <c r="EO3" s="5" t="inlineStr">
        <is>
          <t>PX_SETTLE</t>
        </is>
      </c>
      <c r="EP3" s="5" t="inlineStr">
        <is>
          <t>PX_VOLUME</t>
        </is>
      </c>
      <c r="EQ3" s="5" t="inlineStr">
        <is>
          <t>OPEN_INT</t>
        </is>
      </c>
      <c r="ER3" s="5" t="inlineStr">
        <is>
          <t>IVOL_MID</t>
        </is>
      </c>
      <c r="ES3" s="5" t="inlineStr">
        <is>
          <t>IVOL_BID</t>
        </is>
      </c>
      <c r="ET3" s="5" t="inlineStr">
        <is>
          <t>IVOL_ASK</t>
        </is>
      </c>
      <c r="EU3" s="5" t="inlineStr">
        <is>
          <t>DELTA_MID</t>
        </is>
      </c>
      <c r="EV3" s="5" t="inlineStr">
        <is>
          <t>GAMMA_MID</t>
        </is>
      </c>
      <c r="EW3" s="5" t="inlineStr">
        <is>
          <t>VEGA_MID</t>
        </is>
      </c>
      <c r="EX3" s="5" t="inlineStr">
        <is>
          <t>THETA_MID</t>
        </is>
      </c>
      <c r="EY3" s="5" t="inlineStr">
        <is>
          <t>OPT_UNDL_PX</t>
        </is>
      </c>
      <c r="FA3" s="5" t="inlineStr">
        <is>
          <t>Date</t>
        </is>
      </c>
      <c r="FB3" s="5" t="inlineStr">
        <is>
          <t>PX_BID</t>
        </is>
      </c>
      <c r="FC3" s="5" t="inlineStr">
        <is>
          <t>PX_ASK</t>
        </is>
      </c>
      <c r="FD3" s="5" t="inlineStr">
        <is>
          <t>PX_MID</t>
        </is>
      </c>
      <c r="FE3" s="5" t="inlineStr">
        <is>
          <t>PX_LAST</t>
        </is>
      </c>
      <c r="FF3" s="5" t="inlineStr">
        <is>
          <t>PX_SETTLE</t>
        </is>
      </c>
      <c r="FG3" s="5" t="inlineStr">
        <is>
          <t>PX_VOLUME</t>
        </is>
      </c>
      <c r="FH3" s="5" t="inlineStr">
        <is>
          <t>OPEN_INT</t>
        </is>
      </c>
      <c r="FI3" s="5" t="inlineStr">
        <is>
          <t>IVOL_MID</t>
        </is>
      </c>
      <c r="FJ3" s="5" t="inlineStr">
        <is>
          <t>IVOL_BID</t>
        </is>
      </c>
      <c r="FK3" s="5" t="inlineStr">
        <is>
          <t>IVOL_ASK</t>
        </is>
      </c>
      <c r="FL3" s="5" t="inlineStr">
        <is>
          <t>DELTA_MID</t>
        </is>
      </c>
      <c r="FM3" s="5" t="inlineStr">
        <is>
          <t>GAMMA_MID</t>
        </is>
      </c>
      <c r="FN3" s="5" t="inlineStr">
        <is>
          <t>VEGA_MID</t>
        </is>
      </c>
      <c r="FO3" s="5" t="inlineStr">
        <is>
          <t>THETA_MID</t>
        </is>
      </c>
      <c r="FP3" s="5" t="inlineStr">
        <is>
          <t>OPT_UNDL_PX</t>
        </is>
      </c>
      <c r="FR3" s="5" t="inlineStr">
        <is>
          <t>Date</t>
        </is>
      </c>
      <c r="FS3" s="5" t="inlineStr">
        <is>
          <t>PX_BID</t>
        </is>
      </c>
      <c r="FT3" s="5" t="inlineStr">
        <is>
          <t>PX_ASK</t>
        </is>
      </c>
      <c r="FU3" s="5" t="inlineStr">
        <is>
          <t>PX_MID</t>
        </is>
      </c>
      <c r="FV3" s="5" t="inlineStr">
        <is>
          <t>PX_LAST</t>
        </is>
      </c>
      <c r="FW3" s="5" t="inlineStr">
        <is>
          <t>PX_SETTLE</t>
        </is>
      </c>
      <c r="FX3" s="5" t="inlineStr">
        <is>
          <t>PX_VOLUME</t>
        </is>
      </c>
      <c r="FY3" s="5" t="inlineStr">
        <is>
          <t>OPEN_INT</t>
        </is>
      </c>
      <c r="FZ3" s="5" t="inlineStr">
        <is>
          <t>IVOL_MID</t>
        </is>
      </c>
      <c r="GA3" s="5" t="inlineStr">
        <is>
          <t>IVOL_BID</t>
        </is>
      </c>
      <c r="GB3" s="5" t="inlineStr">
        <is>
          <t>IVOL_ASK</t>
        </is>
      </c>
      <c r="GC3" s="5" t="inlineStr">
        <is>
          <t>DELTA_MID</t>
        </is>
      </c>
      <c r="GD3" s="5" t="inlineStr">
        <is>
          <t>GAMMA_MID</t>
        </is>
      </c>
      <c r="GE3" s="5" t="inlineStr">
        <is>
          <t>VEGA_MID</t>
        </is>
      </c>
      <c r="GF3" s="5" t="inlineStr">
        <is>
          <t>THETA_MID</t>
        </is>
      </c>
      <c r="GG3" s="5" t="inlineStr">
        <is>
          <t>OPT_UNDL_PX</t>
        </is>
      </c>
      <c r="GI3" s="5" t="inlineStr">
        <is>
          <t>Date</t>
        </is>
      </c>
      <c r="GJ3" s="5" t="inlineStr">
        <is>
          <t>PX_BID</t>
        </is>
      </c>
      <c r="GK3" s="5" t="inlineStr">
        <is>
          <t>PX_ASK</t>
        </is>
      </c>
      <c r="GL3" s="5" t="inlineStr">
        <is>
          <t>PX_MID</t>
        </is>
      </c>
      <c r="GM3" s="5" t="inlineStr">
        <is>
          <t>PX_LAST</t>
        </is>
      </c>
      <c r="GN3" s="5" t="inlineStr">
        <is>
          <t>PX_SETTLE</t>
        </is>
      </c>
      <c r="GO3" s="5" t="inlineStr">
        <is>
          <t>PX_VOLUME</t>
        </is>
      </c>
      <c r="GP3" s="5" t="inlineStr">
        <is>
          <t>OPEN_INT</t>
        </is>
      </c>
      <c r="GQ3" s="5" t="inlineStr">
        <is>
          <t>IVOL_MID</t>
        </is>
      </c>
      <c r="GR3" s="5" t="inlineStr">
        <is>
          <t>IVOL_BID</t>
        </is>
      </c>
      <c r="GS3" s="5" t="inlineStr">
        <is>
          <t>IVOL_ASK</t>
        </is>
      </c>
      <c r="GT3" s="5" t="inlineStr">
        <is>
          <t>DELTA_MID</t>
        </is>
      </c>
      <c r="GU3" s="5" t="inlineStr">
        <is>
          <t>GAMMA_MID</t>
        </is>
      </c>
      <c r="GV3" s="5" t="inlineStr">
        <is>
          <t>VEGA_MID</t>
        </is>
      </c>
      <c r="GW3" s="5" t="inlineStr">
        <is>
          <t>THETA_MID</t>
        </is>
      </c>
      <c r="GX3" s="5" t="inlineStr">
        <is>
          <t>OPT_UNDL_PX</t>
        </is>
      </c>
      <c r="GZ3" s="5" t="inlineStr">
        <is>
          <t>Date</t>
        </is>
      </c>
      <c r="HA3" s="5" t="inlineStr">
        <is>
          <t>PX_BID</t>
        </is>
      </c>
      <c r="HB3" s="5" t="inlineStr">
        <is>
          <t>PX_ASK</t>
        </is>
      </c>
      <c r="HC3" s="5" t="inlineStr">
        <is>
          <t>PX_MID</t>
        </is>
      </c>
      <c r="HD3" s="5" t="inlineStr">
        <is>
          <t>PX_LAST</t>
        </is>
      </c>
      <c r="HE3" s="5" t="inlineStr">
        <is>
          <t>PX_SETTLE</t>
        </is>
      </c>
      <c r="HF3" s="5" t="inlineStr">
        <is>
          <t>PX_VOLUME</t>
        </is>
      </c>
      <c r="HG3" s="5" t="inlineStr">
        <is>
          <t>OPEN_INT</t>
        </is>
      </c>
      <c r="HH3" s="5" t="inlineStr">
        <is>
          <t>IVOL_MID</t>
        </is>
      </c>
      <c r="HI3" s="5" t="inlineStr">
        <is>
          <t>IVOL_BID</t>
        </is>
      </c>
      <c r="HJ3" s="5" t="inlineStr">
        <is>
          <t>IVOL_ASK</t>
        </is>
      </c>
      <c r="HK3" s="5" t="inlineStr">
        <is>
          <t>DELTA_MID</t>
        </is>
      </c>
      <c r="HL3" s="5" t="inlineStr">
        <is>
          <t>GAMMA_MID</t>
        </is>
      </c>
      <c r="HM3" s="5" t="inlineStr">
        <is>
          <t>VEGA_MID</t>
        </is>
      </c>
      <c r="HN3" s="5" t="inlineStr">
        <is>
          <t>THETA_MID</t>
        </is>
      </c>
      <c r="HO3" s="5" t="inlineStr">
        <is>
          <t>OPT_UNDL_PX</t>
        </is>
      </c>
      <c r="HQ3" s="5" t="inlineStr">
        <is>
          <t>Date</t>
        </is>
      </c>
      <c r="HR3" s="5" t="inlineStr">
        <is>
          <t>PX_BID</t>
        </is>
      </c>
      <c r="HS3" s="5" t="inlineStr">
        <is>
          <t>PX_ASK</t>
        </is>
      </c>
      <c r="HT3" s="5" t="inlineStr">
        <is>
          <t>PX_MID</t>
        </is>
      </c>
      <c r="HU3" s="5" t="inlineStr">
        <is>
          <t>PX_LAST</t>
        </is>
      </c>
      <c r="HV3" s="5" t="inlineStr">
        <is>
          <t>PX_SETTLE</t>
        </is>
      </c>
      <c r="HW3" s="5" t="inlineStr">
        <is>
          <t>PX_VOLUME</t>
        </is>
      </c>
      <c r="HX3" s="5" t="inlineStr">
        <is>
          <t>OPEN_INT</t>
        </is>
      </c>
      <c r="HY3" s="5" t="inlineStr">
        <is>
          <t>IVOL_MID</t>
        </is>
      </c>
      <c r="HZ3" s="5" t="inlineStr">
        <is>
          <t>IVOL_BID</t>
        </is>
      </c>
      <c r="IA3" s="5" t="inlineStr">
        <is>
          <t>IVOL_ASK</t>
        </is>
      </c>
      <c r="IB3" s="5" t="inlineStr">
        <is>
          <t>DELTA_MID</t>
        </is>
      </c>
      <c r="IC3" s="5" t="inlineStr">
        <is>
          <t>GAMMA_MID</t>
        </is>
      </c>
      <c r="ID3" s="5" t="inlineStr">
        <is>
          <t>VEGA_MID</t>
        </is>
      </c>
      <c r="IE3" s="5" t="inlineStr">
        <is>
          <t>THETA_MID</t>
        </is>
      </c>
      <c r="IF3" s="5" t="inlineStr">
        <is>
          <t>OPT_UNDL_PX</t>
        </is>
      </c>
      <c r="IH3" s="5" t="inlineStr">
        <is>
          <t>Date</t>
        </is>
      </c>
      <c r="II3" s="5" t="inlineStr">
        <is>
          <t>PX_BID</t>
        </is>
      </c>
      <c r="IJ3" s="5" t="inlineStr">
        <is>
          <t>PX_ASK</t>
        </is>
      </c>
      <c r="IK3" s="5" t="inlineStr">
        <is>
          <t>PX_MID</t>
        </is>
      </c>
      <c r="IL3" s="5" t="inlineStr">
        <is>
          <t>PX_LAST</t>
        </is>
      </c>
      <c r="IM3" s="5" t="inlineStr">
        <is>
          <t>PX_SETTLE</t>
        </is>
      </c>
      <c r="IN3" s="5" t="inlineStr">
        <is>
          <t>PX_VOLUME</t>
        </is>
      </c>
      <c r="IO3" s="5" t="inlineStr">
        <is>
          <t>OPEN_INT</t>
        </is>
      </c>
      <c r="IP3" s="5" t="inlineStr">
        <is>
          <t>IVOL_MID</t>
        </is>
      </c>
      <c r="IQ3" s="5" t="inlineStr">
        <is>
          <t>IVOL_BID</t>
        </is>
      </c>
      <c r="IR3" s="5" t="inlineStr">
        <is>
          <t>IVOL_ASK</t>
        </is>
      </c>
      <c r="IS3" s="5" t="inlineStr">
        <is>
          <t>DELTA_MID</t>
        </is>
      </c>
      <c r="IT3" s="5" t="inlineStr">
        <is>
          <t>GAMMA_MID</t>
        </is>
      </c>
      <c r="IU3" s="5" t="inlineStr">
        <is>
          <t>VEGA_MID</t>
        </is>
      </c>
      <c r="IV3" s="5" t="inlineStr">
        <is>
          <t>THETA_MID</t>
        </is>
      </c>
      <c r="IW3" s="5" t="inlineStr">
        <is>
          <t>OPT_UNDL_PX</t>
        </is>
      </c>
      <c r="IY3" s="5" t="inlineStr">
        <is>
          <t>Date</t>
        </is>
      </c>
      <c r="IZ3" s="5" t="inlineStr">
        <is>
          <t>PX_BID</t>
        </is>
      </c>
      <c r="JA3" s="5" t="inlineStr">
        <is>
          <t>PX_ASK</t>
        </is>
      </c>
      <c r="JB3" s="5" t="inlineStr">
        <is>
          <t>PX_MID</t>
        </is>
      </c>
      <c r="JC3" s="5" t="inlineStr">
        <is>
          <t>PX_LAST</t>
        </is>
      </c>
      <c r="JD3" s="5" t="inlineStr">
        <is>
          <t>PX_SETTLE</t>
        </is>
      </c>
      <c r="JE3" s="5" t="inlineStr">
        <is>
          <t>PX_VOLUME</t>
        </is>
      </c>
      <c r="JF3" s="5" t="inlineStr">
        <is>
          <t>OPEN_INT</t>
        </is>
      </c>
      <c r="JG3" s="5" t="inlineStr">
        <is>
          <t>IVOL_MID</t>
        </is>
      </c>
      <c r="JH3" s="5" t="inlineStr">
        <is>
          <t>IVOL_BID</t>
        </is>
      </c>
      <c r="JI3" s="5" t="inlineStr">
        <is>
          <t>IVOL_ASK</t>
        </is>
      </c>
      <c r="JJ3" s="5" t="inlineStr">
        <is>
          <t>DELTA_MID</t>
        </is>
      </c>
      <c r="JK3" s="5" t="inlineStr">
        <is>
          <t>GAMMA_MID</t>
        </is>
      </c>
      <c r="JL3" s="5" t="inlineStr">
        <is>
          <t>VEGA_MID</t>
        </is>
      </c>
      <c r="JM3" s="5" t="inlineStr">
        <is>
          <t>THETA_MID</t>
        </is>
      </c>
      <c r="JN3" s="5" t="inlineStr">
        <is>
          <t>OPT_UNDL_PX</t>
        </is>
      </c>
      <c r="JP3" s="5" t="inlineStr">
        <is>
          <t>Date</t>
        </is>
      </c>
      <c r="JQ3" s="5" t="inlineStr">
        <is>
          <t>PX_BID</t>
        </is>
      </c>
      <c r="JR3" s="5" t="inlineStr">
        <is>
          <t>PX_ASK</t>
        </is>
      </c>
      <c r="JS3" s="5" t="inlineStr">
        <is>
          <t>PX_MID</t>
        </is>
      </c>
      <c r="JT3" s="5" t="inlineStr">
        <is>
          <t>PX_LAST</t>
        </is>
      </c>
      <c r="JU3" s="5" t="inlineStr">
        <is>
          <t>PX_SETTLE</t>
        </is>
      </c>
      <c r="JV3" s="5" t="inlineStr">
        <is>
          <t>PX_VOLUME</t>
        </is>
      </c>
      <c r="JW3" s="5" t="inlineStr">
        <is>
          <t>OPEN_INT</t>
        </is>
      </c>
      <c r="JX3" s="5" t="inlineStr">
        <is>
          <t>IVOL_MID</t>
        </is>
      </c>
      <c r="JY3" s="5" t="inlineStr">
        <is>
          <t>IVOL_BID</t>
        </is>
      </c>
      <c r="JZ3" s="5" t="inlineStr">
        <is>
          <t>IVOL_ASK</t>
        </is>
      </c>
      <c r="KA3" s="5" t="inlineStr">
        <is>
          <t>DELTA_MID</t>
        </is>
      </c>
      <c r="KB3" s="5" t="inlineStr">
        <is>
          <t>GAMMA_MID</t>
        </is>
      </c>
      <c r="KC3" s="5" t="inlineStr">
        <is>
          <t>VEGA_MID</t>
        </is>
      </c>
      <c r="KD3" s="5" t="inlineStr">
        <is>
          <t>THETA_MID</t>
        </is>
      </c>
      <c r="KE3" s="5" t="inlineStr">
        <is>
          <t>OPT_UNDL_PX</t>
        </is>
      </c>
      <c r="KG3" s="5" t="inlineStr">
        <is>
          <t>Date</t>
        </is>
      </c>
      <c r="KH3" s="5" t="inlineStr">
        <is>
          <t>PX_BID</t>
        </is>
      </c>
      <c r="KI3" s="5" t="inlineStr">
        <is>
          <t>PX_ASK</t>
        </is>
      </c>
      <c r="KJ3" s="5" t="inlineStr">
        <is>
          <t>PX_MID</t>
        </is>
      </c>
      <c r="KK3" s="5" t="inlineStr">
        <is>
          <t>PX_LAST</t>
        </is>
      </c>
      <c r="KL3" s="5" t="inlineStr">
        <is>
          <t>PX_SETTLE</t>
        </is>
      </c>
      <c r="KM3" s="5" t="inlineStr">
        <is>
          <t>PX_VOLUME</t>
        </is>
      </c>
      <c r="KN3" s="5" t="inlineStr">
        <is>
          <t>OPEN_INT</t>
        </is>
      </c>
      <c r="KO3" s="5" t="inlineStr">
        <is>
          <t>IVOL_MID</t>
        </is>
      </c>
      <c r="KP3" s="5" t="inlineStr">
        <is>
          <t>IVOL_BID</t>
        </is>
      </c>
      <c r="KQ3" s="5" t="inlineStr">
        <is>
          <t>IVOL_ASK</t>
        </is>
      </c>
      <c r="KR3" s="5" t="inlineStr">
        <is>
          <t>DELTA_MID</t>
        </is>
      </c>
      <c r="KS3" s="5" t="inlineStr">
        <is>
          <t>GAMMA_MID</t>
        </is>
      </c>
      <c r="KT3" s="5" t="inlineStr">
        <is>
          <t>VEGA_MID</t>
        </is>
      </c>
      <c r="KU3" s="5" t="inlineStr">
        <is>
          <t>THETA_MID</t>
        </is>
      </c>
      <c r="KV3" s="5" t="inlineStr">
        <is>
          <t>OPT_UNDL_PX</t>
        </is>
      </c>
      <c r="KX3" s="5" t="inlineStr">
        <is>
          <t>Date</t>
        </is>
      </c>
      <c r="KY3" s="5" t="inlineStr">
        <is>
          <t>PX_BID</t>
        </is>
      </c>
      <c r="KZ3" s="5" t="inlineStr">
        <is>
          <t>PX_ASK</t>
        </is>
      </c>
      <c r="LA3" s="5" t="inlineStr">
        <is>
          <t>PX_MID</t>
        </is>
      </c>
      <c r="LB3" s="5" t="inlineStr">
        <is>
          <t>PX_LAST</t>
        </is>
      </c>
      <c r="LC3" s="5" t="inlineStr">
        <is>
          <t>PX_SETTLE</t>
        </is>
      </c>
      <c r="LD3" s="5" t="inlineStr">
        <is>
          <t>PX_VOLUME</t>
        </is>
      </c>
      <c r="LE3" s="5" t="inlineStr">
        <is>
          <t>OPEN_INT</t>
        </is>
      </c>
      <c r="LF3" s="5" t="inlineStr">
        <is>
          <t>IVOL_MID</t>
        </is>
      </c>
      <c r="LG3" s="5" t="inlineStr">
        <is>
          <t>IVOL_BID</t>
        </is>
      </c>
      <c r="LH3" s="5" t="inlineStr">
        <is>
          <t>IVOL_ASK</t>
        </is>
      </c>
      <c r="LI3" s="5" t="inlineStr">
        <is>
          <t>DELTA_MID</t>
        </is>
      </c>
      <c r="LJ3" s="5" t="inlineStr">
        <is>
          <t>GAMMA_MID</t>
        </is>
      </c>
      <c r="LK3" s="5" t="inlineStr">
        <is>
          <t>VEGA_MID</t>
        </is>
      </c>
      <c r="LL3" s="5" t="inlineStr">
        <is>
          <t>THETA_MID</t>
        </is>
      </c>
      <c r="LM3" s="5" t="inlineStr">
        <is>
          <t>OPT_UNDL_PX</t>
        </is>
      </c>
      <c r="LO3" s="5" t="inlineStr">
        <is>
          <t>Date</t>
        </is>
      </c>
      <c r="LP3" s="5" t="inlineStr">
        <is>
          <t>PX_BID</t>
        </is>
      </c>
      <c r="LQ3" s="5" t="inlineStr">
        <is>
          <t>PX_ASK</t>
        </is>
      </c>
      <c r="LR3" s="5" t="inlineStr">
        <is>
          <t>PX_MID</t>
        </is>
      </c>
      <c r="LS3" s="5" t="inlineStr">
        <is>
          <t>PX_LAST</t>
        </is>
      </c>
      <c r="LT3" s="5" t="inlineStr">
        <is>
          <t>PX_SETTLE</t>
        </is>
      </c>
      <c r="LU3" s="5" t="inlineStr">
        <is>
          <t>PX_VOLUME</t>
        </is>
      </c>
      <c r="LV3" s="5" t="inlineStr">
        <is>
          <t>OPEN_INT</t>
        </is>
      </c>
      <c r="LW3" s="5" t="inlineStr">
        <is>
          <t>IVOL_MID</t>
        </is>
      </c>
      <c r="LX3" s="5" t="inlineStr">
        <is>
          <t>IVOL_BID</t>
        </is>
      </c>
      <c r="LY3" s="5" t="inlineStr">
        <is>
          <t>IVOL_ASK</t>
        </is>
      </c>
      <c r="LZ3" s="5" t="inlineStr">
        <is>
          <t>DELTA_MID</t>
        </is>
      </c>
      <c r="MA3" s="5" t="inlineStr">
        <is>
          <t>GAMMA_MID</t>
        </is>
      </c>
      <c r="MB3" s="5" t="inlineStr">
        <is>
          <t>VEGA_MID</t>
        </is>
      </c>
      <c r="MC3" s="5" t="inlineStr">
        <is>
          <t>THETA_MID</t>
        </is>
      </c>
      <c r="MD3" s="5" t="inlineStr">
        <is>
          <t>OPT_UNDL_PX</t>
        </is>
      </c>
      <c r="MF3" s="5" t="inlineStr">
        <is>
          <t>Date</t>
        </is>
      </c>
      <c r="MG3" s="5" t="inlineStr">
        <is>
          <t>PX_BID</t>
        </is>
      </c>
      <c r="MH3" s="5" t="inlineStr">
        <is>
          <t>PX_ASK</t>
        </is>
      </c>
      <c r="MI3" s="5" t="inlineStr">
        <is>
          <t>PX_MID</t>
        </is>
      </c>
      <c r="MJ3" s="5" t="inlineStr">
        <is>
          <t>PX_LAST</t>
        </is>
      </c>
      <c r="MK3" s="5" t="inlineStr">
        <is>
          <t>PX_SETTLE</t>
        </is>
      </c>
      <c r="ML3" s="5" t="inlineStr">
        <is>
          <t>PX_VOLUME</t>
        </is>
      </c>
      <c r="MM3" s="5" t="inlineStr">
        <is>
          <t>OPEN_INT</t>
        </is>
      </c>
      <c r="MN3" s="5" t="inlineStr">
        <is>
          <t>IVOL_MID</t>
        </is>
      </c>
      <c r="MO3" s="5" t="inlineStr">
        <is>
          <t>IVOL_BID</t>
        </is>
      </c>
      <c r="MP3" s="5" t="inlineStr">
        <is>
          <t>IVOL_ASK</t>
        </is>
      </c>
      <c r="MQ3" s="5" t="inlineStr">
        <is>
          <t>DELTA_MID</t>
        </is>
      </c>
      <c r="MR3" s="5" t="inlineStr">
        <is>
          <t>GAMMA_MID</t>
        </is>
      </c>
      <c r="MS3" s="5" t="inlineStr">
        <is>
          <t>VEGA_MID</t>
        </is>
      </c>
      <c r="MT3" s="5" t="inlineStr">
        <is>
          <t>THETA_MID</t>
        </is>
      </c>
      <c r="MU3" s="5" t="inlineStr">
        <is>
          <t>OPT_UNDL_PX</t>
        </is>
      </c>
      <c r="MW3" s="5" t="inlineStr">
        <is>
          <t>Date</t>
        </is>
      </c>
      <c r="MX3" s="5" t="inlineStr">
        <is>
          <t>PX_BID</t>
        </is>
      </c>
      <c r="MY3" s="5" t="inlineStr">
        <is>
          <t>PX_ASK</t>
        </is>
      </c>
      <c r="MZ3" s="5" t="inlineStr">
        <is>
          <t>PX_MID</t>
        </is>
      </c>
      <c r="NA3" s="5" t="inlineStr">
        <is>
          <t>PX_LAST</t>
        </is>
      </c>
      <c r="NB3" s="5" t="inlineStr">
        <is>
          <t>PX_SETTLE</t>
        </is>
      </c>
      <c r="NC3" s="5" t="inlineStr">
        <is>
          <t>PX_VOLUME</t>
        </is>
      </c>
      <c r="ND3" s="5" t="inlineStr">
        <is>
          <t>OPEN_INT</t>
        </is>
      </c>
      <c r="NE3" s="5" t="inlineStr">
        <is>
          <t>IVOL_MID</t>
        </is>
      </c>
      <c r="NF3" s="5" t="inlineStr">
        <is>
          <t>IVOL_BID</t>
        </is>
      </c>
      <c r="NG3" s="5" t="inlineStr">
        <is>
          <t>IVOL_ASK</t>
        </is>
      </c>
      <c r="NH3" s="5" t="inlineStr">
        <is>
          <t>DELTA_MID</t>
        </is>
      </c>
      <c r="NI3" s="5" t="inlineStr">
        <is>
          <t>GAMMA_MID</t>
        </is>
      </c>
      <c r="NJ3" s="5" t="inlineStr">
        <is>
          <t>VEGA_MID</t>
        </is>
      </c>
      <c r="NK3" s="5" t="inlineStr">
        <is>
          <t>THETA_MID</t>
        </is>
      </c>
      <c r="NL3" s="5" t="inlineStr">
        <is>
          <t>OPT_UNDL_PX</t>
        </is>
      </c>
      <c r="NN3" s="5" t="inlineStr">
        <is>
          <t>Date</t>
        </is>
      </c>
      <c r="NO3" s="5" t="inlineStr">
        <is>
          <t>PX_BID</t>
        </is>
      </c>
      <c r="NP3" s="5" t="inlineStr">
        <is>
          <t>PX_ASK</t>
        </is>
      </c>
      <c r="NQ3" s="5" t="inlineStr">
        <is>
          <t>PX_MID</t>
        </is>
      </c>
      <c r="NR3" s="5" t="inlineStr">
        <is>
          <t>PX_LAST</t>
        </is>
      </c>
      <c r="NS3" s="5" t="inlineStr">
        <is>
          <t>PX_SETTLE</t>
        </is>
      </c>
      <c r="NT3" s="5" t="inlineStr">
        <is>
          <t>PX_VOLUME</t>
        </is>
      </c>
      <c r="NU3" s="5" t="inlineStr">
        <is>
          <t>OPEN_INT</t>
        </is>
      </c>
      <c r="NV3" s="5" t="inlineStr">
        <is>
          <t>IVOL_MID</t>
        </is>
      </c>
      <c r="NW3" s="5" t="inlineStr">
        <is>
          <t>IVOL_BID</t>
        </is>
      </c>
      <c r="NX3" s="5" t="inlineStr">
        <is>
          <t>IVOL_ASK</t>
        </is>
      </c>
      <c r="NY3" s="5" t="inlineStr">
        <is>
          <t>DELTA_MID</t>
        </is>
      </c>
      <c r="NZ3" s="5" t="inlineStr">
        <is>
          <t>GAMMA_MID</t>
        </is>
      </c>
      <c r="OA3" s="5" t="inlineStr">
        <is>
          <t>VEGA_MID</t>
        </is>
      </c>
      <c r="OB3" s="5" t="inlineStr">
        <is>
          <t>THETA_MID</t>
        </is>
      </c>
      <c r="OC3" s="5" t="inlineStr">
        <is>
          <t>OPT_UNDL_PX</t>
        </is>
      </c>
      <c r="OE3" s="5" t="inlineStr">
        <is>
          <t>Date</t>
        </is>
      </c>
      <c r="OF3" s="5" t="inlineStr">
        <is>
          <t>PX_BID</t>
        </is>
      </c>
      <c r="OG3" s="5" t="inlineStr">
        <is>
          <t>PX_ASK</t>
        </is>
      </c>
      <c r="OH3" s="5" t="inlineStr">
        <is>
          <t>PX_MID</t>
        </is>
      </c>
      <c r="OI3" s="5" t="inlineStr">
        <is>
          <t>PX_LAST</t>
        </is>
      </c>
      <c r="OJ3" s="5" t="inlineStr">
        <is>
          <t>PX_SETTLE</t>
        </is>
      </c>
      <c r="OK3" s="5" t="inlineStr">
        <is>
          <t>PX_VOLUME</t>
        </is>
      </c>
      <c r="OL3" s="5" t="inlineStr">
        <is>
          <t>OPEN_INT</t>
        </is>
      </c>
      <c r="OM3" s="5" t="inlineStr">
        <is>
          <t>IVOL_MID</t>
        </is>
      </c>
      <c r="ON3" s="5" t="inlineStr">
        <is>
          <t>IVOL_BID</t>
        </is>
      </c>
      <c r="OO3" s="5" t="inlineStr">
        <is>
          <t>IVOL_ASK</t>
        </is>
      </c>
      <c r="OP3" s="5" t="inlineStr">
        <is>
          <t>DELTA_MID</t>
        </is>
      </c>
      <c r="OQ3" s="5" t="inlineStr">
        <is>
          <t>GAMMA_MID</t>
        </is>
      </c>
      <c r="OR3" s="5" t="inlineStr">
        <is>
          <t>VEGA_MID</t>
        </is>
      </c>
      <c r="OS3" s="5" t="inlineStr">
        <is>
          <t>THETA_MID</t>
        </is>
      </c>
      <c r="OT3" s="5" t="inlineStr">
        <is>
          <t>OPT_UNDL_PX</t>
        </is>
      </c>
      <c r="OV3" s="5" t="inlineStr">
        <is>
          <t>Date</t>
        </is>
      </c>
      <c r="OW3" s="5" t="inlineStr">
        <is>
          <t>PX_BID</t>
        </is>
      </c>
      <c r="OX3" s="5" t="inlineStr">
        <is>
          <t>PX_ASK</t>
        </is>
      </c>
      <c r="OY3" s="5" t="inlineStr">
        <is>
          <t>PX_MID</t>
        </is>
      </c>
      <c r="OZ3" s="5" t="inlineStr">
        <is>
          <t>PX_LAST</t>
        </is>
      </c>
      <c r="PA3" s="5" t="inlineStr">
        <is>
          <t>PX_SETTLE</t>
        </is>
      </c>
      <c r="PB3" s="5" t="inlineStr">
        <is>
          <t>PX_VOLUME</t>
        </is>
      </c>
      <c r="PC3" s="5" t="inlineStr">
        <is>
          <t>OPEN_INT</t>
        </is>
      </c>
      <c r="PD3" s="5" t="inlineStr">
        <is>
          <t>IVOL_MID</t>
        </is>
      </c>
      <c r="PE3" s="5" t="inlineStr">
        <is>
          <t>IVOL_BID</t>
        </is>
      </c>
      <c r="PF3" s="5" t="inlineStr">
        <is>
          <t>IVOL_ASK</t>
        </is>
      </c>
      <c r="PG3" s="5" t="inlineStr">
        <is>
          <t>DELTA_MID</t>
        </is>
      </c>
      <c r="PH3" s="5" t="inlineStr">
        <is>
          <t>GAMMA_MID</t>
        </is>
      </c>
      <c r="PI3" s="5" t="inlineStr">
        <is>
          <t>VEGA_MID</t>
        </is>
      </c>
      <c r="PJ3" s="5" t="inlineStr">
        <is>
          <t>THETA_MID</t>
        </is>
      </c>
      <c r="PK3" s="5" t="inlineStr">
        <is>
          <t>OPT_UNDL_PX</t>
        </is>
      </c>
      <c r="PM3" s="5" t="inlineStr">
        <is>
          <t>Date</t>
        </is>
      </c>
      <c r="PN3" s="5" t="inlineStr">
        <is>
          <t>PX_BID</t>
        </is>
      </c>
      <c r="PO3" s="5" t="inlineStr">
        <is>
          <t>PX_ASK</t>
        </is>
      </c>
      <c r="PP3" s="5" t="inlineStr">
        <is>
          <t>PX_MID</t>
        </is>
      </c>
      <c r="PQ3" s="5" t="inlineStr">
        <is>
          <t>PX_LAST</t>
        </is>
      </c>
      <c r="PR3" s="5" t="inlineStr">
        <is>
          <t>PX_SETTLE</t>
        </is>
      </c>
      <c r="PS3" s="5" t="inlineStr">
        <is>
          <t>PX_VOLUME</t>
        </is>
      </c>
      <c r="PT3" s="5" t="inlineStr">
        <is>
          <t>OPEN_INT</t>
        </is>
      </c>
      <c r="PU3" s="5" t="inlineStr">
        <is>
          <t>IVOL_MID</t>
        </is>
      </c>
      <c r="PV3" s="5" t="inlineStr">
        <is>
          <t>IVOL_BID</t>
        </is>
      </c>
      <c r="PW3" s="5" t="inlineStr">
        <is>
          <t>IVOL_ASK</t>
        </is>
      </c>
      <c r="PX3" s="5" t="inlineStr">
        <is>
          <t>DELTA_MID</t>
        </is>
      </c>
      <c r="PY3" s="5" t="inlineStr">
        <is>
          <t>GAMMA_MID</t>
        </is>
      </c>
      <c r="PZ3" s="5" t="inlineStr">
        <is>
          <t>VEGA_MID</t>
        </is>
      </c>
      <c r="QA3" s="5" t="inlineStr">
        <is>
          <t>THETA_MID</t>
        </is>
      </c>
      <c r="QB3" s="5" t="inlineStr">
        <is>
          <t>OPT_UNDL_PX</t>
        </is>
      </c>
      <c r="QD3" s="5" t="inlineStr">
        <is>
          <t>Date</t>
        </is>
      </c>
      <c r="QE3" s="5" t="inlineStr">
        <is>
          <t>PX_BID</t>
        </is>
      </c>
      <c r="QF3" s="5" t="inlineStr">
        <is>
          <t>PX_ASK</t>
        </is>
      </c>
      <c r="QG3" s="5" t="inlineStr">
        <is>
          <t>PX_MID</t>
        </is>
      </c>
      <c r="QH3" s="5" t="inlineStr">
        <is>
          <t>PX_LAST</t>
        </is>
      </c>
      <c r="QI3" s="5" t="inlineStr">
        <is>
          <t>PX_SETTLE</t>
        </is>
      </c>
      <c r="QJ3" s="5" t="inlineStr">
        <is>
          <t>PX_VOLUME</t>
        </is>
      </c>
      <c r="QK3" s="5" t="inlineStr">
        <is>
          <t>OPEN_INT</t>
        </is>
      </c>
      <c r="QL3" s="5" t="inlineStr">
        <is>
          <t>IVOL_MID</t>
        </is>
      </c>
      <c r="QM3" s="5" t="inlineStr">
        <is>
          <t>IVOL_BID</t>
        </is>
      </c>
      <c r="QN3" s="5" t="inlineStr">
        <is>
          <t>IVOL_ASK</t>
        </is>
      </c>
      <c r="QO3" s="5" t="inlineStr">
        <is>
          <t>DELTA_MID</t>
        </is>
      </c>
      <c r="QP3" s="5" t="inlineStr">
        <is>
          <t>GAMMA_MID</t>
        </is>
      </c>
      <c r="QQ3" s="5" t="inlineStr">
        <is>
          <t>VEGA_MID</t>
        </is>
      </c>
      <c r="QR3" s="5" t="inlineStr">
        <is>
          <t>THETA_MID</t>
        </is>
      </c>
      <c r="QS3" s="5" t="inlineStr">
        <is>
          <t>OPT_UNDL_PX</t>
        </is>
      </c>
      <c r="QU3" s="5" t="inlineStr">
        <is>
          <t>Date</t>
        </is>
      </c>
      <c r="QV3" s="5" t="inlineStr">
        <is>
          <t>PX_BID</t>
        </is>
      </c>
      <c r="QW3" s="5" t="inlineStr">
        <is>
          <t>PX_ASK</t>
        </is>
      </c>
      <c r="QX3" s="5" t="inlineStr">
        <is>
          <t>PX_MID</t>
        </is>
      </c>
      <c r="QY3" s="5" t="inlineStr">
        <is>
          <t>PX_LAST</t>
        </is>
      </c>
      <c r="QZ3" s="5" t="inlineStr">
        <is>
          <t>PX_SETTLE</t>
        </is>
      </c>
      <c r="RA3" s="5" t="inlineStr">
        <is>
          <t>PX_VOLUME</t>
        </is>
      </c>
      <c r="RB3" s="5" t="inlineStr">
        <is>
          <t>OPEN_INT</t>
        </is>
      </c>
      <c r="RC3" s="5" t="inlineStr">
        <is>
          <t>IVOL_MID</t>
        </is>
      </c>
      <c r="RD3" s="5" t="inlineStr">
        <is>
          <t>IVOL_BID</t>
        </is>
      </c>
      <c r="RE3" s="5" t="inlineStr">
        <is>
          <t>IVOL_ASK</t>
        </is>
      </c>
      <c r="RF3" s="5" t="inlineStr">
        <is>
          <t>DELTA_MID</t>
        </is>
      </c>
      <c r="RG3" s="5" t="inlineStr">
        <is>
          <t>GAMMA_MID</t>
        </is>
      </c>
      <c r="RH3" s="5" t="inlineStr">
        <is>
          <t>VEGA_MID</t>
        </is>
      </c>
      <c r="RI3" s="5" t="inlineStr">
        <is>
          <t>THETA_MID</t>
        </is>
      </c>
      <c r="RJ3" s="5" t="inlineStr">
        <is>
          <t>OPT_UNDL_PX</t>
        </is>
      </c>
      <c r="RL3" s="5" t="inlineStr">
        <is>
          <t>Date</t>
        </is>
      </c>
      <c r="RM3" s="5" t="inlineStr">
        <is>
          <t>PX_BID</t>
        </is>
      </c>
      <c r="RN3" s="5" t="inlineStr">
        <is>
          <t>PX_ASK</t>
        </is>
      </c>
      <c r="RO3" s="5" t="inlineStr">
        <is>
          <t>PX_MID</t>
        </is>
      </c>
      <c r="RP3" s="5" t="inlineStr">
        <is>
          <t>PX_LAST</t>
        </is>
      </c>
      <c r="RQ3" s="5" t="inlineStr">
        <is>
          <t>PX_SETTLE</t>
        </is>
      </c>
      <c r="RR3" s="5" t="inlineStr">
        <is>
          <t>PX_VOLUME</t>
        </is>
      </c>
      <c r="RS3" s="5" t="inlineStr">
        <is>
          <t>OPEN_INT</t>
        </is>
      </c>
      <c r="RT3" s="5" t="inlineStr">
        <is>
          <t>IVOL_MID</t>
        </is>
      </c>
      <c r="RU3" s="5" t="inlineStr">
        <is>
          <t>IVOL_BID</t>
        </is>
      </c>
      <c r="RV3" s="5" t="inlineStr">
        <is>
          <t>IVOL_ASK</t>
        </is>
      </c>
      <c r="RW3" s="5" t="inlineStr">
        <is>
          <t>DELTA_MID</t>
        </is>
      </c>
      <c r="RX3" s="5" t="inlineStr">
        <is>
          <t>GAMMA_MID</t>
        </is>
      </c>
      <c r="RY3" s="5" t="inlineStr">
        <is>
          <t>VEGA_MID</t>
        </is>
      </c>
      <c r="RZ3" s="5" t="inlineStr">
        <is>
          <t>THETA_MID</t>
        </is>
      </c>
      <c r="SA3" s="5" t="inlineStr">
        <is>
          <t>OPT_UNDL_PX</t>
        </is>
      </c>
      <c r="SC3" s="5" t="inlineStr">
        <is>
          <t>Date</t>
        </is>
      </c>
      <c r="SD3" s="5" t="inlineStr">
        <is>
          <t>PX_BID</t>
        </is>
      </c>
      <c r="SE3" s="5" t="inlineStr">
        <is>
          <t>PX_ASK</t>
        </is>
      </c>
      <c r="SF3" s="5" t="inlineStr">
        <is>
          <t>PX_MID</t>
        </is>
      </c>
      <c r="SG3" s="5" t="inlineStr">
        <is>
          <t>PX_LAST</t>
        </is>
      </c>
      <c r="SH3" s="5" t="inlineStr">
        <is>
          <t>PX_SETTLE</t>
        </is>
      </c>
      <c r="SI3" s="5" t="inlineStr">
        <is>
          <t>PX_VOLUME</t>
        </is>
      </c>
      <c r="SJ3" s="5" t="inlineStr">
        <is>
          <t>OPEN_INT</t>
        </is>
      </c>
      <c r="SK3" s="5" t="inlineStr">
        <is>
          <t>IVOL_MID</t>
        </is>
      </c>
      <c r="SL3" s="5" t="inlineStr">
        <is>
          <t>IVOL_BID</t>
        </is>
      </c>
      <c r="SM3" s="5" t="inlineStr">
        <is>
          <t>IVOL_ASK</t>
        </is>
      </c>
      <c r="SN3" s="5" t="inlineStr">
        <is>
          <t>DELTA_MID</t>
        </is>
      </c>
      <c r="SO3" s="5" t="inlineStr">
        <is>
          <t>GAMMA_MID</t>
        </is>
      </c>
      <c r="SP3" s="5" t="inlineStr">
        <is>
          <t>VEGA_MID</t>
        </is>
      </c>
      <c r="SQ3" s="5" t="inlineStr">
        <is>
          <t>THETA_MID</t>
        </is>
      </c>
      <c r="SR3" s="5" t="inlineStr">
        <is>
          <t>OPT_UNDL_PX</t>
        </is>
      </c>
      <c r="ST3" s="5" t="inlineStr">
        <is>
          <t>Date</t>
        </is>
      </c>
      <c r="SU3" s="5" t="inlineStr">
        <is>
          <t>PX_BID</t>
        </is>
      </c>
      <c r="SV3" s="5" t="inlineStr">
        <is>
          <t>PX_ASK</t>
        </is>
      </c>
      <c r="SW3" s="5" t="inlineStr">
        <is>
          <t>PX_MID</t>
        </is>
      </c>
      <c r="SX3" s="5" t="inlineStr">
        <is>
          <t>PX_LAST</t>
        </is>
      </c>
      <c r="SY3" s="5" t="inlineStr">
        <is>
          <t>PX_SETTLE</t>
        </is>
      </c>
      <c r="SZ3" s="5" t="inlineStr">
        <is>
          <t>PX_VOLUME</t>
        </is>
      </c>
      <c r="TA3" s="5" t="inlineStr">
        <is>
          <t>OPEN_INT</t>
        </is>
      </c>
      <c r="TB3" s="5" t="inlineStr">
        <is>
          <t>IVOL_MID</t>
        </is>
      </c>
      <c r="TC3" s="5" t="inlineStr">
        <is>
          <t>IVOL_BID</t>
        </is>
      </c>
      <c r="TD3" s="5" t="inlineStr">
        <is>
          <t>IVOL_ASK</t>
        </is>
      </c>
      <c r="TE3" s="5" t="inlineStr">
        <is>
          <t>DELTA_MID</t>
        </is>
      </c>
      <c r="TF3" s="5" t="inlineStr">
        <is>
          <t>GAMMA_MID</t>
        </is>
      </c>
      <c r="TG3" s="5" t="inlineStr">
        <is>
          <t>VEGA_MID</t>
        </is>
      </c>
      <c r="TH3" s="5" t="inlineStr">
        <is>
          <t>THETA_MID</t>
        </is>
      </c>
      <c r="TI3" s="5" t="inlineStr">
        <is>
          <t>OPT_UNDL_PX</t>
        </is>
      </c>
      <c r="TK3" s="5" t="inlineStr">
        <is>
          <t>Date</t>
        </is>
      </c>
      <c r="TL3" s="5" t="inlineStr">
        <is>
          <t>PX_BID</t>
        </is>
      </c>
      <c r="TM3" s="5" t="inlineStr">
        <is>
          <t>PX_ASK</t>
        </is>
      </c>
      <c r="TN3" s="5" t="inlineStr">
        <is>
          <t>PX_MID</t>
        </is>
      </c>
      <c r="TO3" s="5" t="inlineStr">
        <is>
          <t>PX_LAST</t>
        </is>
      </c>
      <c r="TP3" s="5" t="inlineStr">
        <is>
          <t>PX_SETTLE</t>
        </is>
      </c>
      <c r="TQ3" s="5" t="inlineStr">
        <is>
          <t>PX_VOLUME</t>
        </is>
      </c>
      <c r="TR3" s="5" t="inlineStr">
        <is>
          <t>OPEN_INT</t>
        </is>
      </c>
      <c r="TS3" s="5" t="inlineStr">
        <is>
          <t>IVOL_MID</t>
        </is>
      </c>
      <c r="TT3" s="5" t="inlineStr">
        <is>
          <t>IVOL_BID</t>
        </is>
      </c>
      <c r="TU3" s="5" t="inlineStr">
        <is>
          <t>IVOL_ASK</t>
        </is>
      </c>
      <c r="TV3" s="5" t="inlineStr">
        <is>
          <t>DELTA_MID</t>
        </is>
      </c>
      <c r="TW3" s="5" t="inlineStr">
        <is>
          <t>GAMMA_MID</t>
        </is>
      </c>
      <c r="TX3" s="5" t="inlineStr">
        <is>
          <t>VEGA_MID</t>
        </is>
      </c>
      <c r="TY3" s="5" t="inlineStr">
        <is>
          <t>THETA_MID</t>
        </is>
      </c>
      <c r="TZ3" s="5" t="inlineStr">
        <is>
          <t>OPT_UNDL_PX</t>
        </is>
      </c>
      <c r="UB3" s="5" t="inlineStr">
        <is>
          <t>Date</t>
        </is>
      </c>
      <c r="UC3" s="5" t="inlineStr">
        <is>
          <t>PX_BID</t>
        </is>
      </c>
      <c r="UD3" s="5" t="inlineStr">
        <is>
          <t>PX_ASK</t>
        </is>
      </c>
      <c r="UE3" s="5" t="inlineStr">
        <is>
          <t>PX_MID</t>
        </is>
      </c>
      <c r="UF3" s="5" t="inlineStr">
        <is>
          <t>PX_LAST</t>
        </is>
      </c>
      <c r="UG3" s="5" t="inlineStr">
        <is>
          <t>PX_SETTLE</t>
        </is>
      </c>
      <c r="UH3" s="5" t="inlineStr">
        <is>
          <t>PX_VOLUME</t>
        </is>
      </c>
      <c r="UI3" s="5" t="inlineStr">
        <is>
          <t>OPEN_INT</t>
        </is>
      </c>
      <c r="UJ3" s="5" t="inlineStr">
        <is>
          <t>IVOL_MID</t>
        </is>
      </c>
      <c r="UK3" s="5" t="inlineStr">
        <is>
          <t>IVOL_BID</t>
        </is>
      </c>
      <c r="UL3" s="5" t="inlineStr">
        <is>
          <t>IVOL_ASK</t>
        </is>
      </c>
      <c r="UM3" s="5" t="inlineStr">
        <is>
          <t>DELTA_MID</t>
        </is>
      </c>
      <c r="UN3" s="5" t="inlineStr">
        <is>
          <t>GAMMA_MID</t>
        </is>
      </c>
      <c r="UO3" s="5" t="inlineStr">
        <is>
          <t>VEGA_MID</t>
        </is>
      </c>
      <c r="UP3" s="5" t="inlineStr">
        <is>
          <t>THETA_MID</t>
        </is>
      </c>
      <c r="UQ3" s="5" t="inlineStr">
        <is>
          <t>OPT_UNDL_PX</t>
        </is>
      </c>
      <c r="US3" s="5" t="inlineStr">
        <is>
          <t>Date</t>
        </is>
      </c>
      <c r="UT3" s="5" t="inlineStr">
        <is>
          <t>PX_BID</t>
        </is>
      </c>
      <c r="UU3" s="5" t="inlineStr">
        <is>
          <t>PX_ASK</t>
        </is>
      </c>
      <c r="UV3" s="5" t="inlineStr">
        <is>
          <t>PX_MID</t>
        </is>
      </c>
      <c r="UW3" s="5" t="inlineStr">
        <is>
          <t>PX_LAST</t>
        </is>
      </c>
      <c r="UX3" s="5" t="inlineStr">
        <is>
          <t>PX_SETTLE</t>
        </is>
      </c>
      <c r="UY3" s="5" t="inlineStr">
        <is>
          <t>PX_VOLUME</t>
        </is>
      </c>
      <c r="UZ3" s="5" t="inlineStr">
        <is>
          <t>OPEN_INT</t>
        </is>
      </c>
      <c r="VA3" s="5" t="inlineStr">
        <is>
          <t>IVOL_MID</t>
        </is>
      </c>
      <c r="VB3" s="5" t="inlineStr">
        <is>
          <t>IVOL_BID</t>
        </is>
      </c>
      <c r="VC3" s="5" t="inlineStr">
        <is>
          <t>IVOL_ASK</t>
        </is>
      </c>
      <c r="VD3" s="5" t="inlineStr">
        <is>
          <t>DELTA_MID</t>
        </is>
      </c>
      <c r="VE3" s="5" t="inlineStr">
        <is>
          <t>GAMMA_MID</t>
        </is>
      </c>
      <c r="VF3" s="5" t="inlineStr">
        <is>
          <t>VEGA_MID</t>
        </is>
      </c>
      <c r="VG3" s="5" t="inlineStr">
        <is>
          <t>THETA_MID</t>
        </is>
      </c>
      <c r="VH3" s="5" t="inlineStr">
        <is>
          <t>OPT_UNDL_PX</t>
        </is>
      </c>
    </row>
    <row r="4">
      <c r="A4" s="2" t="inlineStr">
        <is>
          <t>Year in ticker</t>
        </is>
      </c>
      <c r="B4" s="4">
        <f>IF(B2&lt;Settings!$B$3,TEXT(MOD(Settings!$E$14,100),"00"),TEXT(MOD(Settings!$E$14,10),"0"))</f>
        <v/>
      </c>
      <c r="D4" s="4">
        <f>BDH(D$1,E$3:S$3,$B$9,$B$10,"Dir=V","Dts=S","Sort=A","Days=T","Fill=B")</f>
        <v/>
      </c>
      <c r="U4" s="4">
        <f>BDH(U$1,V$3:AJ$3,$B$9,$B$10,"Dir=V","Dts=S","Sort=A","Days=T","Fill=B")</f>
        <v/>
      </c>
      <c r="AL4" s="4">
        <f>BDH(AL$1,AM$3:BA$3,$B$9,$B$10,"Dir=V","Dts=S","Sort=A","Days=T","Fill=B")</f>
        <v/>
      </c>
      <c r="BC4" s="4">
        <f>BDH(BC$1,BD$3:BR$3,$B$9,$B$10,"Dir=V","Dts=S","Sort=A","Days=T","Fill=B")</f>
        <v/>
      </c>
      <c r="BT4" s="4">
        <f>BDH(BT$1,BU$3:CI$3,$B$9,$B$10,"Dir=V","Dts=S","Sort=A","Days=T","Fill=B")</f>
        <v/>
      </c>
      <c r="CK4" s="4">
        <f>BDH(CK$1,CL$3:CZ$3,$B$9,$B$10,"Dir=V","Dts=S","Sort=A","Days=T","Fill=B")</f>
        <v/>
      </c>
      <c r="DB4" s="4">
        <f>BDH(DB$1,DC$3:DQ$3,$B$9,$B$10,"Dir=V","Dts=S","Sort=A","Days=T","Fill=B")</f>
        <v/>
      </c>
      <c r="DS4" s="4">
        <f>BDH(DS$1,DT$3:EH$3,$B$9,$B$10,"Dir=V","Dts=S","Sort=A","Days=T","Fill=B")</f>
        <v/>
      </c>
      <c r="EJ4" s="4">
        <f>BDH(EJ$1,EK$3:EY$3,$B$9,$B$10,"Dir=V","Dts=S","Sort=A","Days=T","Fill=B")</f>
        <v/>
      </c>
      <c r="FA4" s="4">
        <f>BDH(FA$1,FB$3:FP$3,$B$9,$B$10,"Dir=V","Dts=S","Sort=A","Days=T","Fill=B")</f>
        <v/>
      </c>
      <c r="FR4" s="4">
        <f>BDH(FR$1,FS$3:GG$3,$B$9,$B$10,"Dir=V","Dts=S","Sort=A","Days=T","Fill=B")</f>
        <v/>
      </c>
      <c r="GI4" s="4">
        <f>BDH(GI$1,GJ$3:GX$3,$B$9,$B$10,"Dir=V","Dts=S","Sort=A","Days=T","Fill=B")</f>
        <v/>
      </c>
      <c r="GZ4" s="4">
        <f>BDH(GZ$1,HA$3:HO$3,$B$9,$B$10,"Dir=V","Dts=S","Sort=A","Days=T","Fill=B")</f>
        <v/>
      </c>
      <c r="HQ4" s="4">
        <f>BDH(HQ$1,HR$3:IF$3,$B$9,$B$10,"Dir=V","Dts=S","Sort=A","Days=T","Fill=B")</f>
        <v/>
      </c>
      <c r="IH4" s="4">
        <f>BDH(IH$1,II$3:IW$3,$B$9,$B$10,"Dir=V","Dts=S","Sort=A","Days=T","Fill=B")</f>
        <v/>
      </c>
      <c r="IY4" s="4">
        <f>BDH(IY$1,IZ$3:JN$3,$B$9,$B$10,"Dir=V","Dts=S","Sort=A","Days=T","Fill=B")</f>
        <v/>
      </c>
      <c r="JP4" s="4">
        <f>BDH(JP$1,JQ$3:KE$3,$B$9,$B$10,"Dir=V","Dts=S","Sort=A","Days=T","Fill=B")</f>
        <v/>
      </c>
      <c r="KG4" s="4">
        <f>BDH(KG$1,KH$3:KV$3,$B$9,$B$10,"Dir=V","Dts=S","Sort=A","Days=T","Fill=B")</f>
        <v/>
      </c>
      <c r="KX4" s="4">
        <f>BDH(KX$1,KY$3:LM$3,$B$9,$B$10,"Dir=V","Dts=S","Sort=A","Days=T","Fill=B")</f>
        <v/>
      </c>
      <c r="LO4" s="4">
        <f>BDH(LO$1,LP$3:MD$3,$B$9,$B$10,"Dir=V","Dts=S","Sort=A","Days=T","Fill=B")</f>
        <v/>
      </c>
      <c r="MF4" s="4">
        <f>BDH(MF$1,MG$3:MU$3,$B$9,$B$10,"Dir=V","Dts=S","Sort=A","Days=T","Fill=B")</f>
        <v/>
      </c>
      <c r="MW4" s="4">
        <f>BDH(MW$1,MX$3:NL$3,$B$9,$B$10,"Dir=V","Dts=S","Sort=A","Days=T","Fill=B")</f>
        <v/>
      </c>
      <c r="NN4" s="4">
        <f>BDH(NN$1,NO$3:OC$3,$B$9,$B$10,"Dir=V","Dts=S","Sort=A","Days=T","Fill=B")</f>
        <v/>
      </c>
      <c r="OE4" s="4">
        <f>BDH(OE$1,OF$3:OT$3,$B$9,$B$10,"Dir=V","Dts=S","Sort=A","Days=T","Fill=B")</f>
        <v/>
      </c>
      <c r="OV4" s="4">
        <f>BDH(OV$1,OW$3:PK$3,$B$9,$B$10,"Dir=V","Dts=S","Sort=A","Days=T","Fill=B")</f>
        <v/>
      </c>
      <c r="PM4" s="4">
        <f>BDH(PM$1,PN$3:QB$3,$B$9,$B$10,"Dir=V","Dts=S","Sort=A","Days=T","Fill=B")</f>
        <v/>
      </c>
      <c r="QD4" s="4">
        <f>BDH(QD$1,QE$3:QS$3,$B$9,$B$10,"Dir=V","Dts=S","Sort=A","Days=T","Fill=B")</f>
        <v/>
      </c>
      <c r="QU4" s="4">
        <f>BDH(QU$1,QV$3:RJ$3,$B$9,$B$10,"Dir=V","Dts=S","Sort=A","Days=T","Fill=B")</f>
        <v/>
      </c>
      <c r="RL4" s="4">
        <f>BDH(RL$1,RM$3:SA$3,$B$9,$B$10,"Dir=V","Dts=S","Sort=A","Days=T","Fill=B")</f>
        <v/>
      </c>
      <c r="SC4" s="4">
        <f>BDH(SC$1,SD$3:SR$3,$B$9,$B$10,"Dir=V","Dts=S","Sort=A","Days=T","Fill=B")</f>
        <v/>
      </c>
      <c r="ST4" s="4">
        <f>BDH(ST$1,SU$3:TI$3,$B$9,$B$10,"Dir=V","Dts=S","Sort=A","Days=T","Fill=B")</f>
        <v/>
      </c>
      <c r="TK4" s="4">
        <f>BDH(TK$1,TL$3:TZ$3,$B$9,$B$10,"Dir=V","Dts=S","Sort=A","Days=T","Fill=B")</f>
        <v/>
      </c>
      <c r="UB4" s="4">
        <f>BDH(UB$1,UC$3:UQ$3,$B$9,$B$10,"Dir=V","Dts=S","Sort=A","Days=T","Fill=B")</f>
        <v/>
      </c>
      <c r="US4" s="4">
        <f>BDH(US$1,UT$3:VH$3,$B$9,$B$10,"Dir=V","Dts=S","Sort=A","Days=T","Fill=B")</f>
        <v/>
      </c>
    </row>
    <row r="5">
      <c r="A5" s="2" t="inlineStr">
        <is>
          <t>Futures ticker</t>
        </is>
      </c>
      <c r="B5" s="4">
        <f>IF(Settings!$B$14="Y","CL"&amp;MID("FGHJKMNQUVXZ",B1,1)&amp;B4&amp;" Comdty","")</f>
        <v/>
      </c>
    </row>
    <row r="6">
      <c r="A6" s="2" t="inlineStr">
        <is>
          <t>Strike reference date</t>
        </is>
      </c>
      <c r="B6" s="8">
        <f>B3-45</f>
        <v/>
      </c>
    </row>
    <row r="7">
      <c r="A7" s="2" t="inlineStr">
        <is>
          <t>Futures price on that date</t>
        </is>
      </c>
      <c r="B7" s="10">
        <f>IF(B5="","",BDH(B5,"PX_LAST",B6,B6,"Days=A","Fill=P","Dts=H"))</f>
        <v/>
      </c>
    </row>
    <row r="8">
      <c r="A8" s="2" t="inlineStr">
        <is>
          <t>ATM strike</t>
        </is>
      </c>
      <c r="B8" s="9">
        <f>IF(ISNUMBER(B7),ROUND(B7,0),"")</f>
        <v/>
      </c>
    </row>
    <row r="9">
      <c r="A9" s="2" t="inlineStr">
        <is>
          <t>History start</t>
        </is>
      </c>
      <c r="B9" s="8">
        <f>B3-100</f>
        <v/>
      </c>
    </row>
    <row r="10">
      <c r="A10" s="2" t="inlineStr">
        <is>
          <t>History end</t>
        </is>
      </c>
      <c r="B10" s="8">
        <f>B3</f>
        <v/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VH10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2" customWidth="1" min="2" max="2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1" customWidth="1" min="15" max="15"/>
    <col width="11" customWidth="1" min="16" max="16"/>
    <col width="10" customWidth="1" min="17" max="17"/>
    <col width="11" customWidth="1" min="18" max="18"/>
    <col width="13" customWidth="1" min="19" max="19"/>
    <col width="12" customWidth="1" min="21" max="21"/>
    <col width="10" customWidth="1" min="22" max="22"/>
    <col width="10" customWidth="1" min="23" max="23"/>
    <col width="10" customWidth="1" min="24" max="24"/>
    <col width="10" customWidth="1" min="25" max="25"/>
    <col width="11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1" customWidth="1" min="32" max="32"/>
    <col width="11" customWidth="1" min="33" max="33"/>
    <col width="10" customWidth="1" min="34" max="34"/>
    <col width="11" customWidth="1" min="35" max="35"/>
    <col width="13" customWidth="1" min="36" max="36"/>
    <col width="12" customWidth="1" min="38" max="38"/>
    <col width="10" customWidth="1" min="39" max="39"/>
    <col width="10" customWidth="1" min="40" max="40"/>
    <col width="10" customWidth="1" min="41" max="41"/>
    <col width="10" customWidth="1" min="42" max="42"/>
    <col width="11" customWidth="1" min="43" max="43"/>
    <col width="11" customWidth="1" min="44" max="44"/>
    <col width="10" customWidth="1" min="45" max="45"/>
    <col width="10" customWidth="1" min="46" max="46"/>
    <col width="10" customWidth="1" min="47" max="47"/>
    <col width="10" customWidth="1" min="48" max="48"/>
    <col width="11" customWidth="1" min="49" max="49"/>
    <col width="11" customWidth="1" min="50" max="50"/>
    <col width="10" customWidth="1" min="51" max="51"/>
    <col width="11" customWidth="1" min="52" max="52"/>
    <col width="13" customWidth="1" min="53" max="53"/>
    <col width="12" customWidth="1" min="55" max="55"/>
    <col width="10" customWidth="1" min="56" max="56"/>
    <col width="10" customWidth="1" min="57" max="57"/>
    <col width="10" customWidth="1" min="58" max="58"/>
    <col width="10" customWidth="1" min="59" max="59"/>
    <col width="11" customWidth="1" min="60" max="60"/>
    <col width="11" customWidth="1" min="61" max="61"/>
    <col width="10" customWidth="1" min="62" max="62"/>
    <col width="10" customWidth="1" min="63" max="63"/>
    <col width="10" customWidth="1" min="64" max="64"/>
    <col width="10" customWidth="1" min="65" max="65"/>
    <col width="11" customWidth="1" min="66" max="66"/>
    <col width="11" customWidth="1" min="67" max="67"/>
    <col width="10" customWidth="1" min="68" max="68"/>
    <col width="11" customWidth="1" min="69" max="69"/>
    <col width="13" customWidth="1" min="70" max="70"/>
    <col width="12" customWidth="1" min="72" max="72"/>
    <col width="10" customWidth="1" min="73" max="73"/>
    <col width="10" customWidth="1" min="74" max="74"/>
    <col width="10" customWidth="1" min="75" max="75"/>
    <col width="10" customWidth="1" min="76" max="76"/>
    <col width="11" customWidth="1" min="77" max="77"/>
    <col width="11" customWidth="1" min="78" max="78"/>
    <col width="10" customWidth="1" min="79" max="79"/>
    <col width="10" customWidth="1" min="80" max="80"/>
    <col width="10" customWidth="1" min="81" max="81"/>
    <col width="10" customWidth="1" min="82" max="82"/>
    <col width="11" customWidth="1" min="83" max="83"/>
    <col width="11" customWidth="1" min="84" max="84"/>
    <col width="10" customWidth="1" min="85" max="85"/>
    <col width="11" customWidth="1" min="86" max="86"/>
    <col width="13" customWidth="1" min="87" max="87"/>
    <col width="12" customWidth="1" min="89" max="89"/>
    <col width="10" customWidth="1" min="90" max="90"/>
    <col width="10" customWidth="1" min="91" max="91"/>
    <col width="10" customWidth="1" min="92" max="92"/>
    <col width="10" customWidth="1" min="93" max="93"/>
    <col width="11" customWidth="1" min="94" max="94"/>
    <col width="11" customWidth="1" min="95" max="95"/>
    <col width="10" customWidth="1" min="96" max="96"/>
    <col width="10" customWidth="1" min="97" max="97"/>
    <col width="10" customWidth="1" min="98" max="98"/>
    <col width="10" customWidth="1" min="99" max="99"/>
    <col width="11" customWidth="1" min="100" max="100"/>
    <col width="11" customWidth="1" min="101" max="101"/>
    <col width="10" customWidth="1" min="102" max="102"/>
    <col width="11" customWidth="1" min="103" max="103"/>
    <col width="13" customWidth="1" min="104" max="104"/>
    <col width="12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1" customWidth="1" min="111" max="111"/>
    <col width="11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1" customWidth="1" min="117" max="117"/>
    <col width="11" customWidth="1" min="118" max="118"/>
    <col width="10" customWidth="1" min="119" max="119"/>
    <col width="11" customWidth="1" min="120" max="120"/>
    <col width="13" customWidth="1" min="121" max="121"/>
    <col width="12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1" customWidth="1" min="128" max="128"/>
    <col width="11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1" customWidth="1" min="134" max="134"/>
    <col width="11" customWidth="1" min="135" max="135"/>
    <col width="10" customWidth="1" min="136" max="136"/>
    <col width="11" customWidth="1" min="137" max="137"/>
    <col width="13" customWidth="1" min="138" max="138"/>
    <col width="12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1" customWidth="1" min="145" max="145"/>
    <col width="11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1" customWidth="1" min="151" max="151"/>
    <col width="11" customWidth="1" min="152" max="152"/>
    <col width="10" customWidth="1" min="153" max="153"/>
    <col width="11" customWidth="1" min="154" max="154"/>
    <col width="13" customWidth="1" min="155" max="155"/>
    <col width="12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1" customWidth="1" min="162" max="162"/>
    <col width="11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1" customWidth="1" min="168" max="168"/>
    <col width="11" customWidth="1" min="169" max="169"/>
    <col width="10" customWidth="1" min="170" max="170"/>
    <col width="11" customWidth="1" min="171" max="171"/>
    <col width="13" customWidth="1" min="172" max="172"/>
    <col width="12" customWidth="1" min="174" max="174"/>
    <col width="10" customWidth="1" min="175" max="175"/>
    <col width="10" customWidth="1" min="176" max="176"/>
    <col width="10" customWidth="1" min="177" max="177"/>
    <col width="10" customWidth="1" min="178" max="178"/>
    <col width="11" customWidth="1" min="179" max="179"/>
    <col width="11" customWidth="1" min="180" max="180"/>
    <col width="10" customWidth="1" min="181" max="181"/>
    <col width="10" customWidth="1" min="182" max="182"/>
    <col width="10" customWidth="1" min="183" max="183"/>
    <col width="10" customWidth="1" min="184" max="184"/>
    <col width="11" customWidth="1" min="185" max="185"/>
    <col width="11" customWidth="1" min="186" max="186"/>
    <col width="10" customWidth="1" min="187" max="187"/>
    <col width="11" customWidth="1" min="188" max="188"/>
    <col width="13" customWidth="1" min="189" max="189"/>
    <col width="12" customWidth="1" min="191" max="191"/>
    <col width="10" customWidth="1" min="192" max="192"/>
    <col width="10" customWidth="1" min="193" max="193"/>
    <col width="10" customWidth="1" min="194" max="194"/>
    <col width="10" customWidth="1" min="195" max="195"/>
    <col width="11" customWidth="1" min="196" max="196"/>
    <col width="11" customWidth="1" min="197" max="197"/>
    <col width="10" customWidth="1" min="198" max="198"/>
    <col width="10" customWidth="1" min="199" max="199"/>
    <col width="10" customWidth="1" min="200" max="200"/>
    <col width="10" customWidth="1" min="201" max="201"/>
    <col width="11" customWidth="1" min="202" max="202"/>
    <col width="11" customWidth="1" min="203" max="203"/>
    <col width="10" customWidth="1" min="204" max="204"/>
    <col width="11" customWidth="1" min="205" max="205"/>
    <col width="13" customWidth="1" min="206" max="206"/>
    <col width="12" customWidth="1" min="208" max="208"/>
    <col width="10" customWidth="1" min="209" max="209"/>
    <col width="10" customWidth="1" min="210" max="210"/>
    <col width="10" customWidth="1" min="211" max="211"/>
    <col width="10" customWidth="1" min="212" max="212"/>
    <col width="11" customWidth="1" min="213" max="213"/>
    <col width="11" customWidth="1" min="214" max="214"/>
    <col width="10" customWidth="1" min="215" max="215"/>
    <col width="10" customWidth="1" min="216" max="216"/>
    <col width="10" customWidth="1" min="217" max="217"/>
    <col width="10" customWidth="1" min="218" max="218"/>
    <col width="11" customWidth="1" min="219" max="219"/>
    <col width="11" customWidth="1" min="220" max="220"/>
    <col width="10" customWidth="1" min="221" max="221"/>
    <col width="11" customWidth="1" min="222" max="222"/>
    <col width="13" customWidth="1" min="223" max="223"/>
    <col width="12" customWidth="1" min="225" max="225"/>
    <col width="10" customWidth="1" min="226" max="226"/>
    <col width="10" customWidth="1" min="227" max="227"/>
    <col width="10" customWidth="1" min="228" max="228"/>
    <col width="10" customWidth="1" min="229" max="229"/>
    <col width="11" customWidth="1" min="230" max="230"/>
    <col width="11" customWidth="1" min="231" max="231"/>
    <col width="10" customWidth="1" min="232" max="232"/>
    <col width="10" customWidth="1" min="233" max="233"/>
    <col width="10" customWidth="1" min="234" max="234"/>
    <col width="10" customWidth="1" min="235" max="235"/>
    <col width="11" customWidth="1" min="236" max="236"/>
    <col width="11" customWidth="1" min="237" max="237"/>
    <col width="10" customWidth="1" min="238" max="238"/>
    <col width="11" customWidth="1" min="239" max="239"/>
    <col width="13" customWidth="1" min="240" max="240"/>
    <col width="12" customWidth="1" min="242" max="242"/>
    <col width="10" customWidth="1" min="243" max="243"/>
    <col width="10" customWidth="1" min="244" max="244"/>
    <col width="10" customWidth="1" min="245" max="245"/>
    <col width="10" customWidth="1" min="246" max="246"/>
    <col width="11" customWidth="1" min="247" max="247"/>
    <col width="11" customWidth="1" min="248" max="248"/>
    <col width="10" customWidth="1" min="249" max="249"/>
    <col width="10" customWidth="1" min="250" max="250"/>
    <col width="10" customWidth="1" min="251" max="251"/>
    <col width="10" customWidth="1" min="252" max="252"/>
    <col width="11" customWidth="1" min="253" max="253"/>
    <col width="11" customWidth="1" min="254" max="254"/>
    <col width="10" customWidth="1" min="255" max="255"/>
    <col width="11" customWidth="1" min="256" max="256"/>
    <col width="13" customWidth="1" min="257" max="257"/>
    <col width="12" customWidth="1" min="259" max="259"/>
    <col width="10" customWidth="1" min="260" max="260"/>
    <col width="10" customWidth="1" min="261" max="261"/>
    <col width="10" customWidth="1" min="262" max="262"/>
    <col width="10" customWidth="1" min="263" max="263"/>
    <col width="11" customWidth="1" min="264" max="264"/>
    <col width="11" customWidth="1" min="265" max="265"/>
    <col width="10" customWidth="1" min="266" max="266"/>
    <col width="10" customWidth="1" min="267" max="267"/>
    <col width="10" customWidth="1" min="268" max="268"/>
    <col width="10" customWidth="1" min="269" max="269"/>
    <col width="11" customWidth="1" min="270" max="270"/>
    <col width="11" customWidth="1" min="271" max="271"/>
    <col width="10" customWidth="1" min="272" max="272"/>
    <col width="11" customWidth="1" min="273" max="273"/>
    <col width="13" customWidth="1" min="274" max="274"/>
    <col width="12" customWidth="1" min="276" max="276"/>
    <col width="10" customWidth="1" min="277" max="277"/>
    <col width="10" customWidth="1" min="278" max="278"/>
    <col width="10" customWidth="1" min="279" max="279"/>
    <col width="10" customWidth="1" min="280" max="280"/>
    <col width="11" customWidth="1" min="281" max="281"/>
    <col width="11" customWidth="1" min="282" max="282"/>
    <col width="10" customWidth="1" min="283" max="283"/>
    <col width="10" customWidth="1" min="284" max="284"/>
    <col width="10" customWidth="1" min="285" max="285"/>
    <col width="10" customWidth="1" min="286" max="286"/>
    <col width="11" customWidth="1" min="287" max="287"/>
    <col width="11" customWidth="1" min="288" max="288"/>
    <col width="10" customWidth="1" min="289" max="289"/>
    <col width="11" customWidth="1" min="290" max="290"/>
    <col width="13" customWidth="1" min="291" max="291"/>
    <col width="12" customWidth="1" min="293" max="293"/>
    <col width="10" customWidth="1" min="294" max="294"/>
    <col width="10" customWidth="1" min="295" max="295"/>
    <col width="10" customWidth="1" min="296" max="296"/>
    <col width="10" customWidth="1" min="297" max="297"/>
    <col width="11" customWidth="1" min="298" max="298"/>
    <col width="11" customWidth="1" min="299" max="299"/>
    <col width="10" customWidth="1" min="300" max="300"/>
    <col width="10" customWidth="1" min="301" max="301"/>
    <col width="10" customWidth="1" min="302" max="302"/>
    <col width="10" customWidth="1" min="303" max="303"/>
    <col width="11" customWidth="1" min="304" max="304"/>
    <col width="11" customWidth="1" min="305" max="305"/>
    <col width="10" customWidth="1" min="306" max="306"/>
    <col width="11" customWidth="1" min="307" max="307"/>
    <col width="13" customWidth="1" min="308" max="308"/>
    <col width="12" customWidth="1" min="310" max="310"/>
    <col width="10" customWidth="1" min="311" max="311"/>
    <col width="10" customWidth="1" min="312" max="312"/>
    <col width="10" customWidth="1" min="313" max="313"/>
    <col width="10" customWidth="1" min="314" max="314"/>
    <col width="11" customWidth="1" min="315" max="315"/>
    <col width="11" customWidth="1" min="316" max="316"/>
    <col width="10" customWidth="1" min="317" max="317"/>
    <col width="10" customWidth="1" min="318" max="318"/>
    <col width="10" customWidth="1" min="319" max="319"/>
    <col width="10" customWidth="1" min="320" max="320"/>
    <col width="11" customWidth="1" min="321" max="321"/>
    <col width="11" customWidth="1" min="322" max="322"/>
    <col width="10" customWidth="1" min="323" max="323"/>
    <col width="11" customWidth="1" min="324" max="324"/>
    <col width="13" customWidth="1" min="325" max="325"/>
    <col width="12" customWidth="1" min="327" max="327"/>
    <col width="10" customWidth="1" min="328" max="328"/>
    <col width="10" customWidth="1" min="329" max="329"/>
    <col width="10" customWidth="1" min="330" max="330"/>
    <col width="10" customWidth="1" min="331" max="331"/>
    <col width="11" customWidth="1" min="332" max="332"/>
    <col width="11" customWidth="1" min="333" max="333"/>
    <col width="10" customWidth="1" min="334" max="334"/>
    <col width="10" customWidth="1" min="335" max="335"/>
    <col width="10" customWidth="1" min="336" max="336"/>
    <col width="10" customWidth="1" min="337" max="337"/>
    <col width="11" customWidth="1" min="338" max="338"/>
    <col width="11" customWidth="1" min="339" max="339"/>
    <col width="10" customWidth="1" min="340" max="340"/>
    <col width="11" customWidth="1" min="341" max="341"/>
    <col width="13" customWidth="1" min="342" max="342"/>
    <col width="12" customWidth="1" min="344" max="344"/>
    <col width="10" customWidth="1" min="345" max="345"/>
    <col width="10" customWidth="1" min="346" max="346"/>
    <col width="10" customWidth="1" min="347" max="347"/>
    <col width="10" customWidth="1" min="348" max="348"/>
    <col width="11" customWidth="1" min="349" max="349"/>
    <col width="11" customWidth="1" min="350" max="350"/>
    <col width="10" customWidth="1" min="351" max="351"/>
    <col width="10" customWidth="1" min="352" max="352"/>
    <col width="10" customWidth="1" min="353" max="353"/>
    <col width="10" customWidth="1" min="354" max="354"/>
    <col width="11" customWidth="1" min="355" max="355"/>
    <col width="11" customWidth="1" min="356" max="356"/>
    <col width="10" customWidth="1" min="357" max="357"/>
    <col width="11" customWidth="1" min="358" max="358"/>
    <col width="13" customWidth="1" min="359" max="359"/>
    <col width="12" customWidth="1" min="361" max="361"/>
    <col width="10" customWidth="1" min="362" max="362"/>
    <col width="10" customWidth="1" min="363" max="363"/>
    <col width="10" customWidth="1" min="364" max="364"/>
    <col width="10" customWidth="1" min="365" max="365"/>
    <col width="11" customWidth="1" min="366" max="366"/>
    <col width="11" customWidth="1" min="367" max="367"/>
    <col width="10" customWidth="1" min="368" max="368"/>
    <col width="10" customWidth="1" min="369" max="369"/>
    <col width="10" customWidth="1" min="370" max="370"/>
    <col width="10" customWidth="1" min="371" max="371"/>
    <col width="11" customWidth="1" min="372" max="372"/>
    <col width="11" customWidth="1" min="373" max="373"/>
    <col width="10" customWidth="1" min="374" max="374"/>
    <col width="11" customWidth="1" min="375" max="375"/>
    <col width="13" customWidth="1" min="376" max="376"/>
    <col width="12" customWidth="1" min="378" max="378"/>
    <col width="10" customWidth="1" min="379" max="379"/>
    <col width="10" customWidth="1" min="380" max="380"/>
    <col width="10" customWidth="1" min="381" max="381"/>
    <col width="10" customWidth="1" min="382" max="382"/>
    <col width="11" customWidth="1" min="383" max="383"/>
    <col width="11" customWidth="1" min="384" max="384"/>
    <col width="10" customWidth="1" min="385" max="385"/>
    <col width="10" customWidth="1" min="386" max="386"/>
    <col width="10" customWidth="1" min="387" max="387"/>
    <col width="10" customWidth="1" min="388" max="388"/>
    <col width="11" customWidth="1" min="389" max="389"/>
    <col width="11" customWidth="1" min="390" max="390"/>
    <col width="10" customWidth="1" min="391" max="391"/>
    <col width="11" customWidth="1" min="392" max="392"/>
    <col width="13" customWidth="1" min="393" max="393"/>
    <col width="12" customWidth="1" min="395" max="395"/>
    <col width="10" customWidth="1" min="396" max="396"/>
    <col width="10" customWidth="1" min="397" max="397"/>
    <col width="10" customWidth="1" min="398" max="398"/>
    <col width="10" customWidth="1" min="399" max="399"/>
    <col width="11" customWidth="1" min="400" max="400"/>
    <col width="11" customWidth="1" min="401" max="401"/>
    <col width="10" customWidth="1" min="402" max="402"/>
    <col width="10" customWidth="1" min="403" max="403"/>
    <col width="10" customWidth="1" min="404" max="404"/>
    <col width="10" customWidth="1" min="405" max="405"/>
    <col width="11" customWidth="1" min="406" max="406"/>
    <col width="11" customWidth="1" min="407" max="407"/>
    <col width="10" customWidth="1" min="408" max="408"/>
    <col width="11" customWidth="1" min="409" max="409"/>
    <col width="13" customWidth="1" min="410" max="410"/>
    <col width="12" customWidth="1" min="412" max="412"/>
    <col width="10" customWidth="1" min="413" max="413"/>
    <col width="10" customWidth="1" min="414" max="414"/>
    <col width="10" customWidth="1" min="415" max="415"/>
    <col width="10" customWidth="1" min="416" max="416"/>
    <col width="11" customWidth="1" min="417" max="417"/>
    <col width="11" customWidth="1" min="418" max="418"/>
    <col width="10" customWidth="1" min="419" max="419"/>
    <col width="10" customWidth="1" min="420" max="420"/>
    <col width="10" customWidth="1" min="421" max="421"/>
    <col width="10" customWidth="1" min="422" max="422"/>
    <col width="11" customWidth="1" min="423" max="423"/>
    <col width="11" customWidth="1" min="424" max="424"/>
    <col width="10" customWidth="1" min="425" max="425"/>
    <col width="11" customWidth="1" min="426" max="426"/>
    <col width="13" customWidth="1" min="427" max="427"/>
    <col width="12" customWidth="1" min="429" max="429"/>
    <col width="10" customWidth="1" min="430" max="430"/>
    <col width="10" customWidth="1" min="431" max="431"/>
    <col width="10" customWidth="1" min="432" max="432"/>
    <col width="10" customWidth="1" min="433" max="433"/>
    <col width="11" customWidth="1" min="434" max="434"/>
    <col width="11" customWidth="1" min="435" max="435"/>
    <col width="10" customWidth="1" min="436" max="436"/>
    <col width="10" customWidth="1" min="437" max="437"/>
    <col width="10" customWidth="1" min="438" max="438"/>
    <col width="10" customWidth="1" min="439" max="439"/>
    <col width="11" customWidth="1" min="440" max="440"/>
    <col width="11" customWidth="1" min="441" max="441"/>
    <col width="10" customWidth="1" min="442" max="442"/>
    <col width="11" customWidth="1" min="443" max="443"/>
    <col width="13" customWidth="1" min="444" max="444"/>
    <col width="12" customWidth="1" min="446" max="446"/>
    <col width="10" customWidth="1" min="447" max="447"/>
    <col width="10" customWidth="1" min="448" max="448"/>
    <col width="10" customWidth="1" min="449" max="449"/>
    <col width="10" customWidth="1" min="450" max="450"/>
    <col width="11" customWidth="1" min="451" max="451"/>
    <col width="11" customWidth="1" min="452" max="452"/>
    <col width="10" customWidth="1" min="453" max="453"/>
    <col width="10" customWidth="1" min="454" max="454"/>
    <col width="10" customWidth="1" min="455" max="455"/>
    <col width="10" customWidth="1" min="456" max="456"/>
    <col width="11" customWidth="1" min="457" max="457"/>
    <col width="11" customWidth="1" min="458" max="458"/>
    <col width="10" customWidth="1" min="459" max="459"/>
    <col width="11" customWidth="1" min="460" max="460"/>
    <col width="13" customWidth="1" min="461" max="461"/>
    <col width="12" customWidth="1" min="463" max="463"/>
    <col width="10" customWidth="1" min="464" max="464"/>
    <col width="10" customWidth="1" min="465" max="465"/>
    <col width="10" customWidth="1" min="466" max="466"/>
    <col width="10" customWidth="1" min="467" max="467"/>
    <col width="11" customWidth="1" min="468" max="468"/>
    <col width="11" customWidth="1" min="469" max="469"/>
    <col width="10" customWidth="1" min="470" max="470"/>
    <col width="10" customWidth="1" min="471" max="471"/>
    <col width="10" customWidth="1" min="472" max="472"/>
    <col width="10" customWidth="1" min="473" max="473"/>
    <col width="11" customWidth="1" min="474" max="474"/>
    <col width="11" customWidth="1" min="475" max="475"/>
    <col width="10" customWidth="1" min="476" max="476"/>
    <col width="11" customWidth="1" min="477" max="477"/>
    <col width="13" customWidth="1" min="478" max="478"/>
    <col width="12" customWidth="1" min="480" max="480"/>
    <col width="10" customWidth="1" min="481" max="481"/>
    <col width="10" customWidth="1" min="482" max="482"/>
    <col width="10" customWidth="1" min="483" max="483"/>
    <col width="10" customWidth="1" min="484" max="484"/>
    <col width="11" customWidth="1" min="485" max="485"/>
    <col width="11" customWidth="1" min="486" max="486"/>
    <col width="10" customWidth="1" min="487" max="487"/>
    <col width="10" customWidth="1" min="488" max="488"/>
    <col width="10" customWidth="1" min="489" max="489"/>
    <col width="10" customWidth="1" min="490" max="490"/>
    <col width="11" customWidth="1" min="491" max="491"/>
    <col width="11" customWidth="1" min="492" max="492"/>
    <col width="10" customWidth="1" min="493" max="493"/>
    <col width="11" customWidth="1" min="494" max="494"/>
    <col width="13" customWidth="1" min="495" max="495"/>
    <col width="12" customWidth="1" min="497" max="497"/>
    <col width="10" customWidth="1" min="498" max="498"/>
    <col width="10" customWidth="1" min="499" max="499"/>
    <col width="10" customWidth="1" min="500" max="500"/>
    <col width="10" customWidth="1" min="501" max="501"/>
    <col width="11" customWidth="1" min="502" max="502"/>
    <col width="11" customWidth="1" min="503" max="503"/>
    <col width="10" customWidth="1" min="504" max="504"/>
    <col width="10" customWidth="1" min="505" max="505"/>
    <col width="10" customWidth="1" min="506" max="506"/>
    <col width="10" customWidth="1" min="507" max="507"/>
    <col width="11" customWidth="1" min="508" max="508"/>
    <col width="11" customWidth="1" min="509" max="509"/>
    <col width="10" customWidth="1" min="510" max="510"/>
    <col width="11" customWidth="1" min="511" max="511"/>
    <col width="13" customWidth="1" min="512" max="512"/>
    <col width="12" customWidth="1" min="514" max="514"/>
    <col width="10" customWidth="1" min="515" max="515"/>
    <col width="10" customWidth="1" min="516" max="516"/>
    <col width="10" customWidth="1" min="517" max="517"/>
    <col width="10" customWidth="1" min="518" max="518"/>
    <col width="11" customWidth="1" min="519" max="519"/>
    <col width="11" customWidth="1" min="520" max="520"/>
    <col width="10" customWidth="1" min="521" max="521"/>
    <col width="10" customWidth="1" min="522" max="522"/>
    <col width="10" customWidth="1" min="523" max="523"/>
    <col width="10" customWidth="1" min="524" max="524"/>
    <col width="11" customWidth="1" min="525" max="525"/>
    <col width="11" customWidth="1" min="526" max="526"/>
    <col width="10" customWidth="1" min="527" max="527"/>
    <col width="11" customWidth="1" min="528" max="528"/>
    <col width="13" customWidth="1" min="529" max="529"/>
    <col width="12" customWidth="1" min="531" max="531"/>
    <col width="10" customWidth="1" min="532" max="532"/>
    <col width="10" customWidth="1" min="533" max="533"/>
    <col width="10" customWidth="1" min="534" max="534"/>
    <col width="10" customWidth="1" min="535" max="535"/>
    <col width="11" customWidth="1" min="536" max="536"/>
    <col width="11" customWidth="1" min="537" max="537"/>
    <col width="10" customWidth="1" min="538" max="538"/>
    <col width="10" customWidth="1" min="539" max="539"/>
    <col width="10" customWidth="1" min="540" max="540"/>
    <col width="10" customWidth="1" min="541" max="541"/>
    <col width="11" customWidth="1" min="542" max="542"/>
    <col width="11" customWidth="1" min="543" max="543"/>
    <col width="10" customWidth="1" min="544" max="544"/>
    <col width="11" customWidth="1" min="545" max="545"/>
    <col width="13" customWidth="1" min="546" max="546"/>
    <col width="12" customWidth="1" min="548" max="548"/>
    <col width="10" customWidth="1" min="549" max="549"/>
    <col width="10" customWidth="1" min="550" max="550"/>
    <col width="10" customWidth="1" min="551" max="551"/>
    <col width="10" customWidth="1" min="552" max="552"/>
    <col width="11" customWidth="1" min="553" max="553"/>
    <col width="11" customWidth="1" min="554" max="554"/>
    <col width="10" customWidth="1" min="555" max="555"/>
    <col width="10" customWidth="1" min="556" max="556"/>
    <col width="10" customWidth="1" min="557" max="557"/>
    <col width="10" customWidth="1" min="558" max="558"/>
    <col width="11" customWidth="1" min="559" max="559"/>
    <col width="11" customWidth="1" min="560" max="560"/>
    <col width="10" customWidth="1" min="561" max="561"/>
    <col width="11" customWidth="1" min="562" max="562"/>
    <col width="13" customWidth="1" min="563" max="563"/>
    <col width="12" customWidth="1" min="565" max="565"/>
    <col width="10" customWidth="1" min="566" max="566"/>
    <col width="10" customWidth="1" min="567" max="567"/>
    <col width="10" customWidth="1" min="568" max="568"/>
    <col width="10" customWidth="1" min="569" max="569"/>
    <col width="11" customWidth="1" min="570" max="570"/>
    <col width="11" customWidth="1" min="571" max="571"/>
    <col width="10" customWidth="1" min="572" max="572"/>
    <col width="10" customWidth="1" min="573" max="573"/>
    <col width="10" customWidth="1" min="574" max="574"/>
    <col width="10" customWidth="1" min="575" max="575"/>
    <col width="11" customWidth="1" min="576" max="576"/>
    <col width="11" customWidth="1" min="577" max="577"/>
    <col width="10" customWidth="1" min="578" max="578"/>
    <col width="11" customWidth="1" min="579" max="579"/>
    <col width="13" customWidth="1" min="580" max="580"/>
  </cols>
  <sheetData>
    <row r="1">
      <c r="A1" s="2" t="inlineStr">
        <is>
          <t>Contract month</t>
        </is>
      </c>
      <c r="B1" s="9" t="n">
        <v>8</v>
      </c>
      <c r="D1" s="2">
        <f>IF(ISNUMBER(B$8),"CL"&amp;MID("FGHJKMNQUVXZ",B$1,1)&amp;B$4&amp;"C "&amp;IF(Settings!$F$14=2,TEXT((B$8-8),"0.00"),(B$8-8))&amp;" Comdty","")</f>
        <v/>
      </c>
      <c r="U1" s="2">
        <f>IF(ISNUMBER(B$8),"CL"&amp;MID("FGHJKMNQUVXZ",B$1,1)&amp;B$4&amp;"P "&amp;IF(Settings!$F$14=2,TEXT((B$8-8),"0.00"),(B$8-8))&amp;" Comdty","")</f>
        <v/>
      </c>
      <c r="AL1" s="2">
        <f>IF(ISNUMBER(B$8),"CL"&amp;MID("FGHJKMNQUVXZ",B$1,1)&amp;B$4&amp;"C "&amp;IF(Settings!$F$14=2,TEXT((B$8-7),"0.00"),(B$8-7))&amp;" Comdty","")</f>
        <v/>
      </c>
      <c r="BC1" s="2">
        <f>IF(ISNUMBER(B$8),"CL"&amp;MID("FGHJKMNQUVXZ",B$1,1)&amp;B$4&amp;"P "&amp;IF(Settings!$F$14=2,TEXT((B$8-7),"0.00"),(B$8-7))&amp;" Comdty","")</f>
        <v/>
      </c>
      <c r="BT1" s="2">
        <f>IF(ISNUMBER(B$8),"CL"&amp;MID("FGHJKMNQUVXZ",B$1,1)&amp;B$4&amp;"C "&amp;IF(Settings!$F$14=2,TEXT((B$8-6),"0.00"),(B$8-6))&amp;" Comdty","")</f>
        <v/>
      </c>
      <c r="CK1" s="2">
        <f>IF(ISNUMBER(B$8),"CL"&amp;MID("FGHJKMNQUVXZ",B$1,1)&amp;B$4&amp;"P "&amp;IF(Settings!$F$14=2,TEXT((B$8-6),"0.00"),(B$8-6))&amp;" Comdty","")</f>
        <v/>
      </c>
      <c r="DB1" s="2">
        <f>IF(ISNUMBER(B$8),"CL"&amp;MID("FGHJKMNQUVXZ",B$1,1)&amp;B$4&amp;"C "&amp;IF(Settings!$F$14=2,TEXT((B$8-5),"0.00"),(B$8-5))&amp;" Comdty","")</f>
        <v/>
      </c>
      <c r="DS1" s="2">
        <f>IF(ISNUMBER(B$8),"CL"&amp;MID("FGHJKMNQUVXZ",B$1,1)&amp;B$4&amp;"P "&amp;IF(Settings!$F$14=2,TEXT((B$8-5),"0.00"),(B$8-5))&amp;" Comdty","")</f>
        <v/>
      </c>
      <c r="EJ1" s="2">
        <f>IF(ISNUMBER(B$8),"CL"&amp;MID("FGHJKMNQUVXZ",B$1,1)&amp;B$4&amp;"C "&amp;IF(Settings!$F$14=2,TEXT((B$8-4),"0.00"),(B$8-4))&amp;" Comdty","")</f>
        <v/>
      </c>
      <c r="FA1" s="2">
        <f>IF(ISNUMBER(B$8),"CL"&amp;MID("FGHJKMNQUVXZ",B$1,1)&amp;B$4&amp;"P "&amp;IF(Settings!$F$14=2,TEXT((B$8-4),"0.00"),(B$8-4))&amp;" Comdty","")</f>
        <v/>
      </c>
      <c r="FR1" s="2">
        <f>IF(ISNUMBER(B$8),"CL"&amp;MID("FGHJKMNQUVXZ",B$1,1)&amp;B$4&amp;"C "&amp;IF(Settings!$F$14=2,TEXT((B$8-3),"0.00"),(B$8-3))&amp;" Comdty","")</f>
        <v/>
      </c>
      <c r="GI1" s="2">
        <f>IF(ISNUMBER(B$8),"CL"&amp;MID("FGHJKMNQUVXZ",B$1,1)&amp;B$4&amp;"P "&amp;IF(Settings!$F$14=2,TEXT((B$8-3),"0.00"),(B$8-3))&amp;" Comdty","")</f>
        <v/>
      </c>
      <c r="GZ1" s="2">
        <f>IF(ISNUMBER(B$8),"CL"&amp;MID("FGHJKMNQUVXZ",B$1,1)&amp;B$4&amp;"C "&amp;IF(Settings!$F$14=2,TEXT((B$8-2),"0.00"),(B$8-2))&amp;" Comdty","")</f>
        <v/>
      </c>
      <c r="HQ1" s="2">
        <f>IF(ISNUMBER(B$8),"CL"&amp;MID("FGHJKMNQUVXZ",B$1,1)&amp;B$4&amp;"P "&amp;IF(Settings!$F$14=2,TEXT((B$8-2),"0.00"),(B$8-2))&amp;" Comdty","")</f>
        <v/>
      </c>
      <c r="IH1" s="2">
        <f>IF(ISNUMBER(B$8),"CL"&amp;MID("FGHJKMNQUVXZ",B$1,1)&amp;B$4&amp;"C "&amp;IF(Settings!$F$14=2,TEXT((B$8-1),"0.00"),(B$8-1))&amp;" Comdty","")</f>
        <v/>
      </c>
      <c r="IY1" s="2">
        <f>IF(ISNUMBER(B$8),"CL"&amp;MID("FGHJKMNQUVXZ",B$1,1)&amp;B$4&amp;"P "&amp;IF(Settings!$F$14=2,TEXT((B$8-1),"0.00"),(B$8-1))&amp;" Comdty","")</f>
        <v/>
      </c>
      <c r="JP1" s="2">
        <f>IF(ISNUMBER(B$8),"CL"&amp;MID("FGHJKMNQUVXZ",B$1,1)&amp;B$4&amp;"C "&amp;IF(Settings!$F$14=2,TEXT(B$8,"0.00"),B$8)&amp;" Comdty","")</f>
        <v/>
      </c>
      <c r="KG1" s="2">
        <f>IF(ISNUMBER(B$8),"CL"&amp;MID("FGHJKMNQUVXZ",B$1,1)&amp;B$4&amp;"P "&amp;IF(Settings!$F$14=2,TEXT(B$8,"0.00"),B$8)&amp;" Comdty","")</f>
        <v/>
      </c>
      <c r="KX1" s="2">
        <f>IF(ISNUMBER(B$8),"CL"&amp;MID("FGHJKMNQUVXZ",B$1,1)&amp;B$4&amp;"C "&amp;IF(Settings!$F$14=2,TEXT((B$8+1),"0.00"),(B$8+1))&amp;" Comdty","")</f>
        <v/>
      </c>
      <c r="LO1" s="2">
        <f>IF(ISNUMBER(B$8),"CL"&amp;MID("FGHJKMNQUVXZ",B$1,1)&amp;B$4&amp;"P "&amp;IF(Settings!$F$14=2,TEXT((B$8+1),"0.00"),(B$8+1))&amp;" Comdty","")</f>
        <v/>
      </c>
      <c r="MF1" s="2">
        <f>IF(ISNUMBER(B$8),"CL"&amp;MID("FGHJKMNQUVXZ",B$1,1)&amp;B$4&amp;"C "&amp;IF(Settings!$F$14=2,TEXT((B$8+2),"0.00"),(B$8+2))&amp;" Comdty","")</f>
        <v/>
      </c>
      <c r="MW1" s="2">
        <f>IF(ISNUMBER(B$8),"CL"&amp;MID("FGHJKMNQUVXZ",B$1,1)&amp;B$4&amp;"P "&amp;IF(Settings!$F$14=2,TEXT((B$8+2),"0.00"),(B$8+2))&amp;" Comdty","")</f>
        <v/>
      </c>
      <c r="NN1" s="2">
        <f>IF(ISNUMBER(B$8),"CL"&amp;MID("FGHJKMNQUVXZ",B$1,1)&amp;B$4&amp;"C "&amp;IF(Settings!$F$14=2,TEXT((B$8+3),"0.00"),(B$8+3))&amp;" Comdty","")</f>
        <v/>
      </c>
      <c r="OE1" s="2">
        <f>IF(ISNUMBER(B$8),"CL"&amp;MID("FGHJKMNQUVXZ",B$1,1)&amp;B$4&amp;"P "&amp;IF(Settings!$F$14=2,TEXT((B$8+3),"0.00"),(B$8+3))&amp;" Comdty","")</f>
        <v/>
      </c>
      <c r="OV1" s="2">
        <f>IF(ISNUMBER(B$8),"CL"&amp;MID("FGHJKMNQUVXZ",B$1,1)&amp;B$4&amp;"C "&amp;IF(Settings!$F$14=2,TEXT((B$8+4),"0.00"),(B$8+4))&amp;" Comdty","")</f>
        <v/>
      </c>
      <c r="PM1" s="2">
        <f>IF(ISNUMBER(B$8),"CL"&amp;MID("FGHJKMNQUVXZ",B$1,1)&amp;B$4&amp;"P "&amp;IF(Settings!$F$14=2,TEXT((B$8+4),"0.00"),(B$8+4))&amp;" Comdty","")</f>
        <v/>
      </c>
      <c r="QD1" s="2">
        <f>IF(ISNUMBER(B$8),"CL"&amp;MID("FGHJKMNQUVXZ",B$1,1)&amp;B$4&amp;"C "&amp;IF(Settings!$F$14=2,TEXT((B$8+5),"0.00"),(B$8+5))&amp;" Comdty","")</f>
        <v/>
      </c>
      <c r="QU1" s="2">
        <f>IF(ISNUMBER(B$8),"CL"&amp;MID("FGHJKMNQUVXZ",B$1,1)&amp;B$4&amp;"P "&amp;IF(Settings!$F$14=2,TEXT((B$8+5),"0.00"),(B$8+5))&amp;" Comdty","")</f>
        <v/>
      </c>
      <c r="RL1" s="2">
        <f>IF(ISNUMBER(B$8),"CL"&amp;MID("FGHJKMNQUVXZ",B$1,1)&amp;B$4&amp;"C "&amp;IF(Settings!$F$14=2,TEXT((B$8+6),"0.00"),(B$8+6))&amp;" Comdty","")</f>
        <v/>
      </c>
      <c r="SC1" s="2">
        <f>IF(ISNUMBER(B$8),"CL"&amp;MID("FGHJKMNQUVXZ",B$1,1)&amp;B$4&amp;"P "&amp;IF(Settings!$F$14=2,TEXT((B$8+6),"0.00"),(B$8+6))&amp;" Comdty","")</f>
        <v/>
      </c>
      <c r="ST1" s="2">
        <f>IF(ISNUMBER(B$8),"CL"&amp;MID("FGHJKMNQUVXZ",B$1,1)&amp;B$4&amp;"C "&amp;IF(Settings!$F$14=2,TEXT((B$8+7),"0.00"),(B$8+7))&amp;" Comdty","")</f>
        <v/>
      </c>
      <c r="TK1" s="2">
        <f>IF(ISNUMBER(B$8),"CL"&amp;MID("FGHJKMNQUVXZ",B$1,1)&amp;B$4&amp;"P "&amp;IF(Settings!$F$14=2,TEXT((B$8+7),"0.00"),(B$8+7))&amp;" Comdty","")</f>
        <v/>
      </c>
      <c r="UB1" s="2">
        <f>IF(ISNUMBER(B$8),"CL"&amp;MID("FGHJKMNQUVXZ",B$1,1)&amp;B$4&amp;"C "&amp;IF(Settings!$F$14=2,TEXT((B$8+8),"0.00"),(B$8+8))&amp;" Comdty","")</f>
        <v/>
      </c>
      <c r="US1" s="2">
        <f>IF(ISNUMBER(B$8),"CL"&amp;MID("FGHJKMNQUVXZ",B$1,1)&amp;B$4&amp;"P "&amp;IF(Settings!$F$14=2,TEXT((B$8+8),"0.00"),(B$8+8))&amp;" Comdty","")</f>
        <v/>
      </c>
    </row>
    <row r="2">
      <c r="A2" s="2" t="inlineStr">
        <is>
          <t>Futures last trade</t>
        </is>
      </c>
      <c r="B2" s="8">
        <f>WORKDAY(DATE(Settings!$E$14,B1-1,25),-3)</f>
        <v/>
      </c>
      <c r="D2" s="4" t="inlineStr">
        <is>
          <t>call -8 from ATM</t>
        </is>
      </c>
      <c r="U2" s="4" t="inlineStr">
        <is>
          <t>put -8 from ATM</t>
        </is>
      </c>
      <c r="AL2" s="4" t="inlineStr">
        <is>
          <t>call -7 from ATM</t>
        </is>
      </c>
      <c r="BC2" s="4" t="inlineStr">
        <is>
          <t>put -7 from ATM</t>
        </is>
      </c>
      <c r="BT2" s="4" t="inlineStr">
        <is>
          <t>call -6 from ATM</t>
        </is>
      </c>
      <c r="CK2" s="4" t="inlineStr">
        <is>
          <t>put -6 from ATM</t>
        </is>
      </c>
      <c r="DB2" s="4" t="inlineStr">
        <is>
          <t>call -5 from ATM</t>
        </is>
      </c>
      <c r="DS2" s="4" t="inlineStr">
        <is>
          <t>put -5 from ATM</t>
        </is>
      </c>
      <c r="EJ2" s="4" t="inlineStr">
        <is>
          <t>call -4 from ATM</t>
        </is>
      </c>
      <c r="FA2" s="4" t="inlineStr">
        <is>
          <t>put -4 from ATM</t>
        </is>
      </c>
      <c r="FR2" s="4" t="inlineStr">
        <is>
          <t>call -3 from ATM</t>
        </is>
      </c>
      <c r="GI2" s="4" t="inlineStr">
        <is>
          <t>put -3 from ATM</t>
        </is>
      </c>
      <c r="GZ2" s="4" t="inlineStr">
        <is>
          <t>call -2 from ATM</t>
        </is>
      </c>
      <c r="HQ2" s="4" t="inlineStr">
        <is>
          <t>put -2 from ATM</t>
        </is>
      </c>
      <c r="IH2" s="4" t="inlineStr">
        <is>
          <t>call -1 from ATM</t>
        </is>
      </c>
      <c r="IY2" s="4" t="inlineStr">
        <is>
          <t>put -1 from ATM</t>
        </is>
      </c>
      <c r="JP2" s="4" t="inlineStr">
        <is>
          <t>call +0 from ATM</t>
        </is>
      </c>
      <c r="KG2" s="4" t="inlineStr">
        <is>
          <t>put +0 from ATM</t>
        </is>
      </c>
      <c r="KX2" s="4" t="inlineStr">
        <is>
          <t>call +1 from ATM</t>
        </is>
      </c>
      <c r="LO2" s="4" t="inlineStr">
        <is>
          <t>put +1 from ATM</t>
        </is>
      </c>
      <c r="MF2" s="4" t="inlineStr">
        <is>
          <t>call +2 from ATM</t>
        </is>
      </c>
      <c r="MW2" s="4" t="inlineStr">
        <is>
          <t>put +2 from ATM</t>
        </is>
      </c>
      <c r="NN2" s="4" t="inlineStr">
        <is>
          <t>call +3 from ATM</t>
        </is>
      </c>
      <c r="OE2" s="4" t="inlineStr">
        <is>
          <t>put +3 from ATM</t>
        </is>
      </c>
      <c r="OV2" s="4" t="inlineStr">
        <is>
          <t>call +4 from ATM</t>
        </is>
      </c>
      <c r="PM2" s="4" t="inlineStr">
        <is>
          <t>put +4 from ATM</t>
        </is>
      </c>
      <c r="QD2" s="4" t="inlineStr">
        <is>
          <t>call +5 from ATM</t>
        </is>
      </c>
      <c r="QU2" s="4" t="inlineStr">
        <is>
          <t>put +5 from ATM</t>
        </is>
      </c>
      <c r="RL2" s="4" t="inlineStr">
        <is>
          <t>call +6 from ATM</t>
        </is>
      </c>
      <c r="SC2" s="4" t="inlineStr">
        <is>
          <t>put +6 from ATM</t>
        </is>
      </c>
      <c r="ST2" s="4" t="inlineStr">
        <is>
          <t>call +7 from ATM</t>
        </is>
      </c>
      <c r="TK2" s="4" t="inlineStr">
        <is>
          <t>put +7 from ATM</t>
        </is>
      </c>
      <c r="UB2" s="4" t="inlineStr">
        <is>
          <t>call +8 from ATM</t>
        </is>
      </c>
      <c r="US2" s="4" t="inlineStr">
        <is>
          <t>put +8 from ATM</t>
        </is>
      </c>
    </row>
    <row r="3">
      <c r="A3" s="2" t="inlineStr">
        <is>
          <t>Option expiry (approx)</t>
        </is>
      </c>
      <c r="B3" s="8">
        <f>WORKDAY(B2,-1)</f>
        <v/>
      </c>
      <c r="D3" s="5" t="inlineStr">
        <is>
          <t>Date</t>
        </is>
      </c>
      <c r="E3" s="5" t="inlineStr">
        <is>
          <t>PX_BID</t>
        </is>
      </c>
      <c r="F3" s="5" t="inlineStr">
        <is>
          <t>PX_ASK</t>
        </is>
      </c>
      <c r="G3" s="5" t="inlineStr">
        <is>
          <t>PX_MID</t>
        </is>
      </c>
      <c r="H3" s="5" t="inlineStr">
        <is>
          <t>PX_LAST</t>
        </is>
      </c>
      <c r="I3" s="5" t="inlineStr">
        <is>
          <t>PX_SETTLE</t>
        </is>
      </c>
      <c r="J3" s="5" t="inlineStr">
        <is>
          <t>PX_VOLUME</t>
        </is>
      </c>
      <c r="K3" s="5" t="inlineStr">
        <is>
          <t>OPEN_INT</t>
        </is>
      </c>
      <c r="L3" s="5" t="inlineStr">
        <is>
          <t>IVOL_MID</t>
        </is>
      </c>
      <c r="M3" s="5" t="inlineStr">
        <is>
          <t>IVOL_BID</t>
        </is>
      </c>
      <c r="N3" s="5" t="inlineStr">
        <is>
          <t>IVOL_ASK</t>
        </is>
      </c>
      <c r="O3" s="5" t="inlineStr">
        <is>
          <t>DELTA_MID</t>
        </is>
      </c>
      <c r="P3" s="5" t="inlineStr">
        <is>
          <t>GAMMA_MID</t>
        </is>
      </c>
      <c r="Q3" s="5" t="inlineStr">
        <is>
          <t>VEGA_MID</t>
        </is>
      </c>
      <c r="R3" s="5" t="inlineStr">
        <is>
          <t>THETA_MID</t>
        </is>
      </c>
      <c r="S3" s="5" t="inlineStr">
        <is>
          <t>OPT_UNDL_PX</t>
        </is>
      </c>
      <c r="U3" s="5" t="inlineStr">
        <is>
          <t>Date</t>
        </is>
      </c>
      <c r="V3" s="5" t="inlineStr">
        <is>
          <t>PX_BID</t>
        </is>
      </c>
      <c r="W3" s="5" t="inlineStr">
        <is>
          <t>PX_ASK</t>
        </is>
      </c>
      <c r="X3" s="5" t="inlineStr">
        <is>
          <t>PX_MID</t>
        </is>
      </c>
      <c r="Y3" s="5" t="inlineStr">
        <is>
          <t>PX_LAST</t>
        </is>
      </c>
      <c r="Z3" s="5" t="inlineStr">
        <is>
          <t>PX_SETTLE</t>
        </is>
      </c>
      <c r="AA3" s="5" t="inlineStr">
        <is>
          <t>PX_VOLUME</t>
        </is>
      </c>
      <c r="AB3" s="5" t="inlineStr">
        <is>
          <t>OPEN_INT</t>
        </is>
      </c>
      <c r="AC3" s="5" t="inlineStr">
        <is>
          <t>IVOL_MID</t>
        </is>
      </c>
      <c r="AD3" s="5" t="inlineStr">
        <is>
          <t>IVOL_BID</t>
        </is>
      </c>
      <c r="AE3" s="5" t="inlineStr">
        <is>
          <t>IVOL_ASK</t>
        </is>
      </c>
      <c r="AF3" s="5" t="inlineStr">
        <is>
          <t>DELTA_MID</t>
        </is>
      </c>
      <c r="AG3" s="5" t="inlineStr">
        <is>
          <t>GAMMA_MID</t>
        </is>
      </c>
      <c r="AH3" s="5" t="inlineStr">
        <is>
          <t>VEGA_MID</t>
        </is>
      </c>
      <c r="AI3" s="5" t="inlineStr">
        <is>
          <t>THETA_MID</t>
        </is>
      </c>
      <c r="AJ3" s="5" t="inlineStr">
        <is>
          <t>OPT_UNDL_PX</t>
        </is>
      </c>
      <c r="AL3" s="5" t="inlineStr">
        <is>
          <t>Date</t>
        </is>
      </c>
      <c r="AM3" s="5" t="inlineStr">
        <is>
          <t>PX_BID</t>
        </is>
      </c>
      <c r="AN3" s="5" t="inlineStr">
        <is>
          <t>PX_ASK</t>
        </is>
      </c>
      <c r="AO3" s="5" t="inlineStr">
        <is>
          <t>PX_MID</t>
        </is>
      </c>
      <c r="AP3" s="5" t="inlineStr">
        <is>
          <t>PX_LAST</t>
        </is>
      </c>
      <c r="AQ3" s="5" t="inlineStr">
        <is>
          <t>PX_SETTLE</t>
        </is>
      </c>
      <c r="AR3" s="5" t="inlineStr">
        <is>
          <t>PX_VOLUME</t>
        </is>
      </c>
      <c r="AS3" s="5" t="inlineStr">
        <is>
          <t>OPEN_INT</t>
        </is>
      </c>
      <c r="AT3" s="5" t="inlineStr">
        <is>
          <t>IVOL_MID</t>
        </is>
      </c>
      <c r="AU3" s="5" t="inlineStr">
        <is>
          <t>IVOL_BID</t>
        </is>
      </c>
      <c r="AV3" s="5" t="inlineStr">
        <is>
          <t>IVOL_ASK</t>
        </is>
      </c>
      <c r="AW3" s="5" t="inlineStr">
        <is>
          <t>DELTA_MID</t>
        </is>
      </c>
      <c r="AX3" s="5" t="inlineStr">
        <is>
          <t>GAMMA_MID</t>
        </is>
      </c>
      <c r="AY3" s="5" t="inlineStr">
        <is>
          <t>VEGA_MID</t>
        </is>
      </c>
      <c r="AZ3" s="5" t="inlineStr">
        <is>
          <t>THETA_MID</t>
        </is>
      </c>
      <c r="BA3" s="5" t="inlineStr">
        <is>
          <t>OPT_UNDL_PX</t>
        </is>
      </c>
      <c r="BC3" s="5" t="inlineStr">
        <is>
          <t>Date</t>
        </is>
      </c>
      <c r="BD3" s="5" t="inlineStr">
        <is>
          <t>PX_BID</t>
        </is>
      </c>
      <c r="BE3" s="5" t="inlineStr">
        <is>
          <t>PX_ASK</t>
        </is>
      </c>
      <c r="BF3" s="5" t="inlineStr">
        <is>
          <t>PX_MID</t>
        </is>
      </c>
      <c r="BG3" s="5" t="inlineStr">
        <is>
          <t>PX_LAST</t>
        </is>
      </c>
      <c r="BH3" s="5" t="inlineStr">
        <is>
          <t>PX_SETTLE</t>
        </is>
      </c>
      <c r="BI3" s="5" t="inlineStr">
        <is>
          <t>PX_VOLUME</t>
        </is>
      </c>
      <c r="BJ3" s="5" t="inlineStr">
        <is>
          <t>OPEN_INT</t>
        </is>
      </c>
      <c r="BK3" s="5" t="inlineStr">
        <is>
          <t>IVOL_MID</t>
        </is>
      </c>
      <c r="BL3" s="5" t="inlineStr">
        <is>
          <t>IVOL_BID</t>
        </is>
      </c>
      <c r="BM3" s="5" t="inlineStr">
        <is>
          <t>IVOL_ASK</t>
        </is>
      </c>
      <c r="BN3" s="5" t="inlineStr">
        <is>
          <t>DELTA_MID</t>
        </is>
      </c>
      <c r="BO3" s="5" t="inlineStr">
        <is>
          <t>GAMMA_MID</t>
        </is>
      </c>
      <c r="BP3" s="5" t="inlineStr">
        <is>
          <t>VEGA_MID</t>
        </is>
      </c>
      <c r="BQ3" s="5" t="inlineStr">
        <is>
          <t>THETA_MID</t>
        </is>
      </c>
      <c r="BR3" s="5" t="inlineStr">
        <is>
          <t>OPT_UNDL_PX</t>
        </is>
      </c>
      <c r="BT3" s="5" t="inlineStr">
        <is>
          <t>Date</t>
        </is>
      </c>
      <c r="BU3" s="5" t="inlineStr">
        <is>
          <t>PX_BID</t>
        </is>
      </c>
      <c r="BV3" s="5" t="inlineStr">
        <is>
          <t>PX_ASK</t>
        </is>
      </c>
      <c r="BW3" s="5" t="inlineStr">
        <is>
          <t>PX_MID</t>
        </is>
      </c>
      <c r="BX3" s="5" t="inlineStr">
        <is>
          <t>PX_LAST</t>
        </is>
      </c>
      <c r="BY3" s="5" t="inlineStr">
        <is>
          <t>PX_SETTLE</t>
        </is>
      </c>
      <c r="BZ3" s="5" t="inlineStr">
        <is>
          <t>PX_VOLUME</t>
        </is>
      </c>
      <c r="CA3" s="5" t="inlineStr">
        <is>
          <t>OPEN_INT</t>
        </is>
      </c>
      <c r="CB3" s="5" t="inlineStr">
        <is>
          <t>IVOL_MID</t>
        </is>
      </c>
      <c r="CC3" s="5" t="inlineStr">
        <is>
          <t>IVOL_BID</t>
        </is>
      </c>
      <c r="CD3" s="5" t="inlineStr">
        <is>
          <t>IVOL_ASK</t>
        </is>
      </c>
      <c r="CE3" s="5" t="inlineStr">
        <is>
          <t>DELTA_MID</t>
        </is>
      </c>
      <c r="CF3" s="5" t="inlineStr">
        <is>
          <t>GAMMA_MID</t>
        </is>
      </c>
      <c r="CG3" s="5" t="inlineStr">
        <is>
          <t>VEGA_MID</t>
        </is>
      </c>
      <c r="CH3" s="5" t="inlineStr">
        <is>
          <t>THETA_MID</t>
        </is>
      </c>
      <c r="CI3" s="5" t="inlineStr">
        <is>
          <t>OPT_UNDL_PX</t>
        </is>
      </c>
      <c r="CK3" s="5" t="inlineStr">
        <is>
          <t>Date</t>
        </is>
      </c>
      <c r="CL3" s="5" t="inlineStr">
        <is>
          <t>PX_BID</t>
        </is>
      </c>
      <c r="CM3" s="5" t="inlineStr">
        <is>
          <t>PX_ASK</t>
        </is>
      </c>
      <c r="CN3" s="5" t="inlineStr">
        <is>
          <t>PX_MID</t>
        </is>
      </c>
      <c r="CO3" s="5" t="inlineStr">
        <is>
          <t>PX_LAST</t>
        </is>
      </c>
      <c r="CP3" s="5" t="inlineStr">
        <is>
          <t>PX_SETTLE</t>
        </is>
      </c>
      <c r="CQ3" s="5" t="inlineStr">
        <is>
          <t>PX_VOLUME</t>
        </is>
      </c>
      <c r="CR3" s="5" t="inlineStr">
        <is>
          <t>OPEN_INT</t>
        </is>
      </c>
      <c r="CS3" s="5" t="inlineStr">
        <is>
          <t>IVOL_MID</t>
        </is>
      </c>
      <c r="CT3" s="5" t="inlineStr">
        <is>
          <t>IVOL_BID</t>
        </is>
      </c>
      <c r="CU3" s="5" t="inlineStr">
        <is>
          <t>IVOL_ASK</t>
        </is>
      </c>
      <c r="CV3" s="5" t="inlineStr">
        <is>
          <t>DELTA_MID</t>
        </is>
      </c>
      <c r="CW3" s="5" t="inlineStr">
        <is>
          <t>GAMMA_MID</t>
        </is>
      </c>
      <c r="CX3" s="5" t="inlineStr">
        <is>
          <t>VEGA_MID</t>
        </is>
      </c>
      <c r="CY3" s="5" t="inlineStr">
        <is>
          <t>THETA_MID</t>
        </is>
      </c>
      <c r="CZ3" s="5" t="inlineStr">
        <is>
          <t>OPT_UNDL_PX</t>
        </is>
      </c>
      <c r="DB3" s="5" t="inlineStr">
        <is>
          <t>Date</t>
        </is>
      </c>
      <c r="DC3" s="5" t="inlineStr">
        <is>
          <t>PX_BID</t>
        </is>
      </c>
      <c r="DD3" s="5" t="inlineStr">
        <is>
          <t>PX_ASK</t>
        </is>
      </c>
      <c r="DE3" s="5" t="inlineStr">
        <is>
          <t>PX_MID</t>
        </is>
      </c>
      <c r="DF3" s="5" t="inlineStr">
        <is>
          <t>PX_LAST</t>
        </is>
      </c>
      <c r="DG3" s="5" t="inlineStr">
        <is>
          <t>PX_SETTLE</t>
        </is>
      </c>
      <c r="DH3" s="5" t="inlineStr">
        <is>
          <t>PX_VOLUME</t>
        </is>
      </c>
      <c r="DI3" s="5" t="inlineStr">
        <is>
          <t>OPEN_INT</t>
        </is>
      </c>
      <c r="DJ3" s="5" t="inlineStr">
        <is>
          <t>IVOL_MID</t>
        </is>
      </c>
      <c r="DK3" s="5" t="inlineStr">
        <is>
          <t>IVOL_BID</t>
        </is>
      </c>
      <c r="DL3" s="5" t="inlineStr">
        <is>
          <t>IVOL_ASK</t>
        </is>
      </c>
      <c r="DM3" s="5" t="inlineStr">
        <is>
          <t>DELTA_MID</t>
        </is>
      </c>
      <c r="DN3" s="5" t="inlineStr">
        <is>
          <t>GAMMA_MID</t>
        </is>
      </c>
      <c r="DO3" s="5" t="inlineStr">
        <is>
          <t>VEGA_MID</t>
        </is>
      </c>
      <c r="DP3" s="5" t="inlineStr">
        <is>
          <t>THETA_MID</t>
        </is>
      </c>
      <c r="DQ3" s="5" t="inlineStr">
        <is>
          <t>OPT_UNDL_PX</t>
        </is>
      </c>
      <c r="DS3" s="5" t="inlineStr">
        <is>
          <t>Date</t>
        </is>
      </c>
      <c r="DT3" s="5" t="inlineStr">
        <is>
          <t>PX_BID</t>
        </is>
      </c>
      <c r="DU3" s="5" t="inlineStr">
        <is>
          <t>PX_ASK</t>
        </is>
      </c>
      <c r="DV3" s="5" t="inlineStr">
        <is>
          <t>PX_MID</t>
        </is>
      </c>
      <c r="DW3" s="5" t="inlineStr">
        <is>
          <t>PX_LAST</t>
        </is>
      </c>
      <c r="DX3" s="5" t="inlineStr">
        <is>
          <t>PX_SETTLE</t>
        </is>
      </c>
      <c r="DY3" s="5" t="inlineStr">
        <is>
          <t>PX_VOLUME</t>
        </is>
      </c>
      <c r="DZ3" s="5" t="inlineStr">
        <is>
          <t>OPEN_INT</t>
        </is>
      </c>
      <c r="EA3" s="5" t="inlineStr">
        <is>
          <t>IVOL_MID</t>
        </is>
      </c>
      <c r="EB3" s="5" t="inlineStr">
        <is>
          <t>IVOL_BID</t>
        </is>
      </c>
      <c r="EC3" s="5" t="inlineStr">
        <is>
          <t>IVOL_ASK</t>
        </is>
      </c>
      <c r="ED3" s="5" t="inlineStr">
        <is>
          <t>DELTA_MID</t>
        </is>
      </c>
      <c r="EE3" s="5" t="inlineStr">
        <is>
          <t>GAMMA_MID</t>
        </is>
      </c>
      <c r="EF3" s="5" t="inlineStr">
        <is>
          <t>VEGA_MID</t>
        </is>
      </c>
      <c r="EG3" s="5" t="inlineStr">
        <is>
          <t>THETA_MID</t>
        </is>
      </c>
      <c r="EH3" s="5" t="inlineStr">
        <is>
          <t>OPT_UNDL_PX</t>
        </is>
      </c>
      <c r="EJ3" s="5" t="inlineStr">
        <is>
          <t>Date</t>
        </is>
      </c>
      <c r="EK3" s="5" t="inlineStr">
        <is>
          <t>PX_BID</t>
        </is>
      </c>
      <c r="EL3" s="5" t="inlineStr">
        <is>
          <t>PX_ASK</t>
        </is>
      </c>
      <c r="EM3" s="5" t="inlineStr">
        <is>
          <t>PX_MID</t>
        </is>
      </c>
      <c r="EN3" s="5" t="inlineStr">
        <is>
          <t>PX_LAST</t>
        </is>
      </c>
      <c r="EO3" s="5" t="inlineStr">
        <is>
          <t>PX_SETTLE</t>
        </is>
      </c>
      <c r="EP3" s="5" t="inlineStr">
        <is>
          <t>PX_VOLUME</t>
        </is>
      </c>
      <c r="EQ3" s="5" t="inlineStr">
        <is>
          <t>OPEN_INT</t>
        </is>
      </c>
      <c r="ER3" s="5" t="inlineStr">
        <is>
          <t>IVOL_MID</t>
        </is>
      </c>
      <c r="ES3" s="5" t="inlineStr">
        <is>
          <t>IVOL_BID</t>
        </is>
      </c>
      <c r="ET3" s="5" t="inlineStr">
        <is>
          <t>IVOL_ASK</t>
        </is>
      </c>
      <c r="EU3" s="5" t="inlineStr">
        <is>
          <t>DELTA_MID</t>
        </is>
      </c>
      <c r="EV3" s="5" t="inlineStr">
        <is>
          <t>GAMMA_MID</t>
        </is>
      </c>
      <c r="EW3" s="5" t="inlineStr">
        <is>
          <t>VEGA_MID</t>
        </is>
      </c>
      <c r="EX3" s="5" t="inlineStr">
        <is>
          <t>THETA_MID</t>
        </is>
      </c>
      <c r="EY3" s="5" t="inlineStr">
        <is>
          <t>OPT_UNDL_PX</t>
        </is>
      </c>
      <c r="FA3" s="5" t="inlineStr">
        <is>
          <t>Date</t>
        </is>
      </c>
      <c r="FB3" s="5" t="inlineStr">
        <is>
          <t>PX_BID</t>
        </is>
      </c>
      <c r="FC3" s="5" t="inlineStr">
        <is>
          <t>PX_ASK</t>
        </is>
      </c>
      <c r="FD3" s="5" t="inlineStr">
        <is>
          <t>PX_MID</t>
        </is>
      </c>
      <c r="FE3" s="5" t="inlineStr">
        <is>
          <t>PX_LAST</t>
        </is>
      </c>
      <c r="FF3" s="5" t="inlineStr">
        <is>
          <t>PX_SETTLE</t>
        </is>
      </c>
      <c r="FG3" s="5" t="inlineStr">
        <is>
          <t>PX_VOLUME</t>
        </is>
      </c>
      <c r="FH3" s="5" t="inlineStr">
        <is>
          <t>OPEN_INT</t>
        </is>
      </c>
      <c r="FI3" s="5" t="inlineStr">
        <is>
          <t>IVOL_MID</t>
        </is>
      </c>
      <c r="FJ3" s="5" t="inlineStr">
        <is>
          <t>IVOL_BID</t>
        </is>
      </c>
      <c r="FK3" s="5" t="inlineStr">
        <is>
          <t>IVOL_ASK</t>
        </is>
      </c>
      <c r="FL3" s="5" t="inlineStr">
        <is>
          <t>DELTA_MID</t>
        </is>
      </c>
      <c r="FM3" s="5" t="inlineStr">
        <is>
          <t>GAMMA_MID</t>
        </is>
      </c>
      <c r="FN3" s="5" t="inlineStr">
        <is>
          <t>VEGA_MID</t>
        </is>
      </c>
      <c r="FO3" s="5" t="inlineStr">
        <is>
          <t>THETA_MID</t>
        </is>
      </c>
      <c r="FP3" s="5" t="inlineStr">
        <is>
          <t>OPT_UNDL_PX</t>
        </is>
      </c>
      <c r="FR3" s="5" t="inlineStr">
        <is>
          <t>Date</t>
        </is>
      </c>
      <c r="FS3" s="5" t="inlineStr">
        <is>
          <t>PX_BID</t>
        </is>
      </c>
      <c r="FT3" s="5" t="inlineStr">
        <is>
          <t>PX_ASK</t>
        </is>
      </c>
      <c r="FU3" s="5" t="inlineStr">
        <is>
          <t>PX_MID</t>
        </is>
      </c>
      <c r="FV3" s="5" t="inlineStr">
        <is>
          <t>PX_LAST</t>
        </is>
      </c>
      <c r="FW3" s="5" t="inlineStr">
        <is>
          <t>PX_SETTLE</t>
        </is>
      </c>
      <c r="FX3" s="5" t="inlineStr">
        <is>
          <t>PX_VOLUME</t>
        </is>
      </c>
      <c r="FY3" s="5" t="inlineStr">
        <is>
          <t>OPEN_INT</t>
        </is>
      </c>
      <c r="FZ3" s="5" t="inlineStr">
        <is>
          <t>IVOL_MID</t>
        </is>
      </c>
      <c r="GA3" s="5" t="inlineStr">
        <is>
          <t>IVOL_BID</t>
        </is>
      </c>
      <c r="GB3" s="5" t="inlineStr">
        <is>
          <t>IVOL_ASK</t>
        </is>
      </c>
      <c r="GC3" s="5" t="inlineStr">
        <is>
          <t>DELTA_MID</t>
        </is>
      </c>
      <c r="GD3" s="5" t="inlineStr">
        <is>
          <t>GAMMA_MID</t>
        </is>
      </c>
      <c r="GE3" s="5" t="inlineStr">
        <is>
          <t>VEGA_MID</t>
        </is>
      </c>
      <c r="GF3" s="5" t="inlineStr">
        <is>
          <t>THETA_MID</t>
        </is>
      </c>
      <c r="GG3" s="5" t="inlineStr">
        <is>
          <t>OPT_UNDL_PX</t>
        </is>
      </c>
      <c r="GI3" s="5" t="inlineStr">
        <is>
          <t>Date</t>
        </is>
      </c>
      <c r="GJ3" s="5" t="inlineStr">
        <is>
          <t>PX_BID</t>
        </is>
      </c>
      <c r="GK3" s="5" t="inlineStr">
        <is>
          <t>PX_ASK</t>
        </is>
      </c>
      <c r="GL3" s="5" t="inlineStr">
        <is>
          <t>PX_MID</t>
        </is>
      </c>
      <c r="GM3" s="5" t="inlineStr">
        <is>
          <t>PX_LAST</t>
        </is>
      </c>
      <c r="GN3" s="5" t="inlineStr">
        <is>
          <t>PX_SETTLE</t>
        </is>
      </c>
      <c r="GO3" s="5" t="inlineStr">
        <is>
          <t>PX_VOLUME</t>
        </is>
      </c>
      <c r="GP3" s="5" t="inlineStr">
        <is>
          <t>OPEN_INT</t>
        </is>
      </c>
      <c r="GQ3" s="5" t="inlineStr">
        <is>
          <t>IVOL_MID</t>
        </is>
      </c>
      <c r="GR3" s="5" t="inlineStr">
        <is>
          <t>IVOL_BID</t>
        </is>
      </c>
      <c r="GS3" s="5" t="inlineStr">
        <is>
          <t>IVOL_ASK</t>
        </is>
      </c>
      <c r="GT3" s="5" t="inlineStr">
        <is>
          <t>DELTA_MID</t>
        </is>
      </c>
      <c r="GU3" s="5" t="inlineStr">
        <is>
          <t>GAMMA_MID</t>
        </is>
      </c>
      <c r="GV3" s="5" t="inlineStr">
        <is>
          <t>VEGA_MID</t>
        </is>
      </c>
      <c r="GW3" s="5" t="inlineStr">
        <is>
          <t>THETA_MID</t>
        </is>
      </c>
      <c r="GX3" s="5" t="inlineStr">
        <is>
          <t>OPT_UNDL_PX</t>
        </is>
      </c>
      <c r="GZ3" s="5" t="inlineStr">
        <is>
          <t>Date</t>
        </is>
      </c>
      <c r="HA3" s="5" t="inlineStr">
        <is>
          <t>PX_BID</t>
        </is>
      </c>
      <c r="HB3" s="5" t="inlineStr">
        <is>
          <t>PX_ASK</t>
        </is>
      </c>
      <c r="HC3" s="5" t="inlineStr">
        <is>
          <t>PX_MID</t>
        </is>
      </c>
      <c r="HD3" s="5" t="inlineStr">
        <is>
          <t>PX_LAST</t>
        </is>
      </c>
      <c r="HE3" s="5" t="inlineStr">
        <is>
          <t>PX_SETTLE</t>
        </is>
      </c>
      <c r="HF3" s="5" t="inlineStr">
        <is>
          <t>PX_VOLUME</t>
        </is>
      </c>
      <c r="HG3" s="5" t="inlineStr">
        <is>
          <t>OPEN_INT</t>
        </is>
      </c>
      <c r="HH3" s="5" t="inlineStr">
        <is>
          <t>IVOL_MID</t>
        </is>
      </c>
      <c r="HI3" s="5" t="inlineStr">
        <is>
          <t>IVOL_BID</t>
        </is>
      </c>
      <c r="HJ3" s="5" t="inlineStr">
        <is>
          <t>IVOL_ASK</t>
        </is>
      </c>
      <c r="HK3" s="5" t="inlineStr">
        <is>
          <t>DELTA_MID</t>
        </is>
      </c>
      <c r="HL3" s="5" t="inlineStr">
        <is>
          <t>GAMMA_MID</t>
        </is>
      </c>
      <c r="HM3" s="5" t="inlineStr">
        <is>
          <t>VEGA_MID</t>
        </is>
      </c>
      <c r="HN3" s="5" t="inlineStr">
        <is>
          <t>THETA_MID</t>
        </is>
      </c>
      <c r="HO3" s="5" t="inlineStr">
        <is>
          <t>OPT_UNDL_PX</t>
        </is>
      </c>
      <c r="HQ3" s="5" t="inlineStr">
        <is>
          <t>Date</t>
        </is>
      </c>
      <c r="HR3" s="5" t="inlineStr">
        <is>
          <t>PX_BID</t>
        </is>
      </c>
      <c r="HS3" s="5" t="inlineStr">
        <is>
          <t>PX_ASK</t>
        </is>
      </c>
      <c r="HT3" s="5" t="inlineStr">
        <is>
          <t>PX_MID</t>
        </is>
      </c>
      <c r="HU3" s="5" t="inlineStr">
        <is>
          <t>PX_LAST</t>
        </is>
      </c>
      <c r="HV3" s="5" t="inlineStr">
        <is>
          <t>PX_SETTLE</t>
        </is>
      </c>
      <c r="HW3" s="5" t="inlineStr">
        <is>
          <t>PX_VOLUME</t>
        </is>
      </c>
      <c r="HX3" s="5" t="inlineStr">
        <is>
          <t>OPEN_INT</t>
        </is>
      </c>
      <c r="HY3" s="5" t="inlineStr">
        <is>
          <t>IVOL_MID</t>
        </is>
      </c>
      <c r="HZ3" s="5" t="inlineStr">
        <is>
          <t>IVOL_BID</t>
        </is>
      </c>
      <c r="IA3" s="5" t="inlineStr">
        <is>
          <t>IVOL_ASK</t>
        </is>
      </c>
      <c r="IB3" s="5" t="inlineStr">
        <is>
          <t>DELTA_MID</t>
        </is>
      </c>
      <c r="IC3" s="5" t="inlineStr">
        <is>
          <t>GAMMA_MID</t>
        </is>
      </c>
      <c r="ID3" s="5" t="inlineStr">
        <is>
          <t>VEGA_MID</t>
        </is>
      </c>
      <c r="IE3" s="5" t="inlineStr">
        <is>
          <t>THETA_MID</t>
        </is>
      </c>
      <c r="IF3" s="5" t="inlineStr">
        <is>
          <t>OPT_UNDL_PX</t>
        </is>
      </c>
      <c r="IH3" s="5" t="inlineStr">
        <is>
          <t>Date</t>
        </is>
      </c>
      <c r="II3" s="5" t="inlineStr">
        <is>
          <t>PX_BID</t>
        </is>
      </c>
      <c r="IJ3" s="5" t="inlineStr">
        <is>
          <t>PX_ASK</t>
        </is>
      </c>
      <c r="IK3" s="5" t="inlineStr">
        <is>
          <t>PX_MID</t>
        </is>
      </c>
      <c r="IL3" s="5" t="inlineStr">
        <is>
          <t>PX_LAST</t>
        </is>
      </c>
      <c r="IM3" s="5" t="inlineStr">
        <is>
          <t>PX_SETTLE</t>
        </is>
      </c>
      <c r="IN3" s="5" t="inlineStr">
        <is>
          <t>PX_VOLUME</t>
        </is>
      </c>
      <c r="IO3" s="5" t="inlineStr">
        <is>
          <t>OPEN_INT</t>
        </is>
      </c>
      <c r="IP3" s="5" t="inlineStr">
        <is>
          <t>IVOL_MID</t>
        </is>
      </c>
      <c r="IQ3" s="5" t="inlineStr">
        <is>
          <t>IVOL_BID</t>
        </is>
      </c>
      <c r="IR3" s="5" t="inlineStr">
        <is>
          <t>IVOL_ASK</t>
        </is>
      </c>
      <c r="IS3" s="5" t="inlineStr">
        <is>
          <t>DELTA_MID</t>
        </is>
      </c>
      <c r="IT3" s="5" t="inlineStr">
        <is>
          <t>GAMMA_MID</t>
        </is>
      </c>
      <c r="IU3" s="5" t="inlineStr">
        <is>
          <t>VEGA_MID</t>
        </is>
      </c>
      <c r="IV3" s="5" t="inlineStr">
        <is>
          <t>THETA_MID</t>
        </is>
      </c>
      <c r="IW3" s="5" t="inlineStr">
        <is>
          <t>OPT_UNDL_PX</t>
        </is>
      </c>
      <c r="IY3" s="5" t="inlineStr">
        <is>
          <t>Date</t>
        </is>
      </c>
      <c r="IZ3" s="5" t="inlineStr">
        <is>
          <t>PX_BID</t>
        </is>
      </c>
      <c r="JA3" s="5" t="inlineStr">
        <is>
          <t>PX_ASK</t>
        </is>
      </c>
      <c r="JB3" s="5" t="inlineStr">
        <is>
          <t>PX_MID</t>
        </is>
      </c>
      <c r="JC3" s="5" t="inlineStr">
        <is>
          <t>PX_LAST</t>
        </is>
      </c>
      <c r="JD3" s="5" t="inlineStr">
        <is>
          <t>PX_SETTLE</t>
        </is>
      </c>
      <c r="JE3" s="5" t="inlineStr">
        <is>
          <t>PX_VOLUME</t>
        </is>
      </c>
      <c r="JF3" s="5" t="inlineStr">
        <is>
          <t>OPEN_INT</t>
        </is>
      </c>
      <c r="JG3" s="5" t="inlineStr">
        <is>
          <t>IVOL_MID</t>
        </is>
      </c>
      <c r="JH3" s="5" t="inlineStr">
        <is>
          <t>IVOL_BID</t>
        </is>
      </c>
      <c r="JI3" s="5" t="inlineStr">
        <is>
          <t>IVOL_ASK</t>
        </is>
      </c>
      <c r="JJ3" s="5" t="inlineStr">
        <is>
          <t>DELTA_MID</t>
        </is>
      </c>
      <c r="JK3" s="5" t="inlineStr">
        <is>
          <t>GAMMA_MID</t>
        </is>
      </c>
      <c r="JL3" s="5" t="inlineStr">
        <is>
          <t>VEGA_MID</t>
        </is>
      </c>
      <c r="JM3" s="5" t="inlineStr">
        <is>
          <t>THETA_MID</t>
        </is>
      </c>
      <c r="JN3" s="5" t="inlineStr">
        <is>
          <t>OPT_UNDL_PX</t>
        </is>
      </c>
      <c r="JP3" s="5" t="inlineStr">
        <is>
          <t>Date</t>
        </is>
      </c>
      <c r="JQ3" s="5" t="inlineStr">
        <is>
          <t>PX_BID</t>
        </is>
      </c>
      <c r="JR3" s="5" t="inlineStr">
        <is>
          <t>PX_ASK</t>
        </is>
      </c>
      <c r="JS3" s="5" t="inlineStr">
        <is>
          <t>PX_MID</t>
        </is>
      </c>
      <c r="JT3" s="5" t="inlineStr">
        <is>
          <t>PX_LAST</t>
        </is>
      </c>
      <c r="JU3" s="5" t="inlineStr">
        <is>
          <t>PX_SETTLE</t>
        </is>
      </c>
      <c r="JV3" s="5" t="inlineStr">
        <is>
          <t>PX_VOLUME</t>
        </is>
      </c>
      <c r="JW3" s="5" t="inlineStr">
        <is>
          <t>OPEN_INT</t>
        </is>
      </c>
      <c r="JX3" s="5" t="inlineStr">
        <is>
          <t>IVOL_MID</t>
        </is>
      </c>
      <c r="JY3" s="5" t="inlineStr">
        <is>
          <t>IVOL_BID</t>
        </is>
      </c>
      <c r="JZ3" s="5" t="inlineStr">
        <is>
          <t>IVOL_ASK</t>
        </is>
      </c>
      <c r="KA3" s="5" t="inlineStr">
        <is>
          <t>DELTA_MID</t>
        </is>
      </c>
      <c r="KB3" s="5" t="inlineStr">
        <is>
          <t>GAMMA_MID</t>
        </is>
      </c>
      <c r="KC3" s="5" t="inlineStr">
        <is>
          <t>VEGA_MID</t>
        </is>
      </c>
      <c r="KD3" s="5" t="inlineStr">
        <is>
          <t>THETA_MID</t>
        </is>
      </c>
      <c r="KE3" s="5" t="inlineStr">
        <is>
          <t>OPT_UNDL_PX</t>
        </is>
      </c>
      <c r="KG3" s="5" t="inlineStr">
        <is>
          <t>Date</t>
        </is>
      </c>
      <c r="KH3" s="5" t="inlineStr">
        <is>
          <t>PX_BID</t>
        </is>
      </c>
      <c r="KI3" s="5" t="inlineStr">
        <is>
          <t>PX_ASK</t>
        </is>
      </c>
      <c r="KJ3" s="5" t="inlineStr">
        <is>
          <t>PX_MID</t>
        </is>
      </c>
      <c r="KK3" s="5" t="inlineStr">
        <is>
          <t>PX_LAST</t>
        </is>
      </c>
      <c r="KL3" s="5" t="inlineStr">
        <is>
          <t>PX_SETTLE</t>
        </is>
      </c>
      <c r="KM3" s="5" t="inlineStr">
        <is>
          <t>PX_VOLUME</t>
        </is>
      </c>
      <c r="KN3" s="5" t="inlineStr">
        <is>
          <t>OPEN_INT</t>
        </is>
      </c>
      <c r="KO3" s="5" t="inlineStr">
        <is>
          <t>IVOL_MID</t>
        </is>
      </c>
      <c r="KP3" s="5" t="inlineStr">
        <is>
          <t>IVOL_BID</t>
        </is>
      </c>
      <c r="KQ3" s="5" t="inlineStr">
        <is>
          <t>IVOL_ASK</t>
        </is>
      </c>
      <c r="KR3" s="5" t="inlineStr">
        <is>
          <t>DELTA_MID</t>
        </is>
      </c>
      <c r="KS3" s="5" t="inlineStr">
        <is>
          <t>GAMMA_MID</t>
        </is>
      </c>
      <c r="KT3" s="5" t="inlineStr">
        <is>
          <t>VEGA_MID</t>
        </is>
      </c>
      <c r="KU3" s="5" t="inlineStr">
        <is>
          <t>THETA_MID</t>
        </is>
      </c>
      <c r="KV3" s="5" t="inlineStr">
        <is>
          <t>OPT_UNDL_PX</t>
        </is>
      </c>
      <c r="KX3" s="5" t="inlineStr">
        <is>
          <t>Date</t>
        </is>
      </c>
      <c r="KY3" s="5" t="inlineStr">
        <is>
          <t>PX_BID</t>
        </is>
      </c>
      <c r="KZ3" s="5" t="inlineStr">
        <is>
          <t>PX_ASK</t>
        </is>
      </c>
      <c r="LA3" s="5" t="inlineStr">
        <is>
          <t>PX_MID</t>
        </is>
      </c>
      <c r="LB3" s="5" t="inlineStr">
        <is>
          <t>PX_LAST</t>
        </is>
      </c>
      <c r="LC3" s="5" t="inlineStr">
        <is>
          <t>PX_SETTLE</t>
        </is>
      </c>
      <c r="LD3" s="5" t="inlineStr">
        <is>
          <t>PX_VOLUME</t>
        </is>
      </c>
      <c r="LE3" s="5" t="inlineStr">
        <is>
          <t>OPEN_INT</t>
        </is>
      </c>
      <c r="LF3" s="5" t="inlineStr">
        <is>
          <t>IVOL_MID</t>
        </is>
      </c>
      <c r="LG3" s="5" t="inlineStr">
        <is>
          <t>IVOL_BID</t>
        </is>
      </c>
      <c r="LH3" s="5" t="inlineStr">
        <is>
          <t>IVOL_ASK</t>
        </is>
      </c>
      <c r="LI3" s="5" t="inlineStr">
        <is>
          <t>DELTA_MID</t>
        </is>
      </c>
      <c r="LJ3" s="5" t="inlineStr">
        <is>
          <t>GAMMA_MID</t>
        </is>
      </c>
      <c r="LK3" s="5" t="inlineStr">
        <is>
          <t>VEGA_MID</t>
        </is>
      </c>
      <c r="LL3" s="5" t="inlineStr">
        <is>
          <t>THETA_MID</t>
        </is>
      </c>
      <c r="LM3" s="5" t="inlineStr">
        <is>
          <t>OPT_UNDL_PX</t>
        </is>
      </c>
      <c r="LO3" s="5" t="inlineStr">
        <is>
          <t>Date</t>
        </is>
      </c>
      <c r="LP3" s="5" t="inlineStr">
        <is>
          <t>PX_BID</t>
        </is>
      </c>
      <c r="LQ3" s="5" t="inlineStr">
        <is>
          <t>PX_ASK</t>
        </is>
      </c>
      <c r="LR3" s="5" t="inlineStr">
        <is>
          <t>PX_MID</t>
        </is>
      </c>
      <c r="LS3" s="5" t="inlineStr">
        <is>
          <t>PX_LAST</t>
        </is>
      </c>
      <c r="LT3" s="5" t="inlineStr">
        <is>
          <t>PX_SETTLE</t>
        </is>
      </c>
      <c r="LU3" s="5" t="inlineStr">
        <is>
          <t>PX_VOLUME</t>
        </is>
      </c>
      <c r="LV3" s="5" t="inlineStr">
        <is>
          <t>OPEN_INT</t>
        </is>
      </c>
      <c r="LW3" s="5" t="inlineStr">
        <is>
          <t>IVOL_MID</t>
        </is>
      </c>
      <c r="LX3" s="5" t="inlineStr">
        <is>
          <t>IVOL_BID</t>
        </is>
      </c>
      <c r="LY3" s="5" t="inlineStr">
        <is>
          <t>IVOL_ASK</t>
        </is>
      </c>
      <c r="LZ3" s="5" t="inlineStr">
        <is>
          <t>DELTA_MID</t>
        </is>
      </c>
      <c r="MA3" s="5" t="inlineStr">
        <is>
          <t>GAMMA_MID</t>
        </is>
      </c>
      <c r="MB3" s="5" t="inlineStr">
        <is>
          <t>VEGA_MID</t>
        </is>
      </c>
      <c r="MC3" s="5" t="inlineStr">
        <is>
          <t>THETA_MID</t>
        </is>
      </c>
      <c r="MD3" s="5" t="inlineStr">
        <is>
          <t>OPT_UNDL_PX</t>
        </is>
      </c>
      <c r="MF3" s="5" t="inlineStr">
        <is>
          <t>Date</t>
        </is>
      </c>
      <c r="MG3" s="5" t="inlineStr">
        <is>
          <t>PX_BID</t>
        </is>
      </c>
      <c r="MH3" s="5" t="inlineStr">
        <is>
          <t>PX_ASK</t>
        </is>
      </c>
      <c r="MI3" s="5" t="inlineStr">
        <is>
          <t>PX_MID</t>
        </is>
      </c>
      <c r="MJ3" s="5" t="inlineStr">
        <is>
          <t>PX_LAST</t>
        </is>
      </c>
      <c r="MK3" s="5" t="inlineStr">
        <is>
          <t>PX_SETTLE</t>
        </is>
      </c>
      <c r="ML3" s="5" t="inlineStr">
        <is>
          <t>PX_VOLUME</t>
        </is>
      </c>
      <c r="MM3" s="5" t="inlineStr">
        <is>
          <t>OPEN_INT</t>
        </is>
      </c>
      <c r="MN3" s="5" t="inlineStr">
        <is>
          <t>IVOL_MID</t>
        </is>
      </c>
      <c r="MO3" s="5" t="inlineStr">
        <is>
          <t>IVOL_BID</t>
        </is>
      </c>
      <c r="MP3" s="5" t="inlineStr">
        <is>
          <t>IVOL_ASK</t>
        </is>
      </c>
      <c r="MQ3" s="5" t="inlineStr">
        <is>
          <t>DELTA_MID</t>
        </is>
      </c>
      <c r="MR3" s="5" t="inlineStr">
        <is>
          <t>GAMMA_MID</t>
        </is>
      </c>
      <c r="MS3" s="5" t="inlineStr">
        <is>
          <t>VEGA_MID</t>
        </is>
      </c>
      <c r="MT3" s="5" t="inlineStr">
        <is>
          <t>THETA_MID</t>
        </is>
      </c>
      <c r="MU3" s="5" t="inlineStr">
        <is>
          <t>OPT_UNDL_PX</t>
        </is>
      </c>
      <c r="MW3" s="5" t="inlineStr">
        <is>
          <t>Date</t>
        </is>
      </c>
      <c r="MX3" s="5" t="inlineStr">
        <is>
          <t>PX_BID</t>
        </is>
      </c>
      <c r="MY3" s="5" t="inlineStr">
        <is>
          <t>PX_ASK</t>
        </is>
      </c>
      <c r="MZ3" s="5" t="inlineStr">
        <is>
          <t>PX_MID</t>
        </is>
      </c>
      <c r="NA3" s="5" t="inlineStr">
        <is>
          <t>PX_LAST</t>
        </is>
      </c>
      <c r="NB3" s="5" t="inlineStr">
        <is>
          <t>PX_SETTLE</t>
        </is>
      </c>
      <c r="NC3" s="5" t="inlineStr">
        <is>
          <t>PX_VOLUME</t>
        </is>
      </c>
      <c r="ND3" s="5" t="inlineStr">
        <is>
          <t>OPEN_INT</t>
        </is>
      </c>
      <c r="NE3" s="5" t="inlineStr">
        <is>
          <t>IVOL_MID</t>
        </is>
      </c>
      <c r="NF3" s="5" t="inlineStr">
        <is>
          <t>IVOL_BID</t>
        </is>
      </c>
      <c r="NG3" s="5" t="inlineStr">
        <is>
          <t>IVOL_ASK</t>
        </is>
      </c>
      <c r="NH3" s="5" t="inlineStr">
        <is>
          <t>DELTA_MID</t>
        </is>
      </c>
      <c r="NI3" s="5" t="inlineStr">
        <is>
          <t>GAMMA_MID</t>
        </is>
      </c>
      <c r="NJ3" s="5" t="inlineStr">
        <is>
          <t>VEGA_MID</t>
        </is>
      </c>
      <c r="NK3" s="5" t="inlineStr">
        <is>
          <t>THETA_MID</t>
        </is>
      </c>
      <c r="NL3" s="5" t="inlineStr">
        <is>
          <t>OPT_UNDL_PX</t>
        </is>
      </c>
      <c r="NN3" s="5" t="inlineStr">
        <is>
          <t>Date</t>
        </is>
      </c>
      <c r="NO3" s="5" t="inlineStr">
        <is>
          <t>PX_BID</t>
        </is>
      </c>
      <c r="NP3" s="5" t="inlineStr">
        <is>
          <t>PX_ASK</t>
        </is>
      </c>
      <c r="NQ3" s="5" t="inlineStr">
        <is>
          <t>PX_MID</t>
        </is>
      </c>
      <c r="NR3" s="5" t="inlineStr">
        <is>
          <t>PX_LAST</t>
        </is>
      </c>
      <c r="NS3" s="5" t="inlineStr">
        <is>
          <t>PX_SETTLE</t>
        </is>
      </c>
      <c r="NT3" s="5" t="inlineStr">
        <is>
          <t>PX_VOLUME</t>
        </is>
      </c>
      <c r="NU3" s="5" t="inlineStr">
        <is>
          <t>OPEN_INT</t>
        </is>
      </c>
      <c r="NV3" s="5" t="inlineStr">
        <is>
          <t>IVOL_MID</t>
        </is>
      </c>
      <c r="NW3" s="5" t="inlineStr">
        <is>
          <t>IVOL_BID</t>
        </is>
      </c>
      <c r="NX3" s="5" t="inlineStr">
        <is>
          <t>IVOL_ASK</t>
        </is>
      </c>
      <c r="NY3" s="5" t="inlineStr">
        <is>
          <t>DELTA_MID</t>
        </is>
      </c>
      <c r="NZ3" s="5" t="inlineStr">
        <is>
          <t>GAMMA_MID</t>
        </is>
      </c>
      <c r="OA3" s="5" t="inlineStr">
        <is>
          <t>VEGA_MID</t>
        </is>
      </c>
      <c r="OB3" s="5" t="inlineStr">
        <is>
          <t>THETA_MID</t>
        </is>
      </c>
      <c r="OC3" s="5" t="inlineStr">
        <is>
          <t>OPT_UNDL_PX</t>
        </is>
      </c>
      <c r="OE3" s="5" t="inlineStr">
        <is>
          <t>Date</t>
        </is>
      </c>
      <c r="OF3" s="5" t="inlineStr">
        <is>
          <t>PX_BID</t>
        </is>
      </c>
      <c r="OG3" s="5" t="inlineStr">
        <is>
          <t>PX_ASK</t>
        </is>
      </c>
      <c r="OH3" s="5" t="inlineStr">
        <is>
          <t>PX_MID</t>
        </is>
      </c>
      <c r="OI3" s="5" t="inlineStr">
        <is>
          <t>PX_LAST</t>
        </is>
      </c>
      <c r="OJ3" s="5" t="inlineStr">
        <is>
          <t>PX_SETTLE</t>
        </is>
      </c>
      <c r="OK3" s="5" t="inlineStr">
        <is>
          <t>PX_VOLUME</t>
        </is>
      </c>
      <c r="OL3" s="5" t="inlineStr">
        <is>
          <t>OPEN_INT</t>
        </is>
      </c>
      <c r="OM3" s="5" t="inlineStr">
        <is>
          <t>IVOL_MID</t>
        </is>
      </c>
      <c r="ON3" s="5" t="inlineStr">
        <is>
          <t>IVOL_BID</t>
        </is>
      </c>
      <c r="OO3" s="5" t="inlineStr">
        <is>
          <t>IVOL_ASK</t>
        </is>
      </c>
      <c r="OP3" s="5" t="inlineStr">
        <is>
          <t>DELTA_MID</t>
        </is>
      </c>
      <c r="OQ3" s="5" t="inlineStr">
        <is>
          <t>GAMMA_MID</t>
        </is>
      </c>
      <c r="OR3" s="5" t="inlineStr">
        <is>
          <t>VEGA_MID</t>
        </is>
      </c>
      <c r="OS3" s="5" t="inlineStr">
        <is>
          <t>THETA_MID</t>
        </is>
      </c>
      <c r="OT3" s="5" t="inlineStr">
        <is>
          <t>OPT_UNDL_PX</t>
        </is>
      </c>
      <c r="OV3" s="5" t="inlineStr">
        <is>
          <t>Date</t>
        </is>
      </c>
      <c r="OW3" s="5" t="inlineStr">
        <is>
          <t>PX_BID</t>
        </is>
      </c>
      <c r="OX3" s="5" t="inlineStr">
        <is>
          <t>PX_ASK</t>
        </is>
      </c>
      <c r="OY3" s="5" t="inlineStr">
        <is>
          <t>PX_MID</t>
        </is>
      </c>
      <c r="OZ3" s="5" t="inlineStr">
        <is>
          <t>PX_LAST</t>
        </is>
      </c>
      <c r="PA3" s="5" t="inlineStr">
        <is>
          <t>PX_SETTLE</t>
        </is>
      </c>
      <c r="PB3" s="5" t="inlineStr">
        <is>
          <t>PX_VOLUME</t>
        </is>
      </c>
      <c r="PC3" s="5" t="inlineStr">
        <is>
          <t>OPEN_INT</t>
        </is>
      </c>
      <c r="PD3" s="5" t="inlineStr">
        <is>
          <t>IVOL_MID</t>
        </is>
      </c>
      <c r="PE3" s="5" t="inlineStr">
        <is>
          <t>IVOL_BID</t>
        </is>
      </c>
      <c r="PF3" s="5" t="inlineStr">
        <is>
          <t>IVOL_ASK</t>
        </is>
      </c>
      <c r="PG3" s="5" t="inlineStr">
        <is>
          <t>DELTA_MID</t>
        </is>
      </c>
      <c r="PH3" s="5" t="inlineStr">
        <is>
          <t>GAMMA_MID</t>
        </is>
      </c>
      <c r="PI3" s="5" t="inlineStr">
        <is>
          <t>VEGA_MID</t>
        </is>
      </c>
      <c r="PJ3" s="5" t="inlineStr">
        <is>
          <t>THETA_MID</t>
        </is>
      </c>
      <c r="PK3" s="5" t="inlineStr">
        <is>
          <t>OPT_UNDL_PX</t>
        </is>
      </c>
      <c r="PM3" s="5" t="inlineStr">
        <is>
          <t>Date</t>
        </is>
      </c>
      <c r="PN3" s="5" t="inlineStr">
        <is>
          <t>PX_BID</t>
        </is>
      </c>
      <c r="PO3" s="5" t="inlineStr">
        <is>
          <t>PX_ASK</t>
        </is>
      </c>
      <c r="PP3" s="5" t="inlineStr">
        <is>
          <t>PX_MID</t>
        </is>
      </c>
      <c r="PQ3" s="5" t="inlineStr">
        <is>
          <t>PX_LAST</t>
        </is>
      </c>
      <c r="PR3" s="5" t="inlineStr">
        <is>
          <t>PX_SETTLE</t>
        </is>
      </c>
      <c r="PS3" s="5" t="inlineStr">
        <is>
          <t>PX_VOLUME</t>
        </is>
      </c>
      <c r="PT3" s="5" t="inlineStr">
        <is>
          <t>OPEN_INT</t>
        </is>
      </c>
      <c r="PU3" s="5" t="inlineStr">
        <is>
          <t>IVOL_MID</t>
        </is>
      </c>
      <c r="PV3" s="5" t="inlineStr">
        <is>
          <t>IVOL_BID</t>
        </is>
      </c>
      <c r="PW3" s="5" t="inlineStr">
        <is>
          <t>IVOL_ASK</t>
        </is>
      </c>
      <c r="PX3" s="5" t="inlineStr">
        <is>
          <t>DELTA_MID</t>
        </is>
      </c>
      <c r="PY3" s="5" t="inlineStr">
        <is>
          <t>GAMMA_MID</t>
        </is>
      </c>
      <c r="PZ3" s="5" t="inlineStr">
        <is>
          <t>VEGA_MID</t>
        </is>
      </c>
      <c r="QA3" s="5" t="inlineStr">
        <is>
          <t>THETA_MID</t>
        </is>
      </c>
      <c r="QB3" s="5" t="inlineStr">
        <is>
          <t>OPT_UNDL_PX</t>
        </is>
      </c>
      <c r="QD3" s="5" t="inlineStr">
        <is>
          <t>Date</t>
        </is>
      </c>
      <c r="QE3" s="5" t="inlineStr">
        <is>
          <t>PX_BID</t>
        </is>
      </c>
      <c r="QF3" s="5" t="inlineStr">
        <is>
          <t>PX_ASK</t>
        </is>
      </c>
      <c r="QG3" s="5" t="inlineStr">
        <is>
          <t>PX_MID</t>
        </is>
      </c>
      <c r="QH3" s="5" t="inlineStr">
        <is>
          <t>PX_LAST</t>
        </is>
      </c>
      <c r="QI3" s="5" t="inlineStr">
        <is>
          <t>PX_SETTLE</t>
        </is>
      </c>
      <c r="QJ3" s="5" t="inlineStr">
        <is>
          <t>PX_VOLUME</t>
        </is>
      </c>
      <c r="QK3" s="5" t="inlineStr">
        <is>
          <t>OPEN_INT</t>
        </is>
      </c>
      <c r="QL3" s="5" t="inlineStr">
        <is>
          <t>IVOL_MID</t>
        </is>
      </c>
      <c r="QM3" s="5" t="inlineStr">
        <is>
          <t>IVOL_BID</t>
        </is>
      </c>
      <c r="QN3" s="5" t="inlineStr">
        <is>
          <t>IVOL_ASK</t>
        </is>
      </c>
      <c r="QO3" s="5" t="inlineStr">
        <is>
          <t>DELTA_MID</t>
        </is>
      </c>
      <c r="QP3" s="5" t="inlineStr">
        <is>
          <t>GAMMA_MID</t>
        </is>
      </c>
      <c r="QQ3" s="5" t="inlineStr">
        <is>
          <t>VEGA_MID</t>
        </is>
      </c>
      <c r="QR3" s="5" t="inlineStr">
        <is>
          <t>THETA_MID</t>
        </is>
      </c>
      <c r="QS3" s="5" t="inlineStr">
        <is>
          <t>OPT_UNDL_PX</t>
        </is>
      </c>
      <c r="QU3" s="5" t="inlineStr">
        <is>
          <t>Date</t>
        </is>
      </c>
      <c r="QV3" s="5" t="inlineStr">
        <is>
          <t>PX_BID</t>
        </is>
      </c>
      <c r="QW3" s="5" t="inlineStr">
        <is>
          <t>PX_ASK</t>
        </is>
      </c>
      <c r="QX3" s="5" t="inlineStr">
        <is>
          <t>PX_MID</t>
        </is>
      </c>
      <c r="QY3" s="5" t="inlineStr">
        <is>
          <t>PX_LAST</t>
        </is>
      </c>
      <c r="QZ3" s="5" t="inlineStr">
        <is>
          <t>PX_SETTLE</t>
        </is>
      </c>
      <c r="RA3" s="5" t="inlineStr">
        <is>
          <t>PX_VOLUME</t>
        </is>
      </c>
      <c r="RB3" s="5" t="inlineStr">
        <is>
          <t>OPEN_INT</t>
        </is>
      </c>
      <c r="RC3" s="5" t="inlineStr">
        <is>
          <t>IVOL_MID</t>
        </is>
      </c>
      <c r="RD3" s="5" t="inlineStr">
        <is>
          <t>IVOL_BID</t>
        </is>
      </c>
      <c r="RE3" s="5" t="inlineStr">
        <is>
          <t>IVOL_ASK</t>
        </is>
      </c>
      <c r="RF3" s="5" t="inlineStr">
        <is>
          <t>DELTA_MID</t>
        </is>
      </c>
      <c r="RG3" s="5" t="inlineStr">
        <is>
          <t>GAMMA_MID</t>
        </is>
      </c>
      <c r="RH3" s="5" t="inlineStr">
        <is>
          <t>VEGA_MID</t>
        </is>
      </c>
      <c r="RI3" s="5" t="inlineStr">
        <is>
          <t>THETA_MID</t>
        </is>
      </c>
      <c r="RJ3" s="5" t="inlineStr">
        <is>
          <t>OPT_UNDL_PX</t>
        </is>
      </c>
      <c r="RL3" s="5" t="inlineStr">
        <is>
          <t>Date</t>
        </is>
      </c>
      <c r="RM3" s="5" t="inlineStr">
        <is>
          <t>PX_BID</t>
        </is>
      </c>
      <c r="RN3" s="5" t="inlineStr">
        <is>
          <t>PX_ASK</t>
        </is>
      </c>
      <c r="RO3" s="5" t="inlineStr">
        <is>
          <t>PX_MID</t>
        </is>
      </c>
      <c r="RP3" s="5" t="inlineStr">
        <is>
          <t>PX_LAST</t>
        </is>
      </c>
      <c r="RQ3" s="5" t="inlineStr">
        <is>
          <t>PX_SETTLE</t>
        </is>
      </c>
      <c r="RR3" s="5" t="inlineStr">
        <is>
          <t>PX_VOLUME</t>
        </is>
      </c>
      <c r="RS3" s="5" t="inlineStr">
        <is>
          <t>OPEN_INT</t>
        </is>
      </c>
      <c r="RT3" s="5" t="inlineStr">
        <is>
          <t>IVOL_MID</t>
        </is>
      </c>
      <c r="RU3" s="5" t="inlineStr">
        <is>
          <t>IVOL_BID</t>
        </is>
      </c>
      <c r="RV3" s="5" t="inlineStr">
        <is>
          <t>IVOL_ASK</t>
        </is>
      </c>
      <c r="RW3" s="5" t="inlineStr">
        <is>
          <t>DELTA_MID</t>
        </is>
      </c>
      <c r="RX3" s="5" t="inlineStr">
        <is>
          <t>GAMMA_MID</t>
        </is>
      </c>
      <c r="RY3" s="5" t="inlineStr">
        <is>
          <t>VEGA_MID</t>
        </is>
      </c>
      <c r="RZ3" s="5" t="inlineStr">
        <is>
          <t>THETA_MID</t>
        </is>
      </c>
      <c r="SA3" s="5" t="inlineStr">
        <is>
          <t>OPT_UNDL_PX</t>
        </is>
      </c>
      <c r="SC3" s="5" t="inlineStr">
        <is>
          <t>Date</t>
        </is>
      </c>
      <c r="SD3" s="5" t="inlineStr">
        <is>
          <t>PX_BID</t>
        </is>
      </c>
      <c r="SE3" s="5" t="inlineStr">
        <is>
          <t>PX_ASK</t>
        </is>
      </c>
      <c r="SF3" s="5" t="inlineStr">
        <is>
          <t>PX_MID</t>
        </is>
      </c>
      <c r="SG3" s="5" t="inlineStr">
        <is>
          <t>PX_LAST</t>
        </is>
      </c>
      <c r="SH3" s="5" t="inlineStr">
        <is>
          <t>PX_SETTLE</t>
        </is>
      </c>
      <c r="SI3" s="5" t="inlineStr">
        <is>
          <t>PX_VOLUME</t>
        </is>
      </c>
      <c r="SJ3" s="5" t="inlineStr">
        <is>
          <t>OPEN_INT</t>
        </is>
      </c>
      <c r="SK3" s="5" t="inlineStr">
        <is>
          <t>IVOL_MID</t>
        </is>
      </c>
      <c r="SL3" s="5" t="inlineStr">
        <is>
          <t>IVOL_BID</t>
        </is>
      </c>
      <c r="SM3" s="5" t="inlineStr">
        <is>
          <t>IVOL_ASK</t>
        </is>
      </c>
      <c r="SN3" s="5" t="inlineStr">
        <is>
          <t>DELTA_MID</t>
        </is>
      </c>
      <c r="SO3" s="5" t="inlineStr">
        <is>
          <t>GAMMA_MID</t>
        </is>
      </c>
      <c r="SP3" s="5" t="inlineStr">
        <is>
          <t>VEGA_MID</t>
        </is>
      </c>
      <c r="SQ3" s="5" t="inlineStr">
        <is>
          <t>THETA_MID</t>
        </is>
      </c>
      <c r="SR3" s="5" t="inlineStr">
        <is>
          <t>OPT_UNDL_PX</t>
        </is>
      </c>
      <c r="ST3" s="5" t="inlineStr">
        <is>
          <t>Date</t>
        </is>
      </c>
      <c r="SU3" s="5" t="inlineStr">
        <is>
          <t>PX_BID</t>
        </is>
      </c>
      <c r="SV3" s="5" t="inlineStr">
        <is>
          <t>PX_ASK</t>
        </is>
      </c>
      <c r="SW3" s="5" t="inlineStr">
        <is>
          <t>PX_MID</t>
        </is>
      </c>
      <c r="SX3" s="5" t="inlineStr">
        <is>
          <t>PX_LAST</t>
        </is>
      </c>
      <c r="SY3" s="5" t="inlineStr">
        <is>
          <t>PX_SETTLE</t>
        </is>
      </c>
      <c r="SZ3" s="5" t="inlineStr">
        <is>
          <t>PX_VOLUME</t>
        </is>
      </c>
      <c r="TA3" s="5" t="inlineStr">
        <is>
          <t>OPEN_INT</t>
        </is>
      </c>
      <c r="TB3" s="5" t="inlineStr">
        <is>
          <t>IVOL_MID</t>
        </is>
      </c>
      <c r="TC3" s="5" t="inlineStr">
        <is>
          <t>IVOL_BID</t>
        </is>
      </c>
      <c r="TD3" s="5" t="inlineStr">
        <is>
          <t>IVOL_ASK</t>
        </is>
      </c>
      <c r="TE3" s="5" t="inlineStr">
        <is>
          <t>DELTA_MID</t>
        </is>
      </c>
      <c r="TF3" s="5" t="inlineStr">
        <is>
          <t>GAMMA_MID</t>
        </is>
      </c>
      <c r="TG3" s="5" t="inlineStr">
        <is>
          <t>VEGA_MID</t>
        </is>
      </c>
      <c r="TH3" s="5" t="inlineStr">
        <is>
          <t>THETA_MID</t>
        </is>
      </c>
      <c r="TI3" s="5" t="inlineStr">
        <is>
          <t>OPT_UNDL_PX</t>
        </is>
      </c>
      <c r="TK3" s="5" t="inlineStr">
        <is>
          <t>Date</t>
        </is>
      </c>
      <c r="TL3" s="5" t="inlineStr">
        <is>
          <t>PX_BID</t>
        </is>
      </c>
      <c r="TM3" s="5" t="inlineStr">
        <is>
          <t>PX_ASK</t>
        </is>
      </c>
      <c r="TN3" s="5" t="inlineStr">
        <is>
          <t>PX_MID</t>
        </is>
      </c>
      <c r="TO3" s="5" t="inlineStr">
        <is>
          <t>PX_LAST</t>
        </is>
      </c>
      <c r="TP3" s="5" t="inlineStr">
        <is>
          <t>PX_SETTLE</t>
        </is>
      </c>
      <c r="TQ3" s="5" t="inlineStr">
        <is>
          <t>PX_VOLUME</t>
        </is>
      </c>
      <c r="TR3" s="5" t="inlineStr">
        <is>
          <t>OPEN_INT</t>
        </is>
      </c>
      <c r="TS3" s="5" t="inlineStr">
        <is>
          <t>IVOL_MID</t>
        </is>
      </c>
      <c r="TT3" s="5" t="inlineStr">
        <is>
          <t>IVOL_BID</t>
        </is>
      </c>
      <c r="TU3" s="5" t="inlineStr">
        <is>
          <t>IVOL_ASK</t>
        </is>
      </c>
      <c r="TV3" s="5" t="inlineStr">
        <is>
          <t>DELTA_MID</t>
        </is>
      </c>
      <c r="TW3" s="5" t="inlineStr">
        <is>
          <t>GAMMA_MID</t>
        </is>
      </c>
      <c r="TX3" s="5" t="inlineStr">
        <is>
          <t>VEGA_MID</t>
        </is>
      </c>
      <c r="TY3" s="5" t="inlineStr">
        <is>
          <t>THETA_MID</t>
        </is>
      </c>
      <c r="TZ3" s="5" t="inlineStr">
        <is>
          <t>OPT_UNDL_PX</t>
        </is>
      </c>
      <c r="UB3" s="5" t="inlineStr">
        <is>
          <t>Date</t>
        </is>
      </c>
      <c r="UC3" s="5" t="inlineStr">
        <is>
          <t>PX_BID</t>
        </is>
      </c>
      <c r="UD3" s="5" t="inlineStr">
        <is>
          <t>PX_ASK</t>
        </is>
      </c>
      <c r="UE3" s="5" t="inlineStr">
        <is>
          <t>PX_MID</t>
        </is>
      </c>
      <c r="UF3" s="5" t="inlineStr">
        <is>
          <t>PX_LAST</t>
        </is>
      </c>
      <c r="UG3" s="5" t="inlineStr">
        <is>
          <t>PX_SETTLE</t>
        </is>
      </c>
      <c r="UH3" s="5" t="inlineStr">
        <is>
          <t>PX_VOLUME</t>
        </is>
      </c>
      <c r="UI3" s="5" t="inlineStr">
        <is>
          <t>OPEN_INT</t>
        </is>
      </c>
      <c r="UJ3" s="5" t="inlineStr">
        <is>
          <t>IVOL_MID</t>
        </is>
      </c>
      <c r="UK3" s="5" t="inlineStr">
        <is>
          <t>IVOL_BID</t>
        </is>
      </c>
      <c r="UL3" s="5" t="inlineStr">
        <is>
          <t>IVOL_ASK</t>
        </is>
      </c>
      <c r="UM3" s="5" t="inlineStr">
        <is>
          <t>DELTA_MID</t>
        </is>
      </c>
      <c r="UN3" s="5" t="inlineStr">
        <is>
          <t>GAMMA_MID</t>
        </is>
      </c>
      <c r="UO3" s="5" t="inlineStr">
        <is>
          <t>VEGA_MID</t>
        </is>
      </c>
      <c r="UP3" s="5" t="inlineStr">
        <is>
          <t>THETA_MID</t>
        </is>
      </c>
      <c r="UQ3" s="5" t="inlineStr">
        <is>
          <t>OPT_UNDL_PX</t>
        </is>
      </c>
      <c r="US3" s="5" t="inlineStr">
        <is>
          <t>Date</t>
        </is>
      </c>
      <c r="UT3" s="5" t="inlineStr">
        <is>
          <t>PX_BID</t>
        </is>
      </c>
      <c r="UU3" s="5" t="inlineStr">
        <is>
          <t>PX_ASK</t>
        </is>
      </c>
      <c r="UV3" s="5" t="inlineStr">
        <is>
          <t>PX_MID</t>
        </is>
      </c>
      <c r="UW3" s="5" t="inlineStr">
        <is>
          <t>PX_LAST</t>
        </is>
      </c>
      <c r="UX3" s="5" t="inlineStr">
        <is>
          <t>PX_SETTLE</t>
        </is>
      </c>
      <c r="UY3" s="5" t="inlineStr">
        <is>
          <t>PX_VOLUME</t>
        </is>
      </c>
      <c r="UZ3" s="5" t="inlineStr">
        <is>
          <t>OPEN_INT</t>
        </is>
      </c>
      <c r="VA3" s="5" t="inlineStr">
        <is>
          <t>IVOL_MID</t>
        </is>
      </c>
      <c r="VB3" s="5" t="inlineStr">
        <is>
          <t>IVOL_BID</t>
        </is>
      </c>
      <c r="VC3" s="5" t="inlineStr">
        <is>
          <t>IVOL_ASK</t>
        </is>
      </c>
      <c r="VD3" s="5" t="inlineStr">
        <is>
          <t>DELTA_MID</t>
        </is>
      </c>
      <c r="VE3" s="5" t="inlineStr">
        <is>
          <t>GAMMA_MID</t>
        </is>
      </c>
      <c r="VF3" s="5" t="inlineStr">
        <is>
          <t>VEGA_MID</t>
        </is>
      </c>
      <c r="VG3" s="5" t="inlineStr">
        <is>
          <t>THETA_MID</t>
        </is>
      </c>
      <c r="VH3" s="5" t="inlineStr">
        <is>
          <t>OPT_UNDL_PX</t>
        </is>
      </c>
    </row>
    <row r="4">
      <c r="A4" s="2" t="inlineStr">
        <is>
          <t>Year in ticker</t>
        </is>
      </c>
      <c r="B4" s="4">
        <f>IF(B2&lt;Settings!$B$3,TEXT(MOD(Settings!$E$14,100),"00"),TEXT(MOD(Settings!$E$14,10),"0"))</f>
        <v/>
      </c>
      <c r="D4" s="4">
        <f>BDH(D$1,E$3:S$3,$B$9,$B$10,"Dir=V","Dts=S","Sort=A","Days=T","Fill=B")</f>
        <v/>
      </c>
      <c r="U4" s="4">
        <f>BDH(U$1,V$3:AJ$3,$B$9,$B$10,"Dir=V","Dts=S","Sort=A","Days=T","Fill=B")</f>
        <v/>
      </c>
      <c r="AL4" s="4">
        <f>BDH(AL$1,AM$3:BA$3,$B$9,$B$10,"Dir=V","Dts=S","Sort=A","Days=T","Fill=B")</f>
        <v/>
      </c>
      <c r="BC4" s="4">
        <f>BDH(BC$1,BD$3:BR$3,$B$9,$B$10,"Dir=V","Dts=S","Sort=A","Days=T","Fill=B")</f>
        <v/>
      </c>
      <c r="BT4" s="4">
        <f>BDH(BT$1,BU$3:CI$3,$B$9,$B$10,"Dir=V","Dts=S","Sort=A","Days=T","Fill=B")</f>
        <v/>
      </c>
      <c r="CK4" s="4">
        <f>BDH(CK$1,CL$3:CZ$3,$B$9,$B$10,"Dir=V","Dts=S","Sort=A","Days=T","Fill=B")</f>
        <v/>
      </c>
      <c r="DB4" s="4">
        <f>BDH(DB$1,DC$3:DQ$3,$B$9,$B$10,"Dir=V","Dts=S","Sort=A","Days=T","Fill=B")</f>
        <v/>
      </c>
      <c r="DS4" s="4">
        <f>BDH(DS$1,DT$3:EH$3,$B$9,$B$10,"Dir=V","Dts=S","Sort=A","Days=T","Fill=B")</f>
        <v/>
      </c>
      <c r="EJ4" s="4">
        <f>BDH(EJ$1,EK$3:EY$3,$B$9,$B$10,"Dir=V","Dts=S","Sort=A","Days=T","Fill=B")</f>
        <v/>
      </c>
      <c r="FA4" s="4">
        <f>BDH(FA$1,FB$3:FP$3,$B$9,$B$10,"Dir=V","Dts=S","Sort=A","Days=T","Fill=B")</f>
        <v/>
      </c>
      <c r="FR4" s="4">
        <f>BDH(FR$1,FS$3:GG$3,$B$9,$B$10,"Dir=V","Dts=S","Sort=A","Days=T","Fill=B")</f>
        <v/>
      </c>
      <c r="GI4" s="4">
        <f>BDH(GI$1,GJ$3:GX$3,$B$9,$B$10,"Dir=V","Dts=S","Sort=A","Days=T","Fill=B")</f>
        <v/>
      </c>
      <c r="GZ4" s="4">
        <f>BDH(GZ$1,HA$3:HO$3,$B$9,$B$10,"Dir=V","Dts=S","Sort=A","Days=T","Fill=B")</f>
        <v/>
      </c>
      <c r="HQ4" s="4">
        <f>BDH(HQ$1,HR$3:IF$3,$B$9,$B$10,"Dir=V","Dts=S","Sort=A","Days=T","Fill=B")</f>
        <v/>
      </c>
      <c r="IH4" s="4">
        <f>BDH(IH$1,II$3:IW$3,$B$9,$B$10,"Dir=V","Dts=S","Sort=A","Days=T","Fill=B")</f>
        <v/>
      </c>
      <c r="IY4" s="4">
        <f>BDH(IY$1,IZ$3:JN$3,$B$9,$B$10,"Dir=V","Dts=S","Sort=A","Days=T","Fill=B")</f>
        <v/>
      </c>
      <c r="JP4" s="4">
        <f>BDH(JP$1,JQ$3:KE$3,$B$9,$B$10,"Dir=V","Dts=S","Sort=A","Days=T","Fill=B")</f>
        <v/>
      </c>
      <c r="KG4" s="4">
        <f>BDH(KG$1,KH$3:KV$3,$B$9,$B$10,"Dir=V","Dts=S","Sort=A","Days=T","Fill=B")</f>
        <v/>
      </c>
      <c r="KX4" s="4">
        <f>BDH(KX$1,KY$3:LM$3,$B$9,$B$10,"Dir=V","Dts=S","Sort=A","Days=T","Fill=B")</f>
        <v/>
      </c>
      <c r="LO4" s="4">
        <f>BDH(LO$1,LP$3:MD$3,$B$9,$B$10,"Dir=V","Dts=S","Sort=A","Days=T","Fill=B")</f>
        <v/>
      </c>
      <c r="MF4" s="4">
        <f>BDH(MF$1,MG$3:MU$3,$B$9,$B$10,"Dir=V","Dts=S","Sort=A","Days=T","Fill=B")</f>
        <v/>
      </c>
      <c r="MW4" s="4">
        <f>BDH(MW$1,MX$3:NL$3,$B$9,$B$10,"Dir=V","Dts=S","Sort=A","Days=T","Fill=B")</f>
        <v/>
      </c>
      <c r="NN4" s="4">
        <f>BDH(NN$1,NO$3:OC$3,$B$9,$B$10,"Dir=V","Dts=S","Sort=A","Days=T","Fill=B")</f>
        <v/>
      </c>
      <c r="OE4" s="4">
        <f>BDH(OE$1,OF$3:OT$3,$B$9,$B$10,"Dir=V","Dts=S","Sort=A","Days=T","Fill=B")</f>
        <v/>
      </c>
      <c r="OV4" s="4">
        <f>BDH(OV$1,OW$3:PK$3,$B$9,$B$10,"Dir=V","Dts=S","Sort=A","Days=T","Fill=B")</f>
        <v/>
      </c>
      <c r="PM4" s="4">
        <f>BDH(PM$1,PN$3:QB$3,$B$9,$B$10,"Dir=V","Dts=S","Sort=A","Days=T","Fill=B")</f>
        <v/>
      </c>
      <c r="QD4" s="4">
        <f>BDH(QD$1,QE$3:QS$3,$B$9,$B$10,"Dir=V","Dts=S","Sort=A","Days=T","Fill=B")</f>
        <v/>
      </c>
      <c r="QU4" s="4">
        <f>BDH(QU$1,QV$3:RJ$3,$B$9,$B$10,"Dir=V","Dts=S","Sort=A","Days=T","Fill=B")</f>
        <v/>
      </c>
      <c r="RL4" s="4">
        <f>BDH(RL$1,RM$3:SA$3,$B$9,$B$10,"Dir=V","Dts=S","Sort=A","Days=T","Fill=B")</f>
        <v/>
      </c>
      <c r="SC4" s="4">
        <f>BDH(SC$1,SD$3:SR$3,$B$9,$B$10,"Dir=V","Dts=S","Sort=A","Days=T","Fill=B")</f>
        <v/>
      </c>
      <c r="ST4" s="4">
        <f>BDH(ST$1,SU$3:TI$3,$B$9,$B$10,"Dir=V","Dts=S","Sort=A","Days=T","Fill=B")</f>
        <v/>
      </c>
      <c r="TK4" s="4">
        <f>BDH(TK$1,TL$3:TZ$3,$B$9,$B$10,"Dir=V","Dts=S","Sort=A","Days=T","Fill=B")</f>
        <v/>
      </c>
      <c r="UB4" s="4">
        <f>BDH(UB$1,UC$3:UQ$3,$B$9,$B$10,"Dir=V","Dts=S","Sort=A","Days=T","Fill=B")</f>
        <v/>
      </c>
      <c r="US4" s="4">
        <f>BDH(US$1,UT$3:VH$3,$B$9,$B$10,"Dir=V","Dts=S","Sort=A","Days=T","Fill=B")</f>
        <v/>
      </c>
    </row>
    <row r="5">
      <c r="A5" s="2" t="inlineStr">
        <is>
          <t>Futures ticker</t>
        </is>
      </c>
      <c r="B5" s="4">
        <f>IF(Settings!$B$14="Y","CL"&amp;MID("FGHJKMNQUVXZ",B1,1)&amp;B4&amp;" Comdty","")</f>
        <v/>
      </c>
    </row>
    <row r="6">
      <c r="A6" s="2" t="inlineStr">
        <is>
          <t>Strike reference date</t>
        </is>
      </c>
      <c r="B6" s="8">
        <f>B3-45</f>
        <v/>
      </c>
    </row>
    <row r="7">
      <c r="A7" s="2" t="inlineStr">
        <is>
          <t>Futures price on that date</t>
        </is>
      </c>
      <c r="B7" s="10">
        <f>IF(B5="","",BDH(B5,"PX_LAST",B6,B6,"Days=A","Fill=P","Dts=H"))</f>
        <v/>
      </c>
    </row>
    <row r="8">
      <c r="A8" s="2" t="inlineStr">
        <is>
          <t>ATM strike</t>
        </is>
      </c>
      <c r="B8" s="9">
        <f>IF(ISNUMBER(B7),ROUND(B7,0),"")</f>
        <v/>
      </c>
    </row>
    <row r="9">
      <c r="A9" s="2" t="inlineStr">
        <is>
          <t>History start</t>
        </is>
      </c>
      <c r="B9" s="8">
        <f>B3-100</f>
        <v/>
      </c>
    </row>
    <row r="10">
      <c r="A10" s="2" t="inlineStr">
        <is>
          <t>History end</t>
        </is>
      </c>
      <c r="B10" s="8">
        <f>B3</f>
        <v/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VH10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2" customWidth="1" min="2" max="2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1" customWidth="1" min="15" max="15"/>
    <col width="11" customWidth="1" min="16" max="16"/>
    <col width="10" customWidth="1" min="17" max="17"/>
    <col width="11" customWidth="1" min="18" max="18"/>
    <col width="13" customWidth="1" min="19" max="19"/>
    <col width="12" customWidth="1" min="21" max="21"/>
    <col width="10" customWidth="1" min="22" max="22"/>
    <col width="10" customWidth="1" min="23" max="23"/>
    <col width="10" customWidth="1" min="24" max="24"/>
    <col width="10" customWidth="1" min="25" max="25"/>
    <col width="11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1" customWidth="1" min="32" max="32"/>
    <col width="11" customWidth="1" min="33" max="33"/>
    <col width="10" customWidth="1" min="34" max="34"/>
    <col width="11" customWidth="1" min="35" max="35"/>
    <col width="13" customWidth="1" min="36" max="36"/>
    <col width="12" customWidth="1" min="38" max="38"/>
    <col width="10" customWidth="1" min="39" max="39"/>
    <col width="10" customWidth="1" min="40" max="40"/>
    <col width="10" customWidth="1" min="41" max="41"/>
    <col width="10" customWidth="1" min="42" max="42"/>
    <col width="11" customWidth="1" min="43" max="43"/>
    <col width="11" customWidth="1" min="44" max="44"/>
    <col width="10" customWidth="1" min="45" max="45"/>
    <col width="10" customWidth="1" min="46" max="46"/>
    <col width="10" customWidth="1" min="47" max="47"/>
    <col width="10" customWidth="1" min="48" max="48"/>
    <col width="11" customWidth="1" min="49" max="49"/>
    <col width="11" customWidth="1" min="50" max="50"/>
    <col width="10" customWidth="1" min="51" max="51"/>
    <col width="11" customWidth="1" min="52" max="52"/>
    <col width="13" customWidth="1" min="53" max="53"/>
    <col width="12" customWidth="1" min="55" max="55"/>
    <col width="10" customWidth="1" min="56" max="56"/>
    <col width="10" customWidth="1" min="57" max="57"/>
    <col width="10" customWidth="1" min="58" max="58"/>
    <col width="10" customWidth="1" min="59" max="59"/>
    <col width="11" customWidth="1" min="60" max="60"/>
    <col width="11" customWidth="1" min="61" max="61"/>
    <col width="10" customWidth="1" min="62" max="62"/>
    <col width="10" customWidth="1" min="63" max="63"/>
    <col width="10" customWidth="1" min="64" max="64"/>
    <col width="10" customWidth="1" min="65" max="65"/>
    <col width="11" customWidth="1" min="66" max="66"/>
    <col width="11" customWidth="1" min="67" max="67"/>
    <col width="10" customWidth="1" min="68" max="68"/>
    <col width="11" customWidth="1" min="69" max="69"/>
    <col width="13" customWidth="1" min="70" max="70"/>
    <col width="12" customWidth="1" min="72" max="72"/>
    <col width="10" customWidth="1" min="73" max="73"/>
    <col width="10" customWidth="1" min="74" max="74"/>
    <col width="10" customWidth="1" min="75" max="75"/>
    <col width="10" customWidth="1" min="76" max="76"/>
    <col width="11" customWidth="1" min="77" max="77"/>
    <col width="11" customWidth="1" min="78" max="78"/>
    <col width="10" customWidth="1" min="79" max="79"/>
    <col width="10" customWidth="1" min="80" max="80"/>
    <col width="10" customWidth="1" min="81" max="81"/>
    <col width="10" customWidth="1" min="82" max="82"/>
    <col width="11" customWidth="1" min="83" max="83"/>
    <col width="11" customWidth="1" min="84" max="84"/>
    <col width="10" customWidth="1" min="85" max="85"/>
    <col width="11" customWidth="1" min="86" max="86"/>
    <col width="13" customWidth="1" min="87" max="87"/>
    <col width="12" customWidth="1" min="89" max="89"/>
    <col width="10" customWidth="1" min="90" max="90"/>
    <col width="10" customWidth="1" min="91" max="91"/>
    <col width="10" customWidth="1" min="92" max="92"/>
    <col width="10" customWidth="1" min="93" max="93"/>
    <col width="11" customWidth="1" min="94" max="94"/>
    <col width="11" customWidth="1" min="95" max="95"/>
    <col width="10" customWidth="1" min="96" max="96"/>
    <col width="10" customWidth="1" min="97" max="97"/>
    <col width="10" customWidth="1" min="98" max="98"/>
    <col width="10" customWidth="1" min="99" max="99"/>
    <col width="11" customWidth="1" min="100" max="100"/>
    <col width="11" customWidth="1" min="101" max="101"/>
    <col width="10" customWidth="1" min="102" max="102"/>
    <col width="11" customWidth="1" min="103" max="103"/>
    <col width="13" customWidth="1" min="104" max="104"/>
    <col width="12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1" customWidth="1" min="111" max="111"/>
    <col width="11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1" customWidth="1" min="117" max="117"/>
    <col width="11" customWidth="1" min="118" max="118"/>
    <col width="10" customWidth="1" min="119" max="119"/>
    <col width="11" customWidth="1" min="120" max="120"/>
    <col width="13" customWidth="1" min="121" max="121"/>
    <col width="12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1" customWidth="1" min="128" max="128"/>
    <col width="11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1" customWidth="1" min="134" max="134"/>
    <col width="11" customWidth="1" min="135" max="135"/>
    <col width="10" customWidth="1" min="136" max="136"/>
    <col width="11" customWidth="1" min="137" max="137"/>
    <col width="13" customWidth="1" min="138" max="138"/>
    <col width="12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1" customWidth="1" min="145" max="145"/>
    <col width="11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1" customWidth="1" min="151" max="151"/>
    <col width="11" customWidth="1" min="152" max="152"/>
    <col width="10" customWidth="1" min="153" max="153"/>
    <col width="11" customWidth="1" min="154" max="154"/>
    <col width="13" customWidth="1" min="155" max="155"/>
    <col width="12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1" customWidth="1" min="162" max="162"/>
    <col width="11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1" customWidth="1" min="168" max="168"/>
    <col width="11" customWidth="1" min="169" max="169"/>
    <col width="10" customWidth="1" min="170" max="170"/>
    <col width="11" customWidth="1" min="171" max="171"/>
    <col width="13" customWidth="1" min="172" max="172"/>
    <col width="12" customWidth="1" min="174" max="174"/>
    <col width="10" customWidth="1" min="175" max="175"/>
    <col width="10" customWidth="1" min="176" max="176"/>
    <col width="10" customWidth="1" min="177" max="177"/>
    <col width="10" customWidth="1" min="178" max="178"/>
    <col width="11" customWidth="1" min="179" max="179"/>
    <col width="11" customWidth="1" min="180" max="180"/>
    <col width="10" customWidth="1" min="181" max="181"/>
    <col width="10" customWidth="1" min="182" max="182"/>
    <col width="10" customWidth="1" min="183" max="183"/>
    <col width="10" customWidth="1" min="184" max="184"/>
    <col width="11" customWidth="1" min="185" max="185"/>
    <col width="11" customWidth="1" min="186" max="186"/>
    <col width="10" customWidth="1" min="187" max="187"/>
    <col width="11" customWidth="1" min="188" max="188"/>
    <col width="13" customWidth="1" min="189" max="189"/>
    <col width="12" customWidth="1" min="191" max="191"/>
    <col width="10" customWidth="1" min="192" max="192"/>
    <col width="10" customWidth="1" min="193" max="193"/>
    <col width="10" customWidth="1" min="194" max="194"/>
    <col width="10" customWidth="1" min="195" max="195"/>
    <col width="11" customWidth="1" min="196" max="196"/>
    <col width="11" customWidth="1" min="197" max="197"/>
    <col width="10" customWidth="1" min="198" max="198"/>
    <col width="10" customWidth="1" min="199" max="199"/>
    <col width="10" customWidth="1" min="200" max="200"/>
    <col width="10" customWidth="1" min="201" max="201"/>
    <col width="11" customWidth="1" min="202" max="202"/>
    <col width="11" customWidth="1" min="203" max="203"/>
    <col width="10" customWidth="1" min="204" max="204"/>
    <col width="11" customWidth="1" min="205" max="205"/>
    <col width="13" customWidth="1" min="206" max="206"/>
    <col width="12" customWidth="1" min="208" max="208"/>
    <col width="10" customWidth="1" min="209" max="209"/>
    <col width="10" customWidth="1" min="210" max="210"/>
    <col width="10" customWidth="1" min="211" max="211"/>
    <col width="10" customWidth="1" min="212" max="212"/>
    <col width="11" customWidth="1" min="213" max="213"/>
    <col width="11" customWidth="1" min="214" max="214"/>
    <col width="10" customWidth="1" min="215" max="215"/>
    <col width="10" customWidth="1" min="216" max="216"/>
    <col width="10" customWidth="1" min="217" max="217"/>
    <col width="10" customWidth="1" min="218" max="218"/>
    <col width="11" customWidth="1" min="219" max="219"/>
    <col width="11" customWidth="1" min="220" max="220"/>
    <col width="10" customWidth="1" min="221" max="221"/>
    <col width="11" customWidth="1" min="222" max="222"/>
    <col width="13" customWidth="1" min="223" max="223"/>
    <col width="12" customWidth="1" min="225" max="225"/>
    <col width="10" customWidth="1" min="226" max="226"/>
    <col width="10" customWidth="1" min="227" max="227"/>
    <col width="10" customWidth="1" min="228" max="228"/>
    <col width="10" customWidth="1" min="229" max="229"/>
    <col width="11" customWidth="1" min="230" max="230"/>
    <col width="11" customWidth="1" min="231" max="231"/>
    <col width="10" customWidth="1" min="232" max="232"/>
    <col width="10" customWidth="1" min="233" max="233"/>
    <col width="10" customWidth="1" min="234" max="234"/>
    <col width="10" customWidth="1" min="235" max="235"/>
    <col width="11" customWidth="1" min="236" max="236"/>
    <col width="11" customWidth="1" min="237" max="237"/>
    <col width="10" customWidth="1" min="238" max="238"/>
    <col width="11" customWidth="1" min="239" max="239"/>
    <col width="13" customWidth="1" min="240" max="240"/>
    <col width="12" customWidth="1" min="242" max="242"/>
    <col width="10" customWidth="1" min="243" max="243"/>
    <col width="10" customWidth="1" min="244" max="244"/>
    <col width="10" customWidth="1" min="245" max="245"/>
    <col width="10" customWidth="1" min="246" max="246"/>
    <col width="11" customWidth="1" min="247" max="247"/>
    <col width="11" customWidth="1" min="248" max="248"/>
    <col width="10" customWidth="1" min="249" max="249"/>
    <col width="10" customWidth="1" min="250" max="250"/>
    <col width="10" customWidth="1" min="251" max="251"/>
    <col width="10" customWidth="1" min="252" max="252"/>
    <col width="11" customWidth="1" min="253" max="253"/>
    <col width="11" customWidth="1" min="254" max="254"/>
    <col width="10" customWidth="1" min="255" max="255"/>
    <col width="11" customWidth="1" min="256" max="256"/>
    <col width="13" customWidth="1" min="257" max="257"/>
    <col width="12" customWidth="1" min="259" max="259"/>
    <col width="10" customWidth="1" min="260" max="260"/>
    <col width="10" customWidth="1" min="261" max="261"/>
    <col width="10" customWidth="1" min="262" max="262"/>
    <col width="10" customWidth="1" min="263" max="263"/>
    <col width="11" customWidth="1" min="264" max="264"/>
    <col width="11" customWidth="1" min="265" max="265"/>
    <col width="10" customWidth="1" min="266" max="266"/>
    <col width="10" customWidth="1" min="267" max="267"/>
    <col width="10" customWidth="1" min="268" max="268"/>
    <col width="10" customWidth="1" min="269" max="269"/>
    <col width="11" customWidth="1" min="270" max="270"/>
    <col width="11" customWidth="1" min="271" max="271"/>
    <col width="10" customWidth="1" min="272" max="272"/>
    <col width="11" customWidth="1" min="273" max="273"/>
    <col width="13" customWidth="1" min="274" max="274"/>
    <col width="12" customWidth="1" min="276" max="276"/>
    <col width="10" customWidth="1" min="277" max="277"/>
    <col width="10" customWidth="1" min="278" max="278"/>
    <col width="10" customWidth="1" min="279" max="279"/>
    <col width="10" customWidth="1" min="280" max="280"/>
    <col width="11" customWidth="1" min="281" max="281"/>
    <col width="11" customWidth="1" min="282" max="282"/>
    <col width="10" customWidth="1" min="283" max="283"/>
    <col width="10" customWidth="1" min="284" max="284"/>
    <col width="10" customWidth="1" min="285" max="285"/>
    <col width="10" customWidth="1" min="286" max="286"/>
    <col width="11" customWidth="1" min="287" max="287"/>
    <col width="11" customWidth="1" min="288" max="288"/>
    <col width="10" customWidth="1" min="289" max="289"/>
    <col width="11" customWidth="1" min="290" max="290"/>
    <col width="13" customWidth="1" min="291" max="291"/>
    <col width="12" customWidth="1" min="293" max="293"/>
    <col width="10" customWidth="1" min="294" max="294"/>
    <col width="10" customWidth="1" min="295" max="295"/>
    <col width="10" customWidth="1" min="296" max="296"/>
    <col width="10" customWidth="1" min="297" max="297"/>
    <col width="11" customWidth="1" min="298" max="298"/>
    <col width="11" customWidth="1" min="299" max="299"/>
    <col width="10" customWidth="1" min="300" max="300"/>
    <col width="10" customWidth="1" min="301" max="301"/>
    <col width="10" customWidth="1" min="302" max="302"/>
    <col width="10" customWidth="1" min="303" max="303"/>
    <col width="11" customWidth="1" min="304" max="304"/>
    <col width="11" customWidth="1" min="305" max="305"/>
    <col width="10" customWidth="1" min="306" max="306"/>
    <col width="11" customWidth="1" min="307" max="307"/>
    <col width="13" customWidth="1" min="308" max="308"/>
    <col width="12" customWidth="1" min="310" max="310"/>
    <col width="10" customWidth="1" min="311" max="311"/>
    <col width="10" customWidth="1" min="312" max="312"/>
    <col width="10" customWidth="1" min="313" max="313"/>
    <col width="10" customWidth="1" min="314" max="314"/>
    <col width="11" customWidth="1" min="315" max="315"/>
    <col width="11" customWidth="1" min="316" max="316"/>
    <col width="10" customWidth="1" min="317" max="317"/>
    <col width="10" customWidth="1" min="318" max="318"/>
    <col width="10" customWidth="1" min="319" max="319"/>
    <col width="10" customWidth="1" min="320" max="320"/>
    <col width="11" customWidth="1" min="321" max="321"/>
    <col width="11" customWidth="1" min="322" max="322"/>
    <col width="10" customWidth="1" min="323" max="323"/>
    <col width="11" customWidth="1" min="324" max="324"/>
    <col width="13" customWidth="1" min="325" max="325"/>
    <col width="12" customWidth="1" min="327" max="327"/>
    <col width="10" customWidth="1" min="328" max="328"/>
    <col width="10" customWidth="1" min="329" max="329"/>
    <col width="10" customWidth="1" min="330" max="330"/>
    <col width="10" customWidth="1" min="331" max="331"/>
    <col width="11" customWidth="1" min="332" max="332"/>
    <col width="11" customWidth="1" min="333" max="333"/>
    <col width="10" customWidth="1" min="334" max="334"/>
    <col width="10" customWidth="1" min="335" max="335"/>
    <col width="10" customWidth="1" min="336" max="336"/>
    <col width="10" customWidth="1" min="337" max="337"/>
    <col width="11" customWidth="1" min="338" max="338"/>
    <col width="11" customWidth="1" min="339" max="339"/>
    <col width="10" customWidth="1" min="340" max="340"/>
    <col width="11" customWidth="1" min="341" max="341"/>
    <col width="13" customWidth="1" min="342" max="342"/>
    <col width="12" customWidth="1" min="344" max="344"/>
    <col width="10" customWidth="1" min="345" max="345"/>
    <col width="10" customWidth="1" min="346" max="346"/>
    <col width="10" customWidth="1" min="347" max="347"/>
    <col width="10" customWidth="1" min="348" max="348"/>
    <col width="11" customWidth="1" min="349" max="349"/>
    <col width="11" customWidth="1" min="350" max="350"/>
    <col width="10" customWidth="1" min="351" max="351"/>
    <col width="10" customWidth="1" min="352" max="352"/>
    <col width="10" customWidth="1" min="353" max="353"/>
    <col width="10" customWidth="1" min="354" max="354"/>
    <col width="11" customWidth="1" min="355" max="355"/>
    <col width="11" customWidth="1" min="356" max="356"/>
    <col width="10" customWidth="1" min="357" max="357"/>
    <col width="11" customWidth="1" min="358" max="358"/>
    <col width="13" customWidth="1" min="359" max="359"/>
    <col width="12" customWidth="1" min="361" max="361"/>
    <col width="10" customWidth="1" min="362" max="362"/>
    <col width="10" customWidth="1" min="363" max="363"/>
    <col width="10" customWidth="1" min="364" max="364"/>
    <col width="10" customWidth="1" min="365" max="365"/>
    <col width="11" customWidth="1" min="366" max="366"/>
    <col width="11" customWidth="1" min="367" max="367"/>
    <col width="10" customWidth="1" min="368" max="368"/>
    <col width="10" customWidth="1" min="369" max="369"/>
    <col width="10" customWidth="1" min="370" max="370"/>
    <col width="10" customWidth="1" min="371" max="371"/>
    <col width="11" customWidth="1" min="372" max="372"/>
    <col width="11" customWidth="1" min="373" max="373"/>
    <col width="10" customWidth="1" min="374" max="374"/>
    <col width="11" customWidth="1" min="375" max="375"/>
    <col width="13" customWidth="1" min="376" max="376"/>
    <col width="12" customWidth="1" min="378" max="378"/>
    <col width="10" customWidth="1" min="379" max="379"/>
    <col width="10" customWidth="1" min="380" max="380"/>
    <col width="10" customWidth="1" min="381" max="381"/>
    <col width="10" customWidth="1" min="382" max="382"/>
    <col width="11" customWidth="1" min="383" max="383"/>
    <col width="11" customWidth="1" min="384" max="384"/>
    <col width="10" customWidth="1" min="385" max="385"/>
    <col width="10" customWidth="1" min="386" max="386"/>
    <col width="10" customWidth="1" min="387" max="387"/>
    <col width="10" customWidth="1" min="388" max="388"/>
    <col width="11" customWidth="1" min="389" max="389"/>
    <col width="11" customWidth="1" min="390" max="390"/>
    <col width="10" customWidth="1" min="391" max="391"/>
    <col width="11" customWidth="1" min="392" max="392"/>
    <col width="13" customWidth="1" min="393" max="393"/>
    <col width="12" customWidth="1" min="395" max="395"/>
    <col width="10" customWidth="1" min="396" max="396"/>
    <col width="10" customWidth="1" min="397" max="397"/>
    <col width="10" customWidth="1" min="398" max="398"/>
    <col width="10" customWidth="1" min="399" max="399"/>
    <col width="11" customWidth="1" min="400" max="400"/>
    <col width="11" customWidth="1" min="401" max="401"/>
    <col width="10" customWidth="1" min="402" max="402"/>
    <col width="10" customWidth="1" min="403" max="403"/>
    <col width="10" customWidth="1" min="404" max="404"/>
    <col width="10" customWidth="1" min="405" max="405"/>
    <col width="11" customWidth="1" min="406" max="406"/>
    <col width="11" customWidth="1" min="407" max="407"/>
    <col width="10" customWidth="1" min="408" max="408"/>
    <col width="11" customWidth="1" min="409" max="409"/>
    <col width="13" customWidth="1" min="410" max="410"/>
    <col width="12" customWidth="1" min="412" max="412"/>
    <col width="10" customWidth="1" min="413" max="413"/>
    <col width="10" customWidth="1" min="414" max="414"/>
    <col width="10" customWidth="1" min="415" max="415"/>
    <col width="10" customWidth="1" min="416" max="416"/>
    <col width="11" customWidth="1" min="417" max="417"/>
    <col width="11" customWidth="1" min="418" max="418"/>
    <col width="10" customWidth="1" min="419" max="419"/>
    <col width="10" customWidth="1" min="420" max="420"/>
    <col width="10" customWidth="1" min="421" max="421"/>
    <col width="10" customWidth="1" min="422" max="422"/>
    <col width="11" customWidth="1" min="423" max="423"/>
    <col width="11" customWidth="1" min="424" max="424"/>
    <col width="10" customWidth="1" min="425" max="425"/>
    <col width="11" customWidth="1" min="426" max="426"/>
    <col width="13" customWidth="1" min="427" max="427"/>
    <col width="12" customWidth="1" min="429" max="429"/>
    <col width="10" customWidth="1" min="430" max="430"/>
    <col width="10" customWidth="1" min="431" max="431"/>
    <col width="10" customWidth="1" min="432" max="432"/>
    <col width="10" customWidth="1" min="433" max="433"/>
    <col width="11" customWidth="1" min="434" max="434"/>
    <col width="11" customWidth="1" min="435" max="435"/>
    <col width="10" customWidth="1" min="436" max="436"/>
    <col width="10" customWidth="1" min="437" max="437"/>
    <col width="10" customWidth="1" min="438" max="438"/>
    <col width="10" customWidth="1" min="439" max="439"/>
    <col width="11" customWidth="1" min="440" max="440"/>
    <col width="11" customWidth="1" min="441" max="441"/>
    <col width="10" customWidth="1" min="442" max="442"/>
    <col width="11" customWidth="1" min="443" max="443"/>
    <col width="13" customWidth="1" min="444" max="444"/>
    <col width="12" customWidth="1" min="446" max="446"/>
    <col width="10" customWidth="1" min="447" max="447"/>
    <col width="10" customWidth="1" min="448" max="448"/>
    <col width="10" customWidth="1" min="449" max="449"/>
    <col width="10" customWidth="1" min="450" max="450"/>
    <col width="11" customWidth="1" min="451" max="451"/>
    <col width="11" customWidth="1" min="452" max="452"/>
    <col width="10" customWidth="1" min="453" max="453"/>
    <col width="10" customWidth="1" min="454" max="454"/>
    <col width="10" customWidth="1" min="455" max="455"/>
    <col width="10" customWidth="1" min="456" max="456"/>
    <col width="11" customWidth="1" min="457" max="457"/>
    <col width="11" customWidth="1" min="458" max="458"/>
    <col width="10" customWidth="1" min="459" max="459"/>
    <col width="11" customWidth="1" min="460" max="460"/>
    <col width="13" customWidth="1" min="461" max="461"/>
    <col width="12" customWidth="1" min="463" max="463"/>
    <col width="10" customWidth="1" min="464" max="464"/>
    <col width="10" customWidth="1" min="465" max="465"/>
    <col width="10" customWidth="1" min="466" max="466"/>
    <col width="10" customWidth="1" min="467" max="467"/>
    <col width="11" customWidth="1" min="468" max="468"/>
    <col width="11" customWidth="1" min="469" max="469"/>
    <col width="10" customWidth="1" min="470" max="470"/>
    <col width="10" customWidth="1" min="471" max="471"/>
    <col width="10" customWidth="1" min="472" max="472"/>
    <col width="10" customWidth="1" min="473" max="473"/>
    <col width="11" customWidth="1" min="474" max="474"/>
    <col width="11" customWidth="1" min="475" max="475"/>
    <col width="10" customWidth="1" min="476" max="476"/>
    <col width="11" customWidth="1" min="477" max="477"/>
    <col width="13" customWidth="1" min="478" max="478"/>
    <col width="12" customWidth="1" min="480" max="480"/>
    <col width="10" customWidth="1" min="481" max="481"/>
    <col width="10" customWidth="1" min="482" max="482"/>
    <col width="10" customWidth="1" min="483" max="483"/>
    <col width="10" customWidth="1" min="484" max="484"/>
    <col width="11" customWidth="1" min="485" max="485"/>
    <col width="11" customWidth="1" min="486" max="486"/>
    <col width="10" customWidth="1" min="487" max="487"/>
    <col width="10" customWidth="1" min="488" max="488"/>
    <col width="10" customWidth="1" min="489" max="489"/>
    <col width="10" customWidth="1" min="490" max="490"/>
    <col width="11" customWidth="1" min="491" max="491"/>
    <col width="11" customWidth="1" min="492" max="492"/>
    <col width="10" customWidth="1" min="493" max="493"/>
    <col width="11" customWidth="1" min="494" max="494"/>
    <col width="13" customWidth="1" min="495" max="495"/>
    <col width="12" customWidth="1" min="497" max="497"/>
    <col width="10" customWidth="1" min="498" max="498"/>
    <col width="10" customWidth="1" min="499" max="499"/>
    <col width="10" customWidth="1" min="500" max="500"/>
    <col width="10" customWidth="1" min="501" max="501"/>
    <col width="11" customWidth="1" min="502" max="502"/>
    <col width="11" customWidth="1" min="503" max="503"/>
    <col width="10" customWidth="1" min="504" max="504"/>
    <col width="10" customWidth="1" min="505" max="505"/>
    <col width="10" customWidth="1" min="506" max="506"/>
    <col width="10" customWidth="1" min="507" max="507"/>
    <col width="11" customWidth="1" min="508" max="508"/>
    <col width="11" customWidth="1" min="509" max="509"/>
    <col width="10" customWidth="1" min="510" max="510"/>
    <col width="11" customWidth="1" min="511" max="511"/>
    <col width="13" customWidth="1" min="512" max="512"/>
    <col width="12" customWidth="1" min="514" max="514"/>
    <col width="10" customWidth="1" min="515" max="515"/>
    <col width="10" customWidth="1" min="516" max="516"/>
    <col width="10" customWidth="1" min="517" max="517"/>
    <col width="10" customWidth="1" min="518" max="518"/>
    <col width="11" customWidth="1" min="519" max="519"/>
    <col width="11" customWidth="1" min="520" max="520"/>
    <col width="10" customWidth="1" min="521" max="521"/>
    <col width="10" customWidth="1" min="522" max="522"/>
    <col width="10" customWidth="1" min="523" max="523"/>
    <col width="10" customWidth="1" min="524" max="524"/>
    <col width="11" customWidth="1" min="525" max="525"/>
    <col width="11" customWidth="1" min="526" max="526"/>
    <col width="10" customWidth="1" min="527" max="527"/>
    <col width="11" customWidth="1" min="528" max="528"/>
    <col width="13" customWidth="1" min="529" max="529"/>
    <col width="12" customWidth="1" min="531" max="531"/>
    <col width="10" customWidth="1" min="532" max="532"/>
    <col width="10" customWidth="1" min="533" max="533"/>
    <col width="10" customWidth="1" min="534" max="534"/>
    <col width="10" customWidth="1" min="535" max="535"/>
    <col width="11" customWidth="1" min="536" max="536"/>
    <col width="11" customWidth="1" min="537" max="537"/>
    <col width="10" customWidth="1" min="538" max="538"/>
    <col width="10" customWidth="1" min="539" max="539"/>
    <col width="10" customWidth="1" min="540" max="540"/>
    <col width="10" customWidth="1" min="541" max="541"/>
    <col width="11" customWidth="1" min="542" max="542"/>
    <col width="11" customWidth="1" min="543" max="543"/>
    <col width="10" customWidth="1" min="544" max="544"/>
    <col width="11" customWidth="1" min="545" max="545"/>
    <col width="13" customWidth="1" min="546" max="546"/>
    <col width="12" customWidth="1" min="548" max="548"/>
    <col width="10" customWidth="1" min="549" max="549"/>
    <col width="10" customWidth="1" min="550" max="550"/>
    <col width="10" customWidth="1" min="551" max="551"/>
    <col width="10" customWidth="1" min="552" max="552"/>
    <col width="11" customWidth="1" min="553" max="553"/>
    <col width="11" customWidth="1" min="554" max="554"/>
    <col width="10" customWidth="1" min="555" max="555"/>
    <col width="10" customWidth="1" min="556" max="556"/>
    <col width="10" customWidth="1" min="557" max="557"/>
    <col width="10" customWidth="1" min="558" max="558"/>
    <col width="11" customWidth="1" min="559" max="559"/>
    <col width="11" customWidth="1" min="560" max="560"/>
    <col width="10" customWidth="1" min="561" max="561"/>
    <col width="11" customWidth="1" min="562" max="562"/>
    <col width="13" customWidth="1" min="563" max="563"/>
    <col width="12" customWidth="1" min="565" max="565"/>
    <col width="10" customWidth="1" min="566" max="566"/>
    <col width="10" customWidth="1" min="567" max="567"/>
    <col width="10" customWidth="1" min="568" max="568"/>
    <col width="10" customWidth="1" min="569" max="569"/>
    <col width="11" customWidth="1" min="570" max="570"/>
    <col width="11" customWidth="1" min="571" max="571"/>
    <col width="10" customWidth="1" min="572" max="572"/>
    <col width="10" customWidth="1" min="573" max="573"/>
    <col width="10" customWidth="1" min="574" max="574"/>
    <col width="10" customWidth="1" min="575" max="575"/>
    <col width="11" customWidth="1" min="576" max="576"/>
    <col width="11" customWidth="1" min="577" max="577"/>
    <col width="10" customWidth="1" min="578" max="578"/>
    <col width="11" customWidth="1" min="579" max="579"/>
    <col width="13" customWidth="1" min="580" max="580"/>
  </cols>
  <sheetData>
    <row r="1">
      <c r="A1" s="2" t="inlineStr">
        <is>
          <t>Contract month</t>
        </is>
      </c>
      <c r="B1" s="9" t="n">
        <v>9</v>
      </c>
      <c r="D1" s="2">
        <f>IF(ISNUMBER(B$8),"CL"&amp;MID("FGHJKMNQUVXZ",B$1,1)&amp;B$4&amp;"C "&amp;IF(Settings!$F$14=2,TEXT((B$8-8),"0.00"),(B$8-8))&amp;" Comdty","")</f>
        <v/>
      </c>
      <c r="U1" s="2">
        <f>IF(ISNUMBER(B$8),"CL"&amp;MID("FGHJKMNQUVXZ",B$1,1)&amp;B$4&amp;"P "&amp;IF(Settings!$F$14=2,TEXT((B$8-8),"0.00"),(B$8-8))&amp;" Comdty","")</f>
        <v/>
      </c>
      <c r="AL1" s="2">
        <f>IF(ISNUMBER(B$8),"CL"&amp;MID("FGHJKMNQUVXZ",B$1,1)&amp;B$4&amp;"C "&amp;IF(Settings!$F$14=2,TEXT((B$8-7),"0.00"),(B$8-7))&amp;" Comdty","")</f>
        <v/>
      </c>
      <c r="BC1" s="2">
        <f>IF(ISNUMBER(B$8),"CL"&amp;MID("FGHJKMNQUVXZ",B$1,1)&amp;B$4&amp;"P "&amp;IF(Settings!$F$14=2,TEXT((B$8-7),"0.00"),(B$8-7))&amp;" Comdty","")</f>
        <v/>
      </c>
      <c r="BT1" s="2">
        <f>IF(ISNUMBER(B$8),"CL"&amp;MID("FGHJKMNQUVXZ",B$1,1)&amp;B$4&amp;"C "&amp;IF(Settings!$F$14=2,TEXT((B$8-6),"0.00"),(B$8-6))&amp;" Comdty","")</f>
        <v/>
      </c>
      <c r="CK1" s="2">
        <f>IF(ISNUMBER(B$8),"CL"&amp;MID("FGHJKMNQUVXZ",B$1,1)&amp;B$4&amp;"P "&amp;IF(Settings!$F$14=2,TEXT((B$8-6),"0.00"),(B$8-6))&amp;" Comdty","")</f>
        <v/>
      </c>
      <c r="DB1" s="2">
        <f>IF(ISNUMBER(B$8),"CL"&amp;MID("FGHJKMNQUVXZ",B$1,1)&amp;B$4&amp;"C "&amp;IF(Settings!$F$14=2,TEXT((B$8-5),"0.00"),(B$8-5))&amp;" Comdty","")</f>
        <v/>
      </c>
      <c r="DS1" s="2">
        <f>IF(ISNUMBER(B$8),"CL"&amp;MID("FGHJKMNQUVXZ",B$1,1)&amp;B$4&amp;"P "&amp;IF(Settings!$F$14=2,TEXT((B$8-5),"0.00"),(B$8-5))&amp;" Comdty","")</f>
        <v/>
      </c>
      <c r="EJ1" s="2">
        <f>IF(ISNUMBER(B$8),"CL"&amp;MID("FGHJKMNQUVXZ",B$1,1)&amp;B$4&amp;"C "&amp;IF(Settings!$F$14=2,TEXT((B$8-4),"0.00"),(B$8-4))&amp;" Comdty","")</f>
        <v/>
      </c>
      <c r="FA1" s="2">
        <f>IF(ISNUMBER(B$8),"CL"&amp;MID("FGHJKMNQUVXZ",B$1,1)&amp;B$4&amp;"P "&amp;IF(Settings!$F$14=2,TEXT((B$8-4),"0.00"),(B$8-4))&amp;" Comdty","")</f>
        <v/>
      </c>
      <c r="FR1" s="2">
        <f>IF(ISNUMBER(B$8),"CL"&amp;MID("FGHJKMNQUVXZ",B$1,1)&amp;B$4&amp;"C "&amp;IF(Settings!$F$14=2,TEXT((B$8-3),"0.00"),(B$8-3))&amp;" Comdty","")</f>
        <v/>
      </c>
      <c r="GI1" s="2">
        <f>IF(ISNUMBER(B$8),"CL"&amp;MID("FGHJKMNQUVXZ",B$1,1)&amp;B$4&amp;"P "&amp;IF(Settings!$F$14=2,TEXT((B$8-3),"0.00"),(B$8-3))&amp;" Comdty","")</f>
        <v/>
      </c>
      <c r="GZ1" s="2">
        <f>IF(ISNUMBER(B$8),"CL"&amp;MID("FGHJKMNQUVXZ",B$1,1)&amp;B$4&amp;"C "&amp;IF(Settings!$F$14=2,TEXT((B$8-2),"0.00"),(B$8-2))&amp;" Comdty","")</f>
        <v/>
      </c>
      <c r="HQ1" s="2">
        <f>IF(ISNUMBER(B$8),"CL"&amp;MID("FGHJKMNQUVXZ",B$1,1)&amp;B$4&amp;"P "&amp;IF(Settings!$F$14=2,TEXT((B$8-2),"0.00"),(B$8-2))&amp;" Comdty","")</f>
        <v/>
      </c>
      <c r="IH1" s="2">
        <f>IF(ISNUMBER(B$8),"CL"&amp;MID("FGHJKMNQUVXZ",B$1,1)&amp;B$4&amp;"C "&amp;IF(Settings!$F$14=2,TEXT((B$8-1),"0.00"),(B$8-1))&amp;" Comdty","")</f>
        <v/>
      </c>
      <c r="IY1" s="2">
        <f>IF(ISNUMBER(B$8),"CL"&amp;MID("FGHJKMNQUVXZ",B$1,1)&amp;B$4&amp;"P "&amp;IF(Settings!$F$14=2,TEXT((B$8-1),"0.00"),(B$8-1))&amp;" Comdty","")</f>
        <v/>
      </c>
      <c r="JP1" s="2">
        <f>IF(ISNUMBER(B$8),"CL"&amp;MID("FGHJKMNQUVXZ",B$1,1)&amp;B$4&amp;"C "&amp;IF(Settings!$F$14=2,TEXT(B$8,"0.00"),B$8)&amp;" Comdty","")</f>
        <v/>
      </c>
      <c r="KG1" s="2">
        <f>IF(ISNUMBER(B$8),"CL"&amp;MID("FGHJKMNQUVXZ",B$1,1)&amp;B$4&amp;"P "&amp;IF(Settings!$F$14=2,TEXT(B$8,"0.00"),B$8)&amp;" Comdty","")</f>
        <v/>
      </c>
      <c r="KX1" s="2">
        <f>IF(ISNUMBER(B$8),"CL"&amp;MID("FGHJKMNQUVXZ",B$1,1)&amp;B$4&amp;"C "&amp;IF(Settings!$F$14=2,TEXT((B$8+1),"0.00"),(B$8+1))&amp;" Comdty","")</f>
        <v/>
      </c>
      <c r="LO1" s="2">
        <f>IF(ISNUMBER(B$8),"CL"&amp;MID("FGHJKMNQUVXZ",B$1,1)&amp;B$4&amp;"P "&amp;IF(Settings!$F$14=2,TEXT((B$8+1),"0.00"),(B$8+1))&amp;" Comdty","")</f>
        <v/>
      </c>
      <c r="MF1" s="2">
        <f>IF(ISNUMBER(B$8),"CL"&amp;MID("FGHJKMNQUVXZ",B$1,1)&amp;B$4&amp;"C "&amp;IF(Settings!$F$14=2,TEXT((B$8+2),"0.00"),(B$8+2))&amp;" Comdty","")</f>
        <v/>
      </c>
      <c r="MW1" s="2">
        <f>IF(ISNUMBER(B$8),"CL"&amp;MID("FGHJKMNQUVXZ",B$1,1)&amp;B$4&amp;"P "&amp;IF(Settings!$F$14=2,TEXT((B$8+2),"0.00"),(B$8+2))&amp;" Comdty","")</f>
        <v/>
      </c>
      <c r="NN1" s="2">
        <f>IF(ISNUMBER(B$8),"CL"&amp;MID("FGHJKMNQUVXZ",B$1,1)&amp;B$4&amp;"C "&amp;IF(Settings!$F$14=2,TEXT((B$8+3),"0.00"),(B$8+3))&amp;" Comdty","")</f>
        <v/>
      </c>
      <c r="OE1" s="2">
        <f>IF(ISNUMBER(B$8),"CL"&amp;MID("FGHJKMNQUVXZ",B$1,1)&amp;B$4&amp;"P "&amp;IF(Settings!$F$14=2,TEXT((B$8+3),"0.00"),(B$8+3))&amp;" Comdty","")</f>
        <v/>
      </c>
      <c r="OV1" s="2">
        <f>IF(ISNUMBER(B$8),"CL"&amp;MID("FGHJKMNQUVXZ",B$1,1)&amp;B$4&amp;"C "&amp;IF(Settings!$F$14=2,TEXT((B$8+4),"0.00"),(B$8+4))&amp;" Comdty","")</f>
        <v/>
      </c>
      <c r="PM1" s="2">
        <f>IF(ISNUMBER(B$8),"CL"&amp;MID("FGHJKMNQUVXZ",B$1,1)&amp;B$4&amp;"P "&amp;IF(Settings!$F$14=2,TEXT((B$8+4),"0.00"),(B$8+4))&amp;" Comdty","")</f>
        <v/>
      </c>
      <c r="QD1" s="2">
        <f>IF(ISNUMBER(B$8),"CL"&amp;MID("FGHJKMNQUVXZ",B$1,1)&amp;B$4&amp;"C "&amp;IF(Settings!$F$14=2,TEXT((B$8+5),"0.00"),(B$8+5))&amp;" Comdty","")</f>
        <v/>
      </c>
      <c r="QU1" s="2">
        <f>IF(ISNUMBER(B$8),"CL"&amp;MID("FGHJKMNQUVXZ",B$1,1)&amp;B$4&amp;"P "&amp;IF(Settings!$F$14=2,TEXT((B$8+5),"0.00"),(B$8+5))&amp;" Comdty","")</f>
        <v/>
      </c>
      <c r="RL1" s="2">
        <f>IF(ISNUMBER(B$8),"CL"&amp;MID("FGHJKMNQUVXZ",B$1,1)&amp;B$4&amp;"C "&amp;IF(Settings!$F$14=2,TEXT((B$8+6),"0.00"),(B$8+6))&amp;" Comdty","")</f>
        <v/>
      </c>
      <c r="SC1" s="2">
        <f>IF(ISNUMBER(B$8),"CL"&amp;MID("FGHJKMNQUVXZ",B$1,1)&amp;B$4&amp;"P "&amp;IF(Settings!$F$14=2,TEXT((B$8+6),"0.00"),(B$8+6))&amp;" Comdty","")</f>
        <v/>
      </c>
      <c r="ST1" s="2">
        <f>IF(ISNUMBER(B$8),"CL"&amp;MID("FGHJKMNQUVXZ",B$1,1)&amp;B$4&amp;"C "&amp;IF(Settings!$F$14=2,TEXT((B$8+7),"0.00"),(B$8+7))&amp;" Comdty","")</f>
        <v/>
      </c>
      <c r="TK1" s="2">
        <f>IF(ISNUMBER(B$8),"CL"&amp;MID("FGHJKMNQUVXZ",B$1,1)&amp;B$4&amp;"P "&amp;IF(Settings!$F$14=2,TEXT((B$8+7),"0.00"),(B$8+7))&amp;" Comdty","")</f>
        <v/>
      </c>
      <c r="UB1" s="2">
        <f>IF(ISNUMBER(B$8),"CL"&amp;MID("FGHJKMNQUVXZ",B$1,1)&amp;B$4&amp;"C "&amp;IF(Settings!$F$14=2,TEXT((B$8+8),"0.00"),(B$8+8))&amp;" Comdty","")</f>
        <v/>
      </c>
      <c r="US1" s="2">
        <f>IF(ISNUMBER(B$8),"CL"&amp;MID("FGHJKMNQUVXZ",B$1,1)&amp;B$4&amp;"P "&amp;IF(Settings!$F$14=2,TEXT((B$8+8),"0.00"),(B$8+8))&amp;" Comdty","")</f>
        <v/>
      </c>
    </row>
    <row r="2">
      <c r="A2" s="2" t="inlineStr">
        <is>
          <t>Futures last trade</t>
        </is>
      </c>
      <c r="B2" s="8">
        <f>WORKDAY(DATE(Settings!$E$14,B1-1,25),-3)</f>
        <v/>
      </c>
      <c r="D2" s="4" t="inlineStr">
        <is>
          <t>call -8 from ATM</t>
        </is>
      </c>
      <c r="U2" s="4" t="inlineStr">
        <is>
          <t>put -8 from ATM</t>
        </is>
      </c>
      <c r="AL2" s="4" t="inlineStr">
        <is>
          <t>call -7 from ATM</t>
        </is>
      </c>
      <c r="BC2" s="4" t="inlineStr">
        <is>
          <t>put -7 from ATM</t>
        </is>
      </c>
      <c r="BT2" s="4" t="inlineStr">
        <is>
          <t>call -6 from ATM</t>
        </is>
      </c>
      <c r="CK2" s="4" t="inlineStr">
        <is>
          <t>put -6 from ATM</t>
        </is>
      </c>
      <c r="DB2" s="4" t="inlineStr">
        <is>
          <t>call -5 from ATM</t>
        </is>
      </c>
      <c r="DS2" s="4" t="inlineStr">
        <is>
          <t>put -5 from ATM</t>
        </is>
      </c>
      <c r="EJ2" s="4" t="inlineStr">
        <is>
          <t>call -4 from ATM</t>
        </is>
      </c>
      <c r="FA2" s="4" t="inlineStr">
        <is>
          <t>put -4 from ATM</t>
        </is>
      </c>
      <c r="FR2" s="4" t="inlineStr">
        <is>
          <t>call -3 from ATM</t>
        </is>
      </c>
      <c r="GI2" s="4" t="inlineStr">
        <is>
          <t>put -3 from ATM</t>
        </is>
      </c>
      <c r="GZ2" s="4" t="inlineStr">
        <is>
          <t>call -2 from ATM</t>
        </is>
      </c>
      <c r="HQ2" s="4" t="inlineStr">
        <is>
          <t>put -2 from ATM</t>
        </is>
      </c>
      <c r="IH2" s="4" t="inlineStr">
        <is>
          <t>call -1 from ATM</t>
        </is>
      </c>
      <c r="IY2" s="4" t="inlineStr">
        <is>
          <t>put -1 from ATM</t>
        </is>
      </c>
      <c r="JP2" s="4" t="inlineStr">
        <is>
          <t>call +0 from ATM</t>
        </is>
      </c>
      <c r="KG2" s="4" t="inlineStr">
        <is>
          <t>put +0 from ATM</t>
        </is>
      </c>
      <c r="KX2" s="4" t="inlineStr">
        <is>
          <t>call +1 from ATM</t>
        </is>
      </c>
      <c r="LO2" s="4" t="inlineStr">
        <is>
          <t>put +1 from ATM</t>
        </is>
      </c>
      <c r="MF2" s="4" t="inlineStr">
        <is>
          <t>call +2 from ATM</t>
        </is>
      </c>
      <c r="MW2" s="4" t="inlineStr">
        <is>
          <t>put +2 from ATM</t>
        </is>
      </c>
      <c r="NN2" s="4" t="inlineStr">
        <is>
          <t>call +3 from ATM</t>
        </is>
      </c>
      <c r="OE2" s="4" t="inlineStr">
        <is>
          <t>put +3 from ATM</t>
        </is>
      </c>
      <c r="OV2" s="4" t="inlineStr">
        <is>
          <t>call +4 from ATM</t>
        </is>
      </c>
      <c r="PM2" s="4" t="inlineStr">
        <is>
          <t>put +4 from ATM</t>
        </is>
      </c>
      <c r="QD2" s="4" t="inlineStr">
        <is>
          <t>call +5 from ATM</t>
        </is>
      </c>
      <c r="QU2" s="4" t="inlineStr">
        <is>
          <t>put +5 from ATM</t>
        </is>
      </c>
      <c r="RL2" s="4" t="inlineStr">
        <is>
          <t>call +6 from ATM</t>
        </is>
      </c>
      <c r="SC2" s="4" t="inlineStr">
        <is>
          <t>put +6 from ATM</t>
        </is>
      </c>
      <c r="ST2" s="4" t="inlineStr">
        <is>
          <t>call +7 from ATM</t>
        </is>
      </c>
      <c r="TK2" s="4" t="inlineStr">
        <is>
          <t>put +7 from ATM</t>
        </is>
      </c>
      <c r="UB2" s="4" t="inlineStr">
        <is>
          <t>call +8 from ATM</t>
        </is>
      </c>
      <c r="US2" s="4" t="inlineStr">
        <is>
          <t>put +8 from ATM</t>
        </is>
      </c>
    </row>
    <row r="3">
      <c r="A3" s="2" t="inlineStr">
        <is>
          <t>Option expiry (approx)</t>
        </is>
      </c>
      <c r="B3" s="8">
        <f>WORKDAY(B2,-1)</f>
        <v/>
      </c>
      <c r="D3" s="5" t="inlineStr">
        <is>
          <t>Date</t>
        </is>
      </c>
      <c r="E3" s="5" t="inlineStr">
        <is>
          <t>PX_BID</t>
        </is>
      </c>
      <c r="F3" s="5" t="inlineStr">
        <is>
          <t>PX_ASK</t>
        </is>
      </c>
      <c r="G3" s="5" t="inlineStr">
        <is>
          <t>PX_MID</t>
        </is>
      </c>
      <c r="H3" s="5" t="inlineStr">
        <is>
          <t>PX_LAST</t>
        </is>
      </c>
      <c r="I3" s="5" t="inlineStr">
        <is>
          <t>PX_SETTLE</t>
        </is>
      </c>
      <c r="J3" s="5" t="inlineStr">
        <is>
          <t>PX_VOLUME</t>
        </is>
      </c>
      <c r="K3" s="5" t="inlineStr">
        <is>
          <t>OPEN_INT</t>
        </is>
      </c>
      <c r="L3" s="5" t="inlineStr">
        <is>
          <t>IVOL_MID</t>
        </is>
      </c>
      <c r="M3" s="5" t="inlineStr">
        <is>
          <t>IVOL_BID</t>
        </is>
      </c>
      <c r="N3" s="5" t="inlineStr">
        <is>
          <t>IVOL_ASK</t>
        </is>
      </c>
      <c r="O3" s="5" t="inlineStr">
        <is>
          <t>DELTA_MID</t>
        </is>
      </c>
      <c r="P3" s="5" t="inlineStr">
        <is>
          <t>GAMMA_MID</t>
        </is>
      </c>
      <c r="Q3" s="5" t="inlineStr">
        <is>
          <t>VEGA_MID</t>
        </is>
      </c>
      <c r="R3" s="5" t="inlineStr">
        <is>
          <t>THETA_MID</t>
        </is>
      </c>
      <c r="S3" s="5" t="inlineStr">
        <is>
          <t>OPT_UNDL_PX</t>
        </is>
      </c>
      <c r="U3" s="5" t="inlineStr">
        <is>
          <t>Date</t>
        </is>
      </c>
      <c r="V3" s="5" t="inlineStr">
        <is>
          <t>PX_BID</t>
        </is>
      </c>
      <c r="W3" s="5" t="inlineStr">
        <is>
          <t>PX_ASK</t>
        </is>
      </c>
      <c r="X3" s="5" t="inlineStr">
        <is>
          <t>PX_MID</t>
        </is>
      </c>
      <c r="Y3" s="5" t="inlineStr">
        <is>
          <t>PX_LAST</t>
        </is>
      </c>
      <c r="Z3" s="5" t="inlineStr">
        <is>
          <t>PX_SETTLE</t>
        </is>
      </c>
      <c r="AA3" s="5" t="inlineStr">
        <is>
          <t>PX_VOLUME</t>
        </is>
      </c>
      <c r="AB3" s="5" t="inlineStr">
        <is>
          <t>OPEN_INT</t>
        </is>
      </c>
      <c r="AC3" s="5" t="inlineStr">
        <is>
          <t>IVOL_MID</t>
        </is>
      </c>
      <c r="AD3" s="5" t="inlineStr">
        <is>
          <t>IVOL_BID</t>
        </is>
      </c>
      <c r="AE3" s="5" t="inlineStr">
        <is>
          <t>IVOL_ASK</t>
        </is>
      </c>
      <c r="AF3" s="5" t="inlineStr">
        <is>
          <t>DELTA_MID</t>
        </is>
      </c>
      <c r="AG3" s="5" t="inlineStr">
        <is>
          <t>GAMMA_MID</t>
        </is>
      </c>
      <c r="AH3" s="5" t="inlineStr">
        <is>
          <t>VEGA_MID</t>
        </is>
      </c>
      <c r="AI3" s="5" t="inlineStr">
        <is>
          <t>THETA_MID</t>
        </is>
      </c>
      <c r="AJ3" s="5" t="inlineStr">
        <is>
          <t>OPT_UNDL_PX</t>
        </is>
      </c>
      <c r="AL3" s="5" t="inlineStr">
        <is>
          <t>Date</t>
        </is>
      </c>
      <c r="AM3" s="5" t="inlineStr">
        <is>
          <t>PX_BID</t>
        </is>
      </c>
      <c r="AN3" s="5" t="inlineStr">
        <is>
          <t>PX_ASK</t>
        </is>
      </c>
      <c r="AO3" s="5" t="inlineStr">
        <is>
          <t>PX_MID</t>
        </is>
      </c>
      <c r="AP3" s="5" t="inlineStr">
        <is>
          <t>PX_LAST</t>
        </is>
      </c>
      <c r="AQ3" s="5" t="inlineStr">
        <is>
          <t>PX_SETTLE</t>
        </is>
      </c>
      <c r="AR3" s="5" t="inlineStr">
        <is>
          <t>PX_VOLUME</t>
        </is>
      </c>
      <c r="AS3" s="5" t="inlineStr">
        <is>
          <t>OPEN_INT</t>
        </is>
      </c>
      <c r="AT3" s="5" t="inlineStr">
        <is>
          <t>IVOL_MID</t>
        </is>
      </c>
      <c r="AU3" s="5" t="inlineStr">
        <is>
          <t>IVOL_BID</t>
        </is>
      </c>
      <c r="AV3" s="5" t="inlineStr">
        <is>
          <t>IVOL_ASK</t>
        </is>
      </c>
      <c r="AW3" s="5" t="inlineStr">
        <is>
          <t>DELTA_MID</t>
        </is>
      </c>
      <c r="AX3" s="5" t="inlineStr">
        <is>
          <t>GAMMA_MID</t>
        </is>
      </c>
      <c r="AY3" s="5" t="inlineStr">
        <is>
          <t>VEGA_MID</t>
        </is>
      </c>
      <c r="AZ3" s="5" t="inlineStr">
        <is>
          <t>THETA_MID</t>
        </is>
      </c>
      <c r="BA3" s="5" t="inlineStr">
        <is>
          <t>OPT_UNDL_PX</t>
        </is>
      </c>
      <c r="BC3" s="5" t="inlineStr">
        <is>
          <t>Date</t>
        </is>
      </c>
      <c r="BD3" s="5" t="inlineStr">
        <is>
          <t>PX_BID</t>
        </is>
      </c>
      <c r="BE3" s="5" t="inlineStr">
        <is>
          <t>PX_ASK</t>
        </is>
      </c>
      <c r="BF3" s="5" t="inlineStr">
        <is>
          <t>PX_MID</t>
        </is>
      </c>
      <c r="BG3" s="5" t="inlineStr">
        <is>
          <t>PX_LAST</t>
        </is>
      </c>
      <c r="BH3" s="5" t="inlineStr">
        <is>
          <t>PX_SETTLE</t>
        </is>
      </c>
      <c r="BI3" s="5" t="inlineStr">
        <is>
          <t>PX_VOLUME</t>
        </is>
      </c>
      <c r="BJ3" s="5" t="inlineStr">
        <is>
          <t>OPEN_INT</t>
        </is>
      </c>
      <c r="BK3" s="5" t="inlineStr">
        <is>
          <t>IVOL_MID</t>
        </is>
      </c>
      <c r="BL3" s="5" t="inlineStr">
        <is>
          <t>IVOL_BID</t>
        </is>
      </c>
      <c r="BM3" s="5" t="inlineStr">
        <is>
          <t>IVOL_ASK</t>
        </is>
      </c>
      <c r="BN3" s="5" t="inlineStr">
        <is>
          <t>DELTA_MID</t>
        </is>
      </c>
      <c r="BO3" s="5" t="inlineStr">
        <is>
          <t>GAMMA_MID</t>
        </is>
      </c>
      <c r="BP3" s="5" t="inlineStr">
        <is>
          <t>VEGA_MID</t>
        </is>
      </c>
      <c r="BQ3" s="5" t="inlineStr">
        <is>
          <t>THETA_MID</t>
        </is>
      </c>
      <c r="BR3" s="5" t="inlineStr">
        <is>
          <t>OPT_UNDL_PX</t>
        </is>
      </c>
      <c r="BT3" s="5" t="inlineStr">
        <is>
          <t>Date</t>
        </is>
      </c>
      <c r="BU3" s="5" t="inlineStr">
        <is>
          <t>PX_BID</t>
        </is>
      </c>
      <c r="BV3" s="5" t="inlineStr">
        <is>
          <t>PX_ASK</t>
        </is>
      </c>
      <c r="BW3" s="5" t="inlineStr">
        <is>
          <t>PX_MID</t>
        </is>
      </c>
      <c r="BX3" s="5" t="inlineStr">
        <is>
          <t>PX_LAST</t>
        </is>
      </c>
      <c r="BY3" s="5" t="inlineStr">
        <is>
          <t>PX_SETTLE</t>
        </is>
      </c>
      <c r="BZ3" s="5" t="inlineStr">
        <is>
          <t>PX_VOLUME</t>
        </is>
      </c>
      <c r="CA3" s="5" t="inlineStr">
        <is>
          <t>OPEN_INT</t>
        </is>
      </c>
      <c r="CB3" s="5" t="inlineStr">
        <is>
          <t>IVOL_MID</t>
        </is>
      </c>
      <c r="CC3" s="5" t="inlineStr">
        <is>
          <t>IVOL_BID</t>
        </is>
      </c>
      <c r="CD3" s="5" t="inlineStr">
        <is>
          <t>IVOL_ASK</t>
        </is>
      </c>
      <c r="CE3" s="5" t="inlineStr">
        <is>
          <t>DELTA_MID</t>
        </is>
      </c>
      <c r="CF3" s="5" t="inlineStr">
        <is>
          <t>GAMMA_MID</t>
        </is>
      </c>
      <c r="CG3" s="5" t="inlineStr">
        <is>
          <t>VEGA_MID</t>
        </is>
      </c>
      <c r="CH3" s="5" t="inlineStr">
        <is>
          <t>THETA_MID</t>
        </is>
      </c>
      <c r="CI3" s="5" t="inlineStr">
        <is>
          <t>OPT_UNDL_PX</t>
        </is>
      </c>
      <c r="CK3" s="5" t="inlineStr">
        <is>
          <t>Date</t>
        </is>
      </c>
      <c r="CL3" s="5" t="inlineStr">
        <is>
          <t>PX_BID</t>
        </is>
      </c>
      <c r="CM3" s="5" t="inlineStr">
        <is>
          <t>PX_ASK</t>
        </is>
      </c>
      <c r="CN3" s="5" t="inlineStr">
        <is>
          <t>PX_MID</t>
        </is>
      </c>
      <c r="CO3" s="5" t="inlineStr">
        <is>
          <t>PX_LAST</t>
        </is>
      </c>
      <c r="CP3" s="5" t="inlineStr">
        <is>
          <t>PX_SETTLE</t>
        </is>
      </c>
      <c r="CQ3" s="5" t="inlineStr">
        <is>
          <t>PX_VOLUME</t>
        </is>
      </c>
      <c r="CR3" s="5" t="inlineStr">
        <is>
          <t>OPEN_INT</t>
        </is>
      </c>
      <c r="CS3" s="5" t="inlineStr">
        <is>
          <t>IVOL_MID</t>
        </is>
      </c>
      <c r="CT3" s="5" t="inlineStr">
        <is>
          <t>IVOL_BID</t>
        </is>
      </c>
      <c r="CU3" s="5" t="inlineStr">
        <is>
          <t>IVOL_ASK</t>
        </is>
      </c>
      <c r="CV3" s="5" t="inlineStr">
        <is>
          <t>DELTA_MID</t>
        </is>
      </c>
      <c r="CW3" s="5" t="inlineStr">
        <is>
          <t>GAMMA_MID</t>
        </is>
      </c>
      <c r="CX3" s="5" t="inlineStr">
        <is>
          <t>VEGA_MID</t>
        </is>
      </c>
      <c r="CY3" s="5" t="inlineStr">
        <is>
          <t>THETA_MID</t>
        </is>
      </c>
      <c r="CZ3" s="5" t="inlineStr">
        <is>
          <t>OPT_UNDL_PX</t>
        </is>
      </c>
      <c r="DB3" s="5" t="inlineStr">
        <is>
          <t>Date</t>
        </is>
      </c>
      <c r="DC3" s="5" t="inlineStr">
        <is>
          <t>PX_BID</t>
        </is>
      </c>
      <c r="DD3" s="5" t="inlineStr">
        <is>
          <t>PX_ASK</t>
        </is>
      </c>
      <c r="DE3" s="5" t="inlineStr">
        <is>
          <t>PX_MID</t>
        </is>
      </c>
      <c r="DF3" s="5" t="inlineStr">
        <is>
          <t>PX_LAST</t>
        </is>
      </c>
      <c r="DG3" s="5" t="inlineStr">
        <is>
          <t>PX_SETTLE</t>
        </is>
      </c>
      <c r="DH3" s="5" t="inlineStr">
        <is>
          <t>PX_VOLUME</t>
        </is>
      </c>
      <c r="DI3" s="5" t="inlineStr">
        <is>
          <t>OPEN_INT</t>
        </is>
      </c>
      <c r="DJ3" s="5" t="inlineStr">
        <is>
          <t>IVOL_MID</t>
        </is>
      </c>
      <c r="DK3" s="5" t="inlineStr">
        <is>
          <t>IVOL_BID</t>
        </is>
      </c>
      <c r="DL3" s="5" t="inlineStr">
        <is>
          <t>IVOL_ASK</t>
        </is>
      </c>
      <c r="DM3" s="5" t="inlineStr">
        <is>
          <t>DELTA_MID</t>
        </is>
      </c>
      <c r="DN3" s="5" t="inlineStr">
        <is>
          <t>GAMMA_MID</t>
        </is>
      </c>
      <c r="DO3" s="5" t="inlineStr">
        <is>
          <t>VEGA_MID</t>
        </is>
      </c>
      <c r="DP3" s="5" t="inlineStr">
        <is>
          <t>THETA_MID</t>
        </is>
      </c>
      <c r="DQ3" s="5" t="inlineStr">
        <is>
          <t>OPT_UNDL_PX</t>
        </is>
      </c>
      <c r="DS3" s="5" t="inlineStr">
        <is>
          <t>Date</t>
        </is>
      </c>
      <c r="DT3" s="5" t="inlineStr">
        <is>
          <t>PX_BID</t>
        </is>
      </c>
      <c r="DU3" s="5" t="inlineStr">
        <is>
          <t>PX_ASK</t>
        </is>
      </c>
      <c r="DV3" s="5" t="inlineStr">
        <is>
          <t>PX_MID</t>
        </is>
      </c>
      <c r="DW3" s="5" t="inlineStr">
        <is>
          <t>PX_LAST</t>
        </is>
      </c>
      <c r="DX3" s="5" t="inlineStr">
        <is>
          <t>PX_SETTLE</t>
        </is>
      </c>
      <c r="DY3" s="5" t="inlineStr">
        <is>
          <t>PX_VOLUME</t>
        </is>
      </c>
      <c r="DZ3" s="5" t="inlineStr">
        <is>
          <t>OPEN_INT</t>
        </is>
      </c>
      <c r="EA3" s="5" t="inlineStr">
        <is>
          <t>IVOL_MID</t>
        </is>
      </c>
      <c r="EB3" s="5" t="inlineStr">
        <is>
          <t>IVOL_BID</t>
        </is>
      </c>
      <c r="EC3" s="5" t="inlineStr">
        <is>
          <t>IVOL_ASK</t>
        </is>
      </c>
      <c r="ED3" s="5" t="inlineStr">
        <is>
          <t>DELTA_MID</t>
        </is>
      </c>
      <c r="EE3" s="5" t="inlineStr">
        <is>
          <t>GAMMA_MID</t>
        </is>
      </c>
      <c r="EF3" s="5" t="inlineStr">
        <is>
          <t>VEGA_MID</t>
        </is>
      </c>
      <c r="EG3" s="5" t="inlineStr">
        <is>
          <t>THETA_MID</t>
        </is>
      </c>
      <c r="EH3" s="5" t="inlineStr">
        <is>
          <t>OPT_UNDL_PX</t>
        </is>
      </c>
      <c r="EJ3" s="5" t="inlineStr">
        <is>
          <t>Date</t>
        </is>
      </c>
      <c r="EK3" s="5" t="inlineStr">
        <is>
          <t>PX_BID</t>
        </is>
      </c>
      <c r="EL3" s="5" t="inlineStr">
        <is>
          <t>PX_ASK</t>
        </is>
      </c>
      <c r="EM3" s="5" t="inlineStr">
        <is>
          <t>PX_MID</t>
        </is>
      </c>
      <c r="EN3" s="5" t="inlineStr">
        <is>
          <t>PX_LAST</t>
        </is>
      </c>
      <c r="EO3" s="5" t="inlineStr">
        <is>
          <t>PX_SETTLE</t>
        </is>
      </c>
      <c r="EP3" s="5" t="inlineStr">
        <is>
          <t>PX_VOLUME</t>
        </is>
      </c>
      <c r="EQ3" s="5" t="inlineStr">
        <is>
          <t>OPEN_INT</t>
        </is>
      </c>
      <c r="ER3" s="5" t="inlineStr">
        <is>
          <t>IVOL_MID</t>
        </is>
      </c>
      <c r="ES3" s="5" t="inlineStr">
        <is>
          <t>IVOL_BID</t>
        </is>
      </c>
      <c r="ET3" s="5" t="inlineStr">
        <is>
          <t>IVOL_ASK</t>
        </is>
      </c>
      <c r="EU3" s="5" t="inlineStr">
        <is>
          <t>DELTA_MID</t>
        </is>
      </c>
      <c r="EV3" s="5" t="inlineStr">
        <is>
          <t>GAMMA_MID</t>
        </is>
      </c>
      <c r="EW3" s="5" t="inlineStr">
        <is>
          <t>VEGA_MID</t>
        </is>
      </c>
      <c r="EX3" s="5" t="inlineStr">
        <is>
          <t>THETA_MID</t>
        </is>
      </c>
      <c r="EY3" s="5" t="inlineStr">
        <is>
          <t>OPT_UNDL_PX</t>
        </is>
      </c>
      <c r="FA3" s="5" t="inlineStr">
        <is>
          <t>Date</t>
        </is>
      </c>
      <c r="FB3" s="5" t="inlineStr">
        <is>
          <t>PX_BID</t>
        </is>
      </c>
      <c r="FC3" s="5" t="inlineStr">
        <is>
          <t>PX_ASK</t>
        </is>
      </c>
      <c r="FD3" s="5" t="inlineStr">
        <is>
          <t>PX_MID</t>
        </is>
      </c>
      <c r="FE3" s="5" t="inlineStr">
        <is>
          <t>PX_LAST</t>
        </is>
      </c>
      <c r="FF3" s="5" t="inlineStr">
        <is>
          <t>PX_SETTLE</t>
        </is>
      </c>
      <c r="FG3" s="5" t="inlineStr">
        <is>
          <t>PX_VOLUME</t>
        </is>
      </c>
      <c r="FH3" s="5" t="inlineStr">
        <is>
          <t>OPEN_INT</t>
        </is>
      </c>
      <c r="FI3" s="5" t="inlineStr">
        <is>
          <t>IVOL_MID</t>
        </is>
      </c>
      <c r="FJ3" s="5" t="inlineStr">
        <is>
          <t>IVOL_BID</t>
        </is>
      </c>
      <c r="FK3" s="5" t="inlineStr">
        <is>
          <t>IVOL_ASK</t>
        </is>
      </c>
      <c r="FL3" s="5" t="inlineStr">
        <is>
          <t>DELTA_MID</t>
        </is>
      </c>
      <c r="FM3" s="5" t="inlineStr">
        <is>
          <t>GAMMA_MID</t>
        </is>
      </c>
      <c r="FN3" s="5" t="inlineStr">
        <is>
          <t>VEGA_MID</t>
        </is>
      </c>
      <c r="FO3" s="5" t="inlineStr">
        <is>
          <t>THETA_MID</t>
        </is>
      </c>
      <c r="FP3" s="5" t="inlineStr">
        <is>
          <t>OPT_UNDL_PX</t>
        </is>
      </c>
      <c r="FR3" s="5" t="inlineStr">
        <is>
          <t>Date</t>
        </is>
      </c>
      <c r="FS3" s="5" t="inlineStr">
        <is>
          <t>PX_BID</t>
        </is>
      </c>
      <c r="FT3" s="5" t="inlineStr">
        <is>
          <t>PX_ASK</t>
        </is>
      </c>
      <c r="FU3" s="5" t="inlineStr">
        <is>
          <t>PX_MID</t>
        </is>
      </c>
      <c r="FV3" s="5" t="inlineStr">
        <is>
          <t>PX_LAST</t>
        </is>
      </c>
      <c r="FW3" s="5" t="inlineStr">
        <is>
          <t>PX_SETTLE</t>
        </is>
      </c>
      <c r="FX3" s="5" t="inlineStr">
        <is>
          <t>PX_VOLUME</t>
        </is>
      </c>
      <c r="FY3" s="5" t="inlineStr">
        <is>
          <t>OPEN_INT</t>
        </is>
      </c>
      <c r="FZ3" s="5" t="inlineStr">
        <is>
          <t>IVOL_MID</t>
        </is>
      </c>
      <c r="GA3" s="5" t="inlineStr">
        <is>
          <t>IVOL_BID</t>
        </is>
      </c>
      <c r="GB3" s="5" t="inlineStr">
        <is>
          <t>IVOL_ASK</t>
        </is>
      </c>
      <c r="GC3" s="5" t="inlineStr">
        <is>
          <t>DELTA_MID</t>
        </is>
      </c>
      <c r="GD3" s="5" t="inlineStr">
        <is>
          <t>GAMMA_MID</t>
        </is>
      </c>
      <c r="GE3" s="5" t="inlineStr">
        <is>
          <t>VEGA_MID</t>
        </is>
      </c>
      <c r="GF3" s="5" t="inlineStr">
        <is>
          <t>THETA_MID</t>
        </is>
      </c>
      <c r="GG3" s="5" t="inlineStr">
        <is>
          <t>OPT_UNDL_PX</t>
        </is>
      </c>
      <c r="GI3" s="5" t="inlineStr">
        <is>
          <t>Date</t>
        </is>
      </c>
      <c r="GJ3" s="5" t="inlineStr">
        <is>
          <t>PX_BID</t>
        </is>
      </c>
      <c r="GK3" s="5" t="inlineStr">
        <is>
          <t>PX_ASK</t>
        </is>
      </c>
      <c r="GL3" s="5" t="inlineStr">
        <is>
          <t>PX_MID</t>
        </is>
      </c>
      <c r="GM3" s="5" t="inlineStr">
        <is>
          <t>PX_LAST</t>
        </is>
      </c>
      <c r="GN3" s="5" t="inlineStr">
        <is>
          <t>PX_SETTLE</t>
        </is>
      </c>
      <c r="GO3" s="5" t="inlineStr">
        <is>
          <t>PX_VOLUME</t>
        </is>
      </c>
      <c r="GP3" s="5" t="inlineStr">
        <is>
          <t>OPEN_INT</t>
        </is>
      </c>
      <c r="GQ3" s="5" t="inlineStr">
        <is>
          <t>IVOL_MID</t>
        </is>
      </c>
      <c r="GR3" s="5" t="inlineStr">
        <is>
          <t>IVOL_BID</t>
        </is>
      </c>
      <c r="GS3" s="5" t="inlineStr">
        <is>
          <t>IVOL_ASK</t>
        </is>
      </c>
      <c r="GT3" s="5" t="inlineStr">
        <is>
          <t>DELTA_MID</t>
        </is>
      </c>
      <c r="GU3" s="5" t="inlineStr">
        <is>
          <t>GAMMA_MID</t>
        </is>
      </c>
      <c r="GV3" s="5" t="inlineStr">
        <is>
          <t>VEGA_MID</t>
        </is>
      </c>
      <c r="GW3" s="5" t="inlineStr">
        <is>
          <t>THETA_MID</t>
        </is>
      </c>
      <c r="GX3" s="5" t="inlineStr">
        <is>
          <t>OPT_UNDL_PX</t>
        </is>
      </c>
      <c r="GZ3" s="5" t="inlineStr">
        <is>
          <t>Date</t>
        </is>
      </c>
      <c r="HA3" s="5" t="inlineStr">
        <is>
          <t>PX_BID</t>
        </is>
      </c>
      <c r="HB3" s="5" t="inlineStr">
        <is>
          <t>PX_ASK</t>
        </is>
      </c>
      <c r="HC3" s="5" t="inlineStr">
        <is>
          <t>PX_MID</t>
        </is>
      </c>
      <c r="HD3" s="5" t="inlineStr">
        <is>
          <t>PX_LAST</t>
        </is>
      </c>
      <c r="HE3" s="5" t="inlineStr">
        <is>
          <t>PX_SETTLE</t>
        </is>
      </c>
      <c r="HF3" s="5" t="inlineStr">
        <is>
          <t>PX_VOLUME</t>
        </is>
      </c>
      <c r="HG3" s="5" t="inlineStr">
        <is>
          <t>OPEN_INT</t>
        </is>
      </c>
      <c r="HH3" s="5" t="inlineStr">
        <is>
          <t>IVOL_MID</t>
        </is>
      </c>
      <c r="HI3" s="5" t="inlineStr">
        <is>
          <t>IVOL_BID</t>
        </is>
      </c>
      <c r="HJ3" s="5" t="inlineStr">
        <is>
          <t>IVOL_ASK</t>
        </is>
      </c>
      <c r="HK3" s="5" t="inlineStr">
        <is>
          <t>DELTA_MID</t>
        </is>
      </c>
      <c r="HL3" s="5" t="inlineStr">
        <is>
          <t>GAMMA_MID</t>
        </is>
      </c>
      <c r="HM3" s="5" t="inlineStr">
        <is>
          <t>VEGA_MID</t>
        </is>
      </c>
      <c r="HN3" s="5" t="inlineStr">
        <is>
          <t>THETA_MID</t>
        </is>
      </c>
      <c r="HO3" s="5" t="inlineStr">
        <is>
          <t>OPT_UNDL_PX</t>
        </is>
      </c>
      <c r="HQ3" s="5" t="inlineStr">
        <is>
          <t>Date</t>
        </is>
      </c>
      <c r="HR3" s="5" t="inlineStr">
        <is>
          <t>PX_BID</t>
        </is>
      </c>
      <c r="HS3" s="5" t="inlineStr">
        <is>
          <t>PX_ASK</t>
        </is>
      </c>
      <c r="HT3" s="5" t="inlineStr">
        <is>
          <t>PX_MID</t>
        </is>
      </c>
      <c r="HU3" s="5" t="inlineStr">
        <is>
          <t>PX_LAST</t>
        </is>
      </c>
      <c r="HV3" s="5" t="inlineStr">
        <is>
          <t>PX_SETTLE</t>
        </is>
      </c>
      <c r="HW3" s="5" t="inlineStr">
        <is>
          <t>PX_VOLUME</t>
        </is>
      </c>
      <c r="HX3" s="5" t="inlineStr">
        <is>
          <t>OPEN_INT</t>
        </is>
      </c>
      <c r="HY3" s="5" t="inlineStr">
        <is>
          <t>IVOL_MID</t>
        </is>
      </c>
      <c r="HZ3" s="5" t="inlineStr">
        <is>
          <t>IVOL_BID</t>
        </is>
      </c>
      <c r="IA3" s="5" t="inlineStr">
        <is>
          <t>IVOL_ASK</t>
        </is>
      </c>
      <c r="IB3" s="5" t="inlineStr">
        <is>
          <t>DELTA_MID</t>
        </is>
      </c>
      <c r="IC3" s="5" t="inlineStr">
        <is>
          <t>GAMMA_MID</t>
        </is>
      </c>
      <c r="ID3" s="5" t="inlineStr">
        <is>
          <t>VEGA_MID</t>
        </is>
      </c>
      <c r="IE3" s="5" t="inlineStr">
        <is>
          <t>THETA_MID</t>
        </is>
      </c>
      <c r="IF3" s="5" t="inlineStr">
        <is>
          <t>OPT_UNDL_PX</t>
        </is>
      </c>
      <c r="IH3" s="5" t="inlineStr">
        <is>
          <t>Date</t>
        </is>
      </c>
      <c r="II3" s="5" t="inlineStr">
        <is>
          <t>PX_BID</t>
        </is>
      </c>
      <c r="IJ3" s="5" t="inlineStr">
        <is>
          <t>PX_ASK</t>
        </is>
      </c>
      <c r="IK3" s="5" t="inlineStr">
        <is>
          <t>PX_MID</t>
        </is>
      </c>
      <c r="IL3" s="5" t="inlineStr">
        <is>
          <t>PX_LAST</t>
        </is>
      </c>
      <c r="IM3" s="5" t="inlineStr">
        <is>
          <t>PX_SETTLE</t>
        </is>
      </c>
      <c r="IN3" s="5" t="inlineStr">
        <is>
          <t>PX_VOLUME</t>
        </is>
      </c>
      <c r="IO3" s="5" t="inlineStr">
        <is>
          <t>OPEN_INT</t>
        </is>
      </c>
      <c r="IP3" s="5" t="inlineStr">
        <is>
          <t>IVOL_MID</t>
        </is>
      </c>
      <c r="IQ3" s="5" t="inlineStr">
        <is>
          <t>IVOL_BID</t>
        </is>
      </c>
      <c r="IR3" s="5" t="inlineStr">
        <is>
          <t>IVOL_ASK</t>
        </is>
      </c>
      <c r="IS3" s="5" t="inlineStr">
        <is>
          <t>DELTA_MID</t>
        </is>
      </c>
      <c r="IT3" s="5" t="inlineStr">
        <is>
          <t>GAMMA_MID</t>
        </is>
      </c>
      <c r="IU3" s="5" t="inlineStr">
        <is>
          <t>VEGA_MID</t>
        </is>
      </c>
      <c r="IV3" s="5" t="inlineStr">
        <is>
          <t>THETA_MID</t>
        </is>
      </c>
      <c r="IW3" s="5" t="inlineStr">
        <is>
          <t>OPT_UNDL_PX</t>
        </is>
      </c>
      <c r="IY3" s="5" t="inlineStr">
        <is>
          <t>Date</t>
        </is>
      </c>
      <c r="IZ3" s="5" t="inlineStr">
        <is>
          <t>PX_BID</t>
        </is>
      </c>
      <c r="JA3" s="5" t="inlineStr">
        <is>
          <t>PX_ASK</t>
        </is>
      </c>
      <c r="JB3" s="5" t="inlineStr">
        <is>
          <t>PX_MID</t>
        </is>
      </c>
      <c r="JC3" s="5" t="inlineStr">
        <is>
          <t>PX_LAST</t>
        </is>
      </c>
      <c r="JD3" s="5" t="inlineStr">
        <is>
          <t>PX_SETTLE</t>
        </is>
      </c>
      <c r="JE3" s="5" t="inlineStr">
        <is>
          <t>PX_VOLUME</t>
        </is>
      </c>
      <c r="JF3" s="5" t="inlineStr">
        <is>
          <t>OPEN_INT</t>
        </is>
      </c>
      <c r="JG3" s="5" t="inlineStr">
        <is>
          <t>IVOL_MID</t>
        </is>
      </c>
      <c r="JH3" s="5" t="inlineStr">
        <is>
          <t>IVOL_BID</t>
        </is>
      </c>
      <c r="JI3" s="5" t="inlineStr">
        <is>
          <t>IVOL_ASK</t>
        </is>
      </c>
      <c r="JJ3" s="5" t="inlineStr">
        <is>
          <t>DELTA_MID</t>
        </is>
      </c>
      <c r="JK3" s="5" t="inlineStr">
        <is>
          <t>GAMMA_MID</t>
        </is>
      </c>
      <c r="JL3" s="5" t="inlineStr">
        <is>
          <t>VEGA_MID</t>
        </is>
      </c>
      <c r="JM3" s="5" t="inlineStr">
        <is>
          <t>THETA_MID</t>
        </is>
      </c>
      <c r="JN3" s="5" t="inlineStr">
        <is>
          <t>OPT_UNDL_PX</t>
        </is>
      </c>
      <c r="JP3" s="5" t="inlineStr">
        <is>
          <t>Date</t>
        </is>
      </c>
      <c r="JQ3" s="5" t="inlineStr">
        <is>
          <t>PX_BID</t>
        </is>
      </c>
      <c r="JR3" s="5" t="inlineStr">
        <is>
          <t>PX_ASK</t>
        </is>
      </c>
      <c r="JS3" s="5" t="inlineStr">
        <is>
          <t>PX_MID</t>
        </is>
      </c>
      <c r="JT3" s="5" t="inlineStr">
        <is>
          <t>PX_LAST</t>
        </is>
      </c>
      <c r="JU3" s="5" t="inlineStr">
        <is>
          <t>PX_SETTLE</t>
        </is>
      </c>
      <c r="JV3" s="5" t="inlineStr">
        <is>
          <t>PX_VOLUME</t>
        </is>
      </c>
      <c r="JW3" s="5" t="inlineStr">
        <is>
          <t>OPEN_INT</t>
        </is>
      </c>
      <c r="JX3" s="5" t="inlineStr">
        <is>
          <t>IVOL_MID</t>
        </is>
      </c>
      <c r="JY3" s="5" t="inlineStr">
        <is>
          <t>IVOL_BID</t>
        </is>
      </c>
      <c r="JZ3" s="5" t="inlineStr">
        <is>
          <t>IVOL_ASK</t>
        </is>
      </c>
      <c r="KA3" s="5" t="inlineStr">
        <is>
          <t>DELTA_MID</t>
        </is>
      </c>
      <c r="KB3" s="5" t="inlineStr">
        <is>
          <t>GAMMA_MID</t>
        </is>
      </c>
      <c r="KC3" s="5" t="inlineStr">
        <is>
          <t>VEGA_MID</t>
        </is>
      </c>
      <c r="KD3" s="5" t="inlineStr">
        <is>
          <t>THETA_MID</t>
        </is>
      </c>
      <c r="KE3" s="5" t="inlineStr">
        <is>
          <t>OPT_UNDL_PX</t>
        </is>
      </c>
      <c r="KG3" s="5" t="inlineStr">
        <is>
          <t>Date</t>
        </is>
      </c>
      <c r="KH3" s="5" t="inlineStr">
        <is>
          <t>PX_BID</t>
        </is>
      </c>
      <c r="KI3" s="5" t="inlineStr">
        <is>
          <t>PX_ASK</t>
        </is>
      </c>
      <c r="KJ3" s="5" t="inlineStr">
        <is>
          <t>PX_MID</t>
        </is>
      </c>
      <c r="KK3" s="5" t="inlineStr">
        <is>
          <t>PX_LAST</t>
        </is>
      </c>
      <c r="KL3" s="5" t="inlineStr">
        <is>
          <t>PX_SETTLE</t>
        </is>
      </c>
      <c r="KM3" s="5" t="inlineStr">
        <is>
          <t>PX_VOLUME</t>
        </is>
      </c>
      <c r="KN3" s="5" t="inlineStr">
        <is>
          <t>OPEN_INT</t>
        </is>
      </c>
      <c r="KO3" s="5" t="inlineStr">
        <is>
          <t>IVOL_MID</t>
        </is>
      </c>
      <c r="KP3" s="5" t="inlineStr">
        <is>
          <t>IVOL_BID</t>
        </is>
      </c>
      <c r="KQ3" s="5" t="inlineStr">
        <is>
          <t>IVOL_ASK</t>
        </is>
      </c>
      <c r="KR3" s="5" t="inlineStr">
        <is>
          <t>DELTA_MID</t>
        </is>
      </c>
      <c r="KS3" s="5" t="inlineStr">
        <is>
          <t>GAMMA_MID</t>
        </is>
      </c>
      <c r="KT3" s="5" t="inlineStr">
        <is>
          <t>VEGA_MID</t>
        </is>
      </c>
      <c r="KU3" s="5" t="inlineStr">
        <is>
          <t>THETA_MID</t>
        </is>
      </c>
      <c r="KV3" s="5" t="inlineStr">
        <is>
          <t>OPT_UNDL_PX</t>
        </is>
      </c>
      <c r="KX3" s="5" t="inlineStr">
        <is>
          <t>Date</t>
        </is>
      </c>
      <c r="KY3" s="5" t="inlineStr">
        <is>
          <t>PX_BID</t>
        </is>
      </c>
      <c r="KZ3" s="5" t="inlineStr">
        <is>
          <t>PX_ASK</t>
        </is>
      </c>
      <c r="LA3" s="5" t="inlineStr">
        <is>
          <t>PX_MID</t>
        </is>
      </c>
      <c r="LB3" s="5" t="inlineStr">
        <is>
          <t>PX_LAST</t>
        </is>
      </c>
      <c r="LC3" s="5" t="inlineStr">
        <is>
          <t>PX_SETTLE</t>
        </is>
      </c>
      <c r="LD3" s="5" t="inlineStr">
        <is>
          <t>PX_VOLUME</t>
        </is>
      </c>
      <c r="LE3" s="5" t="inlineStr">
        <is>
          <t>OPEN_INT</t>
        </is>
      </c>
      <c r="LF3" s="5" t="inlineStr">
        <is>
          <t>IVOL_MID</t>
        </is>
      </c>
      <c r="LG3" s="5" t="inlineStr">
        <is>
          <t>IVOL_BID</t>
        </is>
      </c>
      <c r="LH3" s="5" t="inlineStr">
        <is>
          <t>IVOL_ASK</t>
        </is>
      </c>
      <c r="LI3" s="5" t="inlineStr">
        <is>
          <t>DELTA_MID</t>
        </is>
      </c>
      <c r="LJ3" s="5" t="inlineStr">
        <is>
          <t>GAMMA_MID</t>
        </is>
      </c>
      <c r="LK3" s="5" t="inlineStr">
        <is>
          <t>VEGA_MID</t>
        </is>
      </c>
      <c r="LL3" s="5" t="inlineStr">
        <is>
          <t>THETA_MID</t>
        </is>
      </c>
      <c r="LM3" s="5" t="inlineStr">
        <is>
          <t>OPT_UNDL_PX</t>
        </is>
      </c>
      <c r="LO3" s="5" t="inlineStr">
        <is>
          <t>Date</t>
        </is>
      </c>
      <c r="LP3" s="5" t="inlineStr">
        <is>
          <t>PX_BID</t>
        </is>
      </c>
      <c r="LQ3" s="5" t="inlineStr">
        <is>
          <t>PX_ASK</t>
        </is>
      </c>
      <c r="LR3" s="5" t="inlineStr">
        <is>
          <t>PX_MID</t>
        </is>
      </c>
      <c r="LS3" s="5" t="inlineStr">
        <is>
          <t>PX_LAST</t>
        </is>
      </c>
      <c r="LT3" s="5" t="inlineStr">
        <is>
          <t>PX_SETTLE</t>
        </is>
      </c>
      <c r="LU3" s="5" t="inlineStr">
        <is>
          <t>PX_VOLUME</t>
        </is>
      </c>
      <c r="LV3" s="5" t="inlineStr">
        <is>
          <t>OPEN_INT</t>
        </is>
      </c>
      <c r="LW3" s="5" t="inlineStr">
        <is>
          <t>IVOL_MID</t>
        </is>
      </c>
      <c r="LX3" s="5" t="inlineStr">
        <is>
          <t>IVOL_BID</t>
        </is>
      </c>
      <c r="LY3" s="5" t="inlineStr">
        <is>
          <t>IVOL_ASK</t>
        </is>
      </c>
      <c r="LZ3" s="5" t="inlineStr">
        <is>
          <t>DELTA_MID</t>
        </is>
      </c>
      <c r="MA3" s="5" t="inlineStr">
        <is>
          <t>GAMMA_MID</t>
        </is>
      </c>
      <c r="MB3" s="5" t="inlineStr">
        <is>
          <t>VEGA_MID</t>
        </is>
      </c>
      <c r="MC3" s="5" t="inlineStr">
        <is>
          <t>THETA_MID</t>
        </is>
      </c>
      <c r="MD3" s="5" t="inlineStr">
        <is>
          <t>OPT_UNDL_PX</t>
        </is>
      </c>
      <c r="MF3" s="5" t="inlineStr">
        <is>
          <t>Date</t>
        </is>
      </c>
      <c r="MG3" s="5" t="inlineStr">
        <is>
          <t>PX_BID</t>
        </is>
      </c>
      <c r="MH3" s="5" t="inlineStr">
        <is>
          <t>PX_ASK</t>
        </is>
      </c>
      <c r="MI3" s="5" t="inlineStr">
        <is>
          <t>PX_MID</t>
        </is>
      </c>
      <c r="MJ3" s="5" t="inlineStr">
        <is>
          <t>PX_LAST</t>
        </is>
      </c>
      <c r="MK3" s="5" t="inlineStr">
        <is>
          <t>PX_SETTLE</t>
        </is>
      </c>
      <c r="ML3" s="5" t="inlineStr">
        <is>
          <t>PX_VOLUME</t>
        </is>
      </c>
      <c r="MM3" s="5" t="inlineStr">
        <is>
          <t>OPEN_INT</t>
        </is>
      </c>
      <c r="MN3" s="5" t="inlineStr">
        <is>
          <t>IVOL_MID</t>
        </is>
      </c>
      <c r="MO3" s="5" t="inlineStr">
        <is>
          <t>IVOL_BID</t>
        </is>
      </c>
      <c r="MP3" s="5" t="inlineStr">
        <is>
          <t>IVOL_ASK</t>
        </is>
      </c>
      <c r="MQ3" s="5" t="inlineStr">
        <is>
          <t>DELTA_MID</t>
        </is>
      </c>
      <c r="MR3" s="5" t="inlineStr">
        <is>
          <t>GAMMA_MID</t>
        </is>
      </c>
      <c r="MS3" s="5" t="inlineStr">
        <is>
          <t>VEGA_MID</t>
        </is>
      </c>
      <c r="MT3" s="5" t="inlineStr">
        <is>
          <t>THETA_MID</t>
        </is>
      </c>
      <c r="MU3" s="5" t="inlineStr">
        <is>
          <t>OPT_UNDL_PX</t>
        </is>
      </c>
      <c r="MW3" s="5" t="inlineStr">
        <is>
          <t>Date</t>
        </is>
      </c>
      <c r="MX3" s="5" t="inlineStr">
        <is>
          <t>PX_BID</t>
        </is>
      </c>
      <c r="MY3" s="5" t="inlineStr">
        <is>
          <t>PX_ASK</t>
        </is>
      </c>
      <c r="MZ3" s="5" t="inlineStr">
        <is>
          <t>PX_MID</t>
        </is>
      </c>
      <c r="NA3" s="5" t="inlineStr">
        <is>
          <t>PX_LAST</t>
        </is>
      </c>
      <c r="NB3" s="5" t="inlineStr">
        <is>
          <t>PX_SETTLE</t>
        </is>
      </c>
      <c r="NC3" s="5" t="inlineStr">
        <is>
          <t>PX_VOLUME</t>
        </is>
      </c>
      <c r="ND3" s="5" t="inlineStr">
        <is>
          <t>OPEN_INT</t>
        </is>
      </c>
      <c r="NE3" s="5" t="inlineStr">
        <is>
          <t>IVOL_MID</t>
        </is>
      </c>
      <c r="NF3" s="5" t="inlineStr">
        <is>
          <t>IVOL_BID</t>
        </is>
      </c>
      <c r="NG3" s="5" t="inlineStr">
        <is>
          <t>IVOL_ASK</t>
        </is>
      </c>
      <c r="NH3" s="5" t="inlineStr">
        <is>
          <t>DELTA_MID</t>
        </is>
      </c>
      <c r="NI3" s="5" t="inlineStr">
        <is>
          <t>GAMMA_MID</t>
        </is>
      </c>
      <c r="NJ3" s="5" t="inlineStr">
        <is>
          <t>VEGA_MID</t>
        </is>
      </c>
      <c r="NK3" s="5" t="inlineStr">
        <is>
          <t>THETA_MID</t>
        </is>
      </c>
      <c r="NL3" s="5" t="inlineStr">
        <is>
          <t>OPT_UNDL_PX</t>
        </is>
      </c>
      <c r="NN3" s="5" t="inlineStr">
        <is>
          <t>Date</t>
        </is>
      </c>
      <c r="NO3" s="5" t="inlineStr">
        <is>
          <t>PX_BID</t>
        </is>
      </c>
      <c r="NP3" s="5" t="inlineStr">
        <is>
          <t>PX_ASK</t>
        </is>
      </c>
      <c r="NQ3" s="5" t="inlineStr">
        <is>
          <t>PX_MID</t>
        </is>
      </c>
      <c r="NR3" s="5" t="inlineStr">
        <is>
          <t>PX_LAST</t>
        </is>
      </c>
      <c r="NS3" s="5" t="inlineStr">
        <is>
          <t>PX_SETTLE</t>
        </is>
      </c>
      <c r="NT3" s="5" t="inlineStr">
        <is>
          <t>PX_VOLUME</t>
        </is>
      </c>
      <c r="NU3" s="5" t="inlineStr">
        <is>
          <t>OPEN_INT</t>
        </is>
      </c>
      <c r="NV3" s="5" t="inlineStr">
        <is>
          <t>IVOL_MID</t>
        </is>
      </c>
      <c r="NW3" s="5" t="inlineStr">
        <is>
          <t>IVOL_BID</t>
        </is>
      </c>
      <c r="NX3" s="5" t="inlineStr">
        <is>
          <t>IVOL_ASK</t>
        </is>
      </c>
      <c r="NY3" s="5" t="inlineStr">
        <is>
          <t>DELTA_MID</t>
        </is>
      </c>
      <c r="NZ3" s="5" t="inlineStr">
        <is>
          <t>GAMMA_MID</t>
        </is>
      </c>
      <c r="OA3" s="5" t="inlineStr">
        <is>
          <t>VEGA_MID</t>
        </is>
      </c>
      <c r="OB3" s="5" t="inlineStr">
        <is>
          <t>THETA_MID</t>
        </is>
      </c>
      <c r="OC3" s="5" t="inlineStr">
        <is>
          <t>OPT_UNDL_PX</t>
        </is>
      </c>
      <c r="OE3" s="5" t="inlineStr">
        <is>
          <t>Date</t>
        </is>
      </c>
      <c r="OF3" s="5" t="inlineStr">
        <is>
          <t>PX_BID</t>
        </is>
      </c>
      <c r="OG3" s="5" t="inlineStr">
        <is>
          <t>PX_ASK</t>
        </is>
      </c>
      <c r="OH3" s="5" t="inlineStr">
        <is>
          <t>PX_MID</t>
        </is>
      </c>
      <c r="OI3" s="5" t="inlineStr">
        <is>
          <t>PX_LAST</t>
        </is>
      </c>
      <c r="OJ3" s="5" t="inlineStr">
        <is>
          <t>PX_SETTLE</t>
        </is>
      </c>
      <c r="OK3" s="5" t="inlineStr">
        <is>
          <t>PX_VOLUME</t>
        </is>
      </c>
      <c r="OL3" s="5" t="inlineStr">
        <is>
          <t>OPEN_INT</t>
        </is>
      </c>
      <c r="OM3" s="5" t="inlineStr">
        <is>
          <t>IVOL_MID</t>
        </is>
      </c>
      <c r="ON3" s="5" t="inlineStr">
        <is>
          <t>IVOL_BID</t>
        </is>
      </c>
      <c r="OO3" s="5" t="inlineStr">
        <is>
          <t>IVOL_ASK</t>
        </is>
      </c>
      <c r="OP3" s="5" t="inlineStr">
        <is>
          <t>DELTA_MID</t>
        </is>
      </c>
      <c r="OQ3" s="5" t="inlineStr">
        <is>
          <t>GAMMA_MID</t>
        </is>
      </c>
      <c r="OR3" s="5" t="inlineStr">
        <is>
          <t>VEGA_MID</t>
        </is>
      </c>
      <c r="OS3" s="5" t="inlineStr">
        <is>
          <t>THETA_MID</t>
        </is>
      </c>
      <c r="OT3" s="5" t="inlineStr">
        <is>
          <t>OPT_UNDL_PX</t>
        </is>
      </c>
      <c r="OV3" s="5" t="inlineStr">
        <is>
          <t>Date</t>
        </is>
      </c>
      <c r="OW3" s="5" t="inlineStr">
        <is>
          <t>PX_BID</t>
        </is>
      </c>
      <c r="OX3" s="5" t="inlineStr">
        <is>
          <t>PX_ASK</t>
        </is>
      </c>
      <c r="OY3" s="5" t="inlineStr">
        <is>
          <t>PX_MID</t>
        </is>
      </c>
      <c r="OZ3" s="5" t="inlineStr">
        <is>
          <t>PX_LAST</t>
        </is>
      </c>
      <c r="PA3" s="5" t="inlineStr">
        <is>
          <t>PX_SETTLE</t>
        </is>
      </c>
      <c r="PB3" s="5" t="inlineStr">
        <is>
          <t>PX_VOLUME</t>
        </is>
      </c>
      <c r="PC3" s="5" t="inlineStr">
        <is>
          <t>OPEN_INT</t>
        </is>
      </c>
      <c r="PD3" s="5" t="inlineStr">
        <is>
          <t>IVOL_MID</t>
        </is>
      </c>
      <c r="PE3" s="5" t="inlineStr">
        <is>
          <t>IVOL_BID</t>
        </is>
      </c>
      <c r="PF3" s="5" t="inlineStr">
        <is>
          <t>IVOL_ASK</t>
        </is>
      </c>
      <c r="PG3" s="5" t="inlineStr">
        <is>
          <t>DELTA_MID</t>
        </is>
      </c>
      <c r="PH3" s="5" t="inlineStr">
        <is>
          <t>GAMMA_MID</t>
        </is>
      </c>
      <c r="PI3" s="5" t="inlineStr">
        <is>
          <t>VEGA_MID</t>
        </is>
      </c>
      <c r="PJ3" s="5" t="inlineStr">
        <is>
          <t>THETA_MID</t>
        </is>
      </c>
      <c r="PK3" s="5" t="inlineStr">
        <is>
          <t>OPT_UNDL_PX</t>
        </is>
      </c>
      <c r="PM3" s="5" t="inlineStr">
        <is>
          <t>Date</t>
        </is>
      </c>
      <c r="PN3" s="5" t="inlineStr">
        <is>
          <t>PX_BID</t>
        </is>
      </c>
      <c r="PO3" s="5" t="inlineStr">
        <is>
          <t>PX_ASK</t>
        </is>
      </c>
      <c r="PP3" s="5" t="inlineStr">
        <is>
          <t>PX_MID</t>
        </is>
      </c>
      <c r="PQ3" s="5" t="inlineStr">
        <is>
          <t>PX_LAST</t>
        </is>
      </c>
      <c r="PR3" s="5" t="inlineStr">
        <is>
          <t>PX_SETTLE</t>
        </is>
      </c>
      <c r="PS3" s="5" t="inlineStr">
        <is>
          <t>PX_VOLUME</t>
        </is>
      </c>
      <c r="PT3" s="5" t="inlineStr">
        <is>
          <t>OPEN_INT</t>
        </is>
      </c>
      <c r="PU3" s="5" t="inlineStr">
        <is>
          <t>IVOL_MID</t>
        </is>
      </c>
      <c r="PV3" s="5" t="inlineStr">
        <is>
          <t>IVOL_BID</t>
        </is>
      </c>
      <c r="PW3" s="5" t="inlineStr">
        <is>
          <t>IVOL_ASK</t>
        </is>
      </c>
      <c r="PX3" s="5" t="inlineStr">
        <is>
          <t>DELTA_MID</t>
        </is>
      </c>
      <c r="PY3" s="5" t="inlineStr">
        <is>
          <t>GAMMA_MID</t>
        </is>
      </c>
      <c r="PZ3" s="5" t="inlineStr">
        <is>
          <t>VEGA_MID</t>
        </is>
      </c>
      <c r="QA3" s="5" t="inlineStr">
        <is>
          <t>THETA_MID</t>
        </is>
      </c>
      <c r="QB3" s="5" t="inlineStr">
        <is>
          <t>OPT_UNDL_PX</t>
        </is>
      </c>
      <c r="QD3" s="5" t="inlineStr">
        <is>
          <t>Date</t>
        </is>
      </c>
      <c r="QE3" s="5" t="inlineStr">
        <is>
          <t>PX_BID</t>
        </is>
      </c>
      <c r="QF3" s="5" t="inlineStr">
        <is>
          <t>PX_ASK</t>
        </is>
      </c>
      <c r="QG3" s="5" t="inlineStr">
        <is>
          <t>PX_MID</t>
        </is>
      </c>
      <c r="QH3" s="5" t="inlineStr">
        <is>
          <t>PX_LAST</t>
        </is>
      </c>
      <c r="QI3" s="5" t="inlineStr">
        <is>
          <t>PX_SETTLE</t>
        </is>
      </c>
      <c r="QJ3" s="5" t="inlineStr">
        <is>
          <t>PX_VOLUME</t>
        </is>
      </c>
      <c r="QK3" s="5" t="inlineStr">
        <is>
          <t>OPEN_INT</t>
        </is>
      </c>
      <c r="QL3" s="5" t="inlineStr">
        <is>
          <t>IVOL_MID</t>
        </is>
      </c>
      <c r="QM3" s="5" t="inlineStr">
        <is>
          <t>IVOL_BID</t>
        </is>
      </c>
      <c r="QN3" s="5" t="inlineStr">
        <is>
          <t>IVOL_ASK</t>
        </is>
      </c>
      <c r="QO3" s="5" t="inlineStr">
        <is>
          <t>DELTA_MID</t>
        </is>
      </c>
      <c r="QP3" s="5" t="inlineStr">
        <is>
          <t>GAMMA_MID</t>
        </is>
      </c>
      <c r="QQ3" s="5" t="inlineStr">
        <is>
          <t>VEGA_MID</t>
        </is>
      </c>
      <c r="QR3" s="5" t="inlineStr">
        <is>
          <t>THETA_MID</t>
        </is>
      </c>
      <c r="QS3" s="5" t="inlineStr">
        <is>
          <t>OPT_UNDL_PX</t>
        </is>
      </c>
      <c r="QU3" s="5" t="inlineStr">
        <is>
          <t>Date</t>
        </is>
      </c>
      <c r="QV3" s="5" t="inlineStr">
        <is>
          <t>PX_BID</t>
        </is>
      </c>
      <c r="QW3" s="5" t="inlineStr">
        <is>
          <t>PX_ASK</t>
        </is>
      </c>
      <c r="QX3" s="5" t="inlineStr">
        <is>
          <t>PX_MID</t>
        </is>
      </c>
      <c r="QY3" s="5" t="inlineStr">
        <is>
          <t>PX_LAST</t>
        </is>
      </c>
      <c r="QZ3" s="5" t="inlineStr">
        <is>
          <t>PX_SETTLE</t>
        </is>
      </c>
      <c r="RA3" s="5" t="inlineStr">
        <is>
          <t>PX_VOLUME</t>
        </is>
      </c>
      <c r="RB3" s="5" t="inlineStr">
        <is>
          <t>OPEN_INT</t>
        </is>
      </c>
      <c r="RC3" s="5" t="inlineStr">
        <is>
          <t>IVOL_MID</t>
        </is>
      </c>
      <c r="RD3" s="5" t="inlineStr">
        <is>
          <t>IVOL_BID</t>
        </is>
      </c>
      <c r="RE3" s="5" t="inlineStr">
        <is>
          <t>IVOL_ASK</t>
        </is>
      </c>
      <c r="RF3" s="5" t="inlineStr">
        <is>
          <t>DELTA_MID</t>
        </is>
      </c>
      <c r="RG3" s="5" t="inlineStr">
        <is>
          <t>GAMMA_MID</t>
        </is>
      </c>
      <c r="RH3" s="5" t="inlineStr">
        <is>
          <t>VEGA_MID</t>
        </is>
      </c>
      <c r="RI3" s="5" t="inlineStr">
        <is>
          <t>THETA_MID</t>
        </is>
      </c>
      <c r="RJ3" s="5" t="inlineStr">
        <is>
          <t>OPT_UNDL_PX</t>
        </is>
      </c>
      <c r="RL3" s="5" t="inlineStr">
        <is>
          <t>Date</t>
        </is>
      </c>
      <c r="RM3" s="5" t="inlineStr">
        <is>
          <t>PX_BID</t>
        </is>
      </c>
      <c r="RN3" s="5" t="inlineStr">
        <is>
          <t>PX_ASK</t>
        </is>
      </c>
      <c r="RO3" s="5" t="inlineStr">
        <is>
          <t>PX_MID</t>
        </is>
      </c>
      <c r="RP3" s="5" t="inlineStr">
        <is>
          <t>PX_LAST</t>
        </is>
      </c>
      <c r="RQ3" s="5" t="inlineStr">
        <is>
          <t>PX_SETTLE</t>
        </is>
      </c>
      <c r="RR3" s="5" t="inlineStr">
        <is>
          <t>PX_VOLUME</t>
        </is>
      </c>
      <c r="RS3" s="5" t="inlineStr">
        <is>
          <t>OPEN_INT</t>
        </is>
      </c>
      <c r="RT3" s="5" t="inlineStr">
        <is>
          <t>IVOL_MID</t>
        </is>
      </c>
      <c r="RU3" s="5" t="inlineStr">
        <is>
          <t>IVOL_BID</t>
        </is>
      </c>
      <c r="RV3" s="5" t="inlineStr">
        <is>
          <t>IVOL_ASK</t>
        </is>
      </c>
      <c r="RW3" s="5" t="inlineStr">
        <is>
          <t>DELTA_MID</t>
        </is>
      </c>
      <c r="RX3" s="5" t="inlineStr">
        <is>
          <t>GAMMA_MID</t>
        </is>
      </c>
      <c r="RY3" s="5" t="inlineStr">
        <is>
          <t>VEGA_MID</t>
        </is>
      </c>
      <c r="RZ3" s="5" t="inlineStr">
        <is>
          <t>THETA_MID</t>
        </is>
      </c>
      <c r="SA3" s="5" t="inlineStr">
        <is>
          <t>OPT_UNDL_PX</t>
        </is>
      </c>
      <c r="SC3" s="5" t="inlineStr">
        <is>
          <t>Date</t>
        </is>
      </c>
      <c r="SD3" s="5" t="inlineStr">
        <is>
          <t>PX_BID</t>
        </is>
      </c>
      <c r="SE3" s="5" t="inlineStr">
        <is>
          <t>PX_ASK</t>
        </is>
      </c>
      <c r="SF3" s="5" t="inlineStr">
        <is>
          <t>PX_MID</t>
        </is>
      </c>
      <c r="SG3" s="5" t="inlineStr">
        <is>
          <t>PX_LAST</t>
        </is>
      </c>
      <c r="SH3" s="5" t="inlineStr">
        <is>
          <t>PX_SETTLE</t>
        </is>
      </c>
      <c r="SI3" s="5" t="inlineStr">
        <is>
          <t>PX_VOLUME</t>
        </is>
      </c>
      <c r="SJ3" s="5" t="inlineStr">
        <is>
          <t>OPEN_INT</t>
        </is>
      </c>
      <c r="SK3" s="5" t="inlineStr">
        <is>
          <t>IVOL_MID</t>
        </is>
      </c>
      <c r="SL3" s="5" t="inlineStr">
        <is>
          <t>IVOL_BID</t>
        </is>
      </c>
      <c r="SM3" s="5" t="inlineStr">
        <is>
          <t>IVOL_ASK</t>
        </is>
      </c>
      <c r="SN3" s="5" t="inlineStr">
        <is>
          <t>DELTA_MID</t>
        </is>
      </c>
      <c r="SO3" s="5" t="inlineStr">
        <is>
          <t>GAMMA_MID</t>
        </is>
      </c>
      <c r="SP3" s="5" t="inlineStr">
        <is>
          <t>VEGA_MID</t>
        </is>
      </c>
      <c r="SQ3" s="5" t="inlineStr">
        <is>
          <t>THETA_MID</t>
        </is>
      </c>
      <c r="SR3" s="5" t="inlineStr">
        <is>
          <t>OPT_UNDL_PX</t>
        </is>
      </c>
      <c r="ST3" s="5" t="inlineStr">
        <is>
          <t>Date</t>
        </is>
      </c>
      <c r="SU3" s="5" t="inlineStr">
        <is>
          <t>PX_BID</t>
        </is>
      </c>
      <c r="SV3" s="5" t="inlineStr">
        <is>
          <t>PX_ASK</t>
        </is>
      </c>
      <c r="SW3" s="5" t="inlineStr">
        <is>
          <t>PX_MID</t>
        </is>
      </c>
      <c r="SX3" s="5" t="inlineStr">
        <is>
          <t>PX_LAST</t>
        </is>
      </c>
      <c r="SY3" s="5" t="inlineStr">
        <is>
          <t>PX_SETTLE</t>
        </is>
      </c>
      <c r="SZ3" s="5" t="inlineStr">
        <is>
          <t>PX_VOLUME</t>
        </is>
      </c>
      <c r="TA3" s="5" t="inlineStr">
        <is>
          <t>OPEN_INT</t>
        </is>
      </c>
      <c r="TB3" s="5" t="inlineStr">
        <is>
          <t>IVOL_MID</t>
        </is>
      </c>
      <c r="TC3" s="5" t="inlineStr">
        <is>
          <t>IVOL_BID</t>
        </is>
      </c>
      <c r="TD3" s="5" t="inlineStr">
        <is>
          <t>IVOL_ASK</t>
        </is>
      </c>
      <c r="TE3" s="5" t="inlineStr">
        <is>
          <t>DELTA_MID</t>
        </is>
      </c>
      <c r="TF3" s="5" t="inlineStr">
        <is>
          <t>GAMMA_MID</t>
        </is>
      </c>
      <c r="TG3" s="5" t="inlineStr">
        <is>
          <t>VEGA_MID</t>
        </is>
      </c>
      <c r="TH3" s="5" t="inlineStr">
        <is>
          <t>THETA_MID</t>
        </is>
      </c>
      <c r="TI3" s="5" t="inlineStr">
        <is>
          <t>OPT_UNDL_PX</t>
        </is>
      </c>
      <c r="TK3" s="5" t="inlineStr">
        <is>
          <t>Date</t>
        </is>
      </c>
      <c r="TL3" s="5" t="inlineStr">
        <is>
          <t>PX_BID</t>
        </is>
      </c>
      <c r="TM3" s="5" t="inlineStr">
        <is>
          <t>PX_ASK</t>
        </is>
      </c>
      <c r="TN3" s="5" t="inlineStr">
        <is>
          <t>PX_MID</t>
        </is>
      </c>
      <c r="TO3" s="5" t="inlineStr">
        <is>
          <t>PX_LAST</t>
        </is>
      </c>
      <c r="TP3" s="5" t="inlineStr">
        <is>
          <t>PX_SETTLE</t>
        </is>
      </c>
      <c r="TQ3" s="5" t="inlineStr">
        <is>
          <t>PX_VOLUME</t>
        </is>
      </c>
      <c r="TR3" s="5" t="inlineStr">
        <is>
          <t>OPEN_INT</t>
        </is>
      </c>
      <c r="TS3" s="5" t="inlineStr">
        <is>
          <t>IVOL_MID</t>
        </is>
      </c>
      <c r="TT3" s="5" t="inlineStr">
        <is>
          <t>IVOL_BID</t>
        </is>
      </c>
      <c r="TU3" s="5" t="inlineStr">
        <is>
          <t>IVOL_ASK</t>
        </is>
      </c>
      <c r="TV3" s="5" t="inlineStr">
        <is>
          <t>DELTA_MID</t>
        </is>
      </c>
      <c r="TW3" s="5" t="inlineStr">
        <is>
          <t>GAMMA_MID</t>
        </is>
      </c>
      <c r="TX3" s="5" t="inlineStr">
        <is>
          <t>VEGA_MID</t>
        </is>
      </c>
      <c r="TY3" s="5" t="inlineStr">
        <is>
          <t>THETA_MID</t>
        </is>
      </c>
      <c r="TZ3" s="5" t="inlineStr">
        <is>
          <t>OPT_UNDL_PX</t>
        </is>
      </c>
      <c r="UB3" s="5" t="inlineStr">
        <is>
          <t>Date</t>
        </is>
      </c>
      <c r="UC3" s="5" t="inlineStr">
        <is>
          <t>PX_BID</t>
        </is>
      </c>
      <c r="UD3" s="5" t="inlineStr">
        <is>
          <t>PX_ASK</t>
        </is>
      </c>
      <c r="UE3" s="5" t="inlineStr">
        <is>
          <t>PX_MID</t>
        </is>
      </c>
      <c r="UF3" s="5" t="inlineStr">
        <is>
          <t>PX_LAST</t>
        </is>
      </c>
      <c r="UG3" s="5" t="inlineStr">
        <is>
          <t>PX_SETTLE</t>
        </is>
      </c>
      <c r="UH3" s="5" t="inlineStr">
        <is>
          <t>PX_VOLUME</t>
        </is>
      </c>
      <c r="UI3" s="5" t="inlineStr">
        <is>
          <t>OPEN_INT</t>
        </is>
      </c>
      <c r="UJ3" s="5" t="inlineStr">
        <is>
          <t>IVOL_MID</t>
        </is>
      </c>
      <c r="UK3" s="5" t="inlineStr">
        <is>
          <t>IVOL_BID</t>
        </is>
      </c>
      <c r="UL3" s="5" t="inlineStr">
        <is>
          <t>IVOL_ASK</t>
        </is>
      </c>
      <c r="UM3" s="5" t="inlineStr">
        <is>
          <t>DELTA_MID</t>
        </is>
      </c>
      <c r="UN3" s="5" t="inlineStr">
        <is>
          <t>GAMMA_MID</t>
        </is>
      </c>
      <c r="UO3" s="5" t="inlineStr">
        <is>
          <t>VEGA_MID</t>
        </is>
      </c>
      <c r="UP3" s="5" t="inlineStr">
        <is>
          <t>THETA_MID</t>
        </is>
      </c>
      <c r="UQ3" s="5" t="inlineStr">
        <is>
          <t>OPT_UNDL_PX</t>
        </is>
      </c>
      <c r="US3" s="5" t="inlineStr">
        <is>
          <t>Date</t>
        </is>
      </c>
      <c r="UT3" s="5" t="inlineStr">
        <is>
          <t>PX_BID</t>
        </is>
      </c>
      <c r="UU3" s="5" t="inlineStr">
        <is>
          <t>PX_ASK</t>
        </is>
      </c>
      <c r="UV3" s="5" t="inlineStr">
        <is>
          <t>PX_MID</t>
        </is>
      </c>
      <c r="UW3" s="5" t="inlineStr">
        <is>
          <t>PX_LAST</t>
        </is>
      </c>
      <c r="UX3" s="5" t="inlineStr">
        <is>
          <t>PX_SETTLE</t>
        </is>
      </c>
      <c r="UY3" s="5" t="inlineStr">
        <is>
          <t>PX_VOLUME</t>
        </is>
      </c>
      <c r="UZ3" s="5" t="inlineStr">
        <is>
          <t>OPEN_INT</t>
        </is>
      </c>
      <c r="VA3" s="5" t="inlineStr">
        <is>
          <t>IVOL_MID</t>
        </is>
      </c>
      <c r="VB3" s="5" t="inlineStr">
        <is>
          <t>IVOL_BID</t>
        </is>
      </c>
      <c r="VC3" s="5" t="inlineStr">
        <is>
          <t>IVOL_ASK</t>
        </is>
      </c>
      <c r="VD3" s="5" t="inlineStr">
        <is>
          <t>DELTA_MID</t>
        </is>
      </c>
      <c r="VE3" s="5" t="inlineStr">
        <is>
          <t>GAMMA_MID</t>
        </is>
      </c>
      <c r="VF3" s="5" t="inlineStr">
        <is>
          <t>VEGA_MID</t>
        </is>
      </c>
      <c r="VG3" s="5" t="inlineStr">
        <is>
          <t>THETA_MID</t>
        </is>
      </c>
      <c r="VH3" s="5" t="inlineStr">
        <is>
          <t>OPT_UNDL_PX</t>
        </is>
      </c>
    </row>
    <row r="4">
      <c r="A4" s="2" t="inlineStr">
        <is>
          <t>Year in ticker</t>
        </is>
      </c>
      <c r="B4" s="4">
        <f>IF(B2&lt;Settings!$B$3,TEXT(MOD(Settings!$E$14,100),"00"),TEXT(MOD(Settings!$E$14,10),"0"))</f>
        <v/>
      </c>
      <c r="D4" s="4">
        <f>BDH(D$1,E$3:S$3,$B$9,$B$10,"Dir=V","Dts=S","Sort=A","Days=T","Fill=B")</f>
        <v/>
      </c>
      <c r="U4" s="4">
        <f>BDH(U$1,V$3:AJ$3,$B$9,$B$10,"Dir=V","Dts=S","Sort=A","Days=T","Fill=B")</f>
        <v/>
      </c>
      <c r="AL4" s="4">
        <f>BDH(AL$1,AM$3:BA$3,$B$9,$B$10,"Dir=V","Dts=S","Sort=A","Days=T","Fill=B")</f>
        <v/>
      </c>
      <c r="BC4" s="4">
        <f>BDH(BC$1,BD$3:BR$3,$B$9,$B$10,"Dir=V","Dts=S","Sort=A","Days=T","Fill=B")</f>
        <v/>
      </c>
      <c r="BT4" s="4">
        <f>BDH(BT$1,BU$3:CI$3,$B$9,$B$10,"Dir=V","Dts=S","Sort=A","Days=T","Fill=B")</f>
        <v/>
      </c>
      <c r="CK4" s="4">
        <f>BDH(CK$1,CL$3:CZ$3,$B$9,$B$10,"Dir=V","Dts=S","Sort=A","Days=T","Fill=B")</f>
        <v/>
      </c>
      <c r="DB4" s="4">
        <f>BDH(DB$1,DC$3:DQ$3,$B$9,$B$10,"Dir=V","Dts=S","Sort=A","Days=T","Fill=B")</f>
        <v/>
      </c>
      <c r="DS4" s="4">
        <f>BDH(DS$1,DT$3:EH$3,$B$9,$B$10,"Dir=V","Dts=S","Sort=A","Days=T","Fill=B")</f>
        <v/>
      </c>
      <c r="EJ4" s="4">
        <f>BDH(EJ$1,EK$3:EY$3,$B$9,$B$10,"Dir=V","Dts=S","Sort=A","Days=T","Fill=B")</f>
        <v/>
      </c>
      <c r="FA4" s="4">
        <f>BDH(FA$1,FB$3:FP$3,$B$9,$B$10,"Dir=V","Dts=S","Sort=A","Days=T","Fill=B")</f>
        <v/>
      </c>
      <c r="FR4" s="4">
        <f>BDH(FR$1,FS$3:GG$3,$B$9,$B$10,"Dir=V","Dts=S","Sort=A","Days=T","Fill=B")</f>
        <v/>
      </c>
      <c r="GI4" s="4">
        <f>BDH(GI$1,GJ$3:GX$3,$B$9,$B$10,"Dir=V","Dts=S","Sort=A","Days=T","Fill=B")</f>
        <v/>
      </c>
      <c r="GZ4" s="4">
        <f>BDH(GZ$1,HA$3:HO$3,$B$9,$B$10,"Dir=V","Dts=S","Sort=A","Days=T","Fill=B")</f>
        <v/>
      </c>
      <c r="HQ4" s="4">
        <f>BDH(HQ$1,HR$3:IF$3,$B$9,$B$10,"Dir=V","Dts=S","Sort=A","Days=T","Fill=B")</f>
        <v/>
      </c>
      <c r="IH4" s="4">
        <f>BDH(IH$1,II$3:IW$3,$B$9,$B$10,"Dir=V","Dts=S","Sort=A","Days=T","Fill=B")</f>
        <v/>
      </c>
      <c r="IY4" s="4">
        <f>BDH(IY$1,IZ$3:JN$3,$B$9,$B$10,"Dir=V","Dts=S","Sort=A","Days=T","Fill=B")</f>
        <v/>
      </c>
      <c r="JP4" s="4">
        <f>BDH(JP$1,JQ$3:KE$3,$B$9,$B$10,"Dir=V","Dts=S","Sort=A","Days=T","Fill=B")</f>
        <v/>
      </c>
      <c r="KG4" s="4">
        <f>BDH(KG$1,KH$3:KV$3,$B$9,$B$10,"Dir=V","Dts=S","Sort=A","Days=T","Fill=B")</f>
        <v/>
      </c>
      <c r="KX4" s="4">
        <f>BDH(KX$1,KY$3:LM$3,$B$9,$B$10,"Dir=V","Dts=S","Sort=A","Days=T","Fill=B")</f>
        <v/>
      </c>
      <c r="LO4" s="4">
        <f>BDH(LO$1,LP$3:MD$3,$B$9,$B$10,"Dir=V","Dts=S","Sort=A","Days=T","Fill=B")</f>
        <v/>
      </c>
      <c r="MF4" s="4">
        <f>BDH(MF$1,MG$3:MU$3,$B$9,$B$10,"Dir=V","Dts=S","Sort=A","Days=T","Fill=B")</f>
        <v/>
      </c>
      <c r="MW4" s="4">
        <f>BDH(MW$1,MX$3:NL$3,$B$9,$B$10,"Dir=V","Dts=S","Sort=A","Days=T","Fill=B")</f>
        <v/>
      </c>
      <c r="NN4" s="4">
        <f>BDH(NN$1,NO$3:OC$3,$B$9,$B$10,"Dir=V","Dts=S","Sort=A","Days=T","Fill=B")</f>
        <v/>
      </c>
      <c r="OE4" s="4">
        <f>BDH(OE$1,OF$3:OT$3,$B$9,$B$10,"Dir=V","Dts=S","Sort=A","Days=T","Fill=B")</f>
        <v/>
      </c>
      <c r="OV4" s="4">
        <f>BDH(OV$1,OW$3:PK$3,$B$9,$B$10,"Dir=V","Dts=S","Sort=A","Days=T","Fill=B")</f>
        <v/>
      </c>
      <c r="PM4" s="4">
        <f>BDH(PM$1,PN$3:QB$3,$B$9,$B$10,"Dir=V","Dts=S","Sort=A","Days=T","Fill=B")</f>
        <v/>
      </c>
      <c r="QD4" s="4">
        <f>BDH(QD$1,QE$3:QS$3,$B$9,$B$10,"Dir=V","Dts=S","Sort=A","Days=T","Fill=B")</f>
        <v/>
      </c>
      <c r="QU4" s="4">
        <f>BDH(QU$1,QV$3:RJ$3,$B$9,$B$10,"Dir=V","Dts=S","Sort=A","Days=T","Fill=B")</f>
        <v/>
      </c>
      <c r="RL4" s="4">
        <f>BDH(RL$1,RM$3:SA$3,$B$9,$B$10,"Dir=V","Dts=S","Sort=A","Days=T","Fill=B")</f>
        <v/>
      </c>
      <c r="SC4" s="4">
        <f>BDH(SC$1,SD$3:SR$3,$B$9,$B$10,"Dir=V","Dts=S","Sort=A","Days=T","Fill=B")</f>
        <v/>
      </c>
      <c r="ST4" s="4">
        <f>BDH(ST$1,SU$3:TI$3,$B$9,$B$10,"Dir=V","Dts=S","Sort=A","Days=T","Fill=B")</f>
        <v/>
      </c>
      <c r="TK4" s="4">
        <f>BDH(TK$1,TL$3:TZ$3,$B$9,$B$10,"Dir=V","Dts=S","Sort=A","Days=T","Fill=B")</f>
        <v/>
      </c>
      <c r="UB4" s="4">
        <f>BDH(UB$1,UC$3:UQ$3,$B$9,$B$10,"Dir=V","Dts=S","Sort=A","Days=T","Fill=B")</f>
        <v/>
      </c>
      <c r="US4" s="4">
        <f>BDH(US$1,UT$3:VH$3,$B$9,$B$10,"Dir=V","Dts=S","Sort=A","Days=T","Fill=B")</f>
        <v/>
      </c>
    </row>
    <row r="5">
      <c r="A5" s="2" t="inlineStr">
        <is>
          <t>Futures ticker</t>
        </is>
      </c>
      <c r="B5" s="4">
        <f>IF(Settings!$B$14="Y","CL"&amp;MID("FGHJKMNQUVXZ",B1,1)&amp;B4&amp;" Comdty","")</f>
        <v/>
      </c>
    </row>
    <row r="6">
      <c r="A6" s="2" t="inlineStr">
        <is>
          <t>Strike reference date</t>
        </is>
      </c>
      <c r="B6" s="8">
        <f>B3-45</f>
        <v/>
      </c>
    </row>
    <row r="7">
      <c r="A7" s="2" t="inlineStr">
        <is>
          <t>Futures price on that date</t>
        </is>
      </c>
      <c r="B7" s="10">
        <f>IF(B5="","",BDH(B5,"PX_LAST",B6,B6,"Days=A","Fill=P","Dts=H"))</f>
        <v/>
      </c>
    </row>
    <row r="8">
      <c r="A8" s="2" t="inlineStr">
        <is>
          <t>ATM strike</t>
        </is>
      </c>
      <c r="B8" s="9">
        <f>IF(ISNUMBER(B7),ROUND(B7,0),"")</f>
        <v/>
      </c>
    </row>
    <row r="9">
      <c r="A9" s="2" t="inlineStr">
        <is>
          <t>History start</t>
        </is>
      </c>
      <c r="B9" s="8">
        <f>B3-100</f>
        <v/>
      </c>
    </row>
    <row r="10">
      <c r="A10" s="2" t="inlineStr">
        <is>
          <t>History end</t>
        </is>
      </c>
      <c r="B10" s="8">
        <f>B3</f>
        <v/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VH10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2" customWidth="1" min="2" max="2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1" customWidth="1" min="15" max="15"/>
    <col width="11" customWidth="1" min="16" max="16"/>
    <col width="10" customWidth="1" min="17" max="17"/>
    <col width="11" customWidth="1" min="18" max="18"/>
    <col width="13" customWidth="1" min="19" max="19"/>
    <col width="12" customWidth="1" min="21" max="21"/>
    <col width="10" customWidth="1" min="22" max="22"/>
    <col width="10" customWidth="1" min="23" max="23"/>
    <col width="10" customWidth="1" min="24" max="24"/>
    <col width="10" customWidth="1" min="25" max="25"/>
    <col width="11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1" customWidth="1" min="32" max="32"/>
    <col width="11" customWidth="1" min="33" max="33"/>
    <col width="10" customWidth="1" min="34" max="34"/>
    <col width="11" customWidth="1" min="35" max="35"/>
    <col width="13" customWidth="1" min="36" max="36"/>
    <col width="12" customWidth="1" min="38" max="38"/>
    <col width="10" customWidth="1" min="39" max="39"/>
    <col width="10" customWidth="1" min="40" max="40"/>
    <col width="10" customWidth="1" min="41" max="41"/>
    <col width="10" customWidth="1" min="42" max="42"/>
    <col width="11" customWidth="1" min="43" max="43"/>
    <col width="11" customWidth="1" min="44" max="44"/>
    <col width="10" customWidth="1" min="45" max="45"/>
    <col width="10" customWidth="1" min="46" max="46"/>
    <col width="10" customWidth="1" min="47" max="47"/>
    <col width="10" customWidth="1" min="48" max="48"/>
    <col width="11" customWidth="1" min="49" max="49"/>
    <col width="11" customWidth="1" min="50" max="50"/>
    <col width="10" customWidth="1" min="51" max="51"/>
    <col width="11" customWidth="1" min="52" max="52"/>
    <col width="13" customWidth="1" min="53" max="53"/>
    <col width="12" customWidth="1" min="55" max="55"/>
    <col width="10" customWidth="1" min="56" max="56"/>
    <col width="10" customWidth="1" min="57" max="57"/>
    <col width="10" customWidth="1" min="58" max="58"/>
    <col width="10" customWidth="1" min="59" max="59"/>
    <col width="11" customWidth="1" min="60" max="60"/>
    <col width="11" customWidth="1" min="61" max="61"/>
    <col width="10" customWidth="1" min="62" max="62"/>
    <col width="10" customWidth="1" min="63" max="63"/>
    <col width="10" customWidth="1" min="64" max="64"/>
    <col width="10" customWidth="1" min="65" max="65"/>
    <col width="11" customWidth="1" min="66" max="66"/>
    <col width="11" customWidth="1" min="67" max="67"/>
    <col width="10" customWidth="1" min="68" max="68"/>
    <col width="11" customWidth="1" min="69" max="69"/>
    <col width="13" customWidth="1" min="70" max="70"/>
    <col width="12" customWidth="1" min="72" max="72"/>
    <col width="10" customWidth="1" min="73" max="73"/>
    <col width="10" customWidth="1" min="74" max="74"/>
    <col width="10" customWidth="1" min="75" max="75"/>
    <col width="10" customWidth="1" min="76" max="76"/>
    <col width="11" customWidth="1" min="77" max="77"/>
    <col width="11" customWidth="1" min="78" max="78"/>
    <col width="10" customWidth="1" min="79" max="79"/>
    <col width="10" customWidth="1" min="80" max="80"/>
    <col width="10" customWidth="1" min="81" max="81"/>
    <col width="10" customWidth="1" min="82" max="82"/>
    <col width="11" customWidth="1" min="83" max="83"/>
    <col width="11" customWidth="1" min="84" max="84"/>
    <col width="10" customWidth="1" min="85" max="85"/>
    <col width="11" customWidth="1" min="86" max="86"/>
    <col width="13" customWidth="1" min="87" max="87"/>
    <col width="12" customWidth="1" min="89" max="89"/>
    <col width="10" customWidth="1" min="90" max="90"/>
    <col width="10" customWidth="1" min="91" max="91"/>
    <col width="10" customWidth="1" min="92" max="92"/>
    <col width="10" customWidth="1" min="93" max="93"/>
    <col width="11" customWidth="1" min="94" max="94"/>
    <col width="11" customWidth="1" min="95" max="95"/>
    <col width="10" customWidth="1" min="96" max="96"/>
    <col width="10" customWidth="1" min="97" max="97"/>
    <col width="10" customWidth="1" min="98" max="98"/>
    <col width="10" customWidth="1" min="99" max="99"/>
    <col width="11" customWidth="1" min="100" max="100"/>
    <col width="11" customWidth="1" min="101" max="101"/>
    <col width="10" customWidth="1" min="102" max="102"/>
    <col width="11" customWidth="1" min="103" max="103"/>
    <col width="13" customWidth="1" min="104" max="104"/>
    <col width="12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1" customWidth="1" min="111" max="111"/>
    <col width="11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1" customWidth="1" min="117" max="117"/>
    <col width="11" customWidth="1" min="118" max="118"/>
    <col width="10" customWidth="1" min="119" max="119"/>
    <col width="11" customWidth="1" min="120" max="120"/>
    <col width="13" customWidth="1" min="121" max="121"/>
    <col width="12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1" customWidth="1" min="128" max="128"/>
    <col width="11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1" customWidth="1" min="134" max="134"/>
    <col width="11" customWidth="1" min="135" max="135"/>
    <col width="10" customWidth="1" min="136" max="136"/>
    <col width="11" customWidth="1" min="137" max="137"/>
    <col width="13" customWidth="1" min="138" max="138"/>
    <col width="12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1" customWidth="1" min="145" max="145"/>
    <col width="11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1" customWidth="1" min="151" max="151"/>
    <col width="11" customWidth="1" min="152" max="152"/>
    <col width="10" customWidth="1" min="153" max="153"/>
    <col width="11" customWidth="1" min="154" max="154"/>
    <col width="13" customWidth="1" min="155" max="155"/>
    <col width="12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1" customWidth="1" min="162" max="162"/>
    <col width="11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1" customWidth="1" min="168" max="168"/>
    <col width="11" customWidth="1" min="169" max="169"/>
    <col width="10" customWidth="1" min="170" max="170"/>
    <col width="11" customWidth="1" min="171" max="171"/>
    <col width="13" customWidth="1" min="172" max="172"/>
    <col width="12" customWidth="1" min="174" max="174"/>
    <col width="10" customWidth="1" min="175" max="175"/>
    <col width="10" customWidth="1" min="176" max="176"/>
    <col width="10" customWidth="1" min="177" max="177"/>
    <col width="10" customWidth="1" min="178" max="178"/>
    <col width="11" customWidth="1" min="179" max="179"/>
    <col width="11" customWidth="1" min="180" max="180"/>
    <col width="10" customWidth="1" min="181" max="181"/>
    <col width="10" customWidth="1" min="182" max="182"/>
    <col width="10" customWidth="1" min="183" max="183"/>
    <col width="10" customWidth="1" min="184" max="184"/>
    <col width="11" customWidth="1" min="185" max="185"/>
    <col width="11" customWidth="1" min="186" max="186"/>
    <col width="10" customWidth="1" min="187" max="187"/>
    <col width="11" customWidth="1" min="188" max="188"/>
    <col width="13" customWidth="1" min="189" max="189"/>
    <col width="12" customWidth="1" min="191" max="191"/>
    <col width="10" customWidth="1" min="192" max="192"/>
    <col width="10" customWidth="1" min="193" max="193"/>
    <col width="10" customWidth="1" min="194" max="194"/>
    <col width="10" customWidth="1" min="195" max="195"/>
    <col width="11" customWidth="1" min="196" max="196"/>
    <col width="11" customWidth="1" min="197" max="197"/>
    <col width="10" customWidth="1" min="198" max="198"/>
    <col width="10" customWidth="1" min="199" max="199"/>
    <col width="10" customWidth="1" min="200" max="200"/>
    <col width="10" customWidth="1" min="201" max="201"/>
    <col width="11" customWidth="1" min="202" max="202"/>
    <col width="11" customWidth="1" min="203" max="203"/>
    <col width="10" customWidth="1" min="204" max="204"/>
    <col width="11" customWidth="1" min="205" max="205"/>
    <col width="13" customWidth="1" min="206" max="206"/>
    <col width="12" customWidth="1" min="208" max="208"/>
    <col width="10" customWidth="1" min="209" max="209"/>
    <col width="10" customWidth="1" min="210" max="210"/>
    <col width="10" customWidth="1" min="211" max="211"/>
    <col width="10" customWidth="1" min="212" max="212"/>
    <col width="11" customWidth="1" min="213" max="213"/>
    <col width="11" customWidth="1" min="214" max="214"/>
    <col width="10" customWidth="1" min="215" max="215"/>
    <col width="10" customWidth="1" min="216" max="216"/>
    <col width="10" customWidth="1" min="217" max="217"/>
    <col width="10" customWidth="1" min="218" max="218"/>
    <col width="11" customWidth="1" min="219" max="219"/>
    <col width="11" customWidth="1" min="220" max="220"/>
    <col width="10" customWidth="1" min="221" max="221"/>
    <col width="11" customWidth="1" min="222" max="222"/>
    <col width="13" customWidth="1" min="223" max="223"/>
    <col width="12" customWidth="1" min="225" max="225"/>
    <col width="10" customWidth="1" min="226" max="226"/>
    <col width="10" customWidth="1" min="227" max="227"/>
    <col width="10" customWidth="1" min="228" max="228"/>
    <col width="10" customWidth="1" min="229" max="229"/>
    <col width="11" customWidth="1" min="230" max="230"/>
    <col width="11" customWidth="1" min="231" max="231"/>
    <col width="10" customWidth="1" min="232" max="232"/>
    <col width="10" customWidth="1" min="233" max="233"/>
    <col width="10" customWidth="1" min="234" max="234"/>
    <col width="10" customWidth="1" min="235" max="235"/>
    <col width="11" customWidth="1" min="236" max="236"/>
    <col width="11" customWidth="1" min="237" max="237"/>
    <col width="10" customWidth="1" min="238" max="238"/>
    <col width="11" customWidth="1" min="239" max="239"/>
    <col width="13" customWidth="1" min="240" max="240"/>
    <col width="12" customWidth="1" min="242" max="242"/>
    <col width="10" customWidth="1" min="243" max="243"/>
    <col width="10" customWidth="1" min="244" max="244"/>
    <col width="10" customWidth="1" min="245" max="245"/>
    <col width="10" customWidth="1" min="246" max="246"/>
    <col width="11" customWidth="1" min="247" max="247"/>
    <col width="11" customWidth="1" min="248" max="248"/>
    <col width="10" customWidth="1" min="249" max="249"/>
    <col width="10" customWidth="1" min="250" max="250"/>
    <col width="10" customWidth="1" min="251" max="251"/>
    <col width="10" customWidth="1" min="252" max="252"/>
    <col width="11" customWidth="1" min="253" max="253"/>
    <col width="11" customWidth="1" min="254" max="254"/>
    <col width="10" customWidth="1" min="255" max="255"/>
    <col width="11" customWidth="1" min="256" max="256"/>
    <col width="13" customWidth="1" min="257" max="257"/>
    <col width="12" customWidth="1" min="259" max="259"/>
    <col width="10" customWidth="1" min="260" max="260"/>
    <col width="10" customWidth="1" min="261" max="261"/>
    <col width="10" customWidth="1" min="262" max="262"/>
    <col width="10" customWidth="1" min="263" max="263"/>
    <col width="11" customWidth="1" min="264" max="264"/>
    <col width="11" customWidth="1" min="265" max="265"/>
    <col width="10" customWidth="1" min="266" max="266"/>
    <col width="10" customWidth="1" min="267" max="267"/>
    <col width="10" customWidth="1" min="268" max="268"/>
    <col width="10" customWidth="1" min="269" max="269"/>
    <col width="11" customWidth="1" min="270" max="270"/>
    <col width="11" customWidth="1" min="271" max="271"/>
    <col width="10" customWidth="1" min="272" max="272"/>
    <col width="11" customWidth="1" min="273" max="273"/>
    <col width="13" customWidth="1" min="274" max="274"/>
    <col width="12" customWidth="1" min="276" max="276"/>
    <col width="10" customWidth="1" min="277" max="277"/>
    <col width="10" customWidth="1" min="278" max="278"/>
    <col width="10" customWidth="1" min="279" max="279"/>
    <col width="10" customWidth="1" min="280" max="280"/>
    <col width="11" customWidth="1" min="281" max="281"/>
    <col width="11" customWidth="1" min="282" max="282"/>
    <col width="10" customWidth="1" min="283" max="283"/>
    <col width="10" customWidth="1" min="284" max="284"/>
    <col width="10" customWidth="1" min="285" max="285"/>
    <col width="10" customWidth="1" min="286" max="286"/>
    <col width="11" customWidth="1" min="287" max="287"/>
    <col width="11" customWidth="1" min="288" max="288"/>
    <col width="10" customWidth="1" min="289" max="289"/>
    <col width="11" customWidth="1" min="290" max="290"/>
    <col width="13" customWidth="1" min="291" max="291"/>
    <col width="12" customWidth="1" min="293" max="293"/>
    <col width="10" customWidth="1" min="294" max="294"/>
    <col width="10" customWidth="1" min="295" max="295"/>
    <col width="10" customWidth="1" min="296" max="296"/>
    <col width="10" customWidth="1" min="297" max="297"/>
    <col width="11" customWidth="1" min="298" max="298"/>
    <col width="11" customWidth="1" min="299" max="299"/>
    <col width="10" customWidth="1" min="300" max="300"/>
    <col width="10" customWidth="1" min="301" max="301"/>
    <col width="10" customWidth="1" min="302" max="302"/>
    <col width="10" customWidth="1" min="303" max="303"/>
    <col width="11" customWidth="1" min="304" max="304"/>
    <col width="11" customWidth="1" min="305" max="305"/>
    <col width="10" customWidth="1" min="306" max="306"/>
    <col width="11" customWidth="1" min="307" max="307"/>
    <col width="13" customWidth="1" min="308" max="308"/>
    <col width="12" customWidth="1" min="310" max="310"/>
    <col width="10" customWidth="1" min="311" max="311"/>
    <col width="10" customWidth="1" min="312" max="312"/>
    <col width="10" customWidth="1" min="313" max="313"/>
    <col width="10" customWidth="1" min="314" max="314"/>
    <col width="11" customWidth="1" min="315" max="315"/>
    <col width="11" customWidth="1" min="316" max="316"/>
    <col width="10" customWidth="1" min="317" max="317"/>
    <col width="10" customWidth="1" min="318" max="318"/>
    <col width="10" customWidth="1" min="319" max="319"/>
    <col width="10" customWidth="1" min="320" max="320"/>
    <col width="11" customWidth="1" min="321" max="321"/>
    <col width="11" customWidth="1" min="322" max="322"/>
    <col width="10" customWidth="1" min="323" max="323"/>
    <col width="11" customWidth="1" min="324" max="324"/>
    <col width="13" customWidth="1" min="325" max="325"/>
    <col width="12" customWidth="1" min="327" max="327"/>
    <col width="10" customWidth="1" min="328" max="328"/>
    <col width="10" customWidth="1" min="329" max="329"/>
    <col width="10" customWidth="1" min="330" max="330"/>
    <col width="10" customWidth="1" min="331" max="331"/>
    <col width="11" customWidth="1" min="332" max="332"/>
    <col width="11" customWidth="1" min="333" max="333"/>
    <col width="10" customWidth="1" min="334" max="334"/>
    <col width="10" customWidth="1" min="335" max="335"/>
    <col width="10" customWidth="1" min="336" max="336"/>
    <col width="10" customWidth="1" min="337" max="337"/>
    <col width="11" customWidth="1" min="338" max="338"/>
    <col width="11" customWidth="1" min="339" max="339"/>
    <col width="10" customWidth="1" min="340" max="340"/>
    <col width="11" customWidth="1" min="341" max="341"/>
    <col width="13" customWidth="1" min="342" max="342"/>
    <col width="12" customWidth="1" min="344" max="344"/>
    <col width="10" customWidth="1" min="345" max="345"/>
    <col width="10" customWidth="1" min="346" max="346"/>
    <col width="10" customWidth="1" min="347" max="347"/>
    <col width="10" customWidth="1" min="348" max="348"/>
    <col width="11" customWidth="1" min="349" max="349"/>
    <col width="11" customWidth="1" min="350" max="350"/>
    <col width="10" customWidth="1" min="351" max="351"/>
    <col width="10" customWidth="1" min="352" max="352"/>
    <col width="10" customWidth="1" min="353" max="353"/>
    <col width="10" customWidth="1" min="354" max="354"/>
    <col width="11" customWidth="1" min="355" max="355"/>
    <col width="11" customWidth="1" min="356" max="356"/>
    <col width="10" customWidth="1" min="357" max="357"/>
    <col width="11" customWidth="1" min="358" max="358"/>
    <col width="13" customWidth="1" min="359" max="359"/>
    <col width="12" customWidth="1" min="361" max="361"/>
    <col width="10" customWidth="1" min="362" max="362"/>
    <col width="10" customWidth="1" min="363" max="363"/>
    <col width="10" customWidth="1" min="364" max="364"/>
    <col width="10" customWidth="1" min="365" max="365"/>
    <col width="11" customWidth="1" min="366" max="366"/>
    <col width="11" customWidth="1" min="367" max="367"/>
    <col width="10" customWidth="1" min="368" max="368"/>
    <col width="10" customWidth="1" min="369" max="369"/>
    <col width="10" customWidth="1" min="370" max="370"/>
    <col width="10" customWidth="1" min="371" max="371"/>
    <col width="11" customWidth="1" min="372" max="372"/>
    <col width="11" customWidth="1" min="373" max="373"/>
    <col width="10" customWidth="1" min="374" max="374"/>
    <col width="11" customWidth="1" min="375" max="375"/>
    <col width="13" customWidth="1" min="376" max="376"/>
    <col width="12" customWidth="1" min="378" max="378"/>
    <col width="10" customWidth="1" min="379" max="379"/>
    <col width="10" customWidth="1" min="380" max="380"/>
    <col width="10" customWidth="1" min="381" max="381"/>
    <col width="10" customWidth="1" min="382" max="382"/>
    <col width="11" customWidth="1" min="383" max="383"/>
    <col width="11" customWidth="1" min="384" max="384"/>
    <col width="10" customWidth="1" min="385" max="385"/>
    <col width="10" customWidth="1" min="386" max="386"/>
    <col width="10" customWidth="1" min="387" max="387"/>
    <col width="10" customWidth="1" min="388" max="388"/>
    <col width="11" customWidth="1" min="389" max="389"/>
    <col width="11" customWidth="1" min="390" max="390"/>
    <col width="10" customWidth="1" min="391" max="391"/>
    <col width="11" customWidth="1" min="392" max="392"/>
    <col width="13" customWidth="1" min="393" max="393"/>
    <col width="12" customWidth="1" min="395" max="395"/>
    <col width="10" customWidth="1" min="396" max="396"/>
    <col width="10" customWidth="1" min="397" max="397"/>
    <col width="10" customWidth="1" min="398" max="398"/>
    <col width="10" customWidth="1" min="399" max="399"/>
    <col width="11" customWidth="1" min="400" max="400"/>
    <col width="11" customWidth="1" min="401" max="401"/>
    <col width="10" customWidth="1" min="402" max="402"/>
    <col width="10" customWidth="1" min="403" max="403"/>
    <col width="10" customWidth="1" min="404" max="404"/>
    <col width="10" customWidth="1" min="405" max="405"/>
    <col width="11" customWidth="1" min="406" max="406"/>
    <col width="11" customWidth="1" min="407" max="407"/>
    <col width="10" customWidth="1" min="408" max="408"/>
    <col width="11" customWidth="1" min="409" max="409"/>
    <col width="13" customWidth="1" min="410" max="410"/>
    <col width="12" customWidth="1" min="412" max="412"/>
    <col width="10" customWidth="1" min="413" max="413"/>
    <col width="10" customWidth="1" min="414" max="414"/>
    <col width="10" customWidth="1" min="415" max="415"/>
    <col width="10" customWidth="1" min="416" max="416"/>
    <col width="11" customWidth="1" min="417" max="417"/>
    <col width="11" customWidth="1" min="418" max="418"/>
    <col width="10" customWidth="1" min="419" max="419"/>
    <col width="10" customWidth="1" min="420" max="420"/>
    <col width="10" customWidth="1" min="421" max="421"/>
    <col width="10" customWidth="1" min="422" max="422"/>
    <col width="11" customWidth="1" min="423" max="423"/>
    <col width="11" customWidth="1" min="424" max="424"/>
    <col width="10" customWidth="1" min="425" max="425"/>
    <col width="11" customWidth="1" min="426" max="426"/>
    <col width="13" customWidth="1" min="427" max="427"/>
    <col width="12" customWidth="1" min="429" max="429"/>
    <col width="10" customWidth="1" min="430" max="430"/>
    <col width="10" customWidth="1" min="431" max="431"/>
    <col width="10" customWidth="1" min="432" max="432"/>
    <col width="10" customWidth="1" min="433" max="433"/>
    <col width="11" customWidth="1" min="434" max="434"/>
    <col width="11" customWidth="1" min="435" max="435"/>
    <col width="10" customWidth="1" min="436" max="436"/>
    <col width="10" customWidth="1" min="437" max="437"/>
    <col width="10" customWidth="1" min="438" max="438"/>
    <col width="10" customWidth="1" min="439" max="439"/>
    <col width="11" customWidth="1" min="440" max="440"/>
    <col width="11" customWidth="1" min="441" max="441"/>
    <col width="10" customWidth="1" min="442" max="442"/>
    <col width="11" customWidth="1" min="443" max="443"/>
    <col width="13" customWidth="1" min="444" max="444"/>
    <col width="12" customWidth="1" min="446" max="446"/>
    <col width="10" customWidth="1" min="447" max="447"/>
    <col width="10" customWidth="1" min="448" max="448"/>
    <col width="10" customWidth="1" min="449" max="449"/>
    <col width="10" customWidth="1" min="450" max="450"/>
    <col width="11" customWidth="1" min="451" max="451"/>
    <col width="11" customWidth="1" min="452" max="452"/>
    <col width="10" customWidth="1" min="453" max="453"/>
    <col width="10" customWidth="1" min="454" max="454"/>
    <col width="10" customWidth="1" min="455" max="455"/>
    <col width="10" customWidth="1" min="456" max="456"/>
    <col width="11" customWidth="1" min="457" max="457"/>
    <col width="11" customWidth="1" min="458" max="458"/>
    <col width="10" customWidth="1" min="459" max="459"/>
    <col width="11" customWidth="1" min="460" max="460"/>
    <col width="13" customWidth="1" min="461" max="461"/>
    <col width="12" customWidth="1" min="463" max="463"/>
    <col width="10" customWidth="1" min="464" max="464"/>
    <col width="10" customWidth="1" min="465" max="465"/>
    <col width="10" customWidth="1" min="466" max="466"/>
    <col width="10" customWidth="1" min="467" max="467"/>
    <col width="11" customWidth="1" min="468" max="468"/>
    <col width="11" customWidth="1" min="469" max="469"/>
    <col width="10" customWidth="1" min="470" max="470"/>
    <col width="10" customWidth="1" min="471" max="471"/>
    <col width="10" customWidth="1" min="472" max="472"/>
    <col width="10" customWidth="1" min="473" max="473"/>
    <col width="11" customWidth="1" min="474" max="474"/>
    <col width="11" customWidth="1" min="475" max="475"/>
    <col width="10" customWidth="1" min="476" max="476"/>
    <col width="11" customWidth="1" min="477" max="477"/>
    <col width="13" customWidth="1" min="478" max="478"/>
    <col width="12" customWidth="1" min="480" max="480"/>
    <col width="10" customWidth="1" min="481" max="481"/>
    <col width="10" customWidth="1" min="482" max="482"/>
    <col width="10" customWidth="1" min="483" max="483"/>
    <col width="10" customWidth="1" min="484" max="484"/>
    <col width="11" customWidth="1" min="485" max="485"/>
    <col width="11" customWidth="1" min="486" max="486"/>
    <col width="10" customWidth="1" min="487" max="487"/>
    <col width="10" customWidth="1" min="488" max="488"/>
    <col width="10" customWidth="1" min="489" max="489"/>
    <col width="10" customWidth="1" min="490" max="490"/>
    <col width="11" customWidth="1" min="491" max="491"/>
    <col width="11" customWidth="1" min="492" max="492"/>
    <col width="10" customWidth="1" min="493" max="493"/>
    <col width="11" customWidth="1" min="494" max="494"/>
    <col width="13" customWidth="1" min="495" max="495"/>
    <col width="12" customWidth="1" min="497" max="497"/>
    <col width="10" customWidth="1" min="498" max="498"/>
    <col width="10" customWidth="1" min="499" max="499"/>
    <col width="10" customWidth="1" min="500" max="500"/>
    <col width="10" customWidth="1" min="501" max="501"/>
    <col width="11" customWidth="1" min="502" max="502"/>
    <col width="11" customWidth="1" min="503" max="503"/>
    <col width="10" customWidth="1" min="504" max="504"/>
    <col width="10" customWidth="1" min="505" max="505"/>
    <col width="10" customWidth="1" min="506" max="506"/>
    <col width="10" customWidth="1" min="507" max="507"/>
    <col width="11" customWidth="1" min="508" max="508"/>
    <col width="11" customWidth="1" min="509" max="509"/>
    <col width="10" customWidth="1" min="510" max="510"/>
    <col width="11" customWidth="1" min="511" max="511"/>
    <col width="13" customWidth="1" min="512" max="512"/>
    <col width="12" customWidth="1" min="514" max="514"/>
    <col width="10" customWidth="1" min="515" max="515"/>
    <col width="10" customWidth="1" min="516" max="516"/>
    <col width="10" customWidth="1" min="517" max="517"/>
    <col width="10" customWidth="1" min="518" max="518"/>
    <col width="11" customWidth="1" min="519" max="519"/>
    <col width="11" customWidth="1" min="520" max="520"/>
    <col width="10" customWidth="1" min="521" max="521"/>
    <col width="10" customWidth="1" min="522" max="522"/>
    <col width="10" customWidth="1" min="523" max="523"/>
    <col width="10" customWidth="1" min="524" max="524"/>
    <col width="11" customWidth="1" min="525" max="525"/>
    <col width="11" customWidth="1" min="526" max="526"/>
    <col width="10" customWidth="1" min="527" max="527"/>
    <col width="11" customWidth="1" min="528" max="528"/>
    <col width="13" customWidth="1" min="529" max="529"/>
    <col width="12" customWidth="1" min="531" max="531"/>
    <col width="10" customWidth="1" min="532" max="532"/>
    <col width="10" customWidth="1" min="533" max="533"/>
    <col width="10" customWidth="1" min="534" max="534"/>
    <col width="10" customWidth="1" min="535" max="535"/>
    <col width="11" customWidth="1" min="536" max="536"/>
    <col width="11" customWidth="1" min="537" max="537"/>
    <col width="10" customWidth="1" min="538" max="538"/>
    <col width="10" customWidth="1" min="539" max="539"/>
    <col width="10" customWidth="1" min="540" max="540"/>
    <col width="10" customWidth="1" min="541" max="541"/>
    <col width="11" customWidth="1" min="542" max="542"/>
    <col width="11" customWidth="1" min="543" max="543"/>
    <col width="10" customWidth="1" min="544" max="544"/>
    <col width="11" customWidth="1" min="545" max="545"/>
    <col width="13" customWidth="1" min="546" max="546"/>
    <col width="12" customWidth="1" min="548" max="548"/>
    <col width="10" customWidth="1" min="549" max="549"/>
    <col width="10" customWidth="1" min="550" max="550"/>
    <col width="10" customWidth="1" min="551" max="551"/>
    <col width="10" customWidth="1" min="552" max="552"/>
    <col width="11" customWidth="1" min="553" max="553"/>
    <col width="11" customWidth="1" min="554" max="554"/>
    <col width="10" customWidth="1" min="555" max="555"/>
    <col width="10" customWidth="1" min="556" max="556"/>
    <col width="10" customWidth="1" min="557" max="557"/>
    <col width="10" customWidth="1" min="558" max="558"/>
    <col width="11" customWidth="1" min="559" max="559"/>
    <col width="11" customWidth="1" min="560" max="560"/>
    <col width="10" customWidth="1" min="561" max="561"/>
    <col width="11" customWidth="1" min="562" max="562"/>
    <col width="13" customWidth="1" min="563" max="563"/>
    <col width="12" customWidth="1" min="565" max="565"/>
    <col width="10" customWidth="1" min="566" max="566"/>
    <col width="10" customWidth="1" min="567" max="567"/>
    <col width="10" customWidth="1" min="568" max="568"/>
    <col width="10" customWidth="1" min="569" max="569"/>
    <col width="11" customWidth="1" min="570" max="570"/>
    <col width="11" customWidth="1" min="571" max="571"/>
    <col width="10" customWidth="1" min="572" max="572"/>
    <col width="10" customWidth="1" min="573" max="573"/>
    <col width="10" customWidth="1" min="574" max="574"/>
    <col width="10" customWidth="1" min="575" max="575"/>
    <col width="11" customWidth="1" min="576" max="576"/>
    <col width="11" customWidth="1" min="577" max="577"/>
    <col width="10" customWidth="1" min="578" max="578"/>
    <col width="11" customWidth="1" min="579" max="579"/>
    <col width="13" customWidth="1" min="580" max="580"/>
  </cols>
  <sheetData>
    <row r="1">
      <c r="A1" s="2" t="inlineStr">
        <is>
          <t>Contract month</t>
        </is>
      </c>
      <c r="B1" s="9" t="n">
        <v>10</v>
      </c>
      <c r="D1" s="2">
        <f>IF(ISNUMBER(B$8),"CL"&amp;MID("FGHJKMNQUVXZ",B$1,1)&amp;B$4&amp;"C "&amp;IF(Settings!$F$14=2,TEXT((B$8-8),"0.00"),(B$8-8))&amp;" Comdty","")</f>
        <v/>
      </c>
      <c r="U1" s="2">
        <f>IF(ISNUMBER(B$8),"CL"&amp;MID("FGHJKMNQUVXZ",B$1,1)&amp;B$4&amp;"P "&amp;IF(Settings!$F$14=2,TEXT((B$8-8),"0.00"),(B$8-8))&amp;" Comdty","")</f>
        <v/>
      </c>
      <c r="AL1" s="2">
        <f>IF(ISNUMBER(B$8),"CL"&amp;MID("FGHJKMNQUVXZ",B$1,1)&amp;B$4&amp;"C "&amp;IF(Settings!$F$14=2,TEXT((B$8-7),"0.00"),(B$8-7))&amp;" Comdty","")</f>
        <v/>
      </c>
      <c r="BC1" s="2">
        <f>IF(ISNUMBER(B$8),"CL"&amp;MID("FGHJKMNQUVXZ",B$1,1)&amp;B$4&amp;"P "&amp;IF(Settings!$F$14=2,TEXT((B$8-7),"0.00"),(B$8-7))&amp;" Comdty","")</f>
        <v/>
      </c>
      <c r="BT1" s="2">
        <f>IF(ISNUMBER(B$8),"CL"&amp;MID("FGHJKMNQUVXZ",B$1,1)&amp;B$4&amp;"C "&amp;IF(Settings!$F$14=2,TEXT((B$8-6),"0.00"),(B$8-6))&amp;" Comdty","")</f>
        <v/>
      </c>
      <c r="CK1" s="2">
        <f>IF(ISNUMBER(B$8),"CL"&amp;MID("FGHJKMNQUVXZ",B$1,1)&amp;B$4&amp;"P "&amp;IF(Settings!$F$14=2,TEXT((B$8-6),"0.00"),(B$8-6))&amp;" Comdty","")</f>
        <v/>
      </c>
      <c r="DB1" s="2">
        <f>IF(ISNUMBER(B$8),"CL"&amp;MID("FGHJKMNQUVXZ",B$1,1)&amp;B$4&amp;"C "&amp;IF(Settings!$F$14=2,TEXT((B$8-5),"0.00"),(B$8-5))&amp;" Comdty","")</f>
        <v/>
      </c>
      <c r="DS1" s="2">
        <f>IF(ISNUMBER(B$8),"CL"&amp;MID("FGHJKMNQUVXZ",B$1,1)&amp;B$4&amp;"P "&amp;IF(Settings!$F$14=2,TEXT((B$8-5),"0.00"),(B$8-5))&amp;" Comdty","")</f>
        <v/>
      </c>
      <c r="EJ1" s="2">
        <f>IF(ISNUMBER(B$8),"CL"&amp;MID("FGHJKMNQUVXZ",B$1,1)&amp;B$4&amp;"C "&amp;IF(Settings!$F$14=2,TEXT((B$8-4),"0.00"),(B$8-4))&amp;" Comdty","")</f>
        <v/>
      </c>
      <c r="FA1" s="2">
        <f>IF(ISNUMBER(B$8),"CL"&amp;MID("FGHJKMNQUVXZ",B$1,1)&amp;B$4&amp;"P "&amp;IF(Settings!$F$14=2,TEXT((B$8-4),"0.00"),(B$8-4))&amp;" Comdty","")</f>
        <v/>
      </c>
      <c r="FR1" s="2">
        <f>IF(ISNUMBER(B$8),"CL"&amp;MID("FGHJKMNQUVXZ",B$1,1)&amp;B$4&amp;"C "&amp;IF(Settings!$F$14=2,TEXT((B$8-3),"0.00"),(B$8-3))&amp;" Comdty","")</f>
        <v/>
      </c>
      <c r="GI1" s="2">
        <f>IF(ISNUMBER(B$8),"CL"&amp;MID("FGHJKMNQUVXZ",B$1,1)&amp;B$4&amp;"P "&amp;IF(Settings!$F$14=2,TEXT((B$8-3),"0.00"),(B$8-3))&amp;" Comdty","")</f>
        <v/>
      </c>
      <c r="GZ1" s="2">
        <f>IF(ISNUMBER(B$8),"CL"&amp;MID("FGHJKMNQUVXZ",B$1,1)&amp;B$4&amp;"C "&amp;IF(Settings!$F$14=2,TEXT((B$8-2),"0.00"),(B$8-2))&amp;" Comdty","")</f>
        <v/>
      </c>
      <c r="HQ1" s="2">
        <f>IF(ISNUMBER(B$8),"CL"&amp;MID("FGHJKMNQUVXZ",B$1,1)&amp;B$4&amp;"P "&amp;IF(Settings!$F$14=2,TEXT((B$8-2),"0.00"),(B$8-2))&amp;" Comdty","")</f>
        <v/>
      </c>
      <c r="IH1" s="2">
        <f>IF(ISNUMBER(B$8),"CL"&amp;MID("FGHJKMNQUVXZ",B$1,1)&amp;B$4&amp;"C "&amp;IF(Settings!$F$14=2,TEXT((B$8-1),"0.00"),(B$8-1))&amp;" Comdty","")</f>
        <v/>
      </c>
      <c r="IY1" s="2">
        <f>IF(ISNUMBER(B$8),"CL"&amp;MID("FGHJKMNQUVXZ",B$1,1)&amp;B$4&amp;"P "&amp;IF(Settings!$F$14=2,TEXT((B$8-1),"0.00"),(B$8-1))&amp;" Comdty","")</f>
        <v/>
      </c>
      <c r="JP1" s="2">
        <f>IF(ISNUMBER(B$8),"CL"&amp;MID("FGHJKMNQUVXZ",B$1,1)&amp;B$4&amp;"C "&amp;IF(Settings!$F$14=2,TEXT(B$8,"0.00"),B$8)&amp;" Comdty","")</f>
        <v/>
      </c>
      <c r="KG1" s="2">
        <f>IF(ISNUMBER(B$8),"CL"&amp;MID("FGHJKMNQUVXZ",B$1,1)&amp;B$4&amp;"P "&amp;IF(Settings!$F$14=2,TEXT(B$8,"0.00"),B$8)&amp;" Comdty","")</f>
        <v/>
      </c>
      <c r="KX1" s="2">
        <f>IF(ISNUMBER(B$8),"CL"&amp;MID("FGHJKMNQUVXZ",B$1,1)&amp;B$4&amp;"C "&amp;IF(Settings!$F$14=2,TEXT((B$8+1),"0.00"),(B$8+1))&amp;" Comdty","")</f>
        <v/>
      </c>
      <c r="LO1" s="2">
        <f>IF(ISNUMBER(B$8),"CL"&amp;MID("FGHJKMNQUVXZ",B$1,1)&amp;B$4&amp;"P "&amp;IF(Settings!$F$14=2,TEXT((B$8+1),"0.00"),(B$8+1))&amp;" Comdty","")</f>
        <v/>
      </c>
      <c r="MF1" s="2">
        <f>IF(ISNUMBER(B$8),"CL"&amp;MID("FGHJKMNQUVXZ",B$1,1)&amp;B$4&amp;"C "&amp;IF(Settings!$F$14=2,TEXT((B$8+2),"0.00"),(B$8+2))&amp;" Comdty","")</f>
        <v/>
      </c>
      <c r="MW1" s="2">
        <f>IF(ISNUMBER(B$8),"CL"&amp;MID("FGHJKMNQUVXZ",B$1,1)&amp;B$4&amp;"P "&amp;IF(Settings!$F$14=2,TEXT((B$8+2),"0.00"),(B$8+2))&amp;" Comdty","")</f>
        <v/>
      </c>
      <c r="NN1" s="2">
        <f>IF(ISNUMBER(B$8),"CL"&amp;MID("FGHJKMNQUVXZ",B$1,1)&amp;B$4&amp;"C "&amp;IF(Settings!$F$14=2,TEXT((B$8+3),"0.00"),(B$8+3))&amp;" Comdty","")</f>
        <v/>
      </c>
      <c r="OE1" s="2">
        <f>IF(ISNUMBER(B$8),"CL"&amp;MID("FGHJKMNQUVXZ",B$1,1)&amp;B$4&amp;"P "&amp;IF(Settings!$F$14=2,TEXT((B$8+3),"0.00"),(B$8+3))&amp;" Comdty","")</f>
        <v/>
      </c>
      <c r="OV1" s="2">
        <f>IF(ISNUMBER(B$8),"CL"&amp;MID("FGHJKMNQUVXZ",B$1,1)&amp;B$4&amp;"C "&amp;IF(Settings!$F$14=2,TEXT((B$8+4),"0.00"),(B$8+4))&amp;" Comdty","")</f>
        <v/>
      </c>
      <c r="PM1" s="2">
        <f>IF(ISNUMBER(B$8),"CL"&amp;MID("FGHJKMNQUVXZ",B$1,1)&amp;B$4&amp;"P "&amp;IF(Settings!$F$14=2,TEXT((B$8+4),"0.00"),(B$8+4))&amp;" Comdty","")</f>
        <v/>
      </c>
      <c r="QD1" s="2">
        <f>IF(ISNUMBER(B$8),"CL"&amp;MID("FGHJKMNQUVXZ",B$1,1)&amp;B$4&amp;"C "&amp;IF(Settings!$F$14=2,TEXT((B$8+5),"0.00"),(B$8+5))&amp;" Comdty","")</f>
        <v/>
      </c>
      <c r="QU1" s="2">
        <f>IF(ISNUMBER(B$8),"CL"&amp;MID("FGHJKMNQUVXZ",B$1,1)&amp;B$4&amp;"P "&amp;IF(Settings!$F$14=2,TEXT((B$8+5),"0.00"),(B$8+5))&amp;" Comdty","")</f>
        <v/>
      </c>
      <c r="RL1" s="2">
        <f>IF(ISNUMBER(B$8),"CL"&amp;MID("FGHJKMNQUVXZ",B$1,1)&amp;B$4&amp;"C "&amp;IF(Settings!$F$14=2,TEXT((B$8+6),"0.00"),(B$8+6))&amp;" Comdty","")</f>
        <v/>
      </c>
      <c r="SC1" s="2">
        <f>IF(ISNUMBER(B$8),"CL"&amp;MID("FGHJKMNQUVXZ",B$1,1)&amp;B$4&amp;"P "&amp;IF(Settings!$F$14=2,TEXT((B$8+6),"0.00"),(B$8+6))&amp;" Comdty","")</f>
        <v/>
      </c>
      <c r="ST1" s="2">
        <f>IF(ISNUMBER(B$8),"CL"&amp;MID("FGHJKMNQUVXZ",B$1,1)&amp;B$4&amp;"C "&amp;IF(Settings!$F$14=2,TEXT((B$8+7),"0.00"),(B$8+7))&amp;" Comdty","")</f>
        <v/>
      </c>
      <c r="TK1" s="2">
        <f>IF(ISNUMBER(B$8),"CL"&amp;MID("FGHJKMNQUVXZ",B$1,1)&amp;B$4&amp;"P "&amp;IF(Settings!$F$14=2,TEXT((B$8+7),"0.00"),(B$8+7))&amp;" Comdty","")</f>
        <v/>
      </c>
      <c r="UB1" s="2">
        <f>IF(ISNUMBER(B$8),"CL"&amp;MID("FGHJKMNQUVXZ",B$1,1)&amp;B$4&amp;"C "&amp;IF(Settings!$F$14=2,TEXT((B$8+8),"0.00"),(B$8+8))&amp;" Comdty","")</f>
        <v/>
      </c>
      <c r="US1" s="2">
        <f>IF(ISNUMBER(B$8),"CL"&amp;MID("FGHJKMNQUVXZ",B$1,1)&amp;B$4&amp;"P "&amp;IF(Settings!$F$14=2,TEXT((B$8+8),"0.00"),(B$8+8))&amp;" Comdty","")</f>
        <v/>
      </c>
    </row>
    <row r="2">
      <c r="A2" s="2" t="inlineStr">
        <is>
          <t>Futures last trade</t>
        </is>
      </c>
      <c r="B2" s="8">
        <f>WORKDAY(DATE(Settings!$E$14,B1-1,25),-3)</f>
        <v/>
      </c>
      <c r="D2" s="4" t="inlineStr">
        <is>
          <t>call -8 from ATM</t>
        </is>
      </c>
      <c r="U2" s="4" t="inlineStr">
        <is>
          <t>put -8 from ATM</t>
        </is>
      </c>
      <c r="AL2" s="4" t="inlineStr">
        <is>
          <t>call -7 from ATM</t>
        </is>
      </c>
      <c r="BC2" s="4" t="inlineStr">
        <is>
          <t>put -7 from ATM</t>
        </is>
      </c>
      <c r="BT2" s="4" t="inlineStr">
        <is>
          <t>call -6 from ATM</t>
        </is>
      </c>
      <c r="CK2" s="4" t="inlineStr">
        <is>
          <t>put -6 from ATM</t>
        </is>
      </c>
      <c r="DB2" s="4" t="inlineStr">
        <is>
          <t>call -5 from ATM</t>
        </is>
      </c>
      <c r="DS2" s="4" t="inlineStr">
        <is>
          <t>put -5 from ATM</t>
        </is>
      </c>
      <c r="EJ2" s="4" t="inlineStr">
        <is>
          <t>call -4 from ATM</t>
        </is>
      </c>
      <c r="FA2" s="4" t="inlineStr">
        <is>
          <t>put -4 from ATM</t>
        </is>
      </c>
      <c r="FR2" s="4" t="inlineStr">
        <is>
          <t>call -3 from ATM</t>
        </is>
      </c>
      <c r="GI2" s="4" t="inlineStr">
        <is>
          <t>put -3 from ATM</t>
        </is>
      </c>
      <c r="GZ2" s="4" t="inlineStr">
        <is>
          <t>call -2 from ATM</t>
        </is>
      </c>
      <c r="HQ2" s="4" t="inlineStr">
        <is>
          <t>put -2 from ATM</t>
        </is>
      </c>
      <c r="IH2" s="4" t="inlineStr">
        <is>
          <t>call -1 from ATM</t>
        </is>
      </c>
      <c r="IY2" s="4" t="inlineStr">
        <is>
          <t>put -1 from ATM</t>
        </is>
      </c>
      <c r="JP2" s="4" t="inlineStr">
        <is>
          <t>call +0 from ATM</t>
        </is>
      </c>
      <c r="KG2" s="4" t="inlineStr">
        <is>
          <t>put +0 from ATM</t>
        </is>
      </c>
      <c r="KX2" s="4" t="inlineStr">
        <is>
          <t>call +1 from ATM</t>
        </is>
      </c>
      <c r="LO2" s="4" t="inlineStr">
        <is>
          <t>put +1 from ATM</t>
        </is>
      </c>
      <c r="MF2" s="4" t="inlineStr">
        <is>
          <t>call +2 from ATM</t>
        </is>
      </c>
      <c r="MW2" s="4" t="inlineStr">
        <is>
          <t>put +2 from ATM</t>
        </is>
      </c>
      <c r="NN2" s="4" t="inlineStr">
        <is>
          <t>call +3 from ATM</t>
        </is>
      </c>
      <c r="OE2" s="4" t="inlineStr">
        <is>
          <t>put +3 from ATM</t>
        </is>
      </c>
      <c r="OV2" s="4" t="inlineStr">
        <is>
          <t>call +4 from ATM</t>
        </is>
      </c>
      <c r="PM2" s="4" t="inlineStr">
        <is>
          <t>put +4 from ATM</t>
        </is>
      </c>
      <c r="QD2" s="4" t="inlineStr">
        <is>
          <t>call +5 from ATM</t>
        </is>
      </c>
      <c r="QU2" s="4" t="inlineStr">
        <is>
          <t>put +5 from ATM</t>
        </is>
      </c>
      <c r="RL2" s="4" t="inlineStr">
        <is>
          <t>call +6 from ATM</t>
        </is>
      </c>
      <c r="SC2" s="4" t="inlineStr">
        <is>
          <t>put +6 from ATM</t>
        </is>
      </c>
      <c r="ST2" s="4" t="inlineStr">
        <is>
          <t>call +7 from ATM</t>
        </is>
      </c>
      <c r="TK2" s="4" t="inlineStr">
        <is>
          <t>put +7 from ATM</t>
        </is>
      </c>
      <c r="UB2" s="4" t="inlineStr">
        <is>
          <t>call +8 from ATM</t>
        </is>
      </c>
      <c r="US2" s="4" t="inlineStr">
        <is>
          <t>put +8 from ATM</t>
        </is>
      </c>
    </row>
    <row r="3">
      <c r="A3" s="2" t="inlineStr">
        <is>
          <t>Option expiry (approx)</t>
        </is>
      </c>
      <c r="B3" s="8">
        <f>WORKDAY(B2,-1)</f>
        <v/>
      </c>
      <c r="D3" s="5" t="inlineStr">
        <is>
          <t>Date</t>
        </is>
      </c>
      <c r="E3" s="5" t="inlineStr">
        <is>
          <t>PX_BID</t>
        </is>
      </c>
      <c r="F3" s="5" t="inlineStr">
        <is>
          <t>PX_ASK</t>
        </is>
      </c>
      <c r="G3" s="5" t="inlineStr">
        <is>
          <t>PX_MID</t>
        </is>
      </c>
      <c r="H3" s="5" t="inlineStr">
        <is>
          <t>PX_LAST</t>
        </is>
      </c>
      <c r="I3" s="5" t="inlineStr">
        <is>
          <t>PX_SETTLE</t>
        </is>
      </c>
      <c r="J3" s="5" t="inlineStr">
        <is>
          <t>PX_VOLUME</t>
        </is>
      </c>
      <c r="K3" s="5" t="inlineStr">
        <is>
          <t>OPEN_INT</t>
        </is>
      </c>
      <c r="L3" s="5" t="inlineStr">
        <is>
          <t>IVOL_MID</t>
        </is>
      </c>
      <c r="M3" s="5" t="inlineStr">
        <is>
          <t>IVOL_BID</t>
        </is>
      </c>
      <c r="N3" s="5" t="inlineStr">
        <is>
          <t>IVOL_ASK</t>
        </is>
      </c>
      <c r="O3" s="5" t="inlineStr">
        <is>
          <t>DELTA_MID</t>
        </is>
      </c>
      <c r="P3" s="5" t="inlineStr">
        <is>
          <t>GAMMA_MID</t>
        </is>
      </c>
      <c r="Q3" s="5" t="inlineStr">
        <is>
          <t>VEGA_MID</t>
        </is>
      </c>
      <c r="R3" s="5" t="inlineStr">
        <is>
          <t>THETA_MID</t>
        </is>
      </c>
      <c r="S3" s="5" t="inlineStr">
        <is>
          <t>OPT_UNDL_PX</t>
        </is>
      </c>
      <c r="U3" s="5" t="inlineStr">
        <is>
          <t>Date</t>
        </is>
      </c>
      <c r="V3" s="5" t="inlineStr">
        <is>
          <t>PX_BID</t>
        </is>
      </c>
      <c r="W3" s="5" t="inlineStr">
        <is>
          <t>PX_ASK</t>
        </is>
      </c>
      <c r="X3" s="5" t="inlineStr">
        <is>
          <t>PX_MID</t>
        </is>
      </c>
      <c r="Y3" s="5" t="inlineStr">
        <is>
          <t>PX_LAST</t>
        </is>
      </c>
      <c r="Z3" s="5" t="inlineStr">
        <is>
          <t>PX_SETTLE</t>
        </is>
      </c>
      <c r="AA3" s="5" t="inlineStr">
        <is>
          <t>PX_VOLUME</t>
        </is>
      </c>
      <c r="AB3" s="5" t="inlineStr">
        <is>
          <t>OPEN_INT</t>
        </is>
      </c>
      <c r="AC3" s="5" t="inlineStr">
        <is>
          <t>IVOL_MID</t>
        </is>
      </c>
      <c r="AD3" s="5" t="inlineStr">
        <is>
          <t>IVOL_BID</t>
        </is>
      </c>
      <c r="AE3" s="5" t="inlineStr">
        <is>
          <t>IVOL_ASK</t>
        </is>
      </c>
      <c r="AF3" s="5" t="inlineStr">
        <is>
          <t>DELTA_MID</t>
        </is>
      </c>
      <c r="AG3" s="5" t="inlineStr">
        <is>
          <t>GAMMA_MID</t>
        </is>
      </c>
      <c r="AH3" s="5" t="inlineStr">
        <is>
          <t>VEGA_MID</t>
        </is>
      </c>
      <c r="AI3" s="5" t="inlineStr">
        <is>
          <t>THETA_MID</t>
        </is>
      </c>
      <c r="AJ3" s="5" t="inlineStr">
        <is>
          <t>OPT_UNDL_PX</t>
        </is>
      </c>
      <c r="AL3" s="5" t="inlineStr">
        <is>
          <t>Date</t>
        </is>
      </c>
      <c r="AM3" s="5" t="inlineStr">
        <is>
          <t>PX_BID</t>
        </is>
      </c>
      <c r="AN3" s="5" t="inlineStr">
        <is>
          <t>PX_ASK</t>
        </is>
      </c>
      <c r="AO3" s="5" t="inlineStr">
        <is>
          <t>PX_MID</t>
        </is>
      </c>
      <c r="AP3" s="5" t="inlineStr">
        <is>
          <t>PX_LAST</t>
        </is>
      </c>
      <c r="AQ3" s="5" t="inlineStr">
        <is>
          <t>PX_SETTLE</t>
        </is>
      </c>
      <c r="AR3" s="5" t="inlineStr">
        <is>
          <t>PX_VOLUME</t>
        </is>
      </c>
      <c r="AS3" s="5" t="inlineStr">
        <is>
          <t>OPEN_INT</t>
        </is>
      </c>
      <c r="AT3" s="5" t="inlineStr">
        <is>
          <t>IVOL_MID</t>
        </is>
      </c>
      <c r="AU3" s="5" t="inlineStr">
        <is>
          <t>IVOL_BID</t>
        </is>
      </c>
      <c r="AV3" s="5" t="inlineStr">
        <is>
          <t>IVOL_ASK</t>
        </is>
      </c>
      <c r="AW3" s="5" t="inlineStr">
        <is>
          <t>DELTA_MID</t>
        </is>
      </c>
      <c r="AX3" s="5" t="inlineStr">
        <is>
          <t>GAMMA_MID</t>
        </is>
      </c>
      <c r="AY3" s="5" t="inlineStr">
        <is>
          <t>VEGA_MID</t>
        </is>
      </c>
      <c r="AZ3" s="5" t="inlineStr">
        <is>
          <t>THETA_MID</t>
        </is>
      </c>
      <c r="BA3" s="5" t="inlineStr">
        <is>
          <t>OPT_UNDL_PX</t>
        </is>
      </c>
      <c r="BC3" s="5" t="inlineStr">
        <is>
          <t>Date</t>
        </is>
      </c>
      <c r="BD3" s="5" t="inlineStr">
        <is>
          <t>PX_BID</t>
        </is>
      </c>
      <c r="BE3" s="5" t="inlineStr">
        <is>
          <t>PX_ASK</t>
        </is>
      </c>
      <c r="BF3" s="5" t="inlineStr">
        <is>
          <t>PX_MID</t>
        </is>
      </c>
      <c r="BG3" s="5" t="inlineStr">
        <is>
          <t>PX_LAST</t>
        </is>
      </c>
      <c r="BH3" s="5" t="inlineStr">
        <is>
          <t>PX_SETTLE</t>
        </is>
      </c>
      <c r="BI3" s="5" t="inlineStr">
        <is>
          <t>PX_VOLUME</t>
        </is>
      </c>
      <c r="BJ3" s="5" t="inlineStr">
        <is>
          <t>OPEN_INT</t>
        </is>
      </c>
      <c r="BK3" s="5" t="inlineStr">
        <is>
          <t>IVOL_MID</t>
        </is>
      </c>
      <c r="BL3" s="5" t="inlineStr">
        <is>
          <t>IVOL_BID</t>
        </is>
      </c>
      <c r="BM3" s="5" t="inlineStr">
        <is>
          <t>IVOL_ASK</t>
        </is>
      </c>
      <c r="BN3" s="5" t="inlineStr">
        <is>
          <t>DELTA_MID</t>
        </is>
      </c>
      <c r="BO3" s="5" t="inlineStr">
        <is>
          <t>GAMMA_MID</t>
        </is>
      </c>
      <c r="BP3" s="5" t="inlineStr">
        <is>
          <t>VEGA_MID</t>
        </is>
      </c>
      <c r="BQ3" s="5" t="inlineStr">
        <is>
          <t>THETA_MID</t>
        </is>
      </c>
      <c r="BR3" s="5" t="inlineStr">
        <is>
          <t>OPT_UNDL_PX</t>
        </is>
      </c>
      <c r="BT3" s="5" t="inlineStr">
        <is>
          <t>Date</t>
        </is>
      </c>
      <c r="BU3" s="5" t="inlineStr">
        <is>
          <t>PX_BID</t>
        </is>
      </c>
      <c r="BV3" s="5" t="inlineStr">
        <is>
          <t>PX_ASK</t>
        </is>
      </c>
      <c r="BW3" s="5" t="inlineStr">
        <is>
          <t>PX_MID</t>
        </is>
      </c>
      <c r="BX3" s="5" t="inlineStr">
        <is>
          <t>PX_LAST</t>
        </is>
      </c>
      <c r="BY3" s="5" t="inlineStr">
        <is>
          <t>PX_SETTLE</t>
        </is>
      </c>
      <c r="BZ3" s="5" t="inlineStr">
        <is>
          <t>PX_VOLUME</t>
        </is>
      </c>
      <c r="CA3" s="5" t="inlineStr">
        <is>
          <t>OPEN_INT</t>
        </is>
      </c>
      <c r="CB3" s="5" t="inlineStr">
        <is>
          <t>IVOL_MID</t>
        </is>
      </c>
      <c r="CC3" s="5" t="inlineStr">
        <is>
          <t>IVOL_BID</t>
        </is>
      </c>
      <c r="CD3" s="5" t="inlineStr">
        <is>
          <t>IVOL_ASK</t>
        </is>
      </c>
      <c r="CE3" s="5" t="inlineStr">
        <is>
          <t>DELTA_MID</t>
        </is>
      </c>
      <c r="CF3" s="5" t="inlineStr">
        <is>
          <t>GAMMA_MID</t>
        </is>
      </c>
      <c r="CG3" s="5" t="inlineStr">
        <is>
          <t>VEGA_MID</t>
        </is>
      </c>
      <c r="CH3" s="5" t="inlineStr">
        <is>
          <t>THETA_MID</t>
        </is>
      </c>
      <c r="CI3" s="5" t="inlineStr">
        <is>
          <t>OPT_UNDL_PX</t>
        </is>
      </c>
      <c r="CK3" s="5" t="inlineStr">
        <is>
          <t>Date</t>
        </is>
      </c>
      <c r="CL3" s="5" t="inlineStr">
        <is>
          <t>PX_BID</t>
        </is>
      </c>
      <c r="CM3" s="5" t="inlineStr">
        <is>
          <t>PX_ASK</t>
        </is>
      </c>
      <c r="CN3" s="5" t="inlineStr">
        <is>
          <t>PX_MID</t>
        </is>
      </c>
      <c r="CO3" s="5" t="inlineStr">
        <is>
          <t>PX_LAST</t>
        </is>
      </c>
      <c r="CP3" s="5" t="inlineStr">
        <is>
          <t>PX_SETTLE</t>
        </is>
      </c>
      <c r="CQ3" s="5" t="inlineStr">
        <is>
          <t>PX_VOLUME</t>
        </is>
      </c>
      <c r="CR3" s="5" t="inlineStr">
        <is>
          <t>OPEN_INT</t>
        </is>
      </c>
      <c r="CS3" s="5" t="inlineStr">
        <is>
          <t>IVOL_MID</t>
        </is>
      </c>
      <c r="CT3" s="5" t="inlineStr">
        <is>
          <t>IVOL_BID</t>
        </is>
      </c>
      <c r="CU3" s="5" t="inlineStr">
        <is>
          <t>IVOL_ASK</t>
        </is>
      </c>
      <c r="CV3" s="5" t="inlineStr">
        <is>
          <t>DELTA_MID</t>
        </is>
      </c>
      <c r="CW3" s="5" t="inlineStr">
        <is>
          <t>GAMMA_MID</t>
        </is>
      </c>
      <c r="CX3" s="5" t="inlineStr">
        <is>
          <t>VEGA_MID</t>
        </is>
      </c>
      <c r="CY3" s="5" t="inlineStr">
        <is>
          <t>THETA_MID</t>
        </is>
      </c>
      <c r="CZ3" s="5" t="inlineStr">
        <is>
          <t>OPT_UNDL_PX</t>
        </is>
      </c>
      <c r="DB3" s="5" t="inlineStr">
        <is>
          <t>Date</t>
        </is>
      </c>
      <c r="DC3" s="5" t="inlineStr">
        <is>
          <t>PX_BID</t>
        </is>
      </c>
      <c r="DD3" s="5" t="inlineStr">
        <is>
          <t>PX_ASK</t>
        </is>
      </c>
      <c r="DE3" s="5" t="inlineStr">
        <is>
          <t>PX_MID</t>
        </is>
      </c>
      <c r="DF3" s="5" t="inlineStr">
        <is>
          <t>PX_LAST</t>
        </is>
      </c>
      <c r="DG3" s="5" t="inlineStr">
        <is>
          <t>PX_SETTLE</t>
        </is>
      </c>
      <c r="DH3" s="5" t="inlineStr">
        <is>
          <t>PX_VOLUME</t>
        </is>
      </c>
      <c r="DI3" s="5" t="inlineStr">
        <is>
          <t>OPEN_INT</t>
        </is>
      </c>
      <c r="DJ3" s="5" t="inlineStr">
        <is>
          <t>IVOL_MID</t>
        </is>
      </c>
      <c r="DK3" s="5" t="inlineStr">
        <is>
          <t>IVOL_BID</t>
        </is>
      </c>
      <c r="DL3" s="5" t="inlineStr">
        <is>
          <t>IVOL_ASK</t>
        </is>
      </c>
      <c r="DM3" s="5" t="inlineStr">
        <is>
          <t>DELTA_MID</t>
        </is>
      </c>
      <c r="DN3" s="5" t="inlineStr">
        <is>
          <t>GAMMA_MID</t>
        </is>
      </c>
      <c r="DO3" s="5" t="inlineStr">
        <is>
          <t>VEGA_MID</t>
        </is>
      </c>
      <c r="DP3" s="5" t="inlineStr">
        <is>
          <t>THETA_MID</t>
        </is>
      </c>
      <c r="DQ3" s="5" t="inlineStr">
        <is>
          <t>OPT_UNDL_PX</t>
        </is>
      </c>
      <c r="DS3" s="5" t="inlineStr">
        <is>
          <t>Date</t>
        </is>
      </c>
      <c r="DT3" s="5" t="inlineStr">
        <is>
          <t>PX_BID</t>
        </is>
      </c>
      <c r="DU3" s="5" t="inlineStr">
        <is>
          <t>PX_ASK</t>
        </is>
      </c>
      <c r="DV3" s="5" t="inlineStr">
        <is>
          <t>PX_MID</t>
        </is>
      </c>
      <c r="DW3" s="5" t="inlineStr">
        <is>
          <t>PX_LAST</t>
        </is>
      </c>
      <c r="DX3" s="5" t="inlineStr">
        <is>
          <t>PX_SETTLE</t>
        </is>
      </c>
      <c r="DY3" s="5" t="inlineStr">
        <is>
          <t>PX_VOLUME</t>
        </is>
      </c>
      <c r="DZ3" s="5" t="inlineStr">
        <is>
          <t>OPEN_INT</t>
        </is>
      </c>
      <c r="EA3" s="5" t="inlineStr">
        <is>
          <t>IVOL_MID</t>
        </is>
      </c>
      <c r="EB3" s="5" t="inlineStr">
        <is>
          <t>IVOL_BID</t>
        </is>
      </c>
      <c r="EC3" s="5" t="inlineStr">
        <is>
          <t>IVOL_ASK</t>
        </is>
      </c>
      <c r="ED3" s="5" t="inlineStr">
        <is>
          <t>DELTA_MID</t>
        </is>
      </c>
      <c r="EE3" s="5" t="inlineStr">
        <is>
          <t>GAMMA_MID</t>
        </is>
      </c>
      <c r="EF3" s="5" t="inlineStr">
        <is>
          <t>VEGA_MID</t>
        </is>
      </c>
      <c r="EG3" s="5" t="inlineStr">
        <is>
          <t>THETA_MID</t>
        </is>
      </c>
      <c r="EH3" s="5" t="inlineStr">
        <is>
          <t>OPT_UNDL_PX</t>
        </is>
      </c>
      <c r="EJ3" s="5" t="inlineStr">
        <is>
          <t>Date</t>
        </is>
      </c>
      <c r="EK3" s="5" t="inlineStr">
        <is>
          <t>PX_BID</t>
        </is>
      </c>
      <c r="EL3" s="5" t="inlineStr">
        <is>
          <t>PX_ASK</t>
        </is>
      </c>
      <c r="EM3" s="5" t="inlineStr">
        <is>
          <t>PX_MID</t>
        </is>
      </c>
      <c r="EN3" s="5" t="inlineStr">
        <is>
          <t>PX_LAST</t>
        </is>
      </c>
      <c r="EO3" s="5" t="inlineStr">
        <is>
          <t>PX_SETTLE</t>
        </is>
      </c>
      <c r="EP3" s="5" t="inlineStr">
        <is>
          <t>PX_VOLUME</t>
        </is>
      </c>
      <c r="EQ3" s="5" t="inlineStr">
        <is>
          <t>OPEN_INT</t>
        </is>
      </c>
      <c r="ER3" s="5" t="inlineStr">
        <is>
          <t>IVOL_MID</t>
        </is>
      </c>
      <c r="ES3" s="5" t="inlineStr">
        <is>
          <t>IVOL_BID</t>
        </is>
      </c>
      <c r="ET3" s="5" t="inlineStr">
        <is>
          <t>IVOL_ASK</t>
        </is>
      </c>
      <c r="EU3" s="5" t="inlineStr">
        <is>
          <t>DELTA_MID</t>
        </is>
      </c>
      <c r="EV3" s="5" t="inlineStr">
        <is>
          <t>GAMMA_MID</t>
        </is>
      </c>
      <c r="EW3" s="5" t="inlineStr">
        <is>
          <t>VEGA_MID</t>
        </is>
      </c>
      <c r="EX3" s="5" t="inlineStr">
        <is>
          <t>THETA_MID</t>
        </is>
      </c>
      <c r="EY3" s="5" t="inlineStr">
        <is>
          <t>OPT_UNDL_PX</t>
        </is>
      </c>
      <c r="FA3" s="5" t="inlineStr">
        <is>
          <t>Date</t>
        </is>
      </c>
      <c r="FB3" s="5" t="inlineStr">
        <is>
          <t>PX_BID</t>
        </is>
      </c>
      <c r="FC3" s="5" t="inlineStr">
        <is>
          <t>PX_ASK</t>
        </is>
      </c>
      <c r="FD3" s="5" t="inlineStr">
        <is>
          <t>PX_MID</t>
        </is>
      </c>
      <c r="FE3" s="5" t="inlineStr">
        <is>
          <t>PX_LAST</t>
        </is>
      </c>
      <c r="FF3" s="5" t="inlineStr">
        <is>
          <t>PX_SETTLE</t>
        </is>
      </c>
      <c r="FG3" s="5" t="inlineStr">
        <is>
          <t>PX_VOLUME</t>
        </is>
      </c>
      <c r="FH3" s="5" t="inlineStr">
        <is>
          <t>OPEN_INT</t>
        </is>
      </c>
      <c r="FI3" s="5" t="inlineStr">
        <is>
          <t>IVOL_MID</t>
        </is>
      </c>
      <c r="FJ3" s="5" t="inlineStr">
        <is>
          <t>IVOL_BID</t>
        </is>
      </c>
      <c r="FK3" s="5" t="inlineStr">
        <is>
          <t>IVOL_ASK</t>
        </is>
      </c>
      <c r="FL3" s="5" t="inlineStr">
        <is>
          <t>DELTA_MID</t>
        </is>
      </c>
      <c r="FM3" s="5" t="inlineStr">
        <is>
          <t>GAMMA_MID</t>
        </is>
      </c>
      <c r="FN3" s="5" t="inlineStr">
        <is>
          <t>VEGA_MID</t>
        </is>
      </c>
      <c r="FO3" s="5" t="inlineStr">
        <is>
          <t>THETA_MID</t>
        </is>
      </c>
      <c r="FP3" s="5" t="inlineStr">
        <is>
          <t>OPT_UNDL_PX</t>
        </is>
      </c>
      <c r="FR3" s="5" t="inlineStr">
        <is>
          <t>Date</t>
        </is>
      </c>
      <c r="FS3" s="5" t="inlineStr">
        <is>
          <t>PX_BID</t>
        </is>
      </c>
      <c r="FT3" s="5" t="inlineStr">
        <is>
          <t>PX_ASK</t>
        </is>
      </c>
      <c r="FU3" s="5" t="inlineStr">
        <is>
          <t>PX_MID</t>
        </is>
      </c>
      <c r="FV3" s="5" t="inlineStr">
        <is>
          <t>PX_LAST</t>
        </is>
      </c>
      <c r="FW3" s="5" t="inlineStr">
        <is>
          <t>PX_SETTLE</t>
        </is>
      </c>
      <c r="FX3" s="5" t="inlineStr">
        <is>
          <t>PX_VOLUME</t>
        </is>
      </c>
      <c r="FY3" s="5" t="inlineStr">
        <is>
          <t>OPEN_INT</t>
        </is>
      </c>
      <c r="FZ3" s="5" t="inlineStr">
        <is>
          <t>IVOL_MID</t>
        </is>
      </c>
      <c r="GA3" s="5" t="inlineStr">
        <is>
          <t>IVOL_BID</t>
        </is>
      </c>
      <c r="GB3" s="5" t="inlineStr">
        <is>
          <t>IVOL_ASK</t>
        </is>
      </c>
      <c r="GC3" s="5" t="inlineStr">
        <is>
          <t>DELTA_MID</t>
        </is>
      </c>
      <c r="GD3" s="5" t="inlineStr">
        <is>
          <t>GAMMA_MID</t>
        </is>
      </c>
      <c r="GE3" s="5" t="inlineStr">
        <is>
          <t>VEGA_MID</t>
        </is>
      </c>
      <c r="GF3" s="5" t="inlineStr">
        <is>
          <t>THETA_MID</t>
        </is>
      </c>
      <c r="GG3" s="5" t="inlineStr">
        <is>
          <t>OPT_UNDL_PX</t>
        </is>
      </c>
      <c r="GI3" s="5" t="inlineStr">
        <is>
          <t>Date</t>
        </is>
      </c>
      <c r="GJ3" s="5" t="inlineStr">
        <is>
          <t>PX_BID</t>
        </is>
      </c>
      <c r="GK3" s="5" t="inlineStr">
        <is>
          <t>PX_ASK</t>
        </is>
      </c>
      <c r="GL3" s="5" t="inlineStr">
        <is>
          <t>PX_MID</t>
        </is>
      </c>
      <c r="GM3" s="5" t="inlineStr">
        <is>
          <t>PX_LAST</t>
        </is>
      </c>
      <c r="GN3" s="5" t="inlineStr">
        <is>
          <t>PX_SETTLE</t>
        </is>
      </c>
      <c r="GO3" s="5" t="inlineStr">
        <is>
          <t>PX_VOLUME</t>
        </is>
      </c>
      <c r="GP3" s="5" t="inlineStr">
        <is>
          <t>OPEN_INT</t>
        </is>
      </c>
      <c r="GQ3" s="5" t="inlineStr">
        <is>
          <t>IVOL_MID</t>
        </is>
      </c>
      <c r="GR3" s="5" t="inlineStr">
        <is>
          <t>IVOL_BID</t>
        </is>
      </c>
      <c r="GS3" s="5" t="inlineStr">
        <is>
          <t>IVOL_ASK</t>
        </is>
      </c>
      <c r="GT3" s="5" t="inlineStr">
        <is>
          <t>DELTA_MID</t>
        </is>
      </c>
      <c r="GU3" s="5" t="inlineStr">
        <is>
          <t>GAMMA_MID</t>
        </is>
      </c>
      <c r="GV3" s="5" t="inlineStr">
        <is>
          <t>VEGA_MID</t>
        </is>
      </c>
      <c r="GW3" s="5" t="inlineStr">
        <is>
          <t>THETA_MID</t>
        </is>
      </c>
      <c r="GX3" s="5" t="inlineStr">
        <is>
          <t>OPT_UNDL_PX</t>
        </is>
      </c>
      <c r="GZ3" s="5" t="inlineStr">
        <is>
          <t>Date</t>
        </is>
      </c>
      <c r="HA3" s="5" t="inlineStr">
        <is>
          <t>PX_BID</t>
        </is>
      </c>
      <c r="HB3" s="5" t="inlineStr">
        <is>
          <t>PX_ASK</t>
        </is>
      </c>
      <c r="HC3" s="5" t="inlineStr">
        <is>
          <t>PX_MID</t>
        </is>
      </c>
      <c r="HD3" s="5" t="inlineStr">
        <is>
          <t>PX_LAST</t>
        </is>
      </c>
      <c r="HE3" s="5" t="inlineStr">
        <is>
          <t>PX_SETTLE</t>
        </is>
      </c>
      <c r="HF3" s="5" t="inlineStr">
        <is>
          <t>PX_VOLUME</t>
        </is>
      </c>
      <c r="HG3" s="5" t="inlineStr">
        <is>
          <t>OPEN_INT</t>
        </is>
      </c>
      <c r="HH3" s="5" t="inlineStr">
        <is>
          <t>IVOL_MID</t>
        </is>
      </c>
      <c r="HI3" s="5" t="inlineStr">
        <is>
          <t>IVOL_BID</t>
        </is>
      </c>
      <c r="HJ3" s="5" t="inlineStr">
        <is>
          <t>IVOL_ASK</t>
        </is>
      </c>
      <c r="HK3" s="5" t="inlineStr">
        <is>
          <t>DELTA_MID</t>
        </is>
      </c>
      <c r="HL3" s="5" t="inlineStr">
        <is>
          <t>GAMMA_MID</t>
        </is>
      </c>
      <c r="HM3" s="5" t="inlineStr">
        <is>
          <t>VEGA_MID</t>
        </is>
      </c>
      <c r="HN3" s="5" t="inlineStr">
        <is>
          <t>THETA_MID</t>
        </is>
      </c>
      <c r="HO3" s="5" t="inlineStr">
        <is>
          <t>OPT_UNDL_PX</t>
        </is>
      </c>
      <c r="HQ3" s="5" t="inlineStr">
        <is>
          <t>Date</t>
        </is>
      </c>
      <c r="HR3" s="5" t="inlineStr">
        <is>
          <t>PX_BID</t>
        </is>
      </c>
      <c r="HS3" s="5" t="inlineStr">
        <is>
          <t>PX_ASK</t>
        </is>
      </c>
      <c r="HT3" s="5" t="inlineStr">
        <is>
          <t>PX_MID</t>
        </is>
      </c>
      <c r="HU3" s="5" t="inlineStr">
        <is>
          <t>PX_LAST</t>
        </is>
      </c>
      <c r="HV3" s="5" t="inlineStr">
        <is>
          <t>PX_SETTLE</t>
        </is>
      </c>
      <c r="HW3" s="5" t="inlineStr">
        <is>
          <t>PX_VOLUME</t>
        </is>
      </c>
      <c r="HX3" s="5" t="inlineStr">
        <is>
          <t>OPEN_INT</t>
        </is>
      </c>
      <c r="HY3" s="5" t="inlineStr">
        <is>
          <t>IVOL_MID</t>
        </is>
      </c>
      <c r="HZ3" s="5" t="inlineStr">
        <is>
          <t>IVOL_BID</t>
        </is>
      </c>
      <c r="IA3" s="5" t="inlineStr">
        <is>
          <t>IVOL_ASK</t>
        </is>
      </c>
      <c r="IB3" s="5" t="inlineStr">
        <is>
          <t>DELTA_MID</t>
        </is>
      </c>
      <c r="IC3" s="5" t="inlineStr">
        <is>
          <t>GAMMA_MID</t>
        </is>
      </c>
      <c r="ID3" s="5" t="inlineStr">
        <is>
          <t>VEGA_MID</t>
        </is>
      </c>
      <c r="IE3" s="5" t="inlineStr">
        <is>
          <t>THETA_MID</t>
        </is>
      </c>
      <c r="IF3" s="5" t="inlineStr">
        <is>
          <t>OPT_UNDL_PX</t>
        </is>
      </c>
      <c r="IH3" s="5" t="inlineStr">
        <is>
          <t>Date</t>
        </is>
      </c>
      <c r="II3" s="5" t="inlineStr">
        <is>
          <t>PX_BID</t>
        </is>
      </c>
      <c r="IJ3" s="5" t="inlineStr">
        <is>
          <t>PX_ASK</t>
        </is>
      </c>
      <c r="IK3" s="5" t="inlineStr">
        <is>
          <t>PX_MID</t>
        </is>
      </c>
      <c r="IL3" s="5" t="inlineStr">
        <is>
          <t>PX_LAST</t>
        </is>
      </c>
      <c r="IM3" s="5" t="inlineStr">
        <is>
          <t>PX_SETTLE</t>
        </is>
      </c>
      <c r="IN3" s="5" t="inlineStr">
        <is>
          <t>PX_VOLUME</t>
        </is>
      </c>
      <c r="IO3" s="5" t="inlineStr">
        <is>
          <t>OPEN_INT</t>
        </is>
      </c>
      <c r="IP3" s="5" t="inlineStr">
        <is>
          <t>IVOL_MID</t>
        </is>
      </c>
      <c r="IQ3" s="5" t="inlineStr">
        <is>
          <t>IVOL_BID</t>
        </is>
      </c>
      <c r="IR3" s="5" t="inlineStr">
        <is>
          <t>IVOL_ASK</t>
        </is>
      </c>
      <c r="IS3" s="5" t="inlineStr">
        <is>
          <t>DELTA_MID</t>
        </is>
      </c>
      <c r="IT3" s="5" t="inlineStr">
        <is>
          <t>GAMMA_MID</t>
        </is>
      </c>
      <c r="IU3" s="5" t="inlineStr">
        <is>
          <t>VEGA_MID</t>
        </is>
      </c>
      <c r="IV3" s="5" t="inlineStr">
        <is>
          <t>THETA_MID</t>
        </is>
      </c>
      <c r="IW3" s="5" t="inlineStr">
        <is>
          <t>OPT_UNDL_PX</t>
        </is>
      </c>
      <c r="IY3" s="5" t="inlineStr">
        <is>
          <t>Date</t>
        </is>
      </c>
      <c r="IZ3" s="5" t="inlineStr">
        <is>
          <t>PX_BID</t>
        </is>
      </c>
      <c r="JA3" s="5" t="inlineStr">
        <is>
          <t>PX_ASK</t>
        </is>
      </c>
      <c r="JB3" s="5" t="inlineStr">
        <is>
          <t>PX_MID</t>
        </is>
      </c>
      <c r="JC3" s="5" t="inlineStr">
        <is>
          <t>PX_LAST</t>
        </is>
      </c>
      <c r="JD3" s="5" t="inlineStr">
        <is>
          <t>PX_SETTLE</t>
        </is>
      </c>
      <c r="JE3" s="5" t="inlineStr">
        <is>
          <t>PX_VOLUME</t>
        </is>
      </c>
      <c r="JF3" s="5" t="inlineStr">
        <is>
          <t>OPEN_INT</t>
        </is>
      </c>
      <c r="JG3" s="5" t="inlineStr">
        <is>
          <t>IVOL_MID</t>
        </is>
      </c>
      <c r="JH3" s="5" t="inlineStr">
        <is>
          <t>IVOL_BID</t>
        </is>
      </c>
      <c r="JI3" s="5" t="inlineStr">
        <is>
          <t>IVOL_ASK</t>
        </is>
      </c>
      <c r="JJ3" s="5" t="inlineStr">
        <is>
          <t>DELTA_MID</t>
        </is>
      </c>
      <c r="JK3" s="5" t="inlineStr">
        <is>
          <t>GAMMA_MID</t>
        </is>
      </c>
      <c r="JL3" s="5" t="inlineStr">
        <is>
          <t>VEGA_MID</t>
        </is>
      </c>
      <c r="JM3" s="5" t="inlineStr">
        <is>
          <t>THETA_MID</t>
        </is>
      </c>
      <c r="JN3" s="5" t="inlineStr">
        <is>
          <t>OPT_UNDL_PX</t>
        </is>
      </c>
      <c r="JP3" s="5" t="inlineStr">
        <is>
          <t>Date</t>
        </is>
      </c>
      <c r="JQ3" s="5" t="inlineStr">
        <is>
          <t>PX_BID</t>
        </is>
      </c>
      <c r="JR3" s="5" t="inlineStr">
        <is>
          <t>PX_ASK</t>
        </is>
      </c>
      <c r="JS3" s="5" t="inlineStr">
        <is>
          <t>PX_MID</t>
        </is>
      </c>
      <c r="JT3" s="5" t="inlineStr">
        <is>
          <t>PX_LAST</t>
        </is>
      </c>
      <c r="JU3" s="5" t="inlineStr">
        <is>
          <t>PX_SETTLE</t>
        </is>
      </c>
      <c r="JV3" s="5" t="inlineStr">
        <is>
          <t>PX_VOLUME</t>
        </is>
      </c>
      <c r="JW3" s="5" t="inlineStr">
        <is>
          <t>OPEN_INT</t>
        </is>
      </c>
      <c r="JX3" s="5" t="inlineStr">
        <is>
          <t>IVOL_MID</t>
        </is>
      </c>
      <c r="JY3" s="5" t="inlineStr">
        <is>
          <t>IVOL_BID</t>
        </is>
      </c>
      <c r="JZ3" s="5" t="inlineStr">
        <is>
          <t>IVOL_ASK</t>
        </is>
      </c>
      <c r="KA3" s="5" t="inlineStr">
        <is>
          <t>DELTA_MID</t>
        </is>
      </c>
      <c r="KB3" s="5" t="inlineStr">
        <is>
          <t>GAMMA_MID</t>
        </is>
      </c>
      <c r="KC3" s="5" t="inlineStr">
        <is>
          <t>VEGA_MID</t>
        </is>
      </c>
      <c r="KD3" s="5" t="inlineStr">
        <is>
          <t>THETA_MID</t>
        </is>
      </c>
      <c r="KE3" s="5" t="inlineStr">
        <is>
          <t>OPT_UNDL_PX</t>
        </is>
      </c>
      <c r="KG3" s="5" t="inlineStr">
        <is>
          <t>Date</t>
        </is>
      </c>
      <c r="KH3" s="5" t="inlineStr">
        <is>
          <t>PX_BID</t>
        </is>
      </c>
      <c r="KI3" s="5" t="inlineStr">
        <is>
          <t>PX_ASK</t>
        </is>
      </c>
      <c r="KJ3" s="5" t="inlineStr">
        <is>
          <t>PX_MID</t>
        </is>
      </c>
      <c r="KK3" s="5" t="inlineStr">
        <is>
          <t>PX_LAST</t>
        </is>
      </c>
      <c r="KL3" s="5" t="inlineStr">
        <is>
          <t>PX_SETTLE</t>
        </is>
      </c>
      <c r="KM3" s="5" t="inlineStr">
        <is>
          <t>PX_VOLUME</t>
        </is>
      </c>
      <c r="KN3" s="5" t="inlineStr">
        <is>
          <t>OPEN_INT</t>
        </is>
      </c>
      <c r="KO3" s="5" t="inlineStr">
        <is>
          <t>IVOL_MID</t>
        </is>
      </c>
      <c r="KP3" s="5" t="inlineStr">
        <is>
          <t>IVOL_BID</t>
        </is>
      </c>
      <c r="KQ3" s="5" t="inlineStr">
        <is>
          <t>IVOL_ASK</t>
        </is>
      </c>
      <c r="KR3" s="5" t="inlineStr">
        <is>
          <t>DELTA_MID</t>
        </is>
      </c>
      <c r="KS3" s="5" t="inlineStr">
        <is>
          <t>GAMMA_MID</t>
        </is>
      </c>
      <c r="KT3" s="5" t="inlineStr">
        <is>
          <t>VEGA_MID</t>
        </is>
      </c>
      <c r="KU3" s="5" t="inlineStr">
        <is>
          <t>THETA_MID</t>
        </is>
      </c>
      <c r="KV3" s="5" t="inlineStr">
        <is>
          <t>OPT_UNDL_PX</t>
        </is>
      </c>
      <c r="KX3" s="5" t="inlineStr">
        <is>
          <t>Date</t>
        </is>
      </c>
      <c r="KY3" s="5" t="inlineStr">
        <is>
          <t>PX_BID</t>
        </is>
      </c>
      <c r="KZ3" s="5" t="inlineStr">
        <is>
          <t>PX_ASK</t>
        </is>
      </c>
      <c r="LA3" s="5" t="inlineStr">
        <is>
          <t>PX_MID</t>
        </is>
      </c>
      <c r="LB3" s="5" t="inlineStr">
        <is>
          <t>PX_LAST</t>
        </is>
      </c>
      <c r="LC3" s="5" t="inlineStr">
        <is>
          <t>PX_SETTLE</t>
        </is>
      </c>
      <c r="LD3" s="5" t="inlineStr">
        <is>
          <t>PX_VOLUME</t>
        </is>
      </c>
      <c r="LE3" s="5" t="inlineStr">
        <is>
          <t>OPEN_INT</t>
        </is>
      </c>
      <c r="LF3" s="5" t="inlineStr">
        <is>
          <t>IVOL_MID</t>
        </is>
      </c>
      <c r="LG3" s="5" t="inlineStr">
        <is>
          <t>IVOL_BID</t>
        </is>
      </c>
      <c r="LH3" s="5" t="inlineStr">
        <is>
          <t>IVOL_ASK</t>
        </is>
      </c>
      <c r="LI3" s="5" t="inlineStr">
        <is>
          <t>DELTA_MID</t>
        </is>
      </c>
      <c r="LJ3" s="5" t="inlineStr">
        <is>
          <t>GAMMA_MID</t>
        </is>
      </c>
      <c r="LK3" s="5" t="inlineStr">
        <is>
          <t>VEGA_MID</t>
        </is>
      </c>
      <c r="LL3" s="5" t="inlineStr">
        <is>
          <t>THETA_MID</t>
        </is>
      </c>
      <c r="LM3" s="5" t="inlineStr">
        <is>
          <t>OPT_UNDL_PX</t>
        </is>
      </c>
      <c r="LO3" s="5" t="inlineStr">
        <is>
          <t>Date</t>
        </is>
      </c>
      <c r="LP3" s="5" t="inlineStr">
        <is>
          <t>PX_BID</t>
        </is>
      </c>
      <c r="LQ3" s="5" t="inlineStr">
        <is>
          <t>PX_ASK</t>
        </is>
      </c>
      <c r="LR3" s="5" t="inlineStr">
        <is>
          <t>PX_MID</t>
        </is>
      </c>
      <c r="LS3" s="5" t="inlineStr">
        <is>
          <t>PX_LAST</t>
        </is>
      </c>
      <c r="LT3" s="5" t="inlineStr">
        <is>
          <t>PX_SETTLE</t>
        </is>
      </c>
      <c r="LU3" s="5" t="inlineStr">
        <is>
          <t>PX_VOLUME</t>
        </is>
      </c>
      <c r="LV3" s="5" t="inlineStr">
        <is>
          <t>OPEN_INT</t>
        </is>
      </c>
      <c r="LW3" s="5" t="inlineStr">
        <is>
          <t>IVOL_MID</t>
        </is>
      </c>
      <c r="LX3" s="5" t="inlineStr">
        <is>
          <t>IVOL_BID</t>
        </is>
      </c>
      <c r="LY3" s="5" t="inlineStr">
        <is>
          <t>IVOL_ASK</t>
        </is>
      </c>
      <c r="LZ3" s="5" t="inlineStr">
        <is>
          <t>DELTA_MID</t>
        </is>
      </c>
      <c r="MA3" s="5" t="inlineStr">
        <is>
          <t>GAMMA_MID</t>
        </is>
      </c>
      <c r="MB3" s="5" t="inlineStr">
        <is>
          <t>VEGA_MID</t>
        </is>
      </c>
      <c r="MC3" s="5" t="inlineStr">
        <is>
          <t>THETA_MID</t>
        </is>
      </c>
      <c r="MD3" s="5" t="inlineStr">
        <is>
          <t>OPT_UNDL_PX</t>
        </is>
      </c>
      <c r="MF3" s="5" t="inlineStr">
        <is>
          <t>Date</t>
        </is>
      </c>
      <c r="MG3" s="5" t="inlineStr">
        <is>
          <t>PX_BID</t>
        </is>
      </c>
      <c r="MH3" s="5" t="inlineStr">
        <is>
          <t>PX_ASK</t>
        </is>
      </c>
      <c r="MI3" s="5" t="inlineStr">
        <is>
          <t>PX_MID</t>
        </is>
      </c>
      <c r="MJ3" s="5" t="inlineStr">
        <is>
          <t>PX_LAST</t>
        </is>
      </c>
      <c r="MK3" s="5" t="inlineStr">
        <is>
          <t>PX_SETTLE</t>
        </is>
      </c>
      <c r="ML3" s="5" t="inlineStr">
        <is>
          <t>PX_VOLUME</t>
        </is>
      </c>
      <c r="MM3" s="5" t="inlineStr">
        <is>
          <t>OPEN_INT</t>
        </is>
      </c>
      <c r="MN3" s="5" t="inlineStr">
        <is>
          <t>IVOL_MID</t>
        </is>
      </c>
      <c r="MO3" s="5" t="inlineStr">
        <is>
          <t>IVOL_BID</t>
        </is>
      </c>
      <c r="MP3" s="5" t="inlineStr">
        <is>
          <t>IVOL_ASK</t>
        </is>
      </c>
      <c r="MQ3" s="5" t="inlineStr">
        <is>
          <t>DELTA_MID</t>
        </is>
      </c>
      <c r="MR3" s="5" t="inlineStr">
        <is>
          <t>GAMMA_MID</t>
        </is>
      </c>
      <c r="MS3" s="5" t="inlineStr">
        <is>
          <t>VEGA_MID</t>
        </is>
      </c>
      <c r="MT3" s="5" t="inlineStr">
        <is>
          <t>THETA_MID</t>
        </is>
      </c>
      <c r="MU3" s="5" t="inlineStr">
        <is>
          <t>OPT_UNDL_PX</t>
        </is>
      </c>
      <c r="MW3" s="5" t="inlineStr">
        <is>
          <t>Date</t>
        </is>
      </c>
      <c r="MX3" s="5" t="inlineStr">
        <is>
          <t>PX_BID</t>
        </is>
      </c>
      <c r="MY3" s="5" t="inlineStr">
        <is>
          <t>PX_ASK</t>
        </is>
      </c>
      <c r="MZ3" s="5" t="inlineStr">
        <is>
          <t>PX_MID</t>
        </is>
      </c>
      <c r="NA3" s="5" t="inlineStr">
        <is>
          <t>PX_LAST</t>
        </is>
      </c>
      <c r="NB3" s="5" t="inlineStr">
        <is>
          <t>PX_SETTLE</t>
        </is>
      </c>
      <c r="NC3" s="5" t="inlineStr">
        <is>
          <t>PX_VOLUME</t>
        </is>
      </c>
      <c r="ND3" s="5" t="inlineStr">
        <is>
          <t>OPEN_INT</t>
        </is>
      </c>
      <c r="NE3" s="5" t="inlineStr">
        <is>
          <t>IVOL_MID</t>
        </is>
      </c>
      <c r="NF3" s="5" t="inlineStr">
        <is>
          <t>IVOL_BID</t>
        </is>
      </c>
      <c r="NG3" s="5" t="inlineStr">
        <is>
          <t>IVOL_ASK</t>
        </is>
      </c>
      <c r="NH3" s="5" t="inlineStr">
        <is>
          <t>DELTA_MID</t>
        </is>
      </c>
      <c r="NI3" s="5" t="inlineStr">
        <is>
          <t>GAMMA_MID</t>
        </is>
      </c>
      <c r="NJ3" s="5" t="inlineStr">
        <is>
          <t>VEGA_MID</t>
        </is>
      </c>
      <c r="NK3" s="5" t="inlineStr">
        <is>
          <t>THETA_MID</t>
        </is>
      </c>
      <c r="NL3" s="5" t="inlineStr">
        <is>
          <t>OPT_UNDL_PX</t>
        </is>
      </c>
      <c r="NN3" s="5" t="inlineStr">
        <is>
          <t>Date</t>
        </is>
      </c>
      <c r="NO3" s="5" t="inlineStr">
        <is>
          <t>PX_BID</t>
        </is>
      </c>
      <c r="NP3" s="5" t="inlineStr">
        <is>
          <t>PX_ASK</t>
        </is>
      </c>
      <c r="NQ3" s="5" t="inlineStr">
        <is>
          <t>PX_MID</t>
        </is>
      </c>
      <c r="NR3" s="5" t="inlineStr">
        <is>
          <t>PX_LAST</t>
        </is>
      </c>
      <c r="NS3" s="5" t="inlineStr">
        <is>
          <t>PX_SETTLE</t>
        </is>
      </c>
      <c r="NT3" s="5" t="inlineStr">
        <is>
          <t>PX_VOLUME</t>
        </is>
      </c>
      <c r="NU3" s="5" t="inlineStr">
        <is>
          <t>OPEN_INT</t>
        </is>
      </c>
      <c r="NV3" s="5" t="inlineStr">
        <is>
          <t>IVOL_MID</t>
        </is>
      </c>
      <c r="NW3" s="5" t="inlineStr">
        <is>
          <t>IVOL_BID</t>
        </is>
      </c>
      <c r="NX3" s="5" t="inlineStr">
        <is>
          <t>IVOL_ASK</t>
        </is>
      </c>
      <c r="NY3" s="5" t="inlineStr">
        <is>
          <t>DELTA_MID</t>
        </is>
      </c>
      <c r="NZ3" s="5" t="inlineStr">
        <is>
          <t>GAMMA_MID</t>
        </is>
      </c>
      <c r="OA3" s="5" t="inlineStr">
        <is>
          <t>VEGA_MID</t>
        </is>
      </c>
      <c r="OB3" s="5" t="inlineStr">
        <is>
          <t>THETA_MID</t>
        </is>
      </c>
      <c r="OC3" s="5" t="inlineStr">
        <is>
          <t>OPT_UNDL_PX</t>
        </is>
      </c>
      <c r="OE3" s="5" t="inlineStr">
        <is>
          <t>Date</t>
        </is>
      </c>
      <c r="OF3" s="5" t="inlineStr">
        <is>
          <t>PX_BID</t>
        </is>
      </c>
      <c r="OG3" s="5" t="inlineStr">
        <is>
          <t>PX_ASK</t>
        </is>
      </c>
      <c r="OH3" s="5" t="inlineStr">
        <is>
          <t>PX_MID</t>
        </is>
      </c>
      <c r="OI3" s="5" t="inlineStr">
        <is>
          <t>PX_LAST</t>
        </is>
      </c>
      <c r="OJ3" s="5" t="inlineStr">
        <is>
          <t>PX_SETTLE</t>
        </is>
      </c>
      <c r="OK3" s="5" t="inlineStr">
        <is>
          <t>PX_VOLUME</t>
        </is>
      </c>
      <c r="OL3" s="5" t="inlineStr">
        <is>
          <t>OPEN_INT</t>
        </is>
      </c>
      <c r="OM3" s="5" t="inlineStr">
        <is>
          <t>IVOL_MID</t>
        </is>
      </c>
      <c r="ON3" s="5" t="inlineStr">
        <is>
          <t>IVOL_BID</t>
        </is>
      </c>
      <c r="OO3" s="5" t="inlineStr">
        <is>
          <t>IVOL_ASK</t>
        </is>
      </c>
      <c r="OP3" s="5" t="inlineStr">
        <is>
          <t>DELTA_MID</t>
        </is>
      </c>
      <c r="OQ3" s="5" t="inlineStr">
        <is>
          <t>GAMMA_MID</t>
        </is>
      </c>
      <c r="OR3" s="5" t="inlineStr">
        <is>
          <t>VEGA_MID</t>
        </is>
      </c>
      <c r="OS3" s="5" t="inlineStr">
        <is>
          <t>THETA_MID</t>
        </is>
      </c>
      <c r="OT3" s="5" t="inlineStr">
        <is>
          <t>OPT_UNDL_PX</t>
        </is>
      </c>
      <c r="OV3" s="5" t="inlineStr">
        <is>
          <t>Date</t>
        </is>
      </c>
      <c r="OW3" s="5" t="inlineStr">
        <is>
          <t>PX_BID</t>
        </is>
      </c>
      <c r="OX3" s="5" t="inlineStr">
        <is>
          <t>PX_ASK</t>
        </is>
      </c>
      <c r="OY3" s="5" t="inlineStr">
        <is>
          <t>PX_MID</t>
        </is>
      </c>
      <c r="OZ3" s="5" t="inlineStr">
        <is>
          <t>PX_LAST</t>
        </is>
      </c>
      <c r="PA3" s="5" t="inlineStr">
        <is>
          <t>PX_SETTLE</t>
        </is>
      </c>
      <c r="PB3" s="5" t="inlineStr">
        <is>
          <t>PX_VOLUME</t>
        </is>
      </c>
      <c r="PC3" s="5" t="inlineStr">
        <is>
          <t>OPEN_INT</t>
        </is>
      </c>
      <c r="PD3" s="5" t="inlineStr">
        <is>
          <t>IVOL_MID</t>
        </is>
      </c>
      <c r="PE3" s="5" t="inlineStr">
        <is>
          <t>IVOL_BID</t>
        </is>
      </c>
      <c r="PF3" s="5" t="inlineStr">
        <is>
          <t>IVOL_ASK</t>
        </is>
      </c>
      <c r="PG3" s="5" t="inlineStr">
        <is>
          <t>DELTA_MID</t>
        </is>
      </c>
      <c r="PH3" s="5" t="inlineStr">
        <is>
          <t>GAMMA_MID</t>
        </is>
      </c>
      <c r="PI3" s="5" t="inlineStr">
        <is>
          <t>VEGA_MID</t>
        </is>
      </c>
      <c r="PJ3" s="5" t="inlineStr">
        <is>
          <t>THETA_MID</t>
        </is>
      </c>
      <c r="PK3" s="5" t="inlineStr">
        <is>
          <t>OPT_UNDL_PX</t>
        </is>
      </c>
      <c r="PM3" s="5" t="inlineStr">
        <is>
          <t>Date</t>
        </is>
      </c>
      <c r="PN3" s="5" t="inlineStr">
        <is>
          <t>PX_BID</t>
        </is>
      </c>
      <c r="PO3" s="5" t="inlineStr">
        <is>
          <t>PX_ASK</t>
        </is>
      </c>
      <c r="PP3" s="5" t="inlineStr">
        <is>
          <t>PX_MID</t>
        </is>
      </c>
      <c r="PQ3" s="5" t="inlineStr">
        <is>
          <t>PX_LAST</t>
        </is>
      </c>
      <c r="PR3" s="5" t="inlineStr">
        <is>
          <t>PX_SETTLE</t>
        </is>
      </c>
      <c r="PS3" s="5" t="inlineStr">
        <is>
          <t>PX_VOLUME</t>
        </is>
      </c>
      <c r="PT3" s="5" t="inlineStr">
        <is>
          <t>OPEN_INT</t>
        </is>
      </c>
      <c r="PU3" s="5" t="inlineStr">
        <is>
          <t>IVOL_MID</t>
        </is>
      </c>
      <c r="PV3" s="5" t="inlineStr">
        <is>
          <t>IVOL_BID</t>
        </is>
      </c>
      <c r="PW3" s="5" t="inlineStr">
        <is>
          <t>IVOL_ASK</t>
        </is>
      </c>
      <c r="PX3" s="5" t="inlineStr">
        <is>
          <t>DELTA_MID</t>
        </is>
      </c>
      <c r="PY3" s="5" t="inlineStr">
        <is>
          <t>GAMMA_MID</t>
        </is>
      </c>
      <c r="PZ3" s="5" t="inlineStr">
        <is>
          <t>VEGA_MID</t>
        </is>
      </c>
      <c r="QA3" s="5" t="inlineStr">
        <is>
          <t>THETA_MID</t>
        </is>
      </c>
      <c r="QB3" s="5" t="inlineStr">
        <is>
          <t>OPT_UNDL_PX</t>
        </is>
      </c>
      <c r="QD3" s="5" t="inlineStr">
        <is>
          <t>Date</t>
        </is>
      </c>
      <c r="QE3" s="5" t="inlineStr">
        <is>
          <t>PX_BID</t>
        </is>
      </c>
      <c r="QF3" s="5" t="inlineStr">
        <is>
          <t>PX_ASK</t>
        </is>
      </c>
      <c r="QG3" s="5" t="inlineStr">
        <is>
          <t>PX_MID</t>
        </is>
      </c>
      <c r="QH3" s="5" t="inlineStr">
        <is>
          <t>PX_LAST</t>
        </is>
      </c>
      <c r="QI3" s="5" t="inlineStr">
        <is>
          <t>PX_SETTLE</t>
        </is>
      </c>
      <c r="QJ3" s="5" t="inlineStr">
        <is>
          <t>PX_VOLUME</t>
        </is>
      </c>
      <c r="QK3" s="5" t="inlineStr">
        <is>
          <t>OPEN_INT</t>
        </is>
      </c>
      <c r="QL3" s="5" t="inlineStr">
        <is>
          <t>IVOL_MID</t>
        </is>
      </c>
      <c r="QM3" s="5" t="inlineStr">
        <is>
          <t>IVOL_BID</t>
        </is>
      </c>
      <c r="QN3" s="5" t="inlineStr">
        <is>
          <t>IVOL_ASK</t>
        </is>
      </c>
      <c r="QO3" s="5" t="inlineStr">
        <is>
          <t>DELTA_MID</t>
        </is>
      </c>
      <c r="QP3" s="5" t="inlineStr">
        <is>
          <t>GAMMA_MID</t>
        </is>
      </c>
      <c r="QQ3" s="5" t="inlineStr">
        <is>
          <t>VEGA_MID</t>
        </is>
      </c>
      <c r="QR3" s="5" t="inlineStr">
        <is>
          <t>THETA_MID</t>
        </is>
      </c>
      <c r="QS3" s="5" t="inlineStr">
        <is>
          <t>OPT_UNDL_PX</t>
        </is>
      </c>
      <c r="QU3" s="5" t="inlineStr">
        <is>
          <t>Date</t>
        </is>
      </c>
      <c r="QV3" s="5" t="inlineStr">
        <is>
          <t>PX_BID</t>
        </is>
      </c>
      <c r="QW3" s="5" t="inlineStr">
        <is>
          <t>PX_ASK</t>
        </is>
      </c>
      <c r="QX3" s="5" t="inlineStr">
        <is>
          <t>PX_MID</t>
        </is>
      </c>
      <c r="QY3" s="5" t="inlineStr">
        <is>
          <t>PX_LAST</t>
        </is>
      </c>
      <c r="QZ3" s="5" t="inlineStr">
        <is>
          <t>PX_SETTLE</t>
        </is>
      </c>
      <c r="RA3" s="5" t="inlineStr">
        <is>
          <t>PX_VOLUME</t>
        </is>
      </c>
      <c r="RB3" s="5" t="inlineStr">
        <is>
          <t>OPEN_INT</t>
        </is>
      </c>
      <c r="RC3" s="5" t="inlineStr">
        <is>
          <t>IVOL_MID</t>
        </is>
      </c>
      <c r="RD3" s="5" t="inlineStr">
        <is>
          <t>IVOL_BID</t>
        </is>
      </c>
      <c r="RE3" s="5" t="inlineStr">
        <is>
          <t>IVOL_ASK</t>
        </is>
      </c>
      <c r="RF3" s="5" t="inlineStr">
        <is>
          <t>DELTA_MID</t>
        </is>
      </c>
      <c r="RG3" s="5" t="inlineStr">
        <is>
          <t>GAMMA_MID</t>
        </is>
      </c>
      <c r="RH3" s="5" t="inlineStr">
        <is>
          <t>VEGA_MID</t>
        </is>
      </c>
      <c r="RI3" s="5" t="inlineStr">
        <is>
          <t>THETA_MID</t>
        </is>
      </c>
      <c r="RJ3" s="5" t="inlineStr">
        <is>
          <t>OPT_UNDL_PX</t>
        </is>
      </c>
      <c r="RL3" s="5" t="inlineStr">
        <is>
          <t>Date</t>
        </is>
      </c>
      <c r="RM3" s="5" t="inlineStr">
        <is>
          <t>PX_BID</t>
        </is>
      </c>
      <c r="RN3" s="5" t="inlineStr">
        <is>
          <t>PX_ASK</t>
        </is>
      </c>
      <c r="RO3" s="5" t="inlineStr">
        <is>
          <t>PX_MID</t>
        </is>
      </c>
      <c r="RP3" s="5" t="inlineStr">
        <is>
          <t>PX_LAST</t>
        </is>
      </c>
      <c r="RQ3" s="5" t="inlineStr">
        <is>
          <t>PX_SETTLE</t>
        </is>
      </c>
      <c r="RR3" s="5" t="inlineStr">
        <is>
          <t>PX_VOLUME</t>
        </is>
      </c>
      <c r="RS3" s="5" t="inlineStr">
        <is>
          <t>OPEN_INT</t>
        </is>
      </c>
      <c r="RT3" s="5" t="inlineStr">
        <is>
          <t>IVOL_MID</t>
        </is>
      </c>
      <c r="RU3" s="5" t="inlineStr">
        <is>
          <t>IVOL_BID</t>
        </is>
      </c>
      <c r="RV3" s="5" t="inlineStr">
        <is>
          <t>IVOL_ASK</t>
        </is>
      </c>
      <c r="RW3" s="5" t="inlineStr">
        <is>
          <t>DELTA_MID</t>
        </is>
      </c>
      <c r="RX3" s="5" t="inlineStr">
        <is>
          <t>GAMMA_MID</t>
        </is>
      </c>
      <c r="RY3" s="5" t="inlineStr">
        <is>
          <t>VEGA_MID</t>
        </is>
      </c>
      <c r="RZ3" s="5" t="inlineStr">
        <is>
          <t>THETA_MID</t>
        </is>
      </c>
      <c r="SA3" s="5" t="inlineStr">
        <is>
          <t>OPT_UNDL_PX</t>
        </is>
      </c>
      <c r="SC3" s="5" t="inlineStr">
        <is>
          <t>Date</t>
        </is>
      </c>
      <c r="SD3" s="5" t="inlineStr">
        <is>
          <t>PX_BID</t>
        </is>
      </c>
      <c r="SE3" s="5" t="inlineStr">
        <is>
          <t>PX_ASK</t>
        </is>
      </c>
      <c r="SF3" s="5" t="inlineStr">
        <is>
          <t>PX_MID</t>
        </is>
      </c>
      <c r="SG3" s="5" t="inlineStr">
        <is>
          <t>PX_LAST</t>
        </is>
      </c>
      <c r="SH3" s="5" t="inlineStr">
        <is>
          <t>PX_SETTLE</t>
        </is>
      </c>
      <c r="SI3" s="5" t="inlineStr">
        <is>
          <t>PX_VOLUME</t>
        </is>
      </c>
      <c r="SJ3" s="5" t="inlineStr">
        <is>
          <t>OPEN_INT</t>
        </is>
      </c>
      <c r="SK3" s="5" t="inlineStr">
        <is>
          <t>IVOL_MID</t>
        </is>
      </c>
      <c r="SL3" s="5" t="inlineStr">
        <is>
          <t>IVOL_BID</t>
        </is>
      </c>
      <c r="SM3" s="5" t="inlineStr">
        <is>
          <t>IVOL_ASK</t>
        </is>
      </c>
      <c r="SN3" s="5" t="inlineStr">
        <is>
          <t>DELTA_MID</t>
        </is>
      </c>
      <c r="SO3" s="5" t="inlineStr">
        <is>
          <t>GAMMA_MID</t>
        </is>
      </c>
      <c r="SP3" s="5" t="inlineStr">
        <is>
          <t>VEGA_MID</t>
        </is>
      </c>
      <c r="SQ3" s="5" t="inlineStr">
        <is>
          <t>THETA_MID</t>
        </is>
      </c>
      <c r="SR3" s="5" t="inlineStr">
        <is>
          <t>OPT_UNDL_PX</t>
        </is>
      </c>
      <c r="ST3" s="5" t="inlineStr">
        <is>
          <t>Date</t>
        </is>
      </c>
      <c r="SU3" s="5" t="inlineStr">
        <is>
          <t>PX_BID</t>
        </is>
      </c>
      <c r="SV3" s="5" t="inlineStr">
        <is>
          <t>PX_ASK</t>
        </is>
      </c>
      <c r="SW3" s="5" t="inlineStr">
        <is>
          <t>PX_MID</t>
        </is>
      </c>
      <c r="SX3" s="5" t="inlineStr">
        <is>
          <t>PX_LAST</t>
        </is>
      </c>
      <c r="SY3" s="5" t="inlineStr">
        <is>
          <t>PX_SETTLE</t>
        </is>
      </c>
      <c r="SZ3" s="5" t="inlineStr">
        <is>
          <t>PX_VOLUME</t>
        </is>
      </c>
      <c r="TA3" s="5" t="inlineStr">
        <is>
          <t>OPEN_INT</t>
        </is>
      </c>
      <c r="TB3" s="5" t="inlineStr">
        <is>
          <t>IVOL_MID</t>
        </is>
      </c>
      <c r="TC3" s="5" t="inlineStr">
        <is>
          <t>IVOL_BID</t>
        </is>
      </c>
      <c r="TD3" s="5" t="inlineStr">
        <is>
          <t>IVOL_ASK</t>
        </is>
      </c>
      <c r="TE3" s="5" t="inlineStr">
        <is>
          <t>DELTA_MID</t>
        </is>
      </c>
      <c r="TF3" s="5" t="inlineStr">
        <is>
          <t>GAMMA_MID</t>
        </is>
      </c>
      <c r="TG3" s="5" t="inlineStr">
        <is>
          <t>VEGA_MID</t>
        </is>
      </c>
      <c r="TH3" s="5" t="inlineStr">
        <is>
          <t>THETA_MID</t>
        </is>
      </c>
      <c r="TI3" s="5" t="inlineStr">
        <is>
          <t>OPT_UNDL_PX</t>
        </is>
      </c>
      <c r="TK3" s="5" t="inlineStr">
        <is>
          <t>Date</t>
        </is>
      </c>
      <c r="TL3" s="5" t="inlineStr">
        <is>
          <t>PX_BID</t>
        </is>
      </c>
      <c r="TM3" s="5" t="inlineStr">
        <is>
          <t>PX_ASK</t>
        </is>
      </c>
      <c r="TN3" s="5" t="inlineStr">
        <is>
          <t>PX_MID</t>
        </is>
      </c>
      <c r="TO3" s="5" t="inlineStr">
        <is>
          <t>PX_LAST</t>
        </is>
      </c>
      <c r="TP3" s="5" t="inlineStr">
        <is>
          <t>PX_SETTLE</t>
        </is>
      </c>
      <c r="TQ3" s="5" t="inlineStr">
        <is>
          <t>PX_VOLUME</t>
        </is>
      </c>
      <c r="TR3" s="5" t="inlineStr">
        <is>
          <t>OPEN_INT</t>
        </is>
      </c>
      <c r="TS3" s="5" t="inlineStr">
        <is>
          <t>IVOL_MID</t>
        </is>
      </c>
      <c r="TT3" s="5" t="inlineStr">
        <is>
          <t>IVOL_BID</t>
        </is>
      </c>
      <c r="TU3" s="5" t="inlineStr">
        <is>
          <t>IVOL_ASK</t>
        </is>
      </c>
      <c r="TV3" s="5" t="inlineStr">
        <is>
          <t>DELTA_MID</t>
        </is>
      </c>
      <c r="TW3" s="5" t="inlineStr">
        <is>
          <t>GAMMA_MID</t>
        </is>
      </c>
      <c r="TX3" s="5" t="inlineStr">
        <is>
          <t>VEGA_MID</t>
        </is>
      </c>
      <c r="TY3" s="5" t="inlineStr">
        <is>
          <t>THETA_MID</t>
        </is>
      </c>
      <c r="TZ3" s="5" t="inlineStr">
        <is>
          <t>OPT_UNDL_PX</t>
        </is>
      </c>
      <c r="UB3" s="5" t="inlineStr">
        <is>
          <t>Date</t>
        </is>
      </c>
      <c r="UC3" s="5" t="inlineStr">
        <is>
          <t>PX_BID</t>
        </is>
      </c>
      <c r="UD3" s="5" t="inlineStr">
        <is>
          <t>PX_ASK</t>
        </is>
      </c>
      <c r="UE3" s="5" t="inlineStr">
        <is>
          <t>PX_MID</t>
        </is>
      </c>
      <c r="UF3" s="5" t="inlineStr">
        <is>
          <t>PX_LAST</t>
        </is>
      </c>
      <c r="UG3" s="5" t="inlineStr">
        <is>
          <t>PX_SETTLE</t>
        </is>
      </c>
      <c r="UH3" s="5" t="inlineStr">
        <is>
          <t>PX_VOLUME</t>
        </is>
      </c>
      <c r="UI3" s="5" t="inlineStr">
        <is>
          <t>OPEN_INT</t>
        </is>
      </c>
      <c r="UJ3" s="5" t="inlineStr">
        <is>
          <t>IVOL_MID</t>
        </is>
      </c>
      <c r="UK3" s="5" t="inlineStr">
        <is>
          <t>IVOL_BID</t>
        </is>
      </c>
      <c r="UL3" s="5" t="inlineStr">
        <is>
          <t>IVOL_ASK</t>
        </is>
      </c>
      <c r="UM3" s="5" t="inlineStr">
        <is>
          <t>DELTA_MID</t>
        </is>
      </c>
      <c r="UN3" s="5" t="inlineStr">
        <is>
          <t>GAMMA_MID</t>
        </is>
      </c>
      <c r="UO3" s="5" t="inlineStr">
        <is>
          <t>VEGA_MID</t>
        </is>
      </c>
      <c r="UP3" s="5" t="inlineStr">
        <is>
          <t>THETA_MID</t>
        </is>
      </c>
      <c r="UQ3" s="5" t="inlineStr">
        <is>
          <t>OPT_UNDL_PX</t>
        </is>
      </c>
      <c r="US3" s="5" t="inlineStr">
        <is>
          <t>Date</t>
        </is>
      </c>
      <c r="UT3" s="5" t="inlineStr">
        <is>
          <t>PX_BID</t>
        </is>
      </c>
      <c r="UU3" s="5" t="inlineStr">
        <is>
          <t>PX_ASK</t>
        </is>
      </c>
      <c r="UV3" s="5" t="inlineStr">
        <is>
          <t>PX_MID</t>
        </is>
      </c>
      <c r="UW3" s="5" t="inlineStr">
        <is>
          <t>PX_LAST</t>
        </is>
      </c>
      <c r="UX3" s="5" t="inlineStr">
        <is>
          <t>PX_SETTLE</t>
        </is>
      </c>
      <c r="UY3" s="5" t="inlineStr">
        <is>
          <t>PX_VOLUME</t>
        </is>
      </c>
      <c r="UZ3" s="5" t="inlineStr">
        <is>
          <t>OPEN_INT</t>
        </is>
      </c>
      <c r="VA3" s="5" t="inlineStr">
        <is>
          <t>IVOL_MID</t>
        </is>
      </c>
      <c r="VB3" s="5" t="inlineStr">
        <is>
          <t>IVOL_BID</t>
        </is>
      </c>
      <c r="VC3" s="5" t="inlineStr">
        <is>
          <t>IVOL_ASK</t>
        </is>
      </c>
      <c r="VD3" s="5" t="inlineStr">
        <is>
          <t>DELTA_MID</t>
        </is>
      </c>
      <c r="VE3" s="5" t="inlineStr">
        <is>
          <t>GAMMA_MID</t>
        </is>
      </c>
      <c r="VF3" s="5" t="inlineStr">
        <is>
          <t>VEGA_MID</t>
        </is>
      </c>
      <c r="VG3" s="5" t="inlineStr">
        <is>
          <t>THETA_MID</t>
        </is>
      </c>
      <c r="VH3" s="5" t="inlineStr">
        <is>
          <t>OPT_UNDL_PX</t>
        </is>
      </c>
    </row>
    <row r="4">
      <c r="A4" s="2" t="inlineStr">
        <is>
          <t>Year in ticker</t>
        </is>
      </c>
      <c r="B4" s="4">
        <f>IF(B2&lt;Settings!$B$3,TEXT(MOD(Settings!$E$14,100),"00"),TEXT(MOD(Settings!$E$14,10),"0"))</f>
        <v/>
      </c>
      <c r="D4" s="4">
        <f>BDH(D$1,E$3:S$3,$B$9,$B$10,"Dir=V","Dts=S","Sort=A","Days=T","Fill=B")</f>
        <v/>
      </c>
      <c r="U4" s="4">
        <f>BDH(U$1,V$3:AJ$3,$B$9,$B$10,"Dir=V","Dts=S","Sort=A","Days=T","Fill=B")</f>
        <v/>
      </c>
      <c r="AL4" s="4">
        <f>BDH(AL$1,AM$3:BA$3,$B$9,$B$10,"Dir=V","Dts=S","Sort=A","Days=T","Fill=B")</f>
        <v/>
      </c>
      <c r="BC4" s="4">
        <f>BDH(BC$1,BD$3:BR$3,$B$9,$B$10,"Dir=V","Dts=S","Sort=A","Days=T","Fill=B")</f>
        <v/>
      </c>
      <c r="BT4" s="4">
        <f>BDH(BT$1,BU$3:CI$3,$B$9,$B$10,"Dir=V","Dts=S","Sort=A","Days=T","Fill=B")</f>
        <v/>
      </c>
      <c r="CK4" s="4">
        <f>BDH(CK$1,CL$3:CZ$3,$B$9,$B$10,"Dir=V","Dts=S","Sort=A","Days=T","Fill=B")</f>
        <v/>
      </c>
      <c r="DB4" s="4">
        <f>BDH(DB$1,DC$3:DQ$3,$B$9,$B$10,"Dir=V","Dts=S","Sort=A","Days=T","Fill=B")</f>
        <v/>
      </c>
      <c r="DS4" s="4">
        <f>BDH(DS$1,DT$3:EH$3,$B$9,$B$10,"Dir=V","Dts=S","Sort=A","Days=T","Fill=B")</f>
        <v/>
      </c>
      <c r="EJ4" s="4">
        <f>BDH(EJ$1,EK$3:EY$3,$B$9,$B$10,"Dir=V","Dts=S","Sort=A","Days=T","Fill=B")</f>
        <v/>
      </c>
      <c r="FA4" s="4">
        <f>BDH(FA$1,FB$3:FP$3,$B$9,$B$10,"Dir=V","Dts=S","Sort=A","Days=T","Fill=B")</f>
        <v/>
      </c>
      <c r="FR4" s="4">
        <f>BDH(FR$1,FS$3:GG$3,$B$9,$B$10,"Dir=V","Dts=S","Sort=A","Days=T","Fill=B")</f>
        <v/>
      </c>
      <c r="GI4" s="4">
        <f>BDH(GI$1,GJ$3:GX$3,$B$9,$B$10,"Dir=V","Dts=S","Sort=A","Days=T","Fill=B")</f>
        <v/>
      </c>
      <c r="GZ4" s="4">
        <f>BDH(GZ$1,HA$3:HO$3,$B$9,$B$10,"Dir=V","Dts=S","Sort=A","Days=T","Fill=B")</f>
        <v/>
      </c>
      <c r="HQ4" s="4">
        <f>BDH(HQ$1,HR$3:IF$3,$B$9,$B$10,"Dir=V","Dts=S","Sort=A","Days=T","Fill=B")</f>
        <v/>
      </c>
      <c r="IH4" s="4">
        <f>BDH(IH$1,II$3:IW$3,$B$9,$B$10,"Dir=V","Dts=S","Sort=A","Days=T","Fill=B")</f>
        <v/>
      </c>
      <c r="IY4" s="4">
        <f>BDH(IY$1,IZ$3:JN$3,$B$9,$B$10,"Dir=V","Dts=S","Sort=A","Days=T","Fill=B")</f>
        <v/>
      </c>
      <c r="JP4" s="4">
        <f>BDH(JP$1,JQ$3:KE$3,$B$9,$B$10,"Dir=V","Dts=S","Sort=A","Days=T","Fill=B")</f>
        <v/>
      </c>
      <c r="KG4" s="4">
        <f>BDH(KG$1,KH$3:KV$3,$B$9,$B$10,"Dir=V","Dts=S","Sort=A","Days=T","Fill=B")</f>
        <v/>
      </c>
      <c r="KX4" s="4">
        <f>BDH(KX$1,KY$3:LM$3,$B$9,$B$10,"Dir=V","Dts=S","Sort=A","Days=T","Fill=B")</f>
        <v/>
      </c>
      <c r="LO4" s="4">
        <f>BDH(LO$1,LP$3:MD$3,$B$9,$B$10,"Dir=V","Dts=S","Sort=A","Days=T","Fill=B")</f>
        <v/>
      </c>
      <c r="MF4" s="4">
        <f>BDH(MF$1,MG$3:MU$3,$B$9,$B$10,"Dir=V","Dts=S","Sort=A","Days=T","Fill=B")</f>
        <v/>
      </c>
      <c r="MW4" s="4">
        <f>BDH(MW$1,MX$3:NL$3,$B$9,$B$10,"Dir=V","Dts=S","Sort=A","Days=T","Fill=B")</f>
        <v/>
      </c>
      <c r="NN4" s="4">
        <f>BDH(NN$1,NO$3:OC$3,$B$9,$B$10,"Dir=V","Dts=S","Sort=A","Days=T","Fill=B")</f>
        <v/>
      </c>
      <c r="OE4" s="4">
        <f>BDH(OE$1,OF$3:OT$3,$B$9,$B$10,"Dir=V","Dts=S","Sort=A","Days=T","Fill=B")</f>
        <v/>
      </c>
      <c r="OV4" s="4">
        <f>BDH(OV$1,OW$3:PK$3,$B$9,$B$10,"Dir=V","Dts=S","Sort=A","Days=T","Fill=B")</f>
        <v/>
      </c>
      <c r="PM4" s="4">
        <f>BDH(PM$1,PN$3:QB$3,$B$9,$B$10,"Dir=V","Dts=S","Sort=A","Days=T","Fill=B")</f>
        <v/>
      </c>
      <c r="QD4" s="4">
        <f>BDH(QD$1,QE$3:QS$3,$B$9,$B$10,"Dir=V","Dts=S","Sort=A","Days=T","Fill=B")</f>
        <v/>
      </c>
      <c r="QU4" s="4">
        <f>BDH(QU$1,QV$3:RJ$3,$B$9,$B$10,"Dir=V","Dts=S","Sort=A","Days=T","Fill=B")</f>
        <v/>
      </c>
      <c r="RL4" s="4">
        <f>BDH(RL$1,RM$3:SA$3,$B$9,$B$10,"Dir=V","Dts=S","Sort=A","Days=T","Fill=B")</f>
        <v/>
      </c>
      <c r="SC4" s="4">
        <f>BDH(SC$1,SD$3:SR$3,$B$9,$B$10,"Dir=V","Dts=S","Sort=A","Days=T","Fill=B")</f>
        <v/>
      </c>
      <c r="ST4" s="4">
        <f>BDH(ST$1,SU$3:TI$3,$B$9,$B$10,"Dir=V","Dts=S","Sort=A","Days=T","Fill=B")</f>
        <v/>
      </c>
      <c r="TK4" s="4">
        <f>BDH(TK$1,TL$3:TZ$3,$B$9,$B$10,"Dir=V","Dts=S","Sort=A","Days=T","Fill=B")</f>
        <v/>
      </c>
      <c r="UB4" s="4">
        <f>BDH(UB$1,UC$3:UQ$3,$B$9,$B$10,"Dir=V","Dts=S","Sort=A","Days=T","Fill=B")</f>
        <v/>
      </c>
      <c r="US4" s="4">
        <f>BDH(US$1,UT$3:VH$3,$B$9,$B$10,"Dir=V","Dts=S","Sort=A","Days=T","Fill=B")</f>
        <v/>
      </c>
    </row>
    <row r="5">
      <c r="A5" s="2" t="inlineStr">
        <is>
          <t>Futures ticker</t>
        </is>
      </c>
      <c r="B5" s="4">
        <f>IF(Settings!$B$14="Y","CL"&amp;MID("FGHJKMNQUVXZ",B1,1)&amp;B4&amp;" Comdty","")</f>
        <v/>
      </c>
    </row>
    <row r="6">
      <c r="A6" s="2" t="inlineStr">
        <is>
          <t>Strike reference date</t>
        </is>
      </c>
      <c r="B6" s="8">
        <f>B3-45</f>
        <v/>
      </c>
    </row>
    <row r="7">
      <c r="A7" s="2" t="inlineStr">
        <is>
          <t>Futures price on that date</t>
        </is>
      </c>
      <c r="B7" s="10">
        <f>IF(B5="","",BDH(B5,"PX_LAST",B6,B6,"Days=A","Fill=P","Dts=H"))</f>
        <v/>
      </c>
    </row>
    <row r="8">
      <c r="A8" s="2" t="inlineStr">
        <is>
          <t>ATM strike</t>
        </is>
      </c>
      <c r="B8" s="9">
        <f>IF(ISNUMBER(B7),ROUND(B7,0),"")</f>
        <v/>
      </c>
    </row>
    <row r="9">
      <c r="A9" s="2" t="inlineStr">
        <is>
          <t>History start</t>
        </is>
      </c>
      <c r="B9" s="8">
        <f>B3-100</f>
        <v/>
      </c>
    </row>
    <row r="10">
      <c r="A10" s="2" t="inlineStr">
        <is>
          <t>History end</t>
        </is>
      </c>
      <c r="B10" s="8">
        <f>B3</f>
        <v/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VH10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2" customWidth="1" min="2" max="2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1" customWidth="1" min="15" max="15"/>
    <col width="11" customWidth="1" min="16" max="16"/>
    <col width="10" customWidth="1" min="17" max="17"/>
    <col width="11" customWidth="1" min="18" max="18"/>
    <col width="13" customWidth="1" min="19" max="19"/>
    <col width="12" customWidth="1" min="21" max="21"/>
    <col width="10" customWidth="1" min="22" max="22"/>
    <col width="10" customWidth="1" min="23" max="23"/>
    <col width="10" customWidth="1" min="24" max="24"/>
    <col width="10" customWidth="1" min="25" max="25"/>
    <col width="11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1" customWidth="1" min="32" max="32"/>
    <col width="11" customWidth="1" min="33" max="33"/>
    <col width="10" customWidth="1" min="34" max="34"/>
    <col width="11" customWidth="1" min="35" max="35"/>
    <col width="13" customWidth="1" min="36" max="36"/>
    <col width="12" customWidth="1" min="38" max="38"/>
    <col width="10" customWidth="1" min="39" max="39"/>
    <col width="10" customWidth="1" min="40" max="40"/>
    <col width="10" customWidth="1" min="41" max="41"/>
    <col width="10" customWidth="1" min="42" max="42"/>
    <col width="11" customWidth="1" min="43" max="43"/>
    <col width="11" customWidth="1" min="44" max="44"/>
    <col width="10" customWidth="1" min="45" max="45"/>
    <col width="10" customWidth="1" min="46" max="46"/>
    <col width="10" customWidth="1" min="47" max="47"/>
    <col width="10" customWidth="1" min="48" max="48"/>
    <col width="11" customWidth="1" min="49" max="49"/>
    <col width="11" customWidth="1" min="50" max="50"/>
    <col width="10" customWidth="1" min="51" max="51"/>
    <col width="11" customWidth="1" min="52" max="52"/>
    <col width="13" customWidth="1" min="53" max="53"/>
    <col width="12" customWidth="1" min="55" max="55"/>
    <col width="10" customWidth="1" min="56" max="56"/>
    <col width="10" customWidth="1" min="57" max="57"/>
    <col width="10" customWidth="1" min="58" max="58"/>
    <col width="10" customWidth="1" min="59" max="59"/>
    <col width="11" customWidth="1" min="60" max="60"/>
    <col width="11" customWidth="1" min="61" max="61"/>
    <col width="10" customWidth="1" min="62" max="62"/>
    <col width="10" customWidth="1" min="63" max="63"/>
    <col width="10" customWidth="1" min="64" max="64"/>
    <col width="10" customWidth="1" min="65" max="65"/>
    <col width="11" customWidth="1" min="66" max="66"/>
    <col width="11" customWidth="1" min="67" max="67"/>
    <col width="10" customWidth="1" min="68" max="68"/>
    <col width="11" customWidth="1" min="69" max="69"/>
    <col width="13" customWidth="1" min="70" max="70"/>
    <col width="12" customWidth="1" min="72" max="72"/>
    <col width="10" customWidth="1" min="73" max="73"/>
    <col width="10" customWidth="1" min="74" max="74"/>
    <col width="10" customWidth="1" min="75" max="75"/>
    <col width="10" customWidth="1" min="76" max="76"/>
    <col width="11" customWidth="1" min="77" max="77"/>
    <col width="11" customWidth="1" min="78" max="78"/>
    <col width="10" customWidth="1" min="79" max="79"/>
    <col width="10" customWidth="1" min="80" max="80"/>
    <col width="10" customWidth="1" min="81" max="81"/>
    <col width="10" customWidth="1" min="82" max="82"/>
    <col width="11" customWidth="1" min="83" max="83"/>
    <col width="11" customWidth="1" min="84" max="84"/>
    <col width="10" customWidth="1" min="85" max="85"/>
    <col width="11" customWidth="1" min="86" max="86"/>
    <col width="13" customWidth="1" min="87" max="87"/>
    <col width="12" customWidth="1" min="89" max="89"/>
    <col width="10" customWidth="1" min="90" max="90"/>
    <col width="10" customWidth="1" min="91" max="91"/>
    <col width="10" customWidth="1" min="92" max="92"/>
    <col width="10" customWidth="1" min="93" max="93"/>
    <col width="11" customWidth="1" min="94" max="94"/>
    <col width="11" customWidth="1" min="95" max="95"/>
    <col width="10" customWidth="1" min="96" max="96"/>
    <col width="10" customWidth="1" min="97" max="97"/>
    <col width="10" customWidth="1" min="98" max="98"/>
    <col width="10" customWidth="1" min="99" max="99"/>
    <col width="11" customWidth="1" min="100" max="100"/>
    <col width="11" customWidth="1" min="101" max="101"/>
    <col width="10" customWidth="1" min="102" max="102"/>
    <col width="11" customWidth="1" min="103" max="103"/>
    <col width="13" customWidth="1" min="104" max="104"/>
    <col width="12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1" customWidth="1" min="111" max="111"/>
    <col width="11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1" customWidth="1" min="117" max="117"/>
    <col width="11" customWidth="1" min="118" max="118"/>
    <col width="10" customWidth="1" min="119" max="119"/>
    <col width="11" customWidth="1" min="120" max="120"/>
    <col width="13" customWidth="1" min="121" max="121"/>
    <col width="12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1" customWidth="1" min="128" max="128"/>
    <col width="11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1" customWidth="1" min="134" max="134"/>
    <col width="11" customWidth="1" min="135" max="135"/>
    <col width="10" customWidth="1" min="136" max="136"/>
    <col width="11" customWidth="1" min="137" max="137"/>
    <col width="13" customWidth="1" min="138" max="138"/>
    <col width="12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1" customWidth="1" min="145" max="145"/>
    <col width="11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1" customWidth="1" min="151" max="151"/>
    <col width="11" customWidth="1" min="152" max="152"/>
    <col width="10" customWidth="1" min="153" max="153"/>
    <col width="11" customWidth="1" min="154" max="154"/>
    <col width="13" customWidth="1" min="155" max="155"/>
    <col width="12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1" customWidth="1" min="162" max="162"/>
    <col width="11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1" customWidth="1" min="168" max="168"/>
    <col width="11" customWidth="1" min="169" max="169"/>
    <col width="10" customWidth="1" min="170" max="170"/>
    <col width="11" customWidth="1" min="171" max="171"/>
    <col width="13" customWidth="1" min="172" max="172"/>
    <col width="12" customWidth="1" min="174" max="174"/>
    <col width="10" customWidth="1" min="175" max="175"/>
    <col width="10" customWidth="1" min="176" max="176"/>
    <col width="10" customWidth="1" min="177" max="177"/>
    <col width="10" customWidth="1" min="178" max="178"/>
    <col width="11" customWidth="1" min="179" max="179"/>
    <col width="11" customWidth="1" min="180" max="180"/>
    <col width="10" customWidth="1" min="181" max="181"/>
    <col width="10" customWidth="1" min="182" max="182"/>
    <col width="10" customWidth="1" min="183" max="183"/>
    <col width="10" customWidth="1" min="184" max="184"/>
    <col width="11" customWidth="1" min="185" max="185"/>
    <col width="11" customWidth="1" min="186" max="186"/>
    <col width="10" customWidth="1" min="187" max="187"/>
    <col width="11" customWidth="1" min="188" max="188"/>
    <col width="13" customWidth="1" min="189" max="189"/>
    <col width="12" customWidth="1" min="191" max="191"/>
    <col width="10" customWidth="1" min="192" max="192"/>
    <col width="10" customWidth="1" min="193" max="193"/>
    <col width="10" customWidth="1" min="194" max="194"/>
    <col width="10" customWidth="1" min="195" max="195"/>
    <col width="11" customWidth="1" min="196" max="196"/>
    <col width="11" customWidth="1" min="197" max="197"/>
    <col width="10" customWidth="1" min="198" max="198"/>
    <col width="10" customWidth="1" min="199" max="199"/>
    <col width="10" customWidth="1" min="200" max="200"/>
    <col width="10" customWidth="1" min="201" max="201"/>
    <col width="11" customWidth="1" min="202" max="202"/>
    <col width="11" customWidth="1" min="203" max="203"/>
    <col width="10" customWidth="1" min="204" max="204"/>
    <col width="11" customWidth="1" min="205" max="205"/>
    <col width="13" customWidth="1" min="206" max="206"/>
    <col width="12" customWidth="1" min="208" max="208"/>
    <col width="10" customWidth="1" min="209" max="209"/>
    <col width="10" customWidth="1" min="210" max="210"/>
    <col width="10" customWidth="1" min="211" max="211"/>
    <col width="10" customWidth="1" min="212" max="212"/>
    <col width="11" customWidth="1" min="213" max="213"/>
    <col width="11" customWidth="1" min="214" max="214"/>
    <col width="10" customWidth="1" min="215" max="215"/>
    <col width="10" customWidth="1" min="216" max="216"/>
    <col width="10" customWidth="1" min="217" max="217"/>
    <col width="10" customWidth="1" min="218" max="218"/>
    <col width="11" customWidth="1" min="219" max="219"/>
    <col width="11" customWidth="1" min="220" max="220"/>
    <col width="10" customWidth="1" min="221" max="221"/>
    <col width="11" customWidth="1" min="222" max="222"/>
    <col width="13" customWidth="1" min="223" max="223"/>
    <col width="12" customWidth="1" min="225" max="225"/>
    <col width="10" customWidth="1" min="226" max="226"/>
    <col width="10" customWidth="1" min="227" max="227"/>
    <col width="10" customWidth="1" min="228" max="228"/>
    <col width="10" customWidth="1" min="229" max="229"/>
    <col width="11" customWidth="1" min="230" max="230"/>
    <col width="11" customWidth="1" min="231" max="231"/>
    <col width="10" customWidth="1" min="232" max="232"/>
    <col width="10" customWidth="1" min="233" max="233"/>
    <col width="10" customWidth="1" min="234" max="234"/>
    <col width="10" customWidth="1" min="235" max="235"/>
    <col width="11" customWidth="1" min="236" max="236"/>
    <col width="11" customWidth="1" min="237" max="237"/>
    <col width="10" customWidth="1" min="238" max="238"/>
    <col width="11" customWidth="1" min="239" max="239"/>
    <col width="13" customWidth="1" min="240" max="240"/>
    <col width="12" customWidth="1" min="242" max="242"/>
    <col width="10" customWidth="1" min="243" max="243"/>
    <col width="10" customWidth="1" min="244" max="244"/>
    <col width="10" customWidth="1" min="245" max="245"/>
    <col width="10" customWidth="1" min="246" max="246"/>
    <col width="11" customWidth="1" min="247" max="247"/>
    <col width="11" customWidth="1" min="248" max="248"/>
    <col width="10" customWidth="1" min="249" max="249"/>
    <col width="10" customWidth="1" min="250" max="250"/>
    <col width="10" customWidth="1" min="251" max="251"/>
    <col width="10" customWidth="1" min="252" max="252"/>
    <col width="11" customWidth="1" min="253" max="253"/>
    <col width="11" customWidth="1" min="254" max="254"/>
    <col width="10" customWidth="1" min="255" max="255"/>
    <col width="11" customWidth="1" min="256" max="256"/>
    <col width="13" customWidth="1" min="257" max="257"/>
    <col width="12" customWidth="1" min="259" max="259"/>
    <col width="10" customWidth="1" min="260" max="260"/>
    <col width="10" customWidth="1" min="261" max="261"/>
    <col width="10" customWidth="1" min="262" max="262"/>
    <col width="10" customWidth="1" min="263" max="263"/>
    <col width="11" customWidth="1" min="264" max="264"/>
    <col width="11" customWidth="1" min="265" max="265"/>
    <col width="10" customWidth="1" min="266" max="266"/>
    <col width="10" customWidth="1" min="267" max="267"/>
    <col width="10" customWidth="1" min="268" max="268"/>
    <col width="10" customWidth="1" min="269" max="269"/>
    <col width="11" customWidth="1" min="270" max="270"/>
    <col width="11" customWidth="1" min="271" max="271"/>
    <col width="10" customWidth="1" min="272" max="272"/>
    <col width="11" customWidth="1" min="273" max="273"/>
    <col width="13" customWidth="1" min="274" max="274"/>
    <col width="12" customWidth="1" min="276" max="276"/>
    <col width="10" customWidth="1" min="277" max="277"/>
    <col width="10" customWidth="1" min="278" max="278"/>
    <col width="10" customWidth="1" min="279" max="279"/>
    <col width="10" customWidth="1" min="280" max="280"/>
    <col width="11" customWidth="1" min="281" max="281"/>
    <col width="11" customWidth="1" min="282" max="282"/>
    <col width="10" customWidth="1" min="283" max="283"/>
    <col width="10" customWidth="1" min="284" max="284"/>
    <col width="10" customWidth="1" min="285" max="285"/>
    <col width="10" customWidth="1" min="286" max="286"/>
    <col width="11" customWidth="1" min="287" max="287"/>
    <col width="11" customWidth="1" min="288" max="288"/>
    <col width="10" customWidth="1" min="289" max="289"/>
    <col width="11" customWidth="1" min="290" max="290"/>
    <col width="13" customWidth="1" min="291" max="291"/>
    <col width="12" customWidth="1" min="293" max="293"/>
    <col width="10" customWidth="1" min="294" max="294"/>
    <col width="10" customWidth="1" min="295" max="295"/>
    <col width="10" customWidth="1" min="296" max="296"/>
    <col width="10" customWidth="1" min="297" max="297"/>
    <col width="11" customWidth="1" min="298" max="298"/>
    <col width="11" customWidth="1" min="299" max="299"/>
    <col width="10" customWidth="1" min="300" max="300"/>
    <col width="10" customWidth="1" min="301" max="301"/>
    <col width="10" customWidth="1" min="302" max="302"/>
    <col width="10" customWidth="1" min="303" max="303"/>
    <col width="11" customWidth="1" min="304" max="304"/>
    <col width="11" customWidth="1" min="305" max="305"/>
    <col width="10" customWidth="1" min="306" max="306"/>
    <col width="11" customWidth="1" min="307" max="307"/>
    <col width="13" customWidth="1" min="308" max="308"/>
    <col width="12" customWidth="1" min="310" max="310"/>
    <col width="10" customWidth="1" min="311" max="311"/>
    <col width="10" customWidth="1" min="312" max="312"/>
    <col width="10" customWidth="1" min="313" max="313"/>
    <col width="10" customWidth="1" min="314" max="314"/>
    <col width="11" customWidth="1" min="315" max="315"/>
    <col width="11" customWidth="1" min="316" max="316"/>
    <col width="10" customWidth="1" min="317" max="317"/>
    <col width="10" customWidth="1" min="318" max="318"/>
    <col width="10" customWidth="1" min="319" max="319"/>
    <col width="10" customWidth="1" min="320" max="320"/>
    <col width="11" customWidth="1" min="321" max="321"/>
    <col width="11" customWidth="1" min="322" max="322"/>
    <col width="10" customWidth="1" min="323" max="323"/>
    <col width="11" customWidth="1" min="324" max="324"/>
    <col width="13" customWidth="1" min="325" max="325"/>
    <col width="12" customWidth="1" min="327" max="327"/>
    <col width="10" customWidth="1" min="328" max="328"/>
    <col width="10" customWidth="1" min="329" max="329"/>
    <col width="10" customWidth="1" min="330" max="330"/>
    <col width="10" customWidth="1" min="331" max="331"/>
    <col width="11" customWidth="1" min="332" max="332"/>
    <col width="11" customWidth="1" min="333" max="333"/>
    <col width="10" customWidth="1" min="334" max="334"/>
    <col width="10" customWidth="1" min="335" max="335"/>
    <col width="10" customWidth="1" min="336" max="336"/>
    <col width="10" customWidth="1" min="337" max="337"/>
    <col width="11" customWidth="1" min="338" max="338"/>
    <col width="11" customWidth="1" min="339" max="339"/>
    <col width="10" customWidth="1" min="340" max="340"/>
    <col width="11" customWidth="1" min="341" max="341"/>
    <col width="13" customWidth="1" min="342" max="342"/>
    <col width="12" customWidth="1" min="344" max="344"/>
    <col width="10" customWidth="1" min="345" max="345"/>
    <col width="10" customWidth="1" min="346" max="346"/>
    <col width="10" customWidth="1" min="347" max="347"/>
    <col width="10" customWidth="1" min="348" max="348"/>
    <col width="11" customWidth="1" min="349" max="349"/>
    <col width="11" customWidth="1" min="350" max="350"/>
    <col width="10" customWidth="1" min="351" max="351"/>
    <col width="10" customWidth="1" min="352" max="352"/>
    <col width="10" customWidth="1" min="353" max="353"/>
    <col width="10" customWidth="1" min="354" max="354"/>
    <col width="11" customWidth="1" min="355" max="355"/>
    <col width="11" customWidth="1" min="356" max="356"/>
    <col width="10" customWidth="1" min="357" max="357"/>
    <col width="11" customWidth="1" min="358" max="358"/>
    <col width="13" customWidth="1" min="359" max="359"/>
    <col width="12" customWidth="1" min="361" max="361"/>
    <col width="10" customWidth="1" min="362" max="362"/>
    <col width="10" customWidth="1" min="363" max="363"/>
    <col width="10" customWidth="1" min="364" max="364"/>
    <col width="10" customWidth="1" min="365" max="365"/>
    <col width="11" customWidth="1" min="366" max="366"/>
    <col width="11" customWidth="1" min="367" max="367"/>
    <col width="10" customWidth="1" min="368" max="368"/>
    <col width="10" customWidth="1" min="369" max="369"/>
    <col width="10" customWidth="1" min="370" max="370"/>
    <col width="10" customWidth="1" min="371" max="371"/>
    <col width="11" customWidth="1" min="372" max="372"/>
    <col width="11" customWidth="1" min="373" max="373"/>
    <col width="10" customWidth="1" min="374" max="374"/>
    <col width="11" customWidth="1" min="375" max="375"/>
    <col width="13" customWidth="1" min="376" max="376"/>
    <col width="12" customWidth="1" min="378" max="378"/>
    <col width="10" customWidth="1" min="379" max="379"/>
    <col width="10" customWidth="1" min="380" max="380"/>
    <col width="10" customWidth="1" min="381" max="381"/>
    <col width="10" customWidth="1" min="382" max="382"/>
    <col width="11" customWidth="1" min="383" max="383"/>
    <col width="11" customWidth="1" min="384" max="384"/>
    <col width="10" customWidth="1" min="385" max="385"/>
    <col width="10" customWidth="1" min="386" max="386"/>
    <col width="10" customWidth="1" min="387" max="387"/>
    <col width="10" customWidth="1" min="388" max="388"/>
    <col width="11" customWidth="1" min="389" max="389"/>
    <col width="11" customWidth="1" min="390" max="390"/>
    <col width="10" customWidth="1" min="391" max="391"/>
    <col width="11" customWidth="1" min="392" max="392"/>
    <col width="13" customWidth="1" min="393" max="393"/>
    <col width="12" customWidth="1" min="395" max="395"/>
    <col width="10" customWidth="1" min="396" max="396"/>
    <col width="10" customWidth="1" min="397" max="397"/>
    <col width="10" customWidth="1" min="398" max="398"/>
    <col width="10" customWidth="1" min="399" max="399"/>
    <col width="11" customWidth="1" min="400" max="400"/>
    <col width="11" customWidth="1" min="401" max="401"/>
    <col width="10" customWidth="1" min="402" max="402"/>
    <col width="10" customWidth="1" min="403" max="403"/>
    <col width="10" customWidth="1" min="404" max="404"/>
    <col width="10" customWidth="1" min="405" max="405"/>
    <col width="11" customWidth="1" min="406" max="406"/>
    <col width="11" customWidth="1" min="407" max="407"/>
    <col width="10" customWidth="1" min="408" max="408"/>
    <col width="11" customWidth="1" min="409" max="409"/>
    <col width="13" customWidth="1" min="410" max="410"/>
    <col width="12" customWidth="1" min="412" max="412"/>
    <col width="10" customWidth="1" min="413" max="413"/>
    <col width="10" customWidth="1" min="414" max="414"/>
    <col width="10" customWidth="1" min="415" max="415"/>
    <col width="10" customWidth="1" min="416" max="416"/>
    <col width="11" customWidth="1" min="417" max="417"/>
    <col width="11" customWidth="1" min="418" max="418"/>
    <col width="10" customWidth="1" min="419" max="419"/>
    <col width="10" customWidth="1" min="420" max="420"/>
    <col width="10" customWidth="1" min="421" max="421"/>
    <col width="10" customWidth="1" min="422" max="422"/>
    <col width="11" customWidth="1" min="423" max="423"/>
    <col width="11" customWidth="1" min="424" max="424"/>
    <col width="10" customWidth="1" min="425" max="425"/>
    <col width="11" customWidth="1" min="426" max="426"/>
    <col width="13" customWidth="1" min="427" max="427"/>
    <col width="12" customWidth="1" min="429" max="429"/>
    <col width="10" customWidth="1" min="430" max="430"/>
    <col width="10" customWidth="1" min="431" max="431"/>
    <col width="10" customWidth="1" min="432" max="432"/>
    <col width="10" customWidth="1" min="433" max="433"/>
    <col width="11" customWidth="1" min="434" max="434"/>
    <col width="11" customWidth="1" min="435" max="435"/>
    <col width="10" customWidth="1" min="436" max="436"/>
    <col width="10" customWidth="1" min="437" max="437"/>
    <col width="10" customWidth="1" min="438" max="438"/>
    <col width="10" customWidth="1" min="439" max="439"/>
    <col width="11" customWidth="1" min="440" max="440"/>
    <col width="11" customWidth="1" min="441" max="441"/>
    <col width="10" customWidth="1" min="442" max="442"/>
    <col width="11" customWidth="1" min="443" max="443"/>
    <col width="13" customWidth="1" min="444" max="444"/>
    <col width="12" customWidth="1" min="446" max="446"/>
    <col width="10" customWidth="1" min="447" max="447"/>
    <col width="10" customWidth="1" min="448" max="448"/>
    <col width="10" customWidth="1" min="449" max="449"/>
    <col width="10" customWidth="1" min="450" max="450"/>
    <col width="11" customWidth="1" min="451" max="451"/>
    <col width="11" customWidth="1" min="452" max="452"/>
    <col width="10" customWidth="1" min="453" max="453"/>
    <col width="10" customWidth="1" min="454" max="454"/>
    <col width="10" customWidth="1" min="455" max="455"/>
    <col width="10" customWidth="1" min="456" max="456"/>
    <col width="11" customWidth="1" min="457" max="457"/>
    <col width="11" customWidth="1" min="458" max="458"/>
    <col width="10" customWidth="1" min="459" max="459"/>
    <col width="11" customWidth="1" min="460" max="460"/>
    <col width="13" customWidth="1" min="461" max="461"/>
    <col width="12" customWidth="1" min="463" max="463"/>
    <col width="10" customWidth="1" min="464" max="464"/>
    <col width="10" customWidth="1" min="465" max="465"/>
    <col width="10" customWidth="1" min="466" max="466"/>
    <col width="10" customWidth="1" min="467" max="467"/>
    <col width="11" customWidth="1" min="468" max="468"/>
    <col width="11" customWidth="1" min="469" max="469"/>
    <col width="10" customWidth="1" min="470" max="470"/>
    <col width="10" customWidth="1" min="471" max="471"/>
    <col width="10" customWidth="1" min="472" max="472"/>
    <col width="10" customWidth="1" min="473" max="473"/>
    <col width="11" customWidth="1" min="474" max="474"/>
    <col width="11" customWidth="1" min="475" max="475"/>
    <col width="10" customWidth="1" min="476" max="476"/>
    <col width="11" customWidth="1" min="477" max="477"/>
    <col width="13" customWidth="1" min="478" max="478"/>
    <col width="12" customWidth="1" min="480" max="480"/>
    <col width="10" customWidth="1" min="481" max="481"/>
    <col width="10" customWidth="1" min="482" max="482"/>
    <col width="10" customWidth="1" min="483" max="483"/>
    <col width="10" customWidth="1" min="484" max="484"/>
    <col width="11" customWidth="1" min="485" max="485"/>
    <col width="11" customWidth="1" min="486" max="486"/>
    <col width="10" customWidth="1" min="487" max="487"/>
    <col width="10" customWidth="1" min="488" max="488"/>
    <col width="10" customWidth="1" min="489" max="489"/>
    <col width="10" customWidth="1" min="490" max="490"/>
    <col width="11" customWidth="1" min="491" max="491"/>
    <col width="11" customWidth="1" min="492" max="492"/>
    <col width="10" customWidth="1" min="493" max="493"/>
    <col width="11" customWidth="1" min="494" max="494"/>
    <col width="13" customWidth="1" min="495" max="495"/>
    <col width="12" customWidth="1" min="497" max="497"/>
    <col width="10" customWidth="1" min="498" max="498"/>
    <col width="10" customWidth="1" min="499" max="499"/>
    <col width="10" customWidth="1" min="500" max="500"/>
    <col width="10" customWidth="1" min="501" max="501"/>
    <col width="11" customWidth="1" min="502" max="502"/>
    <col width="11" customWidth="1" min="503" max="503"/>
    <col width="10" customWidth="1" min="504" max="504"/>
    <col width="10" customWidth="1" min="505" max="505"/>
    <col width="10" customWidth="1" min="506" max="506"/>
    <col width="10" customWidth="1" min="507" max="507"/>
    <col width="11" customWidth="1" min="508" max="508"/>
    <col width="11" customWidth="1" min="509" max="509"/>
    <col width="10" customWidth="1" min="510" max="510"/>
    <col width="11" customWidth="1" min="511" max="511"/>
    <col width="13" customWidth="1" min="512" max="512"/>
    <col width="12" customWidth="1" min="514" max="514"/>
    <col width="10" customWidth="1" min="515" max="515"/>
    <col width="10" customWidth="1" min="516" max="516"/>
    <col width="10" customWidth="1" min="517" max="517"/>
    <col width="10" customWidth="1" min="518" max="518"/>
    <col width="11" customWidth="1" min="519" max="519"/>
    <col width="11" customWidth="1" min="520" max="520"/>
    <col width="10" customWidth="1" min="521" max="521"/>
    <col width="10" customWidth="1" min="522" max="522"/>
    <col width="10" customWidth="1" min="523" max="523"/>
    <col width="10" customWidth="1" min="524" max="524"/>
    <col width="11" customWidth="1" min="525" max="525"/>
    <col width="11" customWidth="1" min="526" max="526"/>
    <col width="10" customWidth="1" min="527" max="527"/>
    <col width="11" customWidth="1" min="528" max="528"/>
    <col width="13" customWidth="1" min="529" max="529"/>
    <col width="12" customWidth="1" min="531" max="531"/>
    <col width="10" customWidth="1" min="532" max="532"/>
    <col width="10" customWidth="1" min="533" max="533"/>
    <col width="10" customWidth="1" min="534" max="534"/>
    <col width="10" customWidth="1" min="535" max="535"/>
    <col width="11" customWidth="1" min="536" max="536"/>
    <col width="11" customWidth="1" min="537" max="537"/>
    <col width="10" customWidth="1" min="538" max="538"/>
    <col width="10" customWidth="1" min="539" max="539"/>
    <col width="10" customWidth="1" min="540" max="540"/>
    <col width="10" customWidth="1" min="541" max="541"/>
    <col width="11" customWidth="1" min="542" max="542"/>
    <col width="11" customWidth="1" min="543" max="543"/>
    <col width="10" customWidth="1" min="544" max="544"/>
    <col width="11" customWidth="1" min="545" max="545"/>
    <col width="13" customWidth="1" min="546" max="546"/>
    <col width="12" customWidth="1" min="548" max="548"/>
    <col width="10" customWidth="1" min="549" max="549"/>
    <col width="10" customWidth="1" min="550" max="550"/>
    <col width="10" customWidth="1" min="551" max="551"/>
    <col width="10" customWidth="1" min="552" max="552"/>
    <col width="11" customWidth="1" min="553" max="553"/>
    <col width="11" customWidth="1" min="554" max="554"/>
    <col width="10" customWidth="1" min="555" max="555"/>
    <col width="10" customWidth="1" min="556" max="556"/>
    <col width="10" customWidth="1" min="557" max="557"/>
    <col width="10" customWidth="1" min="558" max="558"/>
    <col width="11" customWidth="1" min="559" max="559"/>
    <col width="11" customWidth="1" min="560" max="560"/>
    <col width="10" customWidth="1" min="561" max="561"/>
    <col width="11" customWidth="1" min="562" max="562"/>
    <col width="13" customWidth="1" min="563" max="563"/>
    <col width="12" customWidth="1" min="565" max="565"/>
    <col width="10" customWidth="1" min="566" max="566"/>
    <col width="10" customWidth="1" min="567" max="567"/>
    <col width="10" customWidth="1" min="568" max="568"/>
    <col width="10" customWidth="1" min="569" max="569"/>
    <col width="11" customWidth="1" min="570" max="570"/>
    <col width="11" customWidth="1" min="571" max="571"/>
    <col width="10" customWidth="1" min="572" max="572"/>
    <col width="10" customWidth="1" min="573" max="573"/>
    <col width="10" customWidth="1" min="574" max="574"/>
    <col width="10" customWidth="1" min="575" max="575"/>
    <col width="11" customWidth="1" min="576" max="576"/>
    <col width="11" customWidth="1" min="577" max="577"/>
    <col width="10" customWidth="1" min="578" max="578"/>
    <col width="11" customWidth="1" min="579" max="579"/>
    <col width="13" customWidth="1" min="580" max="580"/>
  </cols>
  <sheetData>
    <row r="1">
      <c r="A1" s="2" t="inlineStr">
        <is>
          <t>Contract month</t>
        </is>
      </c>
      <c r="B1" s="9" t="n">
        <v>11</v>
      </c>
      <c r="D1" s="2">
        <f>IF(ISNUMBER(B$8),"CL"&amp;MID("FGHJKMNQUVXZ",B$1,1)&amp;B$4&amp;"C "&amp;IF(Settings!$F$14=2,TEXT((B$8-8),"0.00"),(B$8-8))&amp;" Comdty","")</f>
        <v/>
      </c>
      <c r="U1" s="2">
        <f>IF(ISNUMBER(B$8),"CL"&amp;MID("FGHJKMNQUVXZ",B$1,1)&amp;B$4&amp;"P "&amp;IF(Settings!$F$14=2,TEXT((B$8-8),"0.00"),(B$8-8))&amp;" Comdty","")</f>
        <v/>
      </c>
      <c r="AL1" s="2">
        <f>IF(ISNUMBER(B$8),"CL"&amp;MID("FGHJKMNQUVXZ",B$1,1)&amp;B$4&amp;"C "&amp;IF(Settings!$F$14=2,TEXT((B$8-7),"0.00"),(B$8-7))&amp;" Comdty","")</f>
        <v/>
      </c>
      <c r="BC1" s="2">
        <f>IF(ISNUMBER(B$8),"CL"&amp;MID("FGHJKMNQUVXZ",B$1,1)&amp;B$4&amp;"P "&amp;IF(Settings!$F$14=2,TEXT((B$8-7),"0.00"),(B$8-7))&amp;" Comdty","")</f>
        <v/>
      </c>
      <c r="BT1" s="2">
        <f>IF(ISNUMBER(B$8),"CL"&amp;MID("FGHJKMNQUVXZ",B$1,1)&amp;B$4&amp;"C "&amp;IF(Settings!$F$14=2,TEXT((B$8-6),"0.00"),(B$8-6))&amp;" Comdty","")</f>
        <v/>
      </c>
      <c r="CK1" s="2">
        <f>IF(ISNUMBER(B$8),"CL"&amp;MID("FGHJKMNQUVXZ",B$1,1)&amp;B$4&amp;"P "&amp;IF(Settings!$F$14=2,TEXT((B$8-6),"0.00"),(B$8-6))&amp;" Comdty","")</f>
        <v/>
      </c>
      <c r="DB1" s="2">
        <f>IF(ISNUMBER(B$8),"CL"&amp;MID("FGHJKMNQUVXZ",B$1,1)&amp;B$4&amp;"C "&amp;IF(Settings!$F$14=2,TEXT((B$8-5),"0.00"),(B$8-5))&amp;" Comdty","")</f>
        <v/>
      </c>
      <c r="DS1" s="2">
        <f>IF(ISNUMBER(B$8),"CL"&amp;MID("FGHJKMNQUVXZ",B$1,1)&amp;B$4&amp;"P "&amp;IF(Settings!$F$14=2,TEXT((B$8-5),"0.00"),(B$8-5))&amp;" Comdty","")</f>
        <v/>
      </c>
      <c r="EJ1" s="2">
        <f>IF(ISNUMBER(B$8),"CL"&amp;MID("FGHJKMNQUVXZ",B$1,1)&amp;B$4&amp;"C "&amp;IF(Settings!$F$14=2,TEXT((B$8-4),"0.00"),(B$8-4))&amp;" Comdty","")</f>
        <v/>
      </c>
      <c r="FA1" s="2">
        <f>IF(ISNUMBER(B$8),"CL"&amp;MID("FGHJKMNQUVXZ",B$1,1)&amp;B$4&amp;"P "&amp;IF(Settings!$F$14=2,TEXT((B$8-4),"0.00"),(B$8-4))&amp;" Comdty","")</f>
        <v/>
      </c>
      <c r="FR1" s="2">
        <f>IF(ISNUMBER(B$8),"CL"&amp;MID("FGHJKMNQUVXZ",B$1,1)&amp;B$4&amp;"C "&amp;IF(Settings!$F$14=2,TEXT((B$8-3),"0.00"),(B$8-3))&amp;" Comdty","")</f>
        <v/>
      </c>
      <c r="GI1" s="2">
        <f>IF(ISNUMBER(B$8),"CL"&amp;MID("FGHJKMNQUVXZ",B$1,1)&amp;B$4&amp;"P "&amp;IF(Settings!$F$14=2,TEXT((B$8-3),"0.00"),(B$8-3))&amp;" Comdty","")</f>
        <v/>
      </c>
      <c r="GZ1" s="2">
        <f>IF(ISNUMBER(B$8),"CL"&amp;MID("FGHJKMNQUVXZ",B$1,1)&amp;B$4&amp;"C "&amp;IF(Settings!$F$14=2,TEXT((B$8-2),"0.00"),(B$8-2))&amp;" Comdty","")</f>
        <v/>
      </c>
      <c r="HQ1" s="2">
        <f>IF(ISNUMBER(B$8),"CL"&amp;MID("FGHJKMNQUVXZ",B$1,1)&amp;B$4&amp;"P "&amp;IF(Settings!$F$14=2,TEXT((B$8-2),"0.00"),(B$8-2))&amp;" Comdty","")</f>
        <v/>
      </c>
      <c r="IH1" s="2">
        <f>IF(ISNUMBER(B$8),"CL"&amp;MID("FGHJKMNQUVXZ",B$1,1)&amp;B$4&amp;"C "&amp;IF(Settings!$F$14=2,TEXT((B$8-1),"0.00"),(B$8-1))&amp;" Comdty","")</f>
        <v/>
      </c>
      <c r="IY1" s="2">
        <f>IF(ISNUMBER(B$8),"CL"&amp;MID("FGHJKMNQUVXZ",B$1,1)&amp;B$4&amp;"P "&amp;IF(Settings!$F$14=2,TEXT((B$8-1),"0.00"),(B$8-1))&amp;" Comdty","")</f>
        <v/>
      </c>
      <c r="JP1" s="2">
        <f>IF(ISNUMBER(B$8),"CL"&amp;MID("FGHJKMNQUVXZ",B$1,1)&amp;B$4&amp;"C "&amp;IF(Settings!$F$14=2,TEXT(B$8,"0.00"),B$8)&amp;" Comdty","")</f>
        <v/>
      </c>
      <c r="KG1" s="2">
        <f>IF(ISNUMBER(B$8),"CL"&amp;MID("FGHJKMNQUVXZ",B$1,1)&amp;B$4&amp;"P "&amp;IF(Settings!$F$14=2,TEXT(B$8,"0.00"),B$8)&amp;" Comdty","")</f>
        <v/>
      </c>
      <c r="KX1" s="2">
        <f>IF(ISNUMBER(B$8),"CL"&amp;MID("FGHJKMNQUVXZ",B$1,1)&amp;B$4&amp;"C "&amp;IF(Settings!$F$14=2,TEXT((B$8+1),"0.00"),(B$8+1))&amp;" Comdty","")</f>
        <v/>
      </c>
      <c r="LO1" s="2">
        <f>IF(ISNUMBER(B$8),"CL"&amp;MID("FGHJKMNQUVXZ",B$1,1)&amp;B$4&amp;"P "&amp;IF(Settings!$F$14=2,TEXT((B$8+1),"0.00"),(B$8+1))&amp;" Comdty","")</f>
        <v/>
      </c>
      <c r="MF1" s="2">
        <f>IF(ISNUMBER(B$8),"CL"&amp;MID("FGHJKMNQUVXZ",B$1,1)&amp;B$4&amp;"C "&amp;IF(Settings!$F$14=2,TEXT((B$8+2),"0.00"),(B$8+2))&amp;" Comdty","")</f>
        <v/>
      </c>
      <c r="MW1" s="2">
        <f>IF(ISNUMBER(B$8),"CL"&amp;MID("FGHJKMNQUVXZ",B$1,1)&amp;B$4&amp;"P "&amp;IF(Settings!$F$14=2,TEXT((B$8+2),"0.00"),(B$8+2))&amp;" Comdty","")</f>
        <v/>
      </c>
      <c r="NN1" s="2">
        <f>IF(ISNUMBER(B$8),"CL"&amp;MID("FGHJKMNQUVXZ",B$1,1)&amp;B$4&amp;"C "&amp;IF(Settings!$F$14=2,TEXT((B$8+3),"0.00"),(B$8+3))&amp;" Comdty","")</f>
        <v/>
      </c>
      <c r="OE1" s="2">
        <f>IF(ISNUMBER(B$8),"CL"&amp;MID("FGHJKMNQUVXZ",B$1,1)&amp;B$4&amp;"P "&amp;IF(Settings!$F$14=2,TEXT((B$8+3),"0.00"),(B$8+3))&amp;" Comdty","")</f>
        <v/>
      </c>
      <c r="OV1" s="2">
        <f>IF(ISNUMBER(B$8),"CL"&amp;MID("FGHJKMNQUVXZ",B$1,1)&amp;B$4&amp;"C "&amp;IF(Settings!$F$14=2,TEXT((B$8+4),"0.00"),(B$8+4))&amp;" Comdty","")</f>
        <v/>
      </c>
      <c r="PM1" s="2">
        <f>IF(ISNUMBER(B$8),"CL"&amp;MID("FGHJKMNQUVXZ",B$1,1)&amp;B$4&amp;"P "&amp;IF(Settings!$F$14=2,TEXT((B$8+4),"0.00"),(B$8+4))&amp;" Comdty","")</f>
        <v/>
      </c>
      <c r="QD1" s="2">
        <f>IF(ISNUMBER(B$8),"CL"&amp;MID("FGHJKMNQUVXZ",B$1,1)&amp;B$4&amp;"C "&amp;IF(Settings!$F$14=2,TEXT((B$8+5),"0.00"),(B$8+5))&amp;" Comdty","")</f>
        <v/>
      </c>
      <c r="QU1" s="2">
        <f>IF(ISNUMBER(B$8),"CL"&amp;MID("FGHJKMNQUVXZ",B$1,1)&amp;B$4&amp;"P "&amp;IF(Settings!$F$14=2,TEXT((B$8+5),"0.00"),(B$8+5))&amp;" Comdty","")</f>
        <v/>
      </c>
      <c r="RL1" s="2">
        <f>IF(ISNUMBER(B$8),"CL"&amp;MID("FGHJKMNQUVXZ",B$1,1)&amp;B$4&amp;"C "&amp;IF(Settings!$F$14=2,TEXT((B$8+6),"0.00"),(B$8+6))&amp;" Comdty","")</f>
        <v/>
      </c>
      <c r="SC1" s="2">
        <f>IF(ISNUMBER(B$8),"CL"&amp;MID("FGHJKMNQUVXZ",B$1,1)&amp;B$4&amp;"P "&amp;IF(Settings!$F$14=2,TEXT((B$8+6),"0.00"),(B$8+6))&amp;" Comdty","")</f>
        <v/>
      </c>
      <c r="ST1" s="2">
        <f>IF(ISNUMBER(B$8),"CL"&amp;MID("FGHJKMNQUVXZ",B$1,1)&amp;B$4&amp;"C "&amp;IF(Settings!$F$14=2,TEXT((B$8+7),"0.00"),(B$8+7))&amp;" Comdty","")</f>
        <v/>
      </c>
      <c r="TK1" s="2">
        <f>IF(ISNUMBER(B$8),"CL"&amp;MID("FGHJKMNQUVXZ",B$1,1)&amp;B$4&amp;"P "&amp;IF(Settings!$F$14=2,TEXT((B$8+7),"0.00"),(B$8+7))&amp;" Comdty","")</f>
        <v/>
      </c>
      <c r="UB1" s="2">
        <f>IF(ISNUMBER(B$8),"CL"&amp;MID("FGHJKMNQUVXZ",B$1,1)&amp;B$4&amp;"C "&amp;IF(Settings!$F$14=2,TEXT((B$8+8),"0.00"),(B$8+8))&amp;" Comdty","")</f>
        <v/>
      </c>
      <c r="US1" s="2">
        <f>IF(ISNUMBER(B$8),"CL"&amp;MID("FGHJKMNQUVXZ",B$1,1)&amp;B$4&amp;"P "&amp;IF(Settings!$F$14=2,TEXT((B$8+8),"0.00"),(B$8+8))&amp;" Comdty","")</f>
        <v/>
      </c>
    </row>
    <row r="2">
      <c r="A2" s="2" t="inlineStr">
        <is>
          <t>Futures last trade</t>
        </is>
      </c>
      <c r="B2" s="8">
        <f>WORKDAY(DATE(Settings!$E$14,B1-1,25),-3)</f>
        <v/>
      </c>
      <c r="D2" s="4" t="inlineStr">
        <is>
          <t>call -8 from ATM</t>
        </is>
      </c>
      <c r="U2" s="4" t="inlineStr">
        <is>
          <t>put -8 from ATM</t>
        </is>
      </c>
      <c r="AL2" s="4" t="inlineStr">
        <is>
          <t>call -7 from ATM</t>
        </is>
      </c>
      <c r="BC2" s="4" t="inlineStr">
        <is>
          <t>put -7 from ATM</t>
        </is>
      </c>
      <c r="BT2" s="4" t="inlineStr">
        <is>
          <t>call -6 from ATM</t>
        </is>
      </c>
      <c r="CK2" s="4" t="inlineStr">
        <is>
          <t>put -6 from ATM</t>
        </is>
      </c>
      <c r="DB2" s="4" t="inlineStr">
        <is>
          <t>call -5 from ATM</t>
        </is>
      </c>
      <c r="DS2" s="4" t="inlineStr">
        <is>
          <t>put -5 from ATM</t>
        </is>
      </c>
      <c r="EJ2" s="4" t="inlineStr">
        <is>
          <t>call -4 from ATM</t>
        </is>
      </c>
      <c r="FA2" s="4" t="inlineStr">
        <is>
          <t>put -4 from ATM</t>
        </is>
      </c>
      <c r="FR2" s="4" t="inlineStr">
        <is>
          <t>call -3 from ATM</t>
        </is>
      </c>
      <c r="GI2" s="4" t="inlineStr">
        <is>
          <t>put -3 from ATM</t>
        </is>
      </c>
      <c r="GZ2" s="4" t="inlineStr">
        <is>
          <t>call -2 from ATM</t>
        </is>
      </c>
      <c r="HQ2" s="4" t="inlineStr">
        <is>
          <t>put -2 from ATM</t>
        </is>
      </c>
      <c r="IH2" s="4" t="inlineStr">
        <is>
          <t>call -1 from ATM</t>
        </is>
      </c>
      <c r="IY2" s="4" t="inlineStr">
        <is>
          <t>put -1 from ATM</t>
        </is>
      </c>
      <c r="JP2" s="4" t="inlineStr">
        <is>
          <t>call +0 from ATM</t>
        </is>
      </c>
      <c r="KG2" s="4" t="inlineStr">
        <is>
          <t>put +0 from ATM</t>
        </is>
      </c>
      <c r="KX2" s="4" t="inlineStr">
        <is>
          <t>call +1 from ATM</t>
        </is>
      </c>
      <c r="LO2" s="4" t="inlineStr">
        <is>
          <t>put +1 from ATM</t>
        </is>
      </c>
      <c r="MF2" s="4" t="inlineStr">
        <is>
          <t>call +2 from ATM</t>
        </is>
      </c>
      <c r="MW2" s="4" t="inlineStr">
        <is>
          <t>put +2 from ATM</t>
        </is>
      </c>
      <c r="NN2" s="4" t="inlineStr">
        <is>
          <t>call +3 from ATM</t>
        </is>
      </c>
      <c r="OE2" s="4" t="inlineStr">
        <is>
          <t>put +3 from ATM</t>
        </is>
      </c>
      <c r="OV2" s="4" t="inlineStr">
        <is>
          <t>call +4 from ATM</t>
        </is>
      </c>
      <c r="PM2" s="4" t="inlineStr">
        <is>
          <t>put +4 from ATM</t>
        </is>
      </c>
      <c r="QD2" s="4" t="inlineStr">
        <is>
          <t>call +5 from ATM</t>
        </is>
      </c>
      <c r="QU2" s="4" t="inlineStr">
        <is>
          <t>put +5 from ATM</t>
        </is>
      </c>
      <c r="RL2" s="4" t="inlineStr">
        <is>
          <t>call +6 from ATM</t>
        </is>
      </c>
      <c r="SC2" s="4" t="inlineStr">
        <is>
          <t>put +6 from ATM</t>
        </is>
      </c>
      <c r="ST2" s="4" t="inlineStr">
        <is>
          <t>call +7 from ATM</t>
        </is>
      </c>
      <c r="TK2" s="4" t="inlineStr">
        <is>
          <t>put +7 from ATM</t>
        </is>
      </c>
      <c r="UB2" s="4" t="inlineStr">
        <is>
          <t>call +8 from ATM</t>
        </is>
      </c>
      <c r="US2" s="4" t="inlineStr">
        <is>
          <t>put +8 from ATM</t>
        </is>
      </c>
    </row>
    <row r="3">
      <c r="A3" s="2" t="inlineStr">
        <is>
          <t>Option expiry (approx)</t>
        </is>
      </c>
      <c r="B3" s="8">
        <f>WORKDAY(B2,-1)</f>
        <v/>
      </c>
      <c r="D3" s="5" t="inlineStr">
        <is>
          <t>Date</t>
        </is>
      </c>
      <c r="E3" s="5" t="inlineStr">
        <is>
          <t>PX_BID</t>
        </is>
      </c>
      <c r="F3" s="5" t="inlineStr">
        <is>
          <t>PX_ASK</t>
        </is>
      </c>
      <c r="G3" s="5" t="inlineStr">
        <is>
          <t>PX_MID</t>
        </is>
      </c>
      <c r="H3" s="5" t="inlineStr">
        <is>
          <t>PX_LAST</t>
        </is>
      </c>
      <c r="I3" s="5" t="inlineStr">
        <is>
          <t>PX_SETTLE</t>
        </is>
      </c>
      <c r="J3" s="5" t="inlineStr">
        <is>
          <t>PX_VOLUME</t>
        </is>
      </c>
      <c r="K3" s="5" t="inlineStr">
        <is>
          <t>OPEN_INT</t>
        </is>
      </c>
      <c r="L3" s="5" t="inlineStr">
        <is>
          <t>IVOL_MID</t>
        </is>
      </c>
      <c r="M3" s="5" t="inlineStr">
        <is>
          <t>IVOL_BID</t>
        </is>
      </c>
      <c r="N3" s="5" t="inlineStr">
        <is>
          <t>IVOL_ASK</t>
        </is>
      </c>
      <c r="O3" s="5" t="inlineStr">
        <is>
          <t>DELTA_MID</t>
        </is>
      </c>
      <c r="P3" s="5" t="inlineStr">
        <is>
          <t>GAMMA_MID</t>
        </is>
      </c>
      <c r="Q3" s="5" t="inlineStr">
        <is>
          <t>VEGA_MID</t>
        </is>
      </c>
      <c r="R3" s="5" t="inlineStr">
        <is>
          <t>THETA_MID</t>
        </is>
      </c>
      <c r="S3" s="5" t="inlineStr">
        <is>
          <t>OPT_UNDL_PX</t>
        </is>
      </c>
      <c r="U3" s="5" t="inlineStr">
        <is>
          <t>Date</t>
        </is>
      </c>
      <c r="V3" s="5" t="inlineStr">
        <is>
          <t>PX_BID</t>
        </is>
      </c>
      <c r="W3" s="5" t="inlineStr">
        <is>
          <t>PX_ASK</t>
        </is>
      </c>
      <c r="X3" s="5" t="inlineStr">
        <is>
          <t>PX_MID</t>
        </is>
      </c>
      <c r="Y3" s="5" t="inlineStr">
        <is>
          <t>PX_LAST</t>
        </is>
      </c>
      <c r="Z3" s="5" t="inlineStr">
        <is>
          <t>PX_SETTLE</t>
        </is>
      </c>
      <c r="AA3" s="5" t="inlineStr">
        <is>
          <t>PX_VOLUME</t>
        </is>
      </c>
      <c r="AB3" s="5" t="inlineStr">
        <is>
          <t>OPEN_INT</t>
        </is>
      </c>
      <c r="AC3" s="5" t="inlineStr">
        <is>
          <t>IVOL_MID</t>
        </is>
      </c>
      <c r="AD3" s="5" t="inlineStr">
        <is>
          <t>IVOL_BID</t>
        </is>
      </c>
      <c r="AE3" s="5" t="inlineStr">
        <is>
          <t>IVOL_ASK</t>
        </is>
      </c>
      <c r="AF3" s="5" t="inlineStr">
        <is>
          <t>DELTA_MID</t>
        </is>
      </c>
      <c r="AG3" s="5" t="inlineStr">
        <is>
          <t>GAMMA_MID</t>
        </is>
      </c>
      <c r="AH3" s="5" t="inlineStr">
        <is>
          <t>VEGA_MID</t>
        </is>
      </c>
      <c r="AI3" s="5" t="inlineStr">
        <is>
          <t>THETA_MID</t>
        </is>
      </c>
      <c r="AJ3" s="5" t="inlineStr">
        <is>
          <t>OPT_UNDL_PX</t>
        </is>
      </c>
      <c r="AL3" s="5" t="inlineStr">
        <is>
          <t>Date</t>
        </is>
      </c>
      <c r="AM3" s="5" t="inlineStr">
        <is>
          <t>PX_BID</t>
        </is>
      </c>
      <c r="AN3" s="5" t="inlineStr">
        <is>
          <t>PX_ASK</t>
        </is>
      </c>
      <c r="AO3" s="5" t="inlineStr">
        <is>
          <t>PX_MID</t>
        </is>
      </c>
      <c r="AP3" s="5" t="inlineStr">
        <is>
          <t>PX_LAST</t>
        </is>
      </c>
      <c r="AQ3" s="5" t="inlineStr">
        <is>
          <t>PX_SETTLE</t>
        </is>
      </c>
      <c r="AR3" s="5" t="inlineStr">
        <is>
          <t>PX_VOLUME</t>
        </is>
      </c>
      <c r="AS3" s="5" t="inlineStr">
        <is>
          <t>OPEN_INT</t>
        </is>
      </c>
      <c r="AT3" s="5" t="inlineStr">
        <is>
          <t>IVOL_MID</t>
        </is>
      </c>
      <c r="AU3" s="5" t="inlineStr">
        <is>
          <t>IVOL_BID</t>
        </is>
      </c>
      <c r="AV3" s="5" t="inlineStr">
        <is>
          <t>IVOL_ASK</t>
        </is>
      </c>
      <c r="AW3" s="5" t="inlineStr">
        <is>
          <t>DELTA_MID</t>
        </is>
      </c>
      <c r="AX3" s="5" t="inlineStr">
        <is>
          <t>GAMMA_MID</t>
        </is>
      </c>
      <c r="AY3" s="5" t="inlineStr">
        <is>
          <t>VEGA_MID</t>
        </is>
      </c>
      <c r="AZ3" s="5" t="inlineStr">
        <is>
          <t>THETA_MID</t>
        </is>
      </c>
      <c r="BA3" s="5" t="inlineStr">
        <is>
          <t>OPT_UNDL_PX</t>
        </is>
      </c>
      <c r="BC3" s="5" t="inlineStr">
        <is>
          <t>Date</t>
        </is>
      </c>
      <c r="BD3" s="5" t="inlineStr">
        <is>
          <t>PX_BID</t>
        </is>
      </c>
      <c r="BE3" s="5" t="inlineStr">
        <is>
          <t>PX_ASK</t>
        </is>
      </c>
      <c r="BF3" s="5" t="inlineStr">
        <is>
          <t>PX_MID</t>
        </is>
      </c>
      <c r="BG3" s="5" t="inlineStr">
        <is>
          <t>PX_LAST</t>
        </is>
      </c>
      <c r="BH3" s="5" t="inlineStr">
        <is>
          <t>PX_SETTLE</t>
        </is>
      </c>
      <c r="BI3" s="5" t="inlineStr">
        <is>
          <t>PX_VOLUME</t>
        </is>
      </c>
      <c r="BJ3" s="5" t="inlineStr">
        <is>
          <t>OPEN_INT</t>
        </is>
      </c>
      <c r="BK3" s="5" t="inlineStr">
        <is>
          <t>IVOL_MID</t>
        </is>
      </c>
      <c r="BL3" s="5" t="inlineStr">
        <is>
          <t>IVOL_BID</t>
        </is>
      </c>
      <c r="BM3" s="5" t="inlineStr">
        <is>
          <t>IVOL_ASK</t>
        </is>
      </c>
      <c r="BN3" s="5" t="inlineStr">
        <is>
          <t>DELTA_MID</t>
        </is>
      </c>
      <c r="BO3" s="5" t="inlineStr">
        <is>
          <t>GAMMA_MID</t>
        </is>
      </c>
      <c r="BP3" s="5" t="inlineStr">
        <is>
          <t>VEGA_MID</t>
        </is>
      </c>
      <c r="BQ3" s="5" t="inlineStr">
        <is>
          <t>THETA_MID</t>
        </is>
      </c>
      <c r="BR3" s="5" t="inlineStr">
        <is>
          <t>OPT_UNDL_PX</t>
        </is>
      </c>
      <c r="BT3" s="5" t="inlineStr">
        <is>
          <t>Date</t>
        </is>
      </c>
      <c r="BU3" s="5" t="inlineStr">
        <is>
          <t>PX_BID</t>
        </is>
      </c>
      <c r="BV3" s="5" t="inlineStr">
        <is>
          <t>PX_ASK</t>
        </is>
      </c>
      <c r="BW3" s="5" t="inlineStr">
        <is>
          <t>PX_MID</t>
        </is>
      </c>
      <c r="BX3" s="5" t="inlineStr">
        <is>
          <t>PX_LAST</t>
        </is>
      </c>
      <c r="BY3" s="5" t="inlineStr">
        <is>
          <t>PX_SETTLE</t>
        </is>
      </c>
      <c r="BZ3" s="5" t="inlineStr">
        <is>
          <t>PX_VOLUME</t>
        </is>
      </c>
      <c r="CA3" s="5" t="inlineStr">
        <is>
          <t>OPEN_INT</t>
        </is>
      </c>
      <c r="CB3" s="5" t="inlineStr">
        <is>
          <t>IVOL_MID</t>
        </is>
      </c>
      <c r="CC3" s="5" t="inlineStr">
        <is>
          <t>IVOL_BID</t>
        </is>
      </c>
      <c r="CD3" s="5" t="inlineStr">
        <is>
          <t>IVOL_ASK</t>
        </is>
      </c>
      <c r="CE3" s="5" t="inlineStr">
        <is>
          <t>DELTA_MID</t>
        </is>
      </c>
      <c r="CF3" s="5" t="inlineStr">
        <is>
          <t>GAMMA_MID</t>
        </is>
      </c>
      <c r="CG3" s="5" t="inlineStr">
        <is>
          <t>VEGA_MID</t>
        </is>
      </c>
      <c r="CH3" s="5" t="inlineStr">
        <is>
          <t>THETA_MID</t>
        </is>
      </c>
      <c r="CI3" s="5" t="inlineStr">
        <is>
          <t>OPT_UNDL_PX</t>
        </is>
      </c>
      <c r="CK3" s="5" t="inlineStr">
        <is>
          <t>Date</t>
        </is>
      </c>
      <c r="CL3" s="5" t="inlineStr">
        <is>
          <t>PX_BID</t>
        </is>
      </c>
      <c r="CM3" s="5" t="inlineStr">
        <is>
          <t>PX_ASK</t>
        </is>
      </c>
      <c r="CN3" s="5" t="inlineStr">
        <is>
          <t>PX_MID</t>
        </is>
      </c>
      <c r="CO3" s="5" t="inlineStr">
        <is>
          <t>PX_LAST</t>
        </is>
      </c>
      <c r="CP3" s="5" t="inlineStr">
        <is>
          <t>PX_SETTLE</t>
        </is>
      </c>
      <c r="CQ3" s="5" t="inlineStr">
        <is>
          <t>PX_VOLUME</t>
        </is>
      </c>
      <c r="CR3" s="5" t="inlineStr">
        <is>
          <t>OPEN_INT</t>
        </is>
      </c>
      <c r="CS3" s="5" t="inlineStr">
        <is>
          <t>IVOL_MID</t>
        </is>
      </c>
      <c r="CT3" s="5" t="inlineStr">
        <is>
          <t>IVOL_BID</t>
        </is>
      </c>
      <c r="CU3" s="5" t="inlineStr">
        <is>
          <t>IVOL_ASK</t>
        </is>
      </c>
      <c r="CV3" s="5" t="inlineStr">
        <is>
          <t>DELTA_MID</t>
        </is>
      </c>
      <c r="CW3" s="5" t="inlineStr">
        <is>
          <t>GAMMA_MID</t>
        </is>
      </c>
      <c r="CX3" s="5" t="inlineStr">
        <is>
          <t>VEGA_MID</t>
        </is>
      </c>
      <c r="CY3" s="5" t="inlineStr">
        <is>
          <t>THETA_MID</t>
        </is>
      </c>
      <c r="CZ3" s="5" t="inlineStr">
        <is>
          <t>OPT_UNDL_PX</t>
        </is>
      </c>
      <c r="DB3" s="5" t="inlineStr">
        <is>
          <t>Date</t>
        </is>
      </c>
      <c r="DC3" s="5" t="inlineStr">
        <is>
          <t>PX_BID</t>
        </is>
      </c>
      <c r="DD3" s="5" t="inlineStr">
        <is>
          <t>PX_ASK</t>
        </is>
      </c>
      <c r="DE3" s="5" t="inlineStr">
        <is>
          <t>PX_MID</t>
        </is>
      </c>
      <c r="DF3" s="5" t="inlineStr">
        <is>
          <t>PX_LAST</t>
        </is>
      </c>
      <c r="DG3" s="5" t="inlineStr">
        <is>
          <t>PX_SETTLE</t>
        </is>
      </c>
      <c r="DH3" s="5" t="inlineStr">
        <is>
          <t>PX_VOLUME</t>
        </is>
      </c>
      <c r="DI3" s="5" t="inlineStr">
        <is>
          <t>OPEN_INT</t>
        </is>
      </c>
      <c r="DJ3" s="5" t="inlineStr">
        <is>
          <t>IVOL_MID</t>
        </is>
      </c>
      <c r="DK3" s="5" t="inlineStr">
        <is>
          <t>IVOL_BID</t>
        </is>
      </c>
      <c r="DL3" s="5" t="inlineStr">
        <is>
          <t>IVOL_ASK</t>
        </is>
      </c>
      <c r="DM3" s="5" t="inlineStr">
        <is>
          <t>DELTA_MID</t>
        </is>
      </c>
      <c r="DN3" s="5" t="inlineStr">
        <is>
          <t>GAMMA_MID</t>
        </is>
      </c>
      <c r="DO3" s="5" t="inlineStr">
        <is>
          <t>VEGA_MID</t>
        </is>
      </c>
      <c r="DP3" s="5" t="inlineStr">
        <is>
          <t>THETA_MID</t>
        </is>
      </c>
      <c r="DQ3" s="5" t="inlineStr">
        <is>
          <t>OPT_UNDL_PX</t>
        </is>
      </c>
      <c r="DS3" s="5" t="inlineStr">
        <is>
          <t>Date</t>
        </is>
      </c>
      <c r="DT3" s="5" t="inlineStr">
        <is>
          <t>PX_BID</t>
        </is>
      </c>
      <c r="DU3" s="5" t="inlineStr">
        <is>
          <t>PX_ASK</t>
        </is>
      </c>
      <c r="DV3" s="5" t="inlineStr">
        <is>
          <t>PX_MID</t>
        </is>
      </c>
      <c r="DW3" s="5" t="inlineStr">
        <is>
          <t>PX_LAST</t>
        </is>
      </c>
      <c r="DX3" s="5" t="inlineStr">
        <is>
          <t>PX_SETTLE</t>
        </is>
      </c>
      <c r="DY3" s="5" t="inlineStr">
        <is>
          <t>PX_VOLUME</t>
        </is>
      </c>
      <c r="DZ3" s="5" t="inlineStr">
        <is>
          <t>OPEN_INT</t>
        </is>
      </c>
      <c r="EA3" s="5" t="inlineStr">
        <is>
          <t>IVOL_MID</t>
        </is>
      </c>
      <c r="EB3" s="5" t="inlineStr">
        <is>
          <t>IVOL_BID</t>
        </is>
      </c>
      <c r="EC3" s="5" t="inlineStr">
        <is>
          <t>IVOL_ASK</t>
        </is>
      </c>
      <c r="ED3" s="5" t="inlineStr">
        <is>
          <t>DELTA_MID</t>
        </is>
      </c>
      <c r="EE3" s="5" t="inlineStr">
        <is>
          <t>GAMMA_MID</t>
        </is>
      </c>
      <c r="EF3" s="5" t="inlineStr">
        <is>
          <t>VEGA_MID</t>
        </is>
      </c>
      <c r="EG3" s="5" t="inlineStr">
        <is>
          <t>THETA_MID</t>
        </is>
      </c>
      <c r="EH3" s="5" t="inlineStr">
        <is>
          <t>OPT_UNDL_PX</t>
        </is>
      </c>
      <c r="EJ3" s="5" t="inlineStr">
        <is>
          <t>Date</t>
        </is>
      </c>
      <c r="EK3" s="5" t="inlineStr">
        <is>
          <t>PX_BID</t>
        </is>
      </c>
      <c r="EL3" s="5" t="inlineStr">
        <is>
          <t>PX_ASK</t>
        </is>
      </c>
      <c r="EM3" s="5" t="inlineStr">
        <is>
          <t>PX_MID</t>
        </is>
      </c>
      <c r="EN3" s="5" t="inlineStr">
        <is>
          <t>PX_LAST</t>
        </is>
      </c>
      <c r="EO3" s="5" t="inlineStr">
        <is>
          <t>PX_SETTLE</t>
        </is>
      </c>
      <c r="EP3" s="5" t="inlineStr">
        <is>
          <t>PX_VOLUME</t>
        </is>
      </c>
      <c r="EQ3" s="5" t="inlineStr">
        <is>
          <t>OPEN_INT</t>
        </is>
      </c>
      <c r="ER3" s="5" t="inlineStr">
        <is>
          <t>IVOL_MID</t>
        </is>
      </c>
      <c r="ES3" s="5" t="inlineStr">
        <is>
          <t>IVOL_BID</t>
        </is>
      </c>
      <c r="ET3" s="5" t="inlineStr">
        <is>
          <t>IVOL_ASK</t>
        </is>
      </c>
      <c r="EU3" s="5" t="inlineStr">
        <is>
          <t>DELTA_MID</t>
        </is>
      </c>
      <c r="EV3" s="5" t="inlineStr">
        <is>
          <t>GAMMA_MID</t>
        </is>
      </c>
      <c r="EW3" s="5" t="inlineStr">
        <is>
          <t>VEGA_MID</t>
        </is>
      </c>
      <c r="EX3" s="5" t="inlineStr">
        <is>
          <t>THETA_MID</t>
        </is>
      </c>
      <c r="EY3" s="5" t="inlineStr">
        <is>
          <t>OPT_UNDL_PX</t>
        </is>
      </c>
      <c r="FA3" s="5" t="inlineStr">
        <is>
          <t>Date</t>
        </is>
      </c>
      <c r="FB3" s="5" t="inlineStr">
        <is>
          <t>PX_BID</t>
        </is>
      </c>
      <c r="FC3" s="5" t="inlineStr">
        <is>
          <t>PX_ASK</t>
        </is>
      </c>
      <c r="FD3" s="5" t="inlineStr">
        <is>
          <t>PX_MID</t>
        </is>
      </c>
      <c r="FE3" s="5" t="inlineStr">
        <is>
          <t>PX_LAST</t>
        </is>
      </c>
      <c r="FF3" s="5" t="inlineStr">
        <is>
          <t>PX_SETTLE</t>
        </is>
      </c>
      <c r="FG3" s="5" t="inlineStr">
        <is>
          <t>PX_VOLUME</t>
        </is>
      </c>
      <c r="FH3" s="5" t="inlineStr">
        <is>
          <t>OPEN_INT</t>
        </is>
      </c>
      <c r="FI3" s="5" t="inlineStr">
        <is>
          <t>IVOL_MID</t>
        </is>
      </c>
      <c r="FJ3" s="5" t="inlineStr">
        <is>
          <t>IVOL_BID</t>
        </is>
      </c>
      <c r="FK3" s="5" t="inlineStr">
        <is>
          <t>IVOL_ASK</t>
        </is>
      </c>
      <c r="FL3" s="5" t="inlineStr">
        <is>
          <t>DELTA_MID</t>
        </is>
      </c>
      <c r="FM3" s="5" t="inlineStr">
        <is>
          <t>GAMMA_MID</t>
        </is>
      </c>
      <c r="FN3" s="5" t="inlineStr">
        <is>
          <t>VEGA_MID</t>
        </is>
      </c>
      <c r="FO3" s="5" t="inlineStr">
        <is>
          <t>THETA_MID</t>
        </is>
      </c>
      <c r="FP3" s="5" t="inlineStr">
        <is>
          <t>OPT_UNDL_PX</t>
        </is>
      </c>
      <c r="FR3" s="5" t="inlineStr">
        <is>
          <t>Date</t>
        </is>
      </c>
      <c r="FS3" s="5" t="inlineStr">
        <is>
          <t>PX_BID</t>
        </is>
      </c>
      <c r="FT3" s="5" t="inlineStr">
        <is>
          <t>PX_ASK</t>
        </is>
      </c>
      <c r="FU3" s="5" t="inlineStr">
        <is>
          <t>PX_MID</t>
        </is>
      </c>
      <c r="FV3" s="5" t="inlineStr">
        <is>
          <t>PX_LAST</t>
        </is>
      </c>
      <c r="FW3" s="5" t="inlineStr">
        <is>
          <t>PX_SETTLE</t>
        </is>
      </c>
      <c r="FX3" s="5" t="inlineStr">
        <is>
          <t>PX_VOLUME</t>
        </is>
      </c>
      <c r="FY3" s="5" t="inlineStr">
        <is>
          <t>OPEN_INT</t>
        </is>
      </c>
      <c r="FZ3" s="5" t="inlineStr">
        <is>
          <t>IVOL_MID</t>
        </is>
      </c>
      <c r="GA3" s="5" t="inlineStr">
        <is>
          <t>IVOL_BID</t>
        </is>
      </c>
      <c r="GB3" s="5" t="inlineStr">
        <is>
          <t>IVOL_ASK</t>
        </is>
      </c>
      <c r="GC3" s="5" t="inlineStr">
        <is>
          <t>DELTA_MID</t>
        </is>
      </c>
      <c r="GD3" s="5" t="inlineStr">
        <is>
          <t>GAMMA_MID</t>
        </is>
      </c>
      <c r="GE3" s="5" t="inlineStr">
        <is>
          <t>VEGA_MID</t>
        </is>
      </c>
      <c r="GF3" s="5" t="inlineStr">
        <is>
          <t>THETA_MID</t>
        </is>
      </c>
      <c r="GG3" s="5" t="inlineStr">
        <is>
          <t>OPT_UNDL_PX</t>
        </is>
      </c>
      <c r="GI3" s="5" t="inlineStr">
        <is>
          <t>Date</t>
        </is>
      </c>
      <c r="GJ3" s="5" t="inlineStr">
        <is>
          <t>PX_BID</t>
        </is>
      </c>
      <c r="GK3" s="5" t="inlineStr">
        <is>
          <t>PX_ASK</t>
        </is>
      </c>
      <c r="GL3" s="5" t="inlineStr">
        <is>
          <t>PX_MID</t>
        </is>
      </c>
      <c r="GM3" s="5" t="inlineStr">
        <is>
          <t>PX_LAST</t>
        </is>
      </c>
      <c r="GN3" s="5" t="inlineStr">
        <is>
          <t>PX_SETTLE</t>
        </is>
      </c>
      <c r="GO3" s="5" t="inlineStr">
        <is>
          <t>PX_VOLUME</t>
        </is>
      </c>
      <c r="GP3" s="5" t="inlineStr">
        <is>
          <t>OPEN_INT</t>
        </is>
      </c>
      <c r="GQ3" s="5" t="inlineStr">
        <is>
          <t>IVOL_MID</t>
        </is>
      </c>
      <c r="GR3" s="5" t="inlineStr">
        <is>
          <t>IVOL_BID</t>
        </is>
      </c>
      <c r="GS3" s="5" t="inlineStr">
        <is>
          <t>IVOL_ASK</t>
        </is>
      </c>
      <c r="GT3" s="5" t="inlineStr">
        <is>
          <t>DELTA_MID</t>
        </is>
      </c>
      <c r="GU3" s="5" t="inlineStr">
        <is>
          <t>GAMMA_MID</t>
        </is>
      </c>
      <c r="GV3" s="5" t="inlineStr">
        <is>
          <t>VEGA_MID</t>
        </is>
      </c>
      <c r="GW3" s="5" t="inlineStr">
        <is>
          <t>THETA_MID</t>
        </is>
      </c>
      <c r="GX3" s="5" t="inlineStr">
        <is>
          <t>OPT_UNDL_PX</t>
        </is>
      </c>
      <c r="GZ3" s="5" t="inlineStr">
        <is>
          <t>Date</t>
        </is>
      </c>
      <c r="HA3" s="5" t="inlineStr">
        <is>
          <t>PX_BID</t>
        </is>
      </c>
      <c r="HB3" s="5" t="inlineStr">
        <is>
          <t>PX_ASK</t>
        </is>
      </c>
      <c r="HC3" s="5" t="inlineStr">
        <is>
          <t>PX_MID</t>
        </is>
      </c>
      <c r="HD3" s="5" t="inlineStr">
        <is>
          <t>PX_LAST</t>
        </is>
      </c>
      <c r="HE3" s="5" t="inlineStr">
        <is>
          <t>PX_SETTLE</t>
        </is>
      </c>
      <c r="HF3" s="5" t="inlineStr">
        <is>
          <t>PX_VOLUME</t>
        </is>
      </c>
      <c r="HG3" s="5" t="inlineStr">
        <is>
          <t>OPEN_INT</t>
        </is>
      </c>
      <c r="HH3" s="5" t="inlineStr">
        <is>
          <t>IVOL_MID</t>
        </is>
      </c>
      <c r="HI3" s="5" t="inlineStr">
        <is>
          <t>IVOL_BID</t>
        </is>
      </c>
      <c r="HJ3" s="5" t="inlineStr">
        <is>
          <t>IVOL_ASK</t>
        </is>
      </c>
      <c r="HK3" s="5" t="inlineStr">
        <is>
          <t>DELTA_MID</t>
        </is>
      </c>
      <c r="HL3" s="5" t="inlineStr">
        <is>
          <t>GAMMA_MID</t>
        </is>
      </c>
      <c r="HM3" s="5" t="inlineStr">
        <is>
          <t>VEGA_MID</t>
        </is>
      </c>
      <c r="HN3" s="5" t="inlineStr">
        <is>
          <t>THETA_MID</t>
        </is>
      </c>
      <c r="HO3" s="5" t="inlineStr">
        <is>
          <t>OPT_UNDL_PX</t>
        </is>
      </c>
      <c r="HQ3" s="5" t="inlineStr">
        <is>
          <t>Date</t>
        </is>
      </c>
      <c r="HR3" s="5" t="inlineStr">
        <is>
          <t>PX_BID</t>
        </is>
      </c>
      <c r="HS3" s="5" t="inlineStr">
        <is>
          <t>PX_ASK</t>
        </is>
      </c>
      <c r="HT3" s="5" t="inlineStr">
        <is>
          <t>PX_MID</t>
        </is>
      </c>
      <c r="HU3" s="5" t="inlineStr">
        <is>
          <t>PX_LAST</t>
        </is>
      </c>
      <c r="HV3" s="5" t="inlineStr">
        <is>
          <t>PX_SETTLE</t>
        </is>
      </c>
      <c r="HW3" s="5" t="inlineStr">
        <is>
          <t>PX_VOLUME</t>
        </is>
      </c>
      <c r="HX3" s="5" t="inlineStr">
        <is>
          <t>OPEN_INT</t>
        </is>
      </c>
      <c r="HY3" s="5" t="inlineStr">
        <is>
          <t>IVOL_MID</t>
        </is>
      </c>
      <c r="HZ3" s="5" t="inlineStr">
        <is>
          <t>IVOL_BID</t>
        </is>
      </c>
      <c r="IA3" s="5" t="inlineStr">
        <is>
          <t>IVOL_ASK</t>
        </is>
      </c>
      <c r="IB3" s="5" t="inlineStr">
        <is>
          <t>DELTA_MID</t>
        </is>
      </c>
      <c r="IC3" s="5" t="inlineStr">
        <is>
          <t>GAMMA_MID</t>
        </is>
      </c>
      <c r="ID3" s="5" t="inlineStr">
        <is>
          <t>VEGA_MID</t>
        </is>
      </c>
      <c r="IE3" s="5" t="inlineStr">
        <is>
          <t>THETA_MID</t>
        </is>
      </c>
      <c r="IF3" s="5" t="inlineStr">
        <is>
          <t>OPT_UNDL_PX</t>
        </is>
      </c>
      <c r="IH3" s="5" t="inlineStr">
        <is>
          <t>Date</t>
        </is>
      </c>
      <c r="II3" s="5" t="inlineStr">
        <is>
          <t>PX_BID</t>
        </is>
      </c>
      <c r="IJ3" s="5" t="inlineStr">
        <is>
          <t>PX_ASK</t>
        </is>
      </c>
      <c r="IK3" s="5" t="inlineStr">
        <is>
          <t>PX_MID</t>
        </is>
      </c>
      <c r="IL3" s="5" t="inlineStr">
        <is>
          <t>PX_LAST</t>
        </is>
      </c>
      <c r="IM3" s="5" t="inlineStr">
        <is>
          <t>PX_SETTLE</t>
        </is>
      </c>
      <c r="IN3" s="5" t="inlineStr">
        <is>
          <t>PX_VOLUME</t>
        </is>
      </c>
      <c r="IO3" s="5" t="inlineStr">
        <is>
          <t>OPEN_INT</t>
        </is>
      </c>
      <c r="IP3" s="5" t="inlineStr">
        <is>
          <t>IVOL_MID</t>
        </is>
      </c>
      <c r="IQ3" s="5" t="inlineStr">
        <is>
          <t>IVOL_BID</t>
        </is>
      </c>
      <c r="IR3" s="5" t="inlineStr">
        <is>
          <t>IVOL_ASK</t>
        </is>
      </c>
      <c r="IS3" s="5" t="inlineStr">
        <is>
          <t>DELTA_MID</t>
        </is>
      </c>
      <c r="IT3" s="5" t="inlineStr">
        <is>
          <t>GAMMA_MID</t>
        </is>
      </c>
      <c r="IU3" s="5" t="inlineStr">
        <is>
          <t>VEGA_MID</t>
        </is>
      </c>
      <c r="IV3" s="5" t="inlineStr">
        <is>
          <t>THETA_MID</t>
        </is>
      </c>
      <c r="IW3" s="5" t="inlineStr">
        <is>
          <t>OPT_UNDL_PX</t>
        </is>
      </c>
      <c r="IY3" s="5" t="inlineStr">
        <is>
          <t>Date</t>
        </is>
      </c>
      <c r="IZ3" s="5" t="inlineStr">
        <is>
          <t>PX_BID</t>
        </is>
      </c>
      <c r="JA3" s="5" t="inlineStr">
        <is>
          <t>PX_ASK</t>
        </is>
      </c>
      <c r="JB3" s="5" t="inlineStr">
        <is>
          <t>PX_MID</t>
        </is>
      </c>
      <c r="JC3" s="5" t="inlineStr">
        <is>
          <t>PX_LAST</t>
        </is>
      </c>
      <c r="JD3" s="5" t="inlineStr">
        <is>
          <t>PX_SETTLE</t>
        </is>
      </c>
      <c r="JE3" s="5" t="inlineStr">
        <is>
          <t>PX_VOLUME</t>
        </is>
      </c>
      <c r="JF3" s="5" t="inlineStr">
        <is>
          <t>OPEN_INT</t>
        </is>
      </c>
      <c r="JG3" s="5" t="inlineStr">
        <is>
          <t>IVOL_MID</t>
        </is>
      </c>
      <c r="JH3" s="5" t="inlineStr">
        <is>
          <t>IVOL_BID</t>
        </is>
      </c>
      <c r="JI3" s="5" t="inlineStr">
        <is>
          <t>IVOL_ASK</t>
        </is>
      </c>
      <c r="JJ3" s="5" t="inlineStr">
        <is>
          <t>DELTA_MID</t>
        </is>
      </c>
      <c r="JK3" s="5" t="inlineStr">
        <is>
          <t>GAMMA_MID</t>
        </is>
      </c>
      <c r="JL3" s="5" t="inlineStr">
        <is>
          <t>VEGA_MID</t>
        </is>
      </c>
      <c r="JM3" s="5" t="inlineStr">
        <is>
          <t>THETA_MID</t>
        </is>
      </c>
      <c r="JN3" s="5" t="inlineStr">
        <is>
          <t>OPT_UNDL_PX</t>
        </is>
      </c>
      <c r="JP3" s="5" t="inlineStr">
        <is>
          <t>Date</t>
        </is>
      </c>
      <c r="JQ3" s="5" t="inlineStr">
        <is>
          <t>PX_BID</t>
        </is>
      </c>
      <c r="JR3" s="5" t="inlineStr">
        <is>
          <t>PX_ASK</t>
        </is>
      </c>
      <c r="JS3" s="5" t="inlineStr">
        <is>
          <t>PX_MID</t>
        </is>
      </c>
      <c r="JT3" s="5" t="inlineStr">
        <is>
          <t>PX_LAST</t>
        </is>
      </c>
      <c r="JU3" s="5" t="inlineStr">
        <is>
          <t>PX_SETTLE</t>
        </is>
      </c>
      <c r="JV3" s="5" t="inlineStr">
        <is>
          <t>PX_VOLUME</t>
        </is>
      </c>
      <c r="JW3" s="5" t="inlineStr">
        <is>
          <t>OPEN_INT</t>
        </is>
      </c>
      <c r="JX3" s="5" t="inlineStr">
        <is>
          <t>IVOL_MID</t>
        </is>
      </c>
      <c r="JY3" s="5" t="inlineStr">
        <is>
          <t>IVOL_BID</t>
        </is>
      </c>
      <c r="JZ3" s="5" t="inlineStr">
        <is>
          <t>IVOL_ASK</t>
        </is>
      </c>
      <c r="KA3" s="5" t="inlineStr">
        <is>
          <t>DELTA_MID</t>
        </is>
      </c>
      <c r="KB3" s="5" t="inlineStr">
        <is>
          <t>GAMMA_MID</t>
        </is>
      </c>
      <c r="KC3" s="5" t="inlineStr">
        <is>
          <t>VEGA_MID</t>
        </is>
      </c>
      <c r="KD3" s="5" t="inlineStr">
        <is>
          <t>THETA_MID</t>
        </is>
      </c>
      <c r="KE3" s="5" t="inlineStr">
        <is>
          <t>OPT_UNDL_PX</t>
        </is>
      </c>
      <c r="KG3" s="5" t="inlineStr">
        <is>
          <t>Date</t>
        </is>
      </c>
      <c r="KH3" s="5" t="inlineStr">
        <is>
          <t>PX_BID</t>
        </is>
      </c>
      <c r="KI3" s="5" t="inlineStr">
        <is>
          <t>PX_ASK</t>
        </is>
      </c>
      <c r="KJ3" s="5" t="inlineStr">
        <is>
          <t>PX_MID</t>
        </is>
      </c>
      <c r="KK3" s="5" t="inlineStr">
        <is>
          <t>PX_LAST</t>
        </is>
      </c>
      <c r="KL3" s="5" t="inlineStr">
        <is>
          <t>PX_SETTLE</t>
        </is>
      </c>
      <c r="KM3" s="5" t="inlineStr">
        <is>
          <t>PX_VOLUME</t>
        </is>
      </c>
      <c r="KN3" s="5" t="inlineStr">
        <is>
          <t>OPEN_INT</t>
        </is>
      </c>
      <c r="KO3" s="5" t="inlineStr">
        <is>
          <t>IVOL_MID</t>
        </is>
      </c>
      <c r="KP3" s="5" t="inlineStr">
        <is>
          <t>IVOL_BID</t>
        </is>
      </c>
      <c r="KQ3" s="5" t="inlineStr">
        <is>
          <t>IVOL_ASK</t>
        </is>
      </c>
      <c r="KR3" s="5" t="inlineStr">
        <is>
          <t>DELTA_MID</t>
        </is>
      </c>
      <c r="KS3" s="5" t="inlineStr">
        <is>
          <t>GAMMA_MID</t>
        </is>
      </c>
      <c r="KT3" s="5" t="inlineStr">
        <is>
          <t>VEGA_MID</t>
        </is>
      </c>
      <c r="KU3" s="5" t="inlineStr">
        <is>
          <t>THETA_MID</t>
        </is>
      </c>
      <c r="KV3" s="5" t="inlineStr">
        <is>
          <t>OPT_UNDL_PX</t>
        </is>
      </c>
      <c r="KX3" s="5" t="inlineStr">
        <is>
          <t>Date</t>
        </is>
      </c>
      <c r="KY3" s="5" t="inlineStr">
        <is>
          <t>PX_BID</t>
        </is>
      </c>
      <c r="KZ3" s="5" t="inlineStr">
        <is>
          <t>PX_ASK</t>
        </is>
      </c>
      <c r="LA3" s="5" t="inlineStr">
        <is>
          <t>PX_MID</t>
        </is>
      </c>
      <c r="LB3" s="5" t="inlineStr">
        <is>
          <t>PX_LAST</t>
        </is>
      </c>
      <c r="LC3" s="5" t="inlineStr">
        <is>
          <t>PX_SETTLE</t>
        </is>
      </c>
      <c r="LD3" s="5" t="inlineStr">
        <is>
          <t>PX_VOLUME</t>
        </is>
      </c>
      <c r="LE3" s="5" t="inlineStr">
        <is>
          <t>OPEN_INT</t>
        </is>
      </c>
      <c r="LF3" s="5" t="inlineStr">
        <is>
          <t>IVOL_MID</t>
        </is>
      </c>
      <c r="LG3" s="5" t="inlineStr">
        <is>
          <t>IVOL_BID</t>
        </is>
      </c>
      <c r="LH3" s="5" t="inlineStr">
        <is>
          <t>IVOL_ASK</t>
        </is>
      </c>
      <c r="LI3" s="5" t="inlineStr">
        <is>
          <t>DELTA_MID</t>
        </is>
      </c>
      <c r="LJ3" s="5" t="inlineStr">
        <is>
          <t>GAMMA_MID</t>
        </is>
      </c>
      <c r="LK3" s="5" t="inlineStr">
        <is>
          <t>VEGA_MID</t>
        </is>
      </c>
      <c r="LL3" s="5" t="inlineStr">
        <is>
          <t>THETA_MID</t>
        </is>
      </c>
      <c r="LM3" s="5" t="inlineStr">
        <is>
          <t>OPT_UNDL_PX</t>
        </is>
      </c>
      <c r="LO3" s="5" t="inlineStr">
        <is>
          <t>Date</t>
        </is>
      </c>
      <c r="LP3" s="5" t="inlineStr">
        <is>
          <t>PX_BID</t>
        </is>
      </c>
      <c r="LQ3" s="5" t="inlineStr">
        <is>
          <t>PX_ASK</t>
        </is>
      </c>
      <c r="LR3" s="5" t="inlineStr">
        <is>
          <t>PX_MID</t>
        </is>
      </c>
      <c r="LS3" s="5" t="inlineStr">
        <is>
          <t>PX_LAST</t>
        </is>
      </c>
      <c r="LT3" s="5" t="inlineStr">
        <is>
          <t>PX_SETTLE</t>
        </is>
      </c>
      <c r="LU3" s="5" t="inlineStr">
        <is>
          <t>PX_VOLUME</t>
        </is>
      </c>
      <c r="LV3" s="5" t="inlineStr">
        <is>
          <t>OPEN_INT</t>
        </is>
      </c>
      <c r="LW3" s="5" t="inlineStr">
        <is>
          <t>IVOL_MID</t>
        </is>
      </c>
      <c r="LX3" s="5" t="inlineStr">
        <is>
          <t>IVOL_BID</t>
        </is>
      </c>
      <c r="LY3" s="5" t="inlineStr">
        <is>
          <t>IVOL_ASK</t>
        </is>
      </c>
      <c r="LZ3" s="5" t="inlineStr">
        <is>
          <t>DELTA_MID</t>
        </is>
      </c>
      <c r="MA3" s="5" t="inlineStr">
        <is>
          <t>GAMMA_MID</t>
        </is>
      </c>
      <c r="MB3" s="5" t="inlineStr">
        <is>
          <t>VEGA_MID</t>
        </is>
      </c>
      <c r="MC3" s="5" t="inlineStr">
        <is>
          <t>THETA_MID</t>
        </is>
      </c>
      <c r="MD3" s="5" t="inlineStr">
        <is>
          <t>OPT_UNDL_PX</t>
        </is>
      </c>
      <c r="MF3" s="5" t="inlineStr">
        <is>
          <t>Date</t>
        </is>
      </c>
      <c r="MG3" s="5" t="inlineStr">
        <is>
          <t>PX_BID</t>
        </is>
      </c>
      <c r="MH3" s="5" t="inlineStr">
        <is>
          <t>PX_ASK</t>
        </is>
      </c>
      <c r="MI3" s="5" t="inlineStr">
        <is>
          <t>PX_MID</t>
        </is>
      </c>
      <c r="MJ3" s="5" t="inlineStr">
        <is>
          <t>PX_LAST</t>
        </is>
      </c>
      <c r="MK3" s="5" t="inlineStr">
        <is>
          <t>PX_SETTLE</t>
        </is>
      </c>
      <c r="ML3" s="5" t="inlineStr">
        <is>
          <t>PX_VOLUME</t>
        </is>
      </c>
      <c r="MM3" s="5" t="inlineStr">
        <is>
          <t>OPEN_INT</t>
        </is>
      </c>
      <c r="MN3" s="5" t="inlineStr">
        <is>
          <t>IVOL_MID</t>
        </is>
      </c>
      <c r="MO3" s="5" t="inlineStr">
        <is>
          <t>IVOL_BID</t>
        </is>
      </c>
      <c r="MP3" s="5" t="inlineStr">
        <is>
          <t>IVOL_ASK</t>
        </is>
      </c>
      <c r="MQ3" s="5" t="inlineStr">
        <is>
          <t>DELTA_MID</t>
        </is>
      </c>
      <c r="MR3" s="5" t="inlineStr">
        <is>
          <t>GAMMA_MID</t>
        </is>
      </c>
      <c r="MS3" s="5" t="inlineStr">
        <is>
          <t>VEGA_MID</t>
        </is>
      </c>
      <c r="MT3" s="5" t="inlineStr">
        <is>
          <t>THETA_MID</t>
        </is>
      </c>
      <c r="MU3" s="5" t="inlineStr">
        <is>
          <t>OPT_UNDL_PX</t>
        </is>
      </c>
      <c r="MW3" s="5" t="inlineStr">
        <is>
          <t>Date</t>
        </is>
      </c>
      <c r="MX3" s="5" t="inlineStr">
        <is>
          <t>PX_BID</t>
        </is>
      </c>
      <c r="MY3" s="5" t="inlineStr">
        <is>
          <t>PX_ASK</t>
        </is>
      </c>
      <c r="MZ3" s="5" t="inlineStr">
        <is>
          <t>PX_MID</t>
        </is>
      </c>
      <c r="NA3" s="5" t="inlineStr">
        <is>
          <t>PX_LAST</t>
        </is>
      </c>
      <c r="NB3" s="5" t="inlineStr">
        <is>
          <t>PX_SETTLE</t>
        </is>
      </c>
      <c r="NC3" s="5" t="inlineStr">
        <is>
          <t>PX_VOLUME</t>
        </is>
      </c>
      <c r="ND3" s="5" t="inlineStr">
        <is>
          <t>OPEN_INT</t>
        </is>
      </c>
      <c r="NE3" s="5" t="inlineStr">
        <is>
          <t>IVOL_MID</t>
        </is>
      </c>
      <c r="NF3" s="5" t="inlineStr">
        <is>
          <t>IVOL_BID</t>
        </is>
      </c>
      <c r="NG3" s="5" t="inlineStr">
        <is>
          <t>IVOL_ASK</t>
        </is>
      </c>
      <c r="NH3" s="5" t="inlineStr">
        <is>
          <t>DELTA_MID</t>
        </is>
      </c>
      <c r="NI3" s="5" t="inlineStr">
        <is>
          <t>GAMMA_MID</t>
        </is>
      </c>
      <c r="NJ3" s="5" t="inlineStr">
        <is>
          <t>VEGA_MID</t>
        </is>
      </c>
      <c r="NK3" s="5" t="inlineStr">
        <is>
          <t>THETA_MID</t>
        </is>
      </c>
      <c r="NL3" s="5" t="inlineStr">
        <is>
          <t>OPT_UNDL_PX</t>
        </is>
      </c>
      <c r="NN3" s="5" t="inlineStr">
        <is>
          <t>Date</t>
        </is>
      </c>
      <c r="NO3" s="5" t="inlineStr">
        <is>
          <t>PX_BID</t>
        </is>
      </c>
      <c r="NP3" s="5" t="inlineStr">
        <is>
          <t>PX_ASK</t>
        </is>
      </c>
      <c r="NQ3" s="5" t="inlineStr">
        <is>
          <t>PX_MID</t>
        </is>
      </c>
      <c r="NR3" s="5" t="inlineStr">
        <is>
          <t>PX_LAST</t>
        </is>
      </c>
      <c r="NS3" s="5" t="inlineStr">
        <is>
          <t>PX_SETTLE</t>
        </is>
      </c>
      <c r="NT3" s="5" t="inlineStr">
        <is>
          <t>PX_VOLUME</t>
        </is>
      </c>
      <c r="NU3" s="5" t="inlineStr">
        <is>
          <t>OPEN_INT</t>
        </is>
      </c>
      <c r="NV3" s="5" t="inlineStr">
        <is>
          <t>IVOL_MID</t>
        </is>
      </c>
      <c r="NW3" s="5" t="inlineStr">
        <is>
          <t>IVOL_BID</t>
        </is>
      </c>
      <c r="NX3" s="5" t="inlineStr">
        <is>
          <t>IVOL_ASK</t>
        </is>
      </c>
      <c r="NY3" s="5" t="inlineStr">
        <is>
          <t>DELTA_MID</t>
        </is>
      </c>
      <c r="NZ3" s="5" t="inlineStr">
        <is>
          <t>GAMMA_MID</t>
        </is>
      </c>
      <c r="OA3" s="5" t="inlineStr">
        <is>
          <t>VEGA_MID</t>
        </is>
      </c>
      <c r="OB3" s="5" t="inlineStr">
        <is>
          <t>THETA_MID</t>
        </is>
      </c>
      <c r="OC3" s="5" t="inlineStr">
        <is>
          <t>OPT_UNDL_PX</t>
        </is>
      </c>
      <c r="OE3" s="5" t="inlineStr">
        <is>
          <t>Date</t>
        </is>
      </c>
      <c r="OF3" s="5" t="inlineStr">
        <is>
          <t>PX_BID</t>
        </is>
      </c>
      <c r="OG3" s="5" t="inlineStr">
        <is>
          <t>PX_ASK</t>
        </is>
      </c>
      <c r="OH3" s="5" t="inlineStr">
        <is>
          <t>PX_MID</t>
        </is>
      </c>
      <c r="OI3" s="5" t="inlineStr">
        <is>
          <t>PX_LAST</t>
        </is>
      </c>
      <c r="OJ3" s="5" t="inlineStr">
        <is>
          <t>PX_SETTLE</t>
        </is>
      </c>
      <c r="OK3" s="5" t="inlineStr">
        <is>
          <t>PX_VOLUME</t>
        </is>
      </c>
      <c r="OL3" s="5" t="inlineStr">
        <is>
          <t>OPEN_INT</t>
        </is>
      </c>
      <c r="OM3" s="5" t="inlineStr">
        <is>
          <t>IVOL_MID</t>
        </is>
      </c>
      <c r="ON3" s="5" t="inlineStr">
        <is>
          <t>IVOL_BID</t>
        </is>
      </c>
      <c r="OO3" s="5" t="inlineStr">
        <is>
          <t>IVOL_ASK</t>
        </is>
      </c>
      <c r="OP3" s="5" t="inlineStr">
        <is>
          <t>DELTA_MID</t>
        </is>
      </c>
      <c r="OQ3" s="5" t="inlineStr">
        <is>
          <t>GAMMA_MID</t>
        </is>
      </c>
      <c r="OR3" s="5" t="inlineStr">
        <is>
          <t>VEGA_MID</t>
        </is>
      </c>
      <c r="OS3" s="5" t="inlineStr">
        <is>
          <t>THETA_MID</t>
        </is>
      </c>
      <c r="OT3" s="5" t="inlineStr">
        <is>
          <t>OPT_UNDL_PX</t>
        </is>
      </c>
      <c r="OV3" s="5" t="inlineStr">
        <is>
          <t>Date</t>
        </is>
      </c>
      <c r="OW3" s="5" t="inlineStr">
        <is>
          <t>PX_BID</t>
        </is>
      </c>
      <c r="OX3" s="5" t="inlineStr">
        <is>
          <t>PX_ASK</t>
        </is>
      </c>
      <c r="OY3" s="5" t="inlineStr">
        <is>
          <t>PX_MID</t>
        </is>
      </c>
      <c r="OZ3" s="5" t="inlineStr">
        <is>
          <t>PX_LAST</t>
        </is>
      </c>
      <c r="PA3" s="5" t="inlineStr">
        <is>
          <t>PX_SETTLE</t>
        </is>
      </c>
      <c r="PB3" s="5" t="inlineStr">
        <is>
          <t>PX_VOLUME</t>
        </is>
      </c>
      <c r="PC3" s="5" t="inlineStr">
        <is>
          <t>OPEN_INT</t>
        </is>
      </c>
      <c r="PD3" s="5" t="inlineStr">
        <is>
          <t>IVOL_MID</t>
        </is>
      </c>
      <c r="PE3" s="5" t="inlineStr">
        <is>
          <t>IVOL_BID</t>
        </is>
      </c>
      <c r="PF3" s="5" t="inlineStr">
        <is>
          <t>IVOL_ASK</t>
        </is>
      </c>
      <c r="PG3" s="5" t="inlineStr">
        <is>
          <t>DELTA_MID</t>
        </is>
      </c>
      <c r="PH3" s="5" t="inlineStr">
        <is>
          <t>GAMMA_MID</t>
        </is>
      </c>
      <c r="PI3" s="5" t="inlineStr">
        <is>
          <t>VEGA_MID</t>
        </is>
      </c>
      <c r="PJ3" s="5" t="inlineStr">
        <is>
          <t>THETA_MID</t>
        </is>
      </c>
      <c r="PK3" s="5" t="inlineStr">
        <is>
          <t>OPT_UNDL_PX</t>
        </is>
      </c>
      <c r="PM3" s="5" t="inlineStr">
        <is>
          <t>Date</t>
        </is>
      </c>
      <c r="PN3" s="5" t="inlineStr">
        <is>
          <t>PX_BID</t>
        </is>
      </c>
      <c r="PO3" s="5" t="inlineStr">
        <is>
          <t>PX_ASK</t>
        </is>
      </c>
      <c r="PP3" s="5" t="inlineStr">
        <is>
          <t>PX_MID</t>
        </is>
      </c>
      <c r="PQ3" s="5" t="inlineStr">
        <is>
          <t>PX_LAST</t>
        </is>
      </c>
      <c r="PR3" s="5" t="inlineStr">
        <is>
          <t>PX_SETTLE</t>
        </is>
      </c>
      <c r="PS3" s="5" t="inlineStr">
        <is>
          <t>PX_VOLUME</t>
        </is>
      </c>
      <c r="PT3" s="5" t="inlineStr">
        <is>
          <t>OPEN_INT</t>
        </is>
      </c>
      <c r="PU3" s="5" t="inlineStr">
        <is>
          <t>IVOL_MID</t>
        </is>
      </c>
      <c r="PV3" s="5" t="inlineStr">
        <is>
          <t>IVOL_BID</t>
        </is>
      </c>
      <c r="PW3" s="5" t="inlineStr">
        <is>
          <t>IVOL_ASK</t>
        </is>
      </c>
      <c r="PX3" s="5" t="inlineStr">
        <is>
          <t>DELTA_MID</t>
        </is>
      </c>
      <c r="PY3" s="5" t="inlineStr">
        <is>
          <t>GAMMA_MID</t>
        </is>
      </c>
      <c r="PZ3" s="5" t="inlineStr">
        <is>
          <t>VEGA_MID</t>
        </is>
      </c>
      <c r="QA3" s="5" t="inlineStr">
        <is>
          <t>THETA_MID</t>
        </is>
      </c>
      <c r="QB3" s="5" t="inlineStr">
        <is>
          <t>OPT_UNDL_PX</t>
        </is>
      </c>
      <c r="QD3" s="5" t="inlineStr">
        <is>
          <t>Date</t>
        </is>
      </c>
      <c r="QE3" s="5" t="inlineStr">
        <is>
          <t>PX_BID</t>
        </is>
      </c>
      <c r="QF3" s="5" t="inlineStr">
        <is>
          <t>PX_ASK</t>
        </is>
      </c>
      <c r="QG3" s="5" t="inlineStr">
        <is>
          <t>PX_MID</t>
        </is>
      </c>
      <c r="QH3" s="5" t="inlineStr">
        <is>
          <t>PX_LAST</t>
        </is>
      </c>
      <c r="QI3" s="5" t="inlineStr">
        <is>
          <t>PX_SETTLE</t>
        </is>
      </c>
      <c r="QJ3" s="5" t="inlineStr">
        <is>
          <t>PX_VOLUME</t>
        </is>
      </c>
      <c r="QK3" s="5" t="inlineStr">
        <is>
          <t>OPEN_INT</t>
        </is>
      </c>
      <c r="QL3" s="5" t="inlineStr">
        <is>
          <t>IVOL_MID</t>
        </is>
      </c>
      <c r="QM3" s="5" t="inlineStr">
        <is>
          <t>IVOL_BID</t>
        </is>
      </c>
      <c r="QN3" s="5" t="inlineStr">
        <is>
          <t>IVOL_ASK</t>
        </is>
      </c>
      <c r="QO3" s="5" t="inlineStr">
        <is>
          <t>DELTA_MID</t>
        </is>
      </c>
      <c r="QP3" s="5" t="inlineStr">
        <is>
          <t>GAMMA_MID</t>
        </is>
      </c>
      <c r="QQ3" s="5" t="inlineStr">
        <is>
          <t>VEGA_MID</t>
        </is>
      </c>
      <c r="QR3" s="5" t="inlineStr">
        <is>
          <t>THETA_MID</t>
        </is>
      </c>
      <c r="QS3" s="5" t="inlineStr">
        <is>
          <t>OPT_UNDL_PX</t>
        </is>
      </c>
      <c r="QU3" s="5" t="inlineStr">
        <is>
          <t>Date</t>
        </is>
      </c>
      <c r="QV3" s="5" t="inlineStr">
        <is>
          <t>PX_BID</t>
        </is>
      </c>
      <c r="QW3" s="5" t="inlineStr">
        <is>
          <t>PX_ASK</t>
        </is>
      </c>
      <c r="QX3" s="5" t="inlineStr">
        <is>
          <t>PX_MID</t>
        </is>
      </c>
      <c r="QY3" s="5" t="inlineStr">
        <is>
          <t>PX_LAST</t>
        </is>
      </c>
      <c r="QZ3" s="5" t="inlineStr">
        <is>
          <t>PX_SETTLE</t>
        </is>
      </c>
      <c r="RA3" s="5" t="inlineStr">
        <is>
          <t>PX_VOLUME</t>
        </is>
      </c>
      <c r="RB3" s="5" t="inlineStr">
        <is>
          <t>OPEN_INT</t>
        </is>
      </c>
      <c r="RC3" s="5" t="inlineStr">
        <is>
          <t>IVOL_MID</t>
        </is>
      </c>
      <c r="RD3" s="5" t="inlineStr">
        <is>
          <t>IVOL_BID</t>
        </is>
      </c>
      <c r="RE3" s="5" t="inlineStr">
        <is>
          <t>IVOL_ASK</t>
        </is>
      </c>
      <c r="RF3" s="5" t="inlineStr">
        <is>
          <t>DELTA_MID</t>
        </is>
      </c>
      <c r="RG3" s="5" t="inlineStr">
        <is>
          <t>GAMMA_MID</t>
        </is>
      </c>
      <c r="RH3" s="5" t="inlineStr">
        <is>
          <t>VEGA_MID</t>
        </is>
      </c>
      <c r="RI3" s="5" t="inlineStr">
        <is>
          <t>THETA_MID</t>
        </is>
      </c>
      <c r="RJ3" s="5" t="inlineStr">
        <is>
          <t>OPT_UNDL_PX</t>
        </is>
      </c>
      <c r="RL3" s="5" t="inlineStr">
        <is>
          <t>Date</t>
        </is>
      </c>
      <c r="RM3" s="5" t="inlineStr">
        <is>
          <t>PX_BID</t>
        </is>
      </c>
      <c r="RN3" s="5" t="inlineStr">
        <is>
          <t>PX_ASK</t>
        </is>
      </c>
      <c r="RO3" s="5" t="inlineStr">
        <is>
          <t>PX_MID</t>
        </is>
      </c>
      <c r="RP3" s="5" t="inlineStr">
        <is>
          <t>PX_LAST</t>
        </is>
      </c>
      <c r="RQ3" s="5" t="inlineStr">
        <is>
          <t>PX_SETTLE</t>
        </is>
      </c>
      <c r="RR3" s="5" t="inlineStr">
        <is>
          <t>PX_VOLUME</t>
        </is>
      </c>
      <c r="RS3" s="5" t="inlineStr">
        <is>
          <t>OPEN_INT</t>
        </is>
      </c>
      <c r="RT3" s="5" t="inlineStr">
        <is>
          <t>IVOL_MID</t>
        </is>
      </c>
      <c r="RU3" s="5" t="inlineStr">
        <is>
          <t>IVOL_BID</t>
        </is>
      </c>
      <c r="RV3" s="5" t="inlineStr">
        <is>
          <t>IVOL_ASK</t>
        </is>
      </c>
      <c r="RW3" s="5" t="inlineStr">
        <is>
          <t>DELTA_MID</t>
        </is>
      </c>
      <c r="RX3" s="5" t="inlineStr">
        <is>
          <t>GAMMA_MID</t>
        </is>
      </c>
      <c r="RY3" s="5" t="inlineStr">
        <is>
          <t>VEGA_MID</t>
        </is>
      </c>
      <c r="RZ3" s="5" t="inlineStr">
        <is>
          <t>THETA_MID</t>
        </is>
      </c>
      <c r="SA3" s="5" t="inlineStr">
        <is>
          <t>OPT_UNDL_PX</t>
        </is>
      </c>
      <c r="SC3" s="5" t="inlineStr">
        <is>
          <t>Date</t>
        </is>
      </c>
      <c r="SD3" s="5" t="inlineStr">
        <is>
          <t>PX_BID</t>
        </is>
      </c>
      <c r="SE3" s="5" t="inlineStr">
        <is>
          <t>PX_ASK</t>
        </is>
      </c>
      <c r="SF3" s="5" t="inlineStr">
        <is>
          <t>PX_MID</t>
        </is>
      </c>
      <c r="SG3" s="5" t="inlineStr">
        <is>
          <t>PX_LAST</t>
        </is>
      </c>
      <c r="SH3" s="5" t="inlineStr">
        <is>
          <t>PX_SETTLE</t>
        </is>
      </c>
      <c r="SI3" s="5" t="inlineStr">
        <is>
          <t>PX_VOLUME</t>
        </is>
      </c>
      <c r="SJ3" s="5" t="inlineStr">
        <is>
          <t>OPEN_INT</t>
        </is>
      </c>
      <c r="SK3" s="5" t="inlineStr">
        <is>
          <t>IVOL_MID</t>
        </is>
      </c>
      <c r="SL3" s="5" t="inlineStr">
        <is>
          <t>IVOL_BID</t>
        </is>
      </c>
      <c r="SM3" s="5" t="inlineStr">
        <is>
          <t>IVOL_ASK</t>
        </is>
      </c>
      <c r="SN3" s="5" t="inlineStr">
        <is>
          <t>DELTA_MID</t>
        </is>
      </c>
      <c r="SO3" s="5" t="inlineStr">
        <is>
          <t>GAMMA_MID</t>
        </is>
      </c>
      <c r="SP3" s="5" t="inlineStr">
        <is>
          <t>VEGA_MID</t>
        </is>
      </c>
      <c r="SQ3" s="5" t="inlineStr">
        <is>
          <t>THETA_MID</t>
        </is>
      </c>
      <c r="SR3" s="5" t="inlineStr">
        <is>
          <t>OPT_UNDL_PX</t>
        </is>
      </c>
      <c r="ST3" s="5" t="inlineStr">
        <is>
          <t>Date</t>
        </is>
      </c>
      <c r="SU3" s="5" t="inlineStr">
        <is>
          <t>PX_BID</t>
        </is>
      </c>
      <c r="SV3" s="5" t="inlineStr">
        <is>
          <t>PX_ASK</t>
        </is>
      </c>
      <c r="SW3" s="5" t="inlineStr">
        <is>
          <t>PX_MID</t>
        </is>
      </c>
      <c r="SX3" s="5" t="inlineStr">
        <is>
          <t>PX_LAST</t>
        </is>
      </c>
      <c r="SY3" s="5" t="inlineStr">
        <is>
          <t>PX_SETTLE</t>
        </is>
      </c>
      <c r="SZ3" s="5" t="inlineStr">
        <is>
          <t>PX_VOLUME</t>
        </is>
      </c>
      <c r="TA3" s="5" t="inlineStr">
        <is>
          <t>OPEN_INT</t>
        </is>
      </c>
      <c r="TB3" s="5" t="inlineStr">
        <is>
          <t>IVOL_MID</t>
        </is>
      </c>
      <c r="TC3" s="5" t="inlineStr">
        <is>
          <t>IVOL_BID</t>
        </is>
      </c>
      <c r="TD3" s="5" t="inlineStr">
        <is>
          <t>IVOL_ASK</t>
        </is>
      </c>
      <c r="TE3" s="5" t="inlineStr">
        <is>
          <t>DELTA_MID</t>
        </is>
      </c>
      <c r="TF3" s="5" t="inlineStr">
        <is>
          <t>GAMMA_MID</t>
        </is>
      </c>
      <c r="TG3" s="5" t="inlineStr">
        <is>
          <t>VEGA_MID</t>
        </is>
      </c>
      <c r="TH3" s="5" t="inlineStr">
        <is>
          <t>THETA_MID</t>
        </is>
      </c>
      <c r="TI3" s="5" t="inlineStr">
        <is>
          <t>OPT_UNDL_PX</t>
        </is>
      </c>
      <c r="TK3" s="5" t="inlineStr">
        <is>
          <t>Date</t>
        </is>
      </c>
      <c r="TL3" s="5" t="inlineStr">
        <is>
          <t>PX_BID</t>
        </is>
      </c>
      <c r="TM3" s="5" t="inlineStr">
        <is>
          <t>PX_ASK</t>
        </is>
      </c>
      <c r="TN3" s="5" t="inlineStr">
        <is>
          <t>PX_MID</t>
        </is>
      </c>
      <c r="TO3" s="5" t="inlineStr">
        <is>
          <t>PX_LAST</t>
        </is>
      </c>
      <c r="TP3" s="5" t="inlineStr">
        <is>
          <t>PX_SETTLE</t>
        </is>
      </c>
      <c r="TQ3" s="5" t="inlineStr">
        <is>
          <t>PX_VOLUME</t>
        </is>
      </c>
      <c r="TR3" s="5" t="inlineStr">
        <is>
          <t>OPEN_INT</t>
        </is>
      </c>
      <c r="TS3" s="5" t="inlineStr">
        <is>
          <t>IVOL_MID</t>
        </is>
      </c>
      <c r="TT3" s="5" t="inlineStr">
        <is>
          <t>IVOL_BID</t>
        </is>
      </c>
      <c r="TU3" s="5" t="inlineStr">
        <is>
          <t>IVOL_ASK</t>
        </is>
      </c>
      <c r="TV3" s="5" t="inlineStr">
        <is>
          <t>DELTA_MID</t>
        </is>
      </c>
      <c r="TW3" s="5" t="inlineStr">
        <is>
          <t>GAMMA_MID</t>
        </is>
      </c>
      <c r="TX3" s="5" t="inlineStr">
        <is>
          <t>VEGA_MID</t>
        </is>
      </c>
      <c r="TY3" s="5" t="inlineStr">
        <is>
          <t>THETA_MID</t>
        </is>
      </c>
      <c r="TZ3" s="5" t="inlineStr">
        <is>
          <t>OPT_UNDL_PX</t>
        </is>
      </c>
      <c r="UB3" s="5" t="inlineStr">
        <is>
          <t>Date</t>
        </is>
      </c>
      <c r="UC3" s="5" t="inlineStr">
        <is>
          <t>PX_BID</t>
        </is>
      </c>
      <c r="UD3" s="5" t="inlineStr">
        <is>
          <t>PX_ASK</t>
        </is>
      </c>
      <c r="UE3" s="5" t="inlineStr">
        <is>
          <t>PX_MID</t>
        </is>
      </c>
      <c r="UF3" s="5" t="inlineStr">
        <is>
          <t>PX_LAST</t>
        </is>
      </c>
      <c r="UG3" s="5" t="inlineStr">
        <is>
          <t>PX_SETTLE</t>
        </is>
      </c>
      <c r="UH3" s="5" t="inlineStr">
        <is>
          <t>PX_VOLUME</t>
        </is>
      </c>
      <c r="UI3" s="5" t="inlineStr">
        <is>
          <t>OPEN_INT</t>
        </is>
      </c>
      <c r="UJ3" s="5" t="inlineStr">
        <is>
          <t>IVOL_MID</t>
        </is>
      </c>
      <c r="UK3" s="5" t="inlineStr">
        <is>
          <t>IVOL_BID</t>
        </is>
      </c>
      <c r="UL3" s="5" t="inlineStr">
        <is>
          <t>IVOL_ASK</t>
        </is>
      </c>
      <c r="UM3" s="5" t="inlineStr">
        <is>
          <t>DELTA_MID</t>
        </is>
      </c>
      <c r="UN3" s="5" t="inlineStr">
        <is>
          <t>GAMMA_MID</t>
        </is>
      </c>
      <c r="UO3" s="5" t="inlineStr">
        <is>
          <t>VEGA_MID</t>
        </is>
      </c>
      <c r="UP3" s="5" t="inlineStr">
        <is>
          <t>THETA_MID</t>
        </is>
      </c>
      <c r="UQ3" s="5" t="inlineStr">
        <is>
          <t>OPT_UNDL_PX</t>
        </is>
      </c>
      <c r="US3" s="5" t="inlineStr">
        <is>
          <t>Date</t>
        </is>
      </c>
      <c r="UT3" s="5" t="inlineStr">
        <is>
          <t>PX_BID</t>
        </is>
      </c>
      <c r="UU3" s="5" t="inlineStr">
        <is>
          <t>PX_ASK</t>
        </is>
      </c>
      <c r="UV3" s="5" t="inlineStr">
        <is>
          <t>PX_MID</t>
        </is>
      </c>
      <c r="UW3" s="5" t="inlineStr">
        <is>
          <t>PX_LAST</t>
        </is>
      </c>
      <c r="UX3" s="5" t="inlineStr">
        <is>
          <t>PX_SETTLE</t>
        </is>
      </c>
      <c r="UY3" s="5" t="inlineStr">
        <is>
          <t>PX_VOLUME</t>
        </is>
      </c>
      <c r="UZ3" s="5" t="inlineStr">
        <is>
          <t>OPEN_INT</t>
        </is>
      </c>
      <c r="VA3" s="5" t="inlineStr">
        <is>
          <t>IVOL_MID</t>
        </is>
      </c>
      <c r="VB3" s="5" t="inlineStr">
        <is>
          <t>IVOL_BID</t>
        </is>
      </c>
      <c r="VC3" s="5" t="inlineStr">
        <is>
          <t>IVOL_ASK</t>
        </is>
      </c>
      <c r="VD3" s="5" t="inlineStr">
        <is>
          <t>DELTA_MID</t>
        </is>
      </c>
      <c r="VE3" s="5" t="inlineStr">
        <is>
          <t>GAMMA_MID</t>
        </is>
      </c>
      <c r="VF3" s="5" t="inlineStr">
        <is>
          <t>VEGA_MID</t>
        </is>
      </c>
      <c r="VG3" s="5" t="inlineStr">
        <is>
          <t>THETA_MID</t>
        </is>
      </c>
      <c r="VH3" s="5" t="inlineStr">
        <is>
          <t>OPT_UNDL_PX</t>
        </is>
      </c>
    </row>
    <row r="4">
      <c r="A4" s="2" t="inlineStr">
        <is>
          <t>Year in ticker</t>
        </is>
      </c>
      <c r="B4" s="4">
        <f>IF(B2&lt;Settings!$B$3,TEXT(MOD(Settings!$E$14,100),"00"),TEXT(MOD(Settings!$E$14,10),"0"))</f>
        <v/>
      </c>
      <c r="D4" s="4">
        <f>BDH(D$1,E$3:S$3,$B$9,$B$10,"Dir=V","Dts=S","Sort=A","Days=T","Fill=B")</f>
        <v/>
      </c>
      <c r="U4" s="4">
        <f>BDH(U$1,V$3:AJ$3,$B$9,$B$10,"Dir=V","Dts=S","Sort=A","Days=T","Fill=B")</f>
        <v/>
      </c>
      <c r="AL4" s="4">
        <f>BDH(AL$1,AM$3:BA$3,$B$9,$B$10,"Dir=V","Dts=S","Sort=A","Days=T","Fill=B")</f>
        <v/>
      </c>
      <c r="BC4" s="4">
        <f>BDH(BC$1,BD$3:BR$3,$B$9,$B$10,"Dir=V","Dts=S","Sort=A","Days=T","Fill=B")</f>
        <v/>
      </c>
      <c r="BT4" s="4">
        <f>BDH(BT$1,BU$3:CI$3,$B$9,$B$10,"Dir=V","Dts=S","Sort=A","Days=T","Fill=B")</f>
        <v/>
      </c>
      <c r="CK4" s="4">
        <f>BDH(CK$1,CL$3:CZ$3,$B$9,$B$10,"Dir=V","Dts=S","Sort=A","Days=T","Fill=B")</f>
        <v/>
      </c>
      <c r="DB4" s="4">
        <f>BDH(DB$1,DC$3:DQ$3,$B$9,$B$10,"Dir=V","Dts=S","Sort=A","Days=T","Fill=B")</f>
        <v/>
      </c>
      <c r="DS4" s="4">
        <f>BDH(DS$1,DT$3:EH$3,$B$9,$B$10,"Dir=V","Dts=S","Sort=A","Days=T","Fill=B")</f>
        <v/>
      </c>
      <c r="EJ4" s="4">
        <f>BDH(EJ$1,EK$3:EY$3,$B$9,$B$10,"Dir=V","Dts=S","Sort=A","Days=T","Fill=B")</f>
        <v/>
      </c>
      <c r="FA4" s="4">
        <f>BDH(FA$1,FB$3:FP$3,$B$9,$B$10,"Dir=V","Dts=S","Sort=A","Days=T","Fill=B")</f>
        <v/>
      </c>
      <c r="FR4" s="4">
        <f>BDH(FR$1,FS$3:GG$3,$B$9,$B$10,"Dir=V","Dts=S","Sort=A","Days=T","Fill=B")</f>
        <v/>
      </c>
      <c r="GI4" s="4">
        <f>BDH(GI$1,GJ$3:GX$3,$B$9,$B$10,"Dir=V","Dts=S","Sort=A","Days=T","Fill=B")</f>
        <v/>
      </c>
      <c r="GZ4" s="4">
        <f>BDH(GZ$1,HA$3:HO$3,$B$9,$B$10,"Dir=V","Dts=S","Sort=A","Days=T","Fill=B")</f>
        <v/>
      </c>
      <c r="HQ4" s="4">
        <f>BDH(HQ$1,HR$3:IF$3,$B$9,$B$10,"Dir=V","Dts=S","Sort=A","Days=T","Fill=B")</f>
        <v/>
      </c>
      <c r="IH4" s="4">
        <f>BDH(IH$1,II$3:IW$3,$B$9,$B$10,"Dir=V","Dts=S","Sort=A","Days=T","Fill=B")</f>
        <v/>
      </c>
      <c r="IY4" s="4">
        <f>BDH(IY$1,IZ$3:JN$3,$B$9,$B$10,"Dir=V","Dts=S","Sort=A","Days=T","Fill=B")</f>
        <v/>
      </c>
      <c r="JP4" s="4">
        <f>BDH(JP$1,JQ$3:KE$3,$B$9,$B$10,"Dir=V","Dts=S","Sort=A","Days=T","Fill=B")</f>
        <v/>
      </c>
      <c r="KG4" s="4">
        <f>BDH(KG$1,KH$3:KV$3,$B$9,$B$10,"Dir=V","Dts=S","Sort=A","Days=T","Fill=B")</f>
        <v/>
      </c>
      <c r="KX4" s="4">
        <f>BDH(KX$1,KY$3:LM$3,$B$9,$B$10,"Dir=V","Dts=S","Sort=A","Days=T","Fill=B")</f>
        <v/>
      </c>
      <c r="LO4" s="4">
        <f>BDH(LO$1,LP$3:MD$3,$B$9,$B$10,"Dir=V","Dts=S","Sort=A","Days=T","Fill=B")</f>
        <v/>
      </c>
      <c r="MF4" s="4">
        <f>BDH(MF$1,MG$3:MU$3,$B$9,$B$10,"Dir=V","Dts=S","Sort=A","Days=T","Fill=B")</f>
        <v/>
      </c>
      <c r="MW4" s="4">
        <f>BDH(MW$1,MX$3:NL$3,$B$9,$B$10,"Dir=V","Dts=S","Sort=A","Days=T","Fill=B")</f>
        <v/>
      </c>
      <c r="NN4" s="4">
        <f>BDH(NN$1,NO$3:OC$3,$B$9,$B$10,"Dir=V","Dts=S","Sort=A","Days=T","Fill=B")</f>
        <v/>
      </c>
      <c r="OE4" s="4">
        <f>BDH(OE$1,OF$3:OT$3,$B$9,$B$10,"Dir=V","Dts=S","Sort=A","Days=T","Fill=B")</f>
        <v/>
      </c>
      <c r="OV4" s="4">
        <f>BDH(OV$1,OW$3:PK$3,$B$9,$B$10,"Dir=V","Dts=S","Sort=A","Days=T","Fill=B")</f>
        <v/>
      </c>
      <c r="PM4" s="4">
        <f>BDH(PM$1,PN$3:QB$3,$B$9,$B$10,"Dir=V","Dts=S","Sort=A","Days=T","Fill=B")</f>
        <v/>
      </c>
      <c r="QD4" s="4">
        <f>BDH(QD$1,QE$3:QS$3,$B$9,$B$10,"Dir=V","Dts=S","Sort=A","Days=T","Fill=B")</f>
        <v/>
      </c>
      <c r="QU4" s="4">
        <f>BDH(QU$1,QV$3:RJ$3,$B$9,$B$10,"Dir=V","Dts=S","Sort=A","Days=T","Fill=B")</f>
        <v/>
      </c>
      <c r="RL4" s="4">
        <f>BDH(RL$1,RM$3:SA$3,$B$9,$B$10,"Dir=V","Dts=S","Sort=A","Days=T","Fill=B")</f>
        <v/>
      </c>
      <c r="SC4" s="4">
        <f>BDH(SC$1,SD$3:SR$3,$B$9,$B$10,"Dir=V","Dts=S","Sort=A","Days=T","Fill=B")</f>
        <v/>
      </c>
      <c r="ST4" s="4">
        <f>BDH(ST$1,SU$3:TI$3,$B$9,$B$10,"Dir=V","Dts=S","Sort=A","Days=T","Fill=B")</f>
        <v/>
      </c>
      <c r="TK4" s="4">
        <f>BDH(TK$1,TL$3:TZ$3,$B$9,$B$10,"Dir=V","Dts=S","Sort=A","Days=T","Fill=B")</f>
        <v/>
      </c>
      <c r="UB4" s="4">
        <f>BDH(UB$1,UC$3:UQ$3,$B$9,$B$10,"Dir=V","Dts=S","Sort=A","Days=T","Fill=B")</f>
        <v/>
      </c>
      <c r="US4" s="4">
        <f>BDH(US$1,UT$3:VH$3,$B$9,$B$10,"Dir=V","Dts=S","Sort=A","Days=T","Fill=B")</f>
        <v/>
      </c>
    </row>
    <row r="5">
      <c r="A5" s="2" t="inlineStr">
        <is>
          <t>Futures ticker</t>
        </is>
      </c>
      <c r="B5" s="4">
        <f>IF(Settings!$B$14="Y","CL"&amp;MID("FGHJKMNQUVXZ",B1,1)&amp;B4&amp;" Comdty","")</f>
        <v/>
      </c>
    </row>
    <row r="6">
      <c r="A6" s="2" t="inlineStr">
        <is>
          <t>Strike reference date</t>
        </is>
      </c>
      <c r="B6" s="8">
        <f>B3-45</f>
        <v/>
      </c>
    </row>
    <row r="7">
      <c r="A7" s="2" t="inlineStr">
        <is>
          <t>Futures price on that date</t>
        </is>
      </c>
      <c r="B7" s="10">
        <f>IF(B5="","",BDH(B5,"PX_LAST",B6,B6,"Days=A","Fill=P","Dts=H"))</f>
        <v/>
      </c>
    </row>
    <row r="8">
      <c r="A8" s="2" t="inlineStr">
        <is>
          <t>ATM strike</t>
        </is>
      </c>
      <c r="B8" s="9">
        <f>IF(ISNUMBER(B7),ROUND(B7,0),"")</f>
        <v/>
      </c>
    </row>
    <row r="9">
      <c r="A9" s="2" t="inlineStr">
        <is>
          <t>History start</t>
        </is>
      </c>
      <c r="B9" s="8">
        <f>B3-100</f>
        <v/>
      </c>
    </row>
    <row r="10">
      <c r="A10" s="2" t="inlineStr">
        <is>
          <t>History end</t>
        </is>
      </c>
      <c r="B10" s="8">
        <f>B3</f>
        <v/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VH10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2" customWidth="1" min="2" max="2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1" customWidth="1" min="15" max="15"/>
    <col width="11" customWidth="1" min="16" max="16"/>
    <col width="10" customWidth="1" min="17" max="17"/>
    <col width="11" customWidth="1" min="18" max="18"/>
    <col width="13" customWidth="1" min="19" max="19"/>
    <col width="12" customWidth="1" min="21" max="21"/>
    <col width="10" customWidth="1" min="22" max="22"/>
    <col width="10" customWidth="1" min="23" max="23"/>
    <col width="10" customWidth="1" min="24" max="24"/>
    <col width="10" customWidth="1" min="25" max="25"/>
    <col width="11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1" customWidth="1" min="32" max="32"/>
    <col width="11" customWidth="1" min="33" max="33"/>
    <col width="10" customWidth="1" min="34" max="34"/>
    <col width="11" customWidth="1" min="35" max="35"/>
    <col width="13" customWidth="1" min="36" max="36"/>
    <col width="12" customWidth="1" min="38" max="38"/>
    <col width="10" customWidth="1" min="39" max="39"/>
    <col width="10" customWidth="1" min="40" max="40"/>
    <col width="10" customWidth="1" min="41" max="41"/>
    <col width="10" customWidth="1" min="42" max="42"/>
    <col width="11" customWidth="1" min="43" max="43"/>
    <col width="11" customWidth="1" min="44" max="44"/>
    <col width="10" customWidth="1" min="45" max="45"/>
    <col width="10" customWidth="1" min="46" max="46"/>
    <col width="10" customWidth="1" min="47" max="47"/>
    <col width="10" customWidth="1" min="48" max="48"/>
    <col width="11" customWidth="1" min="49" max="49"/>
    <col width="11" customWidth="1" min="50" max="50"/>
    <col width="10" customWidth="1" min="51" max="51"/>
    <col width="11" customWidth="1" min="52" max="52"/>
    <col width="13" customWidth="1" min="53" max="53"/>
    <col width="12" customWidth="1" min="55" max="55"/>
    <col width="10" customWidth="1" min="56" max="56"/>
    <col width="10" customWidth="1" min="57" max="57"/>
    <col width="10" customWidth="1" min="58" max="58"/>
    <col width="10" customWidth="1" min="59" max="59"/>
    <col width="11" customWidth="1" min="60" max="60"/>
    <col width="11" customWidth="1" min="61" max="61"/>
    <col width="10" customWidth="1" min="62" max="62"/>
    <col width="10" customWidth="1" min="63" max="63"/>
    <col width="10" customWidth="1" min="64" max="64"/>
    <col width="10" customWidth="1" min="65" max="65"/>
    <col width="11" customWidth="1" min="66" max="66"/>
    <col width="11" customWidth="1" min="67" max="67"/>
    <col width="10" customWidth="1" min="68" max="68"/>
    <col width="11" customWidth="1" min="69" max="69"/>
    <col width="13" customWidth="1" min="70" max="70"/>
    <col width="12" customWidth="1" min="72" max="72"/>
    <col width="10" customWidth="1" min="73" max="73"/>
    <col width="10" customWidth="1" min="74" max="74"/>
    <col width="10" customWidth="1" min="75" max="75"/>
    <col width="10" customWidth="1" min="76" max="76"/>
    <col width="11" customWidth="1" min="77" max="77"/>
    <col width="11" customWidth="1" min="78" max="78"/>
    <col width="10" customWidth="1" min="79" max="79"/>
    <col width="10" customWidth="1" min="80" max="80"/>
    <col width="10" customWidth="1" min="81" max="81"/>
    <col width="10" customWidth="1" min="82" max="82"/>
    <col width="11" customWidth="1" min="83" max="83"/>
    <col width="11" customWidth="1" min="84" max="84"/>
    <col width="10" customWidth="1" min="85" max="85"/>
    <col width="11" customWidth="1" min="86" max="86"/>
    <col width="13" customWidth="1" min="87" max="87"/>
    <col width="12" customWidth="1" min="89" max="89"/>
    <col width="10" customWidth="1" min="90" max="90"/>
    <col width="10" customWidth="1" min="91" max="91"/>
    <col width="10" customWidth="1" min="92" max="92"/>
    <col width="10" customWidth="1" min="93" max="93"/>
    <col width="11" customWidth="1" min="94" max="94"/>
    <col width="11" customWidth="1" min="95" max="95"/>
    <col width="10" customWidth="1" min="96" max="96"/>
    <col width="10" customWidth="1" min="97" max="97"/>
    <col width="10" customWidth="1" min="98" max="98"/>
    <col width="10" customWidth="1" min="99" max="99"/>
    <col width="11" customWidth="1" min="100" max="100"/>
    <col width="11" customWidth="1" min="101" max="101"/>
    <col width="10" customWidth="1" min="102" max="102"/>
    <col width="11" customWidth="1" min="103" max="103"/>
    <col width="13" customWidth="1" min="104" max="104"/>
    <col width="12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1" customWidth="1" min="111" max="111"/>
    <col width="11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1" customWidth="1" min="117" max="117"/>
    <col width="11" customWidth="1" min="118" max="118"/>
    <col width="10" customWidth="1" min="119" max="119"/>
    <col width="11" customWidth="1" min="120" max="120"/>
    <col width="13" customWidth="1" min="121" max="121"/>
    <col width="12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1" customWidth="1" min="128" max="128"/>
    <col width="11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1" customWidth="1" min="134" max="134"/>
    <col width="11" customWidth="1" min="135" max="135"/>
    <col width="10" customWidth="1" min="136" max="136"/>
    <col width="11" customWidth="1" min="137" max="137"/>
    <col width="13" customWidth="1" min="138" max="138"/>
    <col width="12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1" customWidth="1" min="145" max="145"/>
    <col width="11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1" customWidth="1" min="151" max="151"/>
    <col width="11" customWidth="1" min="152" max="152"/>
    <col width="10" customWidth="1" min="153" max="153"/>
    <col width="11" customWidth="1" min="154" max="154"/>
    <col width="13" customWidth="1" min="155" max="155"/>
    <col width="12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1" customWidth="1" min="162" max="162"/>
    <col width="11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1" customWidth="1" min="168" max="168"/>
    <col width="11" customWidth="1" min="169" max="169"/>
    <col width="10" customWidth="1" min="170" max="170"/>
    <col width="11" customWidth="1" min="171" max="171"/>
    <col width="13" customWidth="1" min="172" max="172"/>
    <col width="12" customWidth="1" min="174" max="174"/>
    <col width="10" customWidth="1" min="175" max="175"/>
    <col width="10" customWidth="1" min="176" max="176"/>
    <col width="10" customWidth="1" min="177" max="177"/>
    <col width="10" customWidth="1" min="178" max="178"/>
    <col width="11" customWidth="1" min="179" max="179"/>
    <col width="11" customWidth="1" min="180" max="180"/>
    <col width="10" customWidth="1" min="181" max="181"/>
    <col width="10" customWidth="1" min="182" max="182"/>
    <col width="10" customWidth="1" min="183" max="183"/>
    <col width="10" customWidth="1" min="184" max="184"/>
    <col width="11" customWidth="1" min="185" max="185"/>
    <col width="11" customWidth="1" min="186" max="186"/>
    <col width="10" customWidth="1" min="187" max="187"/>
    <col width="11" customWidth="1" min="188" max="188"/>
    <col width="13" customWidth="1" min="189" max="189"/>
    <col width="12" customWidth="1" min="191" max="191"/>
    <col width="10" customWidth="1" min="192" max="192"/>
    <col width="10" customWidth="1" min="193" max="193"/>
    <col width="10" customWidth="1" min="194" max="194"/>
    <col width="10" customWidth="1" min="195" max="195"/>
    <col width="11" customWidth="1" min="196" max="196"/>
    <col width="11" customWidth="1" min="197" max="197"/>
    <col width="10" customWidth="1" min="198" max="198"/>
    <col width="10" customWidth="1" min="199" max="199"/>
    <col width="10" customWidth="1" min="200" max="200"/>
    <col width="10" customWidth="1" min="201" max="201"/>
    <col width="11" customWidth="1" min="202" max="202"/>
    <col width="11" customWidth="1" min="203" max="203"/>
    <col width="10" customWidth="1" min="204" max="204"/>
    <col width="11" customWidth="1" min="205" max="205"/>
    <col width="13" customWidth="1" min="206" max="206"/>
    <col width="12" customWidth="1" min="208" max="208"/>
    <col width="10" customWidth="1" min="209" max="209"/>
    <col width="10" customWidth="1" min="210" max="210"/>
    <col width="10" customWidth="1" min="211" max="211"/>
    <col width="10" customWidth="1" min="212" max="212"/>
    <col width="11" customWidth="1" min="213" max="213"/>
    <col width="11" customWidth="1" min="214" max="214"/>
    <col width="10" customWidth="1" min="215" max="215"/>
    <col width="10" customWidth="1" min="216" max="216"/>
    <col width="10" customWidth="1" min="217" max="217"/>
    <col width="10" customWidth="1" min="218" max="218"/>
    <col width="11" customWidth="1" min="219" max="219"/>
    <col width="11" customWidth="1" min="220" max="220"/>
    <col width="10" customWidth="1" min="221" max="221"/>
    <col width="11" customWidth="1" min="222" max="222"/>
    <col width="13" customWidth="1" min="223" max="223"/>
    <col width="12" customWidth="1" min="225" max="225"/>
    <col width="10" customWidth="1" min="226" max="226"/>
    <col width="10" customWidth="1" min="227" max="227"/>
    <col width="10" customWidth="1" min="228" max="228"/>
    <col width="10" customWidth="1" min="229" max="229"/>
    <col width="11" customWidth="1" min="230" max="230"/>
    <col width="11" customWidth="1" min="231" max="231"/>
    <col width="10" customWidth="1" min="232" max="232"/>
    <col width="10" customWidth="1" min="233" max="233"/>
    <col width="10" customWidth="1" min="234" max="234"/>
    <col width="10" customWidth="1" min="235" max="235"/>
    <col width="11" customWidth="1" min="236" max="236"/>
    <col width="11" customWidth="1" min="237" max="237"/>
    <col width="10" customWidth="1" min="238" max="238"/>
    <col width="11" customWidth="1" min="239" max="239"/>
    <col width="13" customWidth="1" min="240" max="240"/>
    <col width="12" customWidth="1" min="242" max="242"/>
    <col width="10" customWidth="1" min="243" max="243"/>
    <col width="10" customWidth="1" min="244" max="244"/>
    <col width="10" customWidth="1" min="245" max="245"/>
    <col width="10" customWidth="1" min="246" max="246"/>
    <col width="11" customWidth="1" min="247" max="247"/>
    <col width="11" customWidth="1" min="248" max="248"/>
    <col width="10" customWidth="1" min="249" max="249"/>
    <col width="10" customWidth="1" min="250" max="250"/>
    <col width="10" customWidth="1" min="251" max="251"/>
    <col width="10" customWidth="1" min="252" max="252"/>
    <col width="11" customWidth="1" min="253" max="253"/>
    <col width="11" customWidth="1" min="254" max="254"/>
    <col width="10" customWidth="1" min="255" max="255"/>
    <col width="11" customWidth="1" min="256" max="256"/>
    <col width="13" customWidth="1" min="257" max="257"/>
    <col width="12" customWidth="1" min="259" max="259"/>
    <col width="10" customWidth="1" min="260" max="260"/>
    <col width="10" customWidth="1" min="261" max="261"/>
    <col width="10" customWidth="1" min="262" max="262"/>
    <col width="10" customWidth="1" min="263" max="263"/>
    <col width="11" customWidth="1" min="264" max="264"/>
    <col width="11" customWidth="1" min="265" max="265"/>
    <col width="10" customWidth="1" min="266" max="266"/>
    <col width="10" customWidth="1" min="267" max="267"/>
    <col width="10" customWidth="1" min="268" max="268"/>
    <col width="10" customWidth="1" min="269" max="269"/>
    <col width="11" customWidth="1" min="270" max="270"/>
    <col width="11" customWidth="1" min="271" max="271"/>
    <col width="10" customWidth="1" min="272" max="272"/>
    <col width="11" customWidth="1" min="273" max="273"/>
    <col width="13" customWidth="1" min="274" max="274"/>
    <col width="12" customWidth="1" min="276" max="276"/>
    <col width="10" customWidth="1" min="277" max="277"/>
    <col width="10" customWidth="1" min="278" max="278"/>
    <col width="10" customWidth="1" min="279" max="279"/>
    <col width="10" customWidth="1" min="280" max="280"/>
    <col width="11" customWidth="1" min="281" max="281"/>
    <col width="11" customWidth="1" min="282" max="282"/>
    <col width="10" customWidth="1" min="283" max="283"/>
    <col width="10" customWidth="1" min="284" max="284"/>
    <col width="10" customWidth="1" min="285" max="285"/>
    <col width="10" customWidth="1" min="286" max="286"/>
    <col width="11" customWidth="1" min="287" max="287"/>
    <col width="11" customWidth="1" min="288" max="288"/>
    <col width="10" customWidth="1" min="289" max="289"/>
    <col width="11" customWidth="1" min="290" max="290"/>
    <col width="13" customWidth="1" min="291" max="291"/>
    <col width="12" customWidth="1" min="293" max="293"/>
    <col width="10" customWidth="1" min="294" max="294"/>
    <col width="10" customWidth="1" min="295" max="295"/>
    <col width="10" customWidth="1" min="296" max="296"/>
    <col width="10" customWidth="1" min="297" max="297"/>
    <col width="11" customWidth="1" min="298" max="298"/>
    <col width="11" customWidth="1" min="299" max="299"/>
    <col width="10" customWidth="1" min="300" max="300"/>
    <col width="10" customWidth="1" min="301" max="301"/>
    <col width="10" customWidth="1" min="302" max="302"/>
    <col width="10" customWidth="1" min="303" max="303"/>
    <col width="11" customWidth="1" min="304" max="304"/>
    <col width="11" customWidth="1" min="305" max="305"/>
    <col width="10" customWidth="1" min="306" max="306"/>
    <col width="11" customWidth="1" min="307" max="307"/>
    <col width="13" customWidth="1" min="308" max="308"/>
    <col width="12" customWidth="1" min="310" max="310"/>
    <col width="10" customWidth="1" min="311" max="311"/>
    <col width="10" customWidth="1" min="312" max="312"/>
    <col width="10" customWidth="1" min="313" max="313"/>
    <col width="10" customWidth="1" min="314" max="314"/>
    <col width="11" customWidth="1" min="315" max="315"/>
    <col width="11" customWidth="1" min="316" max="316"/>
    <col width="10" customWidth="1" min="317" max="317"/>
    <col width="10" customWidth="1" min="318" max="318"/>
    <col width="10" customWidth="1" min="319" max="319"/>
    <col width="10" customWidth="1" min="320" max="320"/>
    <col width="11" customWidth="1" min="321" max="321"/>
    <col width="11" customWidth="1" min="322" max="322"/>
    <col width="10" customWidth="1" min="323" max="323"/>
    <col width="11" customWidth="1" min="324" max="324"/>
    <col width="13" customWidth="1" min="325" max="325"/>
    <col width="12" customWidth="1" min="327" max="327"/>
    <col width="10" customWidth="1" min="328" max="328"/>
    <col width="10" customWidth="1" min="329" max="329"/>
    <col width="10" customWidth="1" min="330" max="330"/>
    <col width="10" customWidth="1" min="331" max="331"/>
    <col width="11" customWidth="1" min="332" max="332"/>
    <col width="11" customWidth="1" min="333" max="333"/>
    <col width="10" customWidth="1" min="334" max="334"/>
    <col width="10" customWidth="1" min="335" max="335"/>
    <col width="10" customWidth="1" min="336" max="336"/>
    <col width="10" customWidth="1" min="337" max="337"/>
    <col width="11" customWidth="1" min="338" max="338"/>
    <col width="11" customWidth="1" min="339" max="339"/>
    <col width="10" customWidth="1" min="340" max="340"/>
    <col width="11" customWidth="1" min="341" max="341"/>
    <col width="13" customWidth="1" min="342" max="342"/>
    <col width="12" customWidth="1" min="344" max="344"/>
    <col width="10" customWidth="1" min="345" max="345"/>
    <col width="10" customWidth="1" min="346" max="346"/>
    <col width="10" customWidth="1" min="347" max="347"/>
    <col width="10" customWidth="1" min="348" max="348"/>
    <col width="11" customWidth="1" min="349" max="349"/>
    <col width="11" customWidth="1" min="350" max="350"/>
    <col width="10" customWidth="1" min="351" max="351"/>
    <col width="10" customWidth="1" min="352" max="352"/>
    <col width="10" customWidth="1" min="353" max="353"/>
    <col width="10" customWidth="1" min="354" max="354"/>
    <col width="11" customWidth="1" min="355" max="355"/>
    <col width="11" customWidth="1" min="356" max="356"/>
    <col width="10" customWidth="1" min="357" max="357"/>
    <col width="11" customWidth="1" min="358" max="358"/>
    <col width="13" customWidth="1" min="359" max="359"/>
    <col width="12" customWidth="1" min="361" max="361"/>
    <col width="10" customWidth="1" min="362" max="362"/>
    <col width="10" customWidth="1" min="363" max="363"/>
    <col width="10" customWidth="1" min="364" max="364"/>
    <col width="10" customWidth="1" min="365" max="365"/>
    <col width="11" customWidth="1" min="366" max="366"/>
    <col width="11" customWidth="1" min="367" max="367"/>
    <col width="10" customWidth="1" min="368" max="368"/>
    <col width="10" customWidth="1" min="369" max="369"/>
    <col width="10" customWidth="1" min="370" max="370"/>
    <col width="10" customWidth="1" min="371" max="371"/>
    <col width="11" customWidth="1" min="372" max="372"/>
    <col width="11" customWidth="1" min="373" max="373"/>
    <col width="10" customWidth="1" min="374" max="374"/>
    <col width="11" customWidth="1" min="375" max="375"/>
    <col width="13" customWidth="1" min="376" max="376"/>
    <col width="12" customWidth="1" min="378" max="378"/>
    <col width="10" customWidth="1" min="379" max="379"/>
    <col width="10" customWidth="1" min="380" max="380"/>
    <col width="10" customWidth="1" min="381" max="381"/>
    <col width="10" customWidth="1" min="382" max="382"/>
    <col width="11" customWidth="1" min="383" max="383"/>
    <col width="11" customWidth="1" min="384" max="384"/>
    <col width="10" customWidth="1" min="385" max="385"/>
    <col width="10" customWidth="1" min="386" max="386"/>
    <col width="10" customWidth="1" min="387" max="387"/>
    <col width="10" customWidth="1" min="388" max="388"/>
    <col width="11" customWidth="1" min="389" max="389"/>
    <col width="11" customWidth="1" min="390" max="390"/>
    <col width="10" customWidth="1" min="391" max="391"/>
    <col width="11" customWidth="1" min="392" max="392"/>
    <col width="13" customWidth="1" min="393" max="393"/>
    <col width="12" customWidth="1" min="395" max="395"/>
    <col width="10" customWidth="1" min="396" max="396"/>
    <col width="10" customWidth="1" min="397" max="397"/>
    <col width="10" customWidth="1" min="398" max="398"/>
    <col width="10" customWidth="1" min="399" max="399"/>
    <col width="11" customWidth="1" min="400" max="400"/>
    <col width="11" customWidth="1" min="401" max="401"/>
    <col width="10" customWidth="1" min="402" max="402"/>
    <col width="10" customWidth="1" min="403" max="403"/>
    <col width="10" customWidth="1" min="404" max="404"/>
    <col width="10" customWidth="1" min="405" max="405"/>
    <col width="11" customWidth="1" min="406" max="406"/>
    <col width="11" customWidth="1" min="407" max="407"/>
    <col width="10" customWidth="1" min="408" max="408"/>
    <col width="11" customWidth="1" min="409" max="409"/>
    <col width="13" customWidth="1" min="410" max="410"/>
    <col width="12" customWidth="1" min="412" max="412"/>
    <col width="10" customWidth="1" min="413" max="413"/>
    <col width="10" customWidth="1" min="414" max="414"/>
    <col width="10" customWidth="1" min="415" max="415"/>
    <col width="10" customWidth="1" min="416" max="416"/>
    <col width="11" customWidth="1" min="417" max="417"/>
    <col width="11" customWidth="1" min="418" max="418"/>
    <col width="10" customWidth="1" min="419" max="419"/>
    <col width="10" customWidth="1" min="420" max="420"/>
    <col width="10" customWidth="1" min="421" max="421"/>
    <col width="10" customWidth="1" min="422" max="422"/>
    <col width="11" customWidth="1" min="423" max="423"/>
    <col width="11" customWidth="1" min="424" max="424"/>
    <col width="10" customWidth="1" min="425" max="425"/>
    <col width="11" customWidth="1" min="426" max="426"/>
    <col width="13" customWidth="1" min="427" max="427"/>
    <col width="12" customWidth="1" min="429" max="429"/>
    <col width="10" customWidth="1" min="430" max="430"/>
    <col width="10" customWidth="1" min="431" max="431"/>
    <col width="10" customWidth="1" min="432" max="432"/>
    <col width="10" customWidth="1" min="433" max="433"/>
    <col width="11" customWidth="1" min="434" max="434"/>
    <col width="11" customWidth="1" min="435" max="435"/>
    <col width="10" customWidth="1" min="436" max="436"/>
    <col width="10" customWidth="1" min="437" max="437"/>
    <col width="10" customWidth="1" min="438" max="438"/>
    <col width="10" customWidth="1" min="439" max="439"/>
    <col width="11" customWidth="1" min="440" max="440"/>
    <col width="11" customWidth="1" min="441" max="441"/>
    <col width="10" customWidth="1" min="442" max="442"/>
    <col width="11" customWidth="1" min="443" max="443"/>
    <col width="13" customWidth="1" min="444" max="444"/>
    <col width="12" customWidth="1" min="446" max="446"/>
    <col width="10" customWidth="1" min="447" max="447"/>
    <col width="10" customWidth="1" min="448" max="448"/>
    <col width="10" customWidth="1" min="449" max="449"/>
    <col width="10" customWidth="1" min="450" max="450"/>
    <col width="11" customWidth="1" min="451" max="451"/>
    <col width="11" customWidth="1" min="452" max="452"/>
    <col width="10" customWidth="1" min="453" max="453"/>
    <col width="10" customWidth="1" min="454" max="454"/>
    <col width="10" customWidth="1" min="455" max="455"/>
    <col width="10" customWidth="1" min="456" max="456"/>
    <col width="11" customWidth="1" min="457" max="457"/>
    <col width="11" customWidth="1" min="458" max="458"/>
    <col width="10" customWidth="1" min="459" max="459"/>
    <col width="11" customWidth="1" min="460" max="460"/>
    <col width="13" customWidth="1" min="461" max="461"/>
    <col width="12" customWidth="1" min="463" max="463"/>
    <col width="10" customWidth="1" min="464" max="464"/>
    <col width="10" customWidth="1" min="465" max="465"/>
    <col width="10" customWidth="1" min="466" max="466"/>
    <col width="10" customWidth="1" min="467" max="467"/>
    <col width="11" customWidth="1" min="468" max="468"/>
    <col width="11" customWidth="1" min="469" max="469"/>
    <col width="10" customWidth="1" min="470" max="470"/>
    <col width="10" customWidth="1" min="471" max="471"/>
    <col width="10" customWidth="1" min="472" max="472"/>
    <col width="10" customWidth="1" min="473" max="473"/>
    <col width="11" customWidth="1" min="474" max="474"/>
    <col width="11" customWidth="1" min="475" max="475"/>
    <col width="10" customWidth="1" min="476" max="476"/>
    <col width="11" customWidth="1" min="477" max="477"/>
    <col width="13" customWidth="1" min="478" max="478"/>
    <col width="12" customWidth="1" min="480" max="480"/>
    <col width="10" customWidth="1" min="481" max="481"/>
    <col width="10" customWidth="1" min="482" max="482"/>
    <col width="10" customWidth="1" min="483" max="483"/>
    <col width="10" customWidth="1" min="484" max="484"/>
    <col width="11" customWidth="1" min="485" max="485"/>
    <col width="11" customWidth="1" min="486" max="486"/>
    <col width="10" customWidth="1" min="487" max="487"/>
    <col width="10" customWidth="1" min="488" max="488"/>
    <col width="10" customWidth="1" min="489" max="489"/>
    <col width="10" customWidth="1" min="490" max="490"/>
    <col width="11" customWidth="1" min="491" max="491"/>
    <col width="11" customWidth="1" min="492" max="492"/>
    <col width="10" customWidth="1" min="493" max="493"/>
    <col width="11" customWidth="1" min="494" max="494"/>
    <col width="13" customWidth="1" min="495" max="495"/>
    <col width="12" customWidth="1" min="497" max="497"/>
    <col width="10" customWidth="1" min="498" max="498"/>
    <col width="10" customWidth="1" min="499" max="499"/>
    <col width="10" customWidth="1" min="500" max="500"/>
    <col width="10" customWidth="1" min="501" max="501"/>
    <col width="11" customWidth="1" min="502" max="502"/>
    <col width="11" customWidth="1" min="503" max="503"/>
    <col width="10" customWidth="1" min="504" max="504"/>
    <col width="10" customWidth="1" min="505" max="505"/>
    <col width="10" customWidth="1" min="506" max="506"/>
    <col width="10" customWidth="1" min="507" max="507"/>
    <col width="11" customWidth="1" min="508" max="508"/>
    <col width="11" customWidth="1" min="509" max="509"/>
    <col width="10" customWidth="1" min="510" max="510"/>
    <col width="11" customWidth="1" min="511" max="511"/>
    <col width="13" customWidth="1" min="512" max="512"/>
    <col width="12" customWidth="1" min="514" max="514"/>
    <col width="10" customWidth="1" min="515" max="515"/>
    <col width="10" customWidth="1" min="516" max="516"/>
    <col width="10" customWidth="1" min="517" max="517"/>
    <col width="10" customWidth="1" min="518" max="518"/>
    <col width="11" customWidth="1" min="519" max="519"/>
    <col width="11" customWidth="1" min="520" max="520"/>
    <col width="10" customWidth="1" min="521" max="521"/>
    <col width="10" customWidth="1" min="522" max="522"/>
    <col width="10" customWidth="1" min="523" max="523"/>
    <col width="10" customWidth="1" min="524" max="524"/>
    <col width="11" customWidth="1" min="525" max="525"/>
    <col width="11" customWidth="1" min="526" max="526"/>
    <col width="10" customWidth="1" min="527" max="527"/>
    <col width="11" customWidth="1" min="528" max="528"/>
    <col width="13" customWidth="1" min="529" max="529"/>
    <col width="12" customWidth="1" min="531" max="531"/>
    <col width="10" customWidth="1" min="532" max="532"/>
    <col width="10" customWidth="1" min="533" max="533"/>
    <col width="10" customWidth="1" min="534" max="534"/>
    <col width="10" customWidth="1" min="535" max="535"/>
    <col width="11" customWidth="1" min="536" max="536"/>
    <col width="11" customWidth="1" min="537" max="537"/>
    <col width="10" customWidth="1" min="538" max="538"/>
    <col width="10" customWidth="1" min="539" max="539"/>
    <col width="10" customWidth="1" min="540" max="540"/>
    <col width="10" customWidth="1" min="541" max="541"/>
    <col width="11" customWidth="1" min="542" max="542"/>
    <col width="11" customWidth="1" min="543" max="543"/>
    <col width="10" customWidth="1" min="544" max="544"/>
    <col width="11" customWidth="1" min="545" max="545"/>
    <col width="13" customWidth="1" min="546" max="546"/>
    <col width="12" customWidth="1" min="548" max="548"/>
    <col width="10" customWidth="1" min="549" max="549"/>
    <col width="10" customWidth="1" min="550" max="550"/>
    <col width="10" customWidth="1" min="551" max="551"/>
    <col width="10" customWidth="1" min="552" max="552"/>
    <col width="11" customWidth="1" min="553" max="553"/>
    <col width="11" customWidth="1" min="554" max="554"/>
    <col width="10" customWidth="1" min="555" max="555"/>
    <col width="10" customWidth="1" min="556" max="556"/>
    <col width="10" customWidth="1" min="557" max="557"/>
    <col width="10" customWidth="1" min="558" max="558"/>
    <col width="11" customWidth="1" min="559" max="559"/>
    <col width="11" customWidth="1" min="560" max="560"/>
    <col width="10" customWidth="1" min="561" max="561"/>
    <col width="11" customWidth="1" min="562" max="562"/>
    <col width="13" customWidth="1" min="563" max="563"/>
    <col width="12" customWidth="1" min="565" max="565"/>
    <col width="10" customWidth="1" min="566" max="566"/>
    <col width="10" customWidth="1" min="567" max="567"/>
    <col width="10" customWidth="1" min="568" max="568"/>
    <col width="10" customWidth="1" min="569" max="569"/>
    <col width="11" customWidth="1" min="570" max="570"/>
    <col width="11" customWidth="1" min="571" max="571"/>
    <col width="10" customWidth="1" min="572" max="572"/>
    <col width="10" customWidth="1" min="573" max="573"/>
    <col width="10" customWidth="1" min="574" max="574"/>
    <col width="10" customWidth="1" min="575" max="575"/>
    <col width="11" customWidth="1" min="576" max="576"/>
    <col width="11" customWidth="1" min="577" max="577"/>
    <col width="10" customWidth="1" min="578" max="578"/>
    <col width="11" customWidth="1" min="579" max="579"/>
    <col width="13" customWidth="1" min="580" max="580"/>
  </cols>
  <sheetData>
    <row r="1">
      <c r="A1" s="2" t="inlineStr">
        <is>
          <t>Contract month</t>
        </is>
      </c>
      <c r="B1" s="9" t="n">
        <v>12</v>
      </c>
      <c r="D1" s="2">
        <f>IF(ISNUMBER(B$8),"CL"&amp;MID("FGHJKMNQUVXZ",B$1,1)&amp;B$4&amp;"C "&amp;IF(Settings!$F$14=2,TEXT((B$8-8),"0.00"),(B$8-8))&amp;" Comdty","")</f>
        <v/>
      </c>
      <c r="U1" s="2">
        <f>IF(ISNUMBER(B$8),"CL"&amp;MID("FGHJKMNQUVXZ",B$1,1)&amp;B$4&amp;"P "&amp;IF(Settings!$F$14=2,TEXT((B$8-8),"0.00"),(B$8-8))&amp;" Comdty","")</f>
        <v/>
      </c>
      <c r="AL1" s="2">
        <f>IF(ISNUMBER(B$8),"CL"&amp;MID("FGHJKMNQUVXZ",B$1,1)&amp;B$4&amp;"C "&amp;IF(Settings!$F$14=2,TEXT((B$8-7),"0.00"),(B$8-7))&amp;" Comdty","")</f>
        <v/>
      </c>
      <c r="BC1" s="2">
        <f>IF(ISNUMBER(B$8),"CL"&amp;MID("FGHJKMNQUVXZ",B$1,1)&amp;B$4&amp;"P "&amp;IF(Settings!$F$14=2,TEXT((B$8-7),"0.00"),(B$8-7))&amp;" Comdty","")</f>
        <v/>
      </c>
      <c r="BT1" s="2">
        <f>IF(ISNUMBER(B$8),"CL"&amp;MID("FGHJKMNQUVXZ",B$1,1)&amp;B$4&amp;"C "&amp;IF(Settings!$F$14=2,TEXT((B$8-6),"0.00"),(B$8-6))&amp;" Comdty","")</f>
        <v/>
      </c>
      <c r="CK1" s="2">
        <f>IF(ISNUMBER(B$8),"CL"&amp;MID("FGHJKMNQUVXZ",B$1,1)&amp;B$4&amp;"P "&amp;IF(Settings!$F$14=2,TEXT((B$8-6),"0.00"),(B$8-6))&amp;" Comdty","")</f>
        <v/>
      </c>
      <c r="DB1" s="2">
        <f>IF(ISNUMBER(B$8),"CL"&amp;MID("FGHJKMNQUVXZ",B$1,1)&amp;B$4&amp;"C "&amp;IF(Settings!$F$14=2,TEXT((B$8-5),"0.00"),(B$8-5))&amp;" Comdty","")</f>
        <v/>
      </c>
      <c r="DS1" s="2">
        <f>IF(ISNUMBER(B$8),"CL"&amp;MID("FGHJKMNQUVXZ",B$1,1)&amp;B$4&amp;"P "&amp;IF(Settings!$F$14=2,TEXT((B$8-5),"0.00"),(B$8-5))&amp;" Comdty","")</f>
        <v/>
      </c>
      <c r="EJ1" s="2">
        <f>IF(ISNUMBER(B$8),"CL"&amp;MID("FGHJKMNQUVXZ",B$1,1)&amp;B$4&amp;"C "&amp;IF(Settings!$F$14=2,TEXT((B$8-4),"0.00"),(B$8-4))&amp;" Comdty","")</f>
        <v/>
      </c>
      <c r="FA1" s="2">
        <f>IF(ISNUMBER(B$8),"CL"&amp;MID("FGHJKMNQUVXZ",B$1,1)&amp;B$4&amp;"P "&amp;IF(Settings!$F$14=2,TEXT((B$8-4),"0.00"),(B$8-4))&amp;" Comdty","")</f>
        <v/>
      </c>
      <c r="FR1" s="2">
        <f>IF(ISNUMBER(B$8),"CL"&amp;MID("FGHJKMNQUVXZ",B$1,1)&amp;B$4&amp;"C "&amp;IF(Settings!$F$14=2,TEXT((B$8-3),"0.00"),(B$8-3))&amp;" Comdty","")</f>
        <v/>
      </c>
      <c r="GI1" s="2">
        <f>IF(ISNUMBER(B$8),"CL"&amp;MID("FGHJKMNQUVXZ",B$1,1)&amp;B$4&amp;"P "&amp;IF(Settings!$F$14=2,TEXT((B$8-3),"0.00"),(B$8-3))&amp;" Comdty","")</f>
        <v/>
      </c>
      <c r="GZ1" s="2">
        <f>IF(ISNUMBER(B$8),"CL"&amp;MID("FGHJKMNQUVXZ",B$1,1)&amp;B$4&amp;"C "&amp;IF(Settings!$F$14=2,TEXT((B$8-2),"0.00"),(B$8-2))&amp;" Comdty","")</f>
        <v/>
      </c>
      <c r="HQ1" s="2">
        <f>IF(ISNUMBER(B$8),"CL"&amp;MID("FGHJKMNQUVXZ",B$1,1)&amp;B$4&amp;"P "&amp;IF(Settings!$F$14=2,TEXT((B$8-2),"0.00"),(B$8-2))&amp;" Comdty","")</f>
        <v/>
      </c>
      <c r="IH1" s="2">
        <f>IF(ISNUMBER(B$8),"CL"&amp;MID("FGHJKMNQUVXZ",B$1,1)&amp;B$4&amp;"C "&amp;IF(Settings!$F$14=2,TEXT((B$8-1),"0.00"),(B$8-1))&amp;" Comdty","")</f>
        <v/>
      </c>
      <c r="IY1" s="2">
        <f>IF(ISNUMBER(B$8),"CL"&amp;MID("FGHJKMNQUVXZ",B$1,1)&amp;B$4&amp;"P "&amp;IF(Settings!$F$14=2,TEXT((B$8-1),"0.00"),(B$8-1))&amp;" Comdty","")</f>
        <v/>
      </c>
      <c r="JP1" s="2">
        <f>IF(ISNUMBER(B$8),"CL"&amp;MID("FGHJKMNQUVXZ",B$1,1)&amp;B$4&amp;"C "&amp;IF(Settings!$F$14=2,TEXT(B$8,"0.00"),B$8)&amp;" Comdty","")</f>
        <v/>
      </c>
      <c r="KG1" s="2">
        <f>IF(ISNUMBER(B$8),"CL"&amp;MID("FGHJKMNQUVXZ",B$1,1)&amp;B$4&amp;"P "&amp;IF(Settings!$F$14=2,TEXT(B$8,"0.00"),B$8)&amp;" Comdty","")</f>
        <v/>
      </c>
      <c r="KX1" s="2">
        <f>IF(ISNUMBER(B$8),"CL"&amp;MID("FGHJKMNQUVXZ",B$1,1)&amp;B$4&amp;"C "&amp;IF(Settings!$F$14=2,TEXT((B$8+1),"0.00"),(B$8+1))&amp;" Comdty","")</f>
        <v/>
      </c>
      <c r="LO1" s="2">
        <f>IF(ISNUMBER(B$8),"CL"&amp;MID("FGHJKMNQUVXZ",B$1,1)&amp;B$4&amp;"P "&amp;IF(Settings!$F$14=2,TEXT((B$8+1),"0.00"),(B$8+1))&amp;" Comdty","")</f>
        <v/>
      </c>
      <c r="MF1" s="2">
        <f>IF(ISNUMBER(B$8),"CL"&amp;MID("FGHJKMNQUVXZ",B$1,1)&amp;B$4&amp;"C "&amp;IF(Settings!$F$14=2,TEXT((B$8+2),"0.00"),(B$8+2))&amp;" Comdty","")</f>
        <v/>
      </c>
      <c r="MW1" s="2">
        <f>IF(ISNUMBER(B$8),"CL"&amp;MID("FGHJKMNQUVXZ",B$1,1)&amp;B$4&amp;"P "&amp;IF(Settings!$F$14=2,TEXT((B$8+2),"0.00"),(B$8+2))&amp;" Comdty","")</f>
        <v/>
      </c>
      <c r="NN1" s="2">
        <f>IF(ISNUMBER(B$8),"CL"&amp;MID("FGHJKMNQUVXZ",B$1,1)&amp;B$4&amp;"C "&amp;IF(Settings!$F$14=2,TEXT((B$8+3),"0.00"),(B$8+3))&amp;" Comdty","")</f>
        <v/>
      </c>
      <c r="OE1" s="2">
        <f>IF(ISNUMBER(B$8),"CL"&amp;MID("FGHJKMNQUVXZ",B$1,1)&amp;B$4&amp;"P "&amp;IF(Settings!$F$14=2,TEXT((B$8+3),"0.00"),(B$8+3))&amp;" Comdty","")</f>
        <v/>
      </c>
      <c r="OV1" s="2">
        <f>IF(ISNUMBER(B$8),"CL"&amp;MID("FGHJKMNQUVXZ",B$1,1)&amp;B$4&amp;"C "&amp;IF(Settings!$F$14=2,TEXT((B$8+4),"0.00"),(B$8+4))&amp;" Comdty","")</f>
        <v/>
      </c>
      <c r="PM1" s="2">
        <f>IF(ISNUMBER(B$8),"CL"&amp;MID("FGHJKMNQUVXZ",B$1,1)&amp;B$4&amp;"P "&amp;IF(Settings!$F$14=2,TEXT((B$8+4),"0.00"),(B$8+4))&amp;" Comdty","")</f>
        <v/>
      </c>
      <c r="QD1" s="2">
        <f>IF(ISNUMBER(B$8),"CL"&amp;MID("FGHJKMNQUVXZ",B$1,1)&amp;B$4&amp;"C "&amp;IF(Settings!$F$14=2,TEXT((B$8+5),"0.00"),(B$8+5))&amp;" Comdty","")</f>
        <v/>
      </c>
      <c r="QU1" s="2">
        <f>IF(ISNUMBER(B$8),"CL"&amp;MID("FGHJKMNQUVXZ",B$1,1)&amp;B$4&amp;"P "&amp;IF(Settings!$F$14=2,TEXT((B$8+5),"0.00"),(B$8+5))&amp;" Comdty","")</f>
        <v/>
      </c>
      <c r="RL1" s="2">
        <f>IF(ISNUMBER(B$8),"CL"&amp;MID("FGHJKMNQUVXZ",B$1,1)&amp;B$4&amp;"C "&amp;IF(Settings!$F$14=2,TEXT((B$8+6),"0.00"),(B$8+6))&amp;" Comdty","")</f>
        <v/>
      </c>
      <c r="SC1" s="2">
        <f>IF(ISNUMBER(B$8),"CL"&amp;MID("FGHJKMNQUVXZ",B$1,1)&amp;B$4&amp;"P "&amp;IF(Settings!$F$14=2,TEXT((B$8+6),"0.00"),(B$8+6))&amp;" Comdty","")</f>
        <v/>
      </c>
      <c r="ST1" s="2">
        <f>IF(ISNUMBER(B$8),"CL"&amp;MID("FGHJKMNQUVXZ",B$1,1)&amp;B$4&amp;"C "&amp;IF(Settings!$F$14=2,TEXT((B$8+7),"0.00"),(B$8+7))&amp;" Comdty","")</f>
        <v/>
      </c>
      <c r="TK1" s="2">
        <f>IF(ISNUMBER(B$8),"CL"&amp;MID("FGHJKMNQUVXZ",B$1,1)&amp;B$4&amp;"P "&amp;IF(Settings!$F$14=2,TEXT((B$8+7),"0.00"),(B$8+7))&amp;" Comdty","")</f>
        <v/>
      </c>
      <c r="UB1" s="2">
        <f>IF(ISNUMBER(B$8),"CL"&amp;MID("FGHJKMNQUVXZ",B$1,1)&amp;B$4&amp;"C "&amp;IF(Settings!$F$14=2,TEXT((B$8+8),"0.00"),(B$8+8))&amp;" Comdty","")</f>
        <v/>
      </c>
      <c r="US1" s="2">
        <f>IF(ISNUMBER(B$8),"CL"&amp;MID("FGHJKMNQUVXZ",B$1,1)&amp;B$4&amp;"P "&amp;IF(Settings!$F$14=2,TEXT((B$8+8),"0.00"),(B$8+8))&amp;" Comdty","")</f>
        <v/>
      </c>
    </row>
    <row r="2">
      <c r="A2" s="2" t="inlineStr">
        <is>
          <t>Futures last trade</t>
        </is>
      </c>
      <c r="B2" s="8">
        <f>WORKDAY(DATE(Settings!$E$14,B1-1,25),-3)</f>
        <v/>
      </c>
      <c r="D2" s="4" t="inlineStr">
        <is>
          <t>call -8 from ATM</t>
        </is>
      </c>
      <c r="U2" s="4" t="inlineStr">
        <is>
          <t>put -8 from ATM</t>
        </is>
      </c>
      <c r="AL2" s="4" t="inlineStr">
        <is>
          <t>call -7 from ATM</t>
        </is>
      </c>
      <c r="BC2" s="4" t="inlineStr">
        <is>
          <t>put -7 from ATM</t>
        </is>
      </c>
      <c r="BT2" s="4" t="inlineStr">
        <is>
          <t>call -6 from ATM</t>
        </is>
      </c>
      <c r="CK2" s="4" t="inlineStr">
        <is>
          <t>put -6 from ATM</t>
        </is>
      </c>
      <c r="DB2" s="4" t="inlineStr">
        <is>
          <t>call -5 from ATM</t>
        </is>
      </c>
      <c r="DS2" s="4" t="inlineStr">
        <is>
          <t>put -5 from ATM</t>
        </is>
      </c>
      <c r="EJ2" s="4" t="inlineStr">
        <is>
          <t>call -4 from ATM</t>
        </is>
      </c>
      <c r="FA2" s="4" t="inlineStr">
        <is>
          <t>put -4 from ATM</t>
        </is>
      </c>
      <c r="FR2" s="4" t="inlineStr">
        <is>
          <t>call -3 from ATM</t>
        </is>
      </c>
      <c r="GI2" s="4" t="inlineStr">
        <is>
          <t>put -3 from ATM</t>
        </is>
      </c>
      <c r="GZ2" s="4" t="inlineStr">
        <is>
          <t>call -2 from ATM</t>
        </is>
      </c>
      <c r="HQ2" s="4" t="inlineStr">
        <is>
          <t>put -2 from ATM</t>
        </is>
      </c>
      <c r="IH2" s="4" t="inlineStr">
        <is>
          <t>call -1 from ATM</t>
        </is>
      </c>
      <c r="IY2" s="4" t="inlineStr">
        <is>
          <t>put -1 from ATM</t>
        </is>
      </c>
      <c r="JP2" s="4" t="inlineStr">
        <is>
          <t>call +0 from ATM</t>
        </is>
      </c>
      <c r="KG2" s="4" t="inlineStr">
        <is>
          <t>put +0 from ATM</t>
        </is>
      </c>
      <c r="KX2" s="4" t="inlineStr">
        <is>
          <t>call +1 from ATM</t>
        </is>
      </c>
      <c r="LO2" s="4" t="inlineStr">
        <is>
          <t>put +1 from ATM</t>
        </is>
      </c>
      <c r="MF2" s="4" t="inlineStr">
        <is>
          <t>call +2 from ATM</t>
        </is>
      </c>
      <c r="MW2" s="4" t="inlineStr">
        <is>
          <t>put +2 from ATM</t>
        </is>
      </c>
      <c r="NN2" s="4" t="inlineStr">
        <is>
          <t>call +3 from ATM</t>
        </is>
      </c>
      <c r="OE2" s="4" t="inlineStr">
        <is>
          <t>put +3 from ATM</t>
        </is>
      </c>
      <c r="OV2" s="4" t="inlineStr">
        <is>
          <t>call +4 from ATM</t>
        </is>
      </c>
      <c r="PM2" s="4" t="inlineStr">
        <is>
          <t>put +4 from ATM</t>
        </is>
      </c>
      <c r="QD2" s="4" t="inlineStr">
        <is>
          <t>call +5 from ATM</t>
        </is>
      </c>
      <c r="QU2" s="4" t="inlineStr">
        <is>
          <t>put +5 from ATM</t>
        </is>
      </c>
      <c r="RL2" s="4" t="inlineStr">
        <is>
          <t>call +6 from ATM</t>
        </is>
      </c>
      <c r="SC2" s="4" t="inlineStr">
        <is>
          <t>put +6 from ATM</t>
        </is>
      </c>
      <c r="ST2" s="4" t="inlineStr">
        <is>
          <t>call +7 from ATM</t>
        </is>
      </c>
      <c r="TK2" s="4" t="inlineStr">
        <is>
          <t>put +7 from ATM</t>
        </is>
      </c>
      <c r="UB2" s="4" t="inlineStr">
        <is>
          <t>call +8 from ATM</t>
        </is>
      </c>
      <c r="US2" s="4" t="inlineStr">
        <is>
          <t>put +8 from ATM</t>
        </is>
      </c>
    </row>
    <row r="3">
      <c r="A3" s="2" t="inlineStr">
        <is>
          <t>Option expiry (approx)</t>
        </is>
      </c>
      <c r="B3" s="8">
        <f>WORKDAY(B2,-1)</f>
        <v/>
      </c>
      <c r="D3" s="5" t="inlineStr">
        <is>
          <t>Date</t>
        </is>
      </c>
      <c r="E3" s="5" t="inlineStr">
        <is>
          <t>PX_BID</t>
        </is>
      </c>
      <c r="F3" s="5" t="inlineStr">
        <is>
          <t>PX_ASK</t>
        </is>
      </c>
      <c r="G3" s="5" t="inlineStr">
        <is>
          <t>PX_MID</t>
        </is>
      </c>
      <c r="H3" s="5" t="inlineStr">
        <is>
          <t>PX_LAST</t>
        </is>
      </c>
      <c r="I3" s="5" t="inlineStr">
        <is>
          <t>PX_SETTLE</t>
        </is>
      </c>
      <c r="J3" s="5" t="inlineStr">
        <is>
          <t>PX_VOLUME</t>
        </is>
      </c>
      <c r="K3" s="5" t="inlineStr">
        <is>
          <t>OPEN_INT</t>
        </is>
      </c>
      <c r="L3" s="5" t="inlineStr">
        <is>
          <t>IVOL_MID</t>
        </is>
      </c>
      <c r="M3" s="5" t="inlineStr">
        <is>
          <t>IVOL_BID</t>
        </is>
      </c>
      <c r="N3" s="5" t="inlineStr">
        <is>
          <t>IVOL_ASK</t>
        </is>
      </c>
      <c r="O3" s="5" t="inlineStr">
        <is>
          <t>DELTA_MID</t>
        </is>
      </c>
      <c r="P3" s="5" t="inlineStr">
        <is>
          <t>GAMMA_MID</t>
        </is>
      </c>
      <c r="Q3" s="5" t="inlineStr">
        <is>
          <t>VEGA_MID</t>
        </is>
      </c>
      <c r="R3" s="5" t="inlineStr">
        <is>
          <t>THETA_MID</t>
        </is>
      </c>
      <c r="S3" s="5" t="inlineStr">
        <is>
          <t>OPT_UNDL_PX</t>
        </is>
      </c>
      <c r="U3" s="5" t="inlineStr">
        <is>
          <t>Date</t>
        </is>
      </c>
      <c r="V3" s="5" t="inlineStr">
        <is>
          <t>PX_BID</t>
        </is>
      </c>
      <c r="W3" s="5" t="inlineStr">
        <is>
          <t>PX_ASK</t>
        </is>
      </c>
      <c r="X3" s="5" t="inlineStr">
        <is>
          <t>PX_MID</t>
        </is>
      </c>
      <c r="Y3" s="5" t="inlineStr">
        <is>
          <t>PX_LAST</t>
        </is>
      </c>
      <c r="Z3" s="5" t="inlineStr">
        <is>
          <t>PX_SETTLE</t>
        </is>
      </c>
      <c r="AA3" s="5" t="inlineStr">
        <is>
          <t>PX_VOLUME</t>
        </is>
      </c>
      <c r="AB3" s="5" t="inlineStr">
        <is>
          <t>OPEN_INT</t>
        </is>
      </c>
      <c r="AC3" s="5" t="inlineStr">
        <is>
          <t>IVOL_MID</t>
        </is>
      </c>
      <c r="AD3" s="5" t="inlineStr">
        <is>
          <t>IVOL_BID</t>
        </is>
      </c>
      <c r="AE3" s="5" t="inlineStr">
        <is>
          <t>IVOL_ASK</t>
        </is>
      </c>
      <c r="AF3" s="5" t="inlineStr">
        <is>
          <t>DELTA_MID</t>
        </is>
      </c>
      <c r="AG3" s="5" t="inlineStr">
        <is>
          <t>GAMMA_MID</t>
        </is>
      </c>
      <c r="AH3" s="5" t="inlineStr">
        <is>
          <t>VEGA_MID</t>
        </is>
      </c>
      <c r="AI3" s="5" t="inlineStr">
        <is>
          <t>THETA_MID</t>
        </is>
      </c>
      <c r="AJ3" s="5" t="inlineStr">
        <is>
          <t>OPT_UNDL_PX</t>
        </is>
      </c>
      <c r="AL3" s="5" t="inlineStr">
        <is>
          <t>Date</t>
        </is>
      </c>
      <c r="AM3" s="5" t="inlineStr">
        <is>
          <t>PX_BID</t>
        </is>
      </c>
      <c r="AN3" s="5" t="inlineStr">
        <is>
          <t>PX_ASK</t>
        </is>
      </c>
      <c r="AO3" s="5" t="inlineStr">
        <is>
          <t>PX_MID</t>
        </is>
      </c>
      <c r="AP3" s="5" t="inlineStr">
        <is>
          <t>PX_LAST</t>
        </is>
      </c>
      <c r="AQ3" s="5" t="inlineStr">
        <is>
          <t>PX_SETTLE</t>
        </is>
      </c>
      <c r="AR3" s="5" t="inlineStr">
        <is>
          <t>PX_VOLUME</t>
        </is>
      </c>
      <c r="AS3" s="5" t="inlineStr">
        <is>
          <t>OPEN_INT</t>
        </is>
      </c>
      <c r="AT3" s="5" t="inlineStr">
        <is>
          <t>IVOL_MID</t>
        </is>
      </c>
      <c r="AU3" s="5" t="inlineStr">
        <is>
          <t>IVOL_BID</t>
        </is>
      </c>
      <c r="AV3" s="5" t="inlineStr">
        <is>
          <t>IVOL_ASK</t>
        </is>
      </c>
      <c r="AW3" s="5" t="inlineStr">
        <is>
          <t>DELTA_MID</t>
        </is>
      </c>
      <c r="AX3" s="5" t="inlineStr">
        <is>
          <t>GAMMA_MID</t>
        </is>
      </c>
      <c r="AY3" s="5" t="inlineStr">
        <is>
          <t>VEGA_MID</t>
        </is>
      </c>
      <c r="AZ3" s="5" t="inlineStr">
        <is>
          <t>THETA_MID</t>
        </is>
      </c>
      <c r="BA3" s="5" t="inlineStr">
        <is>
          <t>OPT_UNDL_PX</t>
        </is>
      </c>
      <c r="BC3" s="5" t="inlineStr">
        <is>
          <t>Date</t>
        </is>
      </c>
      <c r="BD3" s="5" t="inlineStr">
        <is>
          <t>PX_BID</t>
        </is>
      </c>
      <c r="BE3" s="5" t="inlineStr">
        <is>
          <t>PX_ASK</t>
        </is>
      </c>
      <c r="BF3" s="5" t="inlineStr">
        <is>
          <t>PX_MID</t>
        </is>
      </c>
      <c r="BG3" s="5" t="inlineStr">
        <is>
          <t>PX_LAST</t>
        </is>
      </c>
      <c r="BH3" s="5" t="inlineStr">
        <is>
          <t>PX_SETTLE</t>
        </is>
      </c>
      <c r="BI3" s="5" t="inlineStr">
        <is>
          <t>PX_VOLUME</t>
        </is>
      </c>
      <c r="BJ3" s="5" t="inlineStr">
        <is>
          <t>OPEN_INT</t>
        </is>
      </c>
      <c r="BK3" s="5" t="inlineStr">
        <is>
          <t>IVOL_MID</t>
        </is>
      </c>
      <c r="BL3" s="5" t="inlineStr">
        <is>
          <t>IVOL_BID</t>
        </is>
      </c>
      <c r="BM3" s="5" t="inlineStr">
        <is>
          <t>IVOL_ASK</t>
        </is>
      </c>
      <c r="BN3" s="5" t="inlineStr">
        <is>
          <t>DELTA_MID</t>
        </is>
      </c>
      <c r="BO3" s="5" t="inlineStr">
        <is>
          <t>GAMMA_MID</t>
        </is>
      </c>
      <c r="BP3" s="5" t="inlineStr">
        <is>
          <t>VEGA_MID</t>
        </is>
      </c>
      <c r="BQ3" s="5" t="inlineStr">
        <is>
          <t>THETA_MID</t>
        </is>
      </c>
      <c r="BR3" s="5" t="inlineStr">
        <is>
          <t>OPT_UNDL_PX</t>
        </is>
      </c>
      <c r="BT3" s="5" t="inlineStr">
        <is>
          <t>Date</t>
        </is>
      </c>
      <c r="BU3" s="5" t="inlineStr">
        <is>
          <t>PX_BID</t>
        </is>
      </c>
      <c r="BV3" s="5" t="inlineStr">
        <is>
          <t>PX_ASK</t>
        </is>
      </c>
      <c r="BW3" s="5" t="inlineStr">
        <is>
          <t>PX_MID</t>
        </is>
      </c>
      <c r="BX3" s="5" t="inlineStr">
        <is>
          <t>PX_LAST</t>
        </is>
      </c>
      <c r="BY3" s="5" t="inlineStr">
        <is>
          <t>PX_SETTLE</t>
        </is>
      </c>
      <c r="BZ3" s="5" t="inlineStr">
        <is>
          <t>PX_VOLUME</t>
        </is>
      </c>
      <c r="CA3" s="5" t="inlineStr">
        <is>
          <t>OPEN_INT</t>
        </is>
      </c>
      <c r="CB3" s="5" t="inlineStr">
        <is>
          <t>IVOL_MID</t>
        </is>
      </c>
      <c r="CC3" s="5" t="inlineStr">
        <is>
          <t>IVOL_BID</t>
        </is>
      </c>
      <c r="CD3" s="5" t="inlineStr">
        <is>
          <t>IVOL_ASK</t>
        </is>
      </c>
      <c r="CE3" s="5" t="inlineStr">
        <is>
          <t>DELTA_MID</t>
        </is>
      </c>
      <c r="CF3" s="5" t="inlineStr">
        <is>
          <t>GAMMA_MID</t>
        </is>
      </c>
      <c r="CG3" s="5" t="inlineStr">
        <is>
          <t>VEGA_MID</t>
        </is>
      </c>
      <c r="CH3" s="5" t="inlineStr">
        <is>
          <t>THETA_MID</t>
        </is>
      </c>
      <c r="CI3" s="5" t="inlineStr">
        <is>
          <t>OPT_UNDL_PX</t>
        </is>
      </c>
      <c r="CK3" s="5" t="inlineStr">
        <is>
          <t>Date</t>
        </is>
      </c>
      <c r="CL3" s="5" t="inlineStr">
        <is>
          <t>PX_BID</t>
        </is>
      </c>
      <c r="CM3" s="5" t="inlineStr">
        <is>
          <t>PX_ASK</t>
        </is>
      </c>
      <c r="CN3" s="5" t="inlineStr">
        <is>
          <t>PX_MID</t>
        </is>
      </c>
      <c r="CO3" s="5" t="inlineStr">
        <is>
          <t>PX_LAST</t>
        </is>
      </c>
      <c r="CP3" s="5" t="inlineStr">
        <is>
          <t>PX_SETTLE</t>
        </is>
      </c>
      <c r="CQ3" s="5" t="inlineStr">
        <is>
          <t>PX_VOLUME</t>
        </is>
      </c>
      <c r="CR3" s="5" t="inlineStr">
        <is>
          <t>OPEN_INT</t>
        </is>
      </c>
      <c r="CS3" s="5" t="inlineStr">
        <is>
          <t>IVOL_MID</t>
        </is>
      </c>
      <c r="CT3" s="5" t="inlineStr">
        <is>
          <t>IVOL_BID</t>
        </is>
      </c>
      <c r="CU3" s="5" t="inlineStr">
        <is>
          <t>IVOL_ASK</t>
        </is>
      </c>
      <c r="CV3" s="5" t="inlineStr">
        <is>
          <t>DELTA_MID</t>
        </is>
      </c>
      <c r="CW3" s="5" t="inlineStr">
        <is>
          <t>GAMMA_MID</t>
        </is>
      </c>
      <c r="CX3" s="5" t="inlineStr">
        <is>
          <t>VEGA_MID</t>
        </is>
      </c>
      <c r="CY3" s="5" t="inlineStr">
        <is>
          <t>THETA_MID</t>
        </is>
      </c>
      <c r="CZ3" s="5" t="inlineStr">
        <is>
          <t>OPT_UNDL_PX</t>
        </is>
      </c>
      <c r="DB3" s="5" t="inlineStr">
        <is>
          <t>Date</t>
        </is>
      </c>
      <c r="DC3" s="5" t="inlineStr">
        <is>
          <t>PX_BID</t>
        </is>
      </c>
      <c r="DD3" s="5" t="inlineStr">
        <is>
          <t>PX_ASK</t>
        </is>
      </c>
      <c r="DE3" s="5" t="inlineStr">
        <is>
          <t>PX_MID</t>
        </is>
      </c>
      <c r="DF3" s="5" t="inlineStr">
        <is>
          <t>PX_LAST</t>
        </is>
      </c>
      <c r="DG3" s="5" t="inlineStr">
        <is>
          <t>PX_SETTLE</t>
        </is>
      </c>
      <c r="DH3" s="5" t="inlineStr">
        <is>
          <t>PX_VOLUME</t>
        </is>
      </c>
      <c r="DI3" s="5" t="inlineStr">
        <is>
          <t>OPEN_INT</t>
        </is>
      </c>
      <c r="DJ3" s="5" t="inlineStr">
        <is>
          <t>IVOL_MID</t>
        </is>
      </c>
      <c r="DK3" s="5" t="inlineStr">
        <is>
          <t>IVOL_BID</t>
        </is>
      </c>
      <c r="DL3" s="5" t="inlineStr">
        <is>
          <t>IVOL_ASK</t>
        </is>
      </c>
      <c r="DM3" s="5" t="inlineStr">
        <is>
          <t>DELTA_MID</t>
        </is>
      </c>
      <c r="DN3" s="5" t="inlineStr">
        <is>
          <t>GAMMA_MID</t>
        </is>
      </c>
      <c r="DO3" s="5" t="inlineStr">
        <is>
          <t>VEGA_MID</t>
        </is>
      </c>
      <c r="DP3" s="5" t="inlineStr">
        <is>
          <t>THETA_MID</t>
        </is>
      </c>
      <c r="DQ3" s="5" t="inlineStr">
        <is>
          <t>OPT_UNDL_PX</t>
        </is>
      </c>
      <c r="DS3" s="5" t="inlineStr">
        <is>
          <t>Date</t>
        </is>
      </c>
      <c r="DT3" s="5" t="inlineStr">
        <is>
          <t>PX_BID</t>
        </is>
      </c>
      <c r="DU3" s="5" t="inlineStr">
        <is>
          <t>PX_ASK</t>
        </is>
      </c>
      <c r="DV3" s="5" t="inlineStr">
        <is>
          <t>PX_MID</t>
        </is>
      </c>
      <c r="DW3" s="5" t="inlineStr">
        <is>
          <t>PX_LAST</t>
        </is>
      </c>
      <c r="DX3" s="5" t="inlineStr">
        <is>
          <t>PX_SETTLE</t>
        </is>
      </c>
      <c r="DY3" s="5" t="inlineStr">
        <is>
          <t>PX_VOLUME</t>
        </is>
      </c>
      <c r="DZ3" s="5" t="inlineStr">
        <is>
          <t>OPEN_INT</t>
        </is>
      </c>
      <c r="EA3" s="5" t="inlineStr">
        <is>
          <t>IVOL_MID</t>
        </is>
      </c>
      <c r="EB3" s="5" t="inlineStr">
        <is>
          <t>IVOL_BID</t>
        </is>
      </c>
      <c r="EC3" s="5" t="inlineStr">
        <is>
          <t>IVOL_ASK</t>
        </is>
      </c>
      <c r="ED3" s="5" t="inlineStr">
        <is>
          <t>DELTA_MID</t>
        </is>
      </c>
      <c r="EE3" s="5" t="inlineStr">
        <is>
          <t>GAMMA_MID</t>
        </is>
      </c>
      <c r="EF3" s="5" t="inlineStr">
        <is>
          <t>VEGA_MID</t>
        </is>
      </c>
      <c r="EG3" s="5" t="inlineStr">
        <is>
          <t>THETA_MID</t>
        </is>
      </c>
      <c r="EH3" s="5" t="inlineStr">
        <is>
          <t>OPT_UNDL_PX</t>
        </is>
      </c>
      <c r="EJ3" s="5" t="inlineStr">
        <is>
          <t>Date</t>
        </is>
      </c>
      <c r="EK3" s="5" t="inlineStr">
        <is>
          <t>PX_BID</t>
        </is>
      </c>
      <c r="EL3" s="5" t="inlineStr">
        <is>
          <t>PX_ASK</t>
        </is>
      </c>
      <c r="EM3" s="5" t="inlineStr">
        <is>
          <t>PX_MID</t>
        </is>
      </c>
      <c r="EN3" s="5" t="inlineStr">
        <is>
          <t>PX_LAST</t>
        </is>
      </c>
      <c r="EO3" s="5" t="inlineStr">
        <is>
          <t>PX_SETTLE</t>
        </is>
      </c>
      <c r="EP3" s="5" t="inlineStr">
        <is>
          <t>PX_VOLUME</t>
        </is>
      </c>
      <c r="EQ3" s="5" t="inlineStr">
        <is>
          <t>OPEN_INT</t>
        </is>
      </c>
      <c r="ER3" s="5" t="inlineStr">
        <is>
          <t>IVOL_MID</t>
        </is>
      </c>
      <c r="ES3" s="5" t="inlineStr">
        <is>
          <t>IVOL_BID</t>
        </is>
      </c>
      <c r="ET3" s="5" t="inlineStr">
        <is>
          <t>IVOL_ASK</t>
        </is>
      </c>
      <c r="EU3" s="5" t="inlineStr">
        <is>
          <t>DELTA_MID</t>
        </is>
      </c>
      <c r="EV3" s="5" t="inlineStr">
        <is>
          <t>GAMMA_MID</t>
        </is>
      </c>
      <c r="EW3" s="5" t="inlineStr">
        <is>
          <t>VEGA_MID</t>
        </is>
      </c>
      <c r="EX3" s="5" t="inlineStr">
        <is>
          <t>THETA_MID</t>
        </is>
      </c>
      <c r="EY3" s="5" t="inlineStr">
        <is>
          <t>OPT_UNDL_PX</t>
        </is>
      </c>
      <c r="FA3" s="5" t="inlineStr">
        <is>
          <t>Date</t>
        </is>
      </c>
      <c r="FB3" s="5" t="inlineStr">
        <is>
          <t>PX_BID</t>
        </is>
      </c>
      <c r="FC3" s="5" t="inlineStr">
        <is>
          <t>PX_ASK</t>
        </is>
      </c>
      <c r="FD3" s="5" t="inlineStr">
        <is>
          <t>PX_MID</t>
        </is>
      </c>
      <c r="FE3" s="5" t="inlineStr">
        <is>
          <t>PX_LAST</t>
        </is>
      </c>
      <c r="FF3" s="5" t="inlineStr">
        <is>
          <t>PX_SETTLE</t>
        </is>
      </c>
      <c r="FG3" s="5" t="inlineStr">
        <is>
          <t>PX_VOLUME</t>
        </is>
      </c>
      <c r="FH3" s="5" t="inlineStr">
        <is>
          <t>OPEN_INT</t>
        </is>
      </c>
      <c r="FI3" s="5" t="inlineStr">
        <is>
          <t>IVOL_MID</t>
        </is>
      </c>
      <c r="FJ3" s="5" t="inlineStr">
        <is>
          <t>IVOL_BID</t>
        </is>
      </c>
      <c r="FK3" s="5" t="inlineStr">
        <is>
          <t>IVOL_ASK</t>
        </is>
      </c>
      <c r="FL3" s="5" t="inlineStr">
        <is>
          <t>DELTA_MID</t>
        </is>
      </c>
      <c r="FM3" s="5" t="inlineStr">
        <is>
          <t>GAMMA_MID</t>
        </is>
      </c>
      <c r="FN3" s="5" t="inlineStr">
        <is>
          <t>VEGA_MID</t>
        </is>
      </c>
      <c r="FO3" s="5" t="inlineStr">
        <is>
          <t>THETA_MID</t>
        </is>
      </c>
      <c r="FP3" s="5" t="inlineStr">
        <is>
          <t>OPT_UNDL_PX</t>
        </is>
      </c>
      <c r="FR3" s="5" t="inlineStr">
        <is>
          <t>Date</t>
        </is>
      </c>
      <c r="FS3" s="5" t="inlineStr">
        <is>
          <t>PX_BID</t>
        </is>
      </c>
      <c r="FT3" s="5" t="inlineStr">
        <is>
          <t>PX_ASK</t>
        </is>
      </c>
      <c r="FU3" s="5" t="inlineStr">
        <is>
          <t>PX_MID</t>
        </is>
      </c>
      <c r="FV3" s="5" t="inlineStr">
        <is>
          <t>PX_LAST</t>
        </is>
      </c>
      <c r="FW3" s="5" t="inlineStr">
        <is>
          <t>PX_SETTLE</t>
        </is>
      </c>
      <c r="FX3" s="5" t="inlineStr">
        <is>
          <t>PX_VOLUME</t>
        </is>
      </c>
      <c r="FY3" s="5" t="inlineStr">
        <is>
          <t>OPEN_INT</t>
        </is>
      </c>
      <c r="FZ3" s="5" t="inlineStr">
        <is>
          <t>IVOL_MID</t>
        </is>
      </c>
      <c r="GA3" s="5" t="inlineStr">
        <is>
          <t>IVOL_BID</t>
        </is>
      </c>
      <c r="GB3" s="5" t="inlineStr">
        <is>
          <t>IVOL_ASK</t>
        </is>
      </c>
      <c r="GC3" s="5" t="inlineStr">
        <is>
          <t>DELTA_MID</t>
        </is>
      </c>
      <c r="GD3" s="5" t="inlineStr">
        <is>
          <t>GAMMA_MID</t>
        </is>
      </c>
      <c r="GE3" s="5" t="inlineStr">
        <is>
          <t>VEGA_MID</t>
        </is>
      </c>
      <c r="GF3" s="5" t="inlineStr">
        <is>
          <t>THETA_MID</t>
        </is>
      </c>
      <c r="GG3" s="5" t="inlineStr">
        <is>
          <t>OPT_UNDL_PX</t>
        </is>
      </c>
      <c r="GI3" s="5" t="inlineStr">
        <is>
          <t>Date</t>
        </is>
      </c>
      <c r="GJ3" s="5" t="inlineStr">
        <is>
          <t>PX_BID</t>
        </is>
      </c>
      <c r="GK3" s="5" t="inlineStr">
        <is>
          <t>PX_ASK</t>
        </is>
      </c>
      <c r="GL3" s="5" t="inlineStr">
        <is>
          <t>PX_MID</t>
        </is>
      </c>
      <c r="GM3" s="5" t="inlineStr">
        <is>
          <t>PX_LAST</t>
        </is>
      </c>
      <c r="GN3" s="5" t="inlineStr">
        <is>
          <t>PX_SETTLE</t>
        </is>
      </c>
      <c r="GO3" s="5" t="inlineStr">
        <is>
          <t>PX_VOLUME</t>
        </is>
      </c>
      <c r="GP3" s="5" t="inlineStr">
        <is>
          <t>OPEN_INT</t>
        </is>
      </c>
      <c r="GQ3" s="5" t="inlineStr">
        <is>
          <t>IVOL_MID</t>
        </is>
      </c>
      <c r="GR3" s="5" t="inlineStr">
        <is>
          <t>IVOL_BID</t>
        </is>
      </c>
      <c r="GS3" s="5" t="inlineStr">
        <is>
          <t>IVOL_ASK</t>
        </is>
      </c>
      <c r="GT3" s="5" t="inlineStr">
        <is>
          <t>DELTA_MID</t>
        </is>
      </c>
      <c r="GU3" s="5" t="inlineStr">
        <is>
          <t>GAMMA_MID</t>
        </is>
      </c>
      <c r="GV3" s="5" t="inlineStr">
        <is>
          <t>VEGA_MID</t>
        </is>
      </c>
      <c r="GW3" s="5" t="inlineStr">
        <is>
          <t>THETA_MID</t>
        </is>
      </c>
      <c r="GX3" s="5" t="inlineStr">
        <is>
          <t>OPT_UNDL_PX</t>
        </is>
      </c>
      <c r="GZ3" s="5" t="inlineStr">
        <is>
          <t>Date</t>
        </is>
      </c>
      <c r="HA3" s="5" t="inlineStr">
        <is>
          <t>PX_BID</t>
        </is>
      </c>
      <c r="HB3" s="5" t="inlineStr">
        <is>
          <t>PX_ASK</t>
        </is>
      </c>
      <c r="HC3" s="5" t="inlineStr">
        <is>
          <t>PX_MID</t>
        </is>
      </c>
      <c r="HD3" s="5" t="inlineStr">
        <is>
          <t>PX_LAST</t>
        </is>
      </c>
      <c r="HE3" s="5" t="inlineStr">
        <is>
          <t>PX_SETTLE</t>
        </is>
      </c>
      <c r="HF3" s="5" t="inlineStr">
        <is>
          <t>PX_VOLUME</t>
        </is>
      </c>
      <c r="HG3" s="5" t="inlineStr">
        <is>
          <t>OPEN_INT</t>
        </is>
      </c>
      <c r="HH3" s="5" t="inlineStr">
        <is>
          <t>IVOL_MID</t>
        </is>
      </c>
      <c r="HI3" s="5" t="inlineStr">
        <is>
          <t>IVOL_BID</t>
        </is>
      </c>
      <c r="HJ3" s="5" t="inlineStr">
        <is>
          <t>IVOL_ASK</t>
        </is>
      </c>
      <c r="HK3" s="5" t="inlineStr">
        <is>
          <t>DELTA_MID</t>
        </is>
      </c>
      <c r="HL3" s="5" t="inlineStr">
        <is>
          <t>GAMMA_MID</t>
        </is>
      </c>
      <c r="HM3" s="5" t="inlineStr">
        <is>
          <t>VEGA_MID</t>
        </is>
      </c>
      <c r="HN3" s="5" t="inlineStr">
        <is>
          <t>THETA_MID</t>
        </is>
      </c>
      <c r="HO3" s="5" t="inlineStr">
        <is>
          <t>OPT_UNDL_PX</t>
        </is>
      </c>
      <c r="HQ3" s="5" t="inlineStr">
        <is>
          <t>Date</t>
        </is>
      </c>
      <c r="HR3" s="5" t="inlineStr">
        <is>
          <t>PX_BID</t>
        </is>
      </c>
      <c r="HS3" s="5" t="inlineStr">
        <is>
          <t>PX_ASK</t>
        </is>
      </c>
      <c r="HT3" s="5" t="inlineStr">
        <is>
          <t>PX_MID</t>
        </is>
      </c>
      <c r="HU3" s="5" t="inlineStr">
        <is>
          <t>PX_LAST</t>
        </is>
      </c>
      <c r="HV3" s="5" t="inlineStr">
        <is>
          <t>PX_SETTLE</t>
        </is>
      </c>
      <c r="HW3" s="5" t="inlineStr">
        <is>
          <t>PX_VOLUME</t>
        </is>
      </c>
      <c r="HX3" s="5" t="inlineStr">
        <is>
          <t>OPEN_INT</t>
        </is>
      </c>
      <c r="HY3" s="5" t="inlineStr">
        <is>
          <t>IVOL_MID</t>
        </is>
      </c>
      <c r="HZ3" s="5" t="inlineStr">
        <is>
          <t>IVOL_BID</t>
        </is>
      </c>
      <c r="IA3" s="5" t="inlineStr">
        <is>
          <t>IVOL_ASK</t>
        </is>
      </c>
      <c r="IB3" s="5" t="inlineStr">
        <is>
          <t>DELTA_MID</t>
        </is>
      </c>
      <c r="IC3" s="5" t="inlineStr">
        <is>
          <t>GAMMA_MID</t>
        </is>
      </c>
      <c r="ID3" s="5" t="inlineStr">
        <is>
          <t>VEGA_MID</t>
        </is>
      </c>
      <c r="IE3" s="5" t="inlineStr">
        <is>
          <t>THETA_MID</t>
        </is>
      </c>
      <c r="IF3" s="5" t="inlineStr">
        <is>
          <t>OPT_UNDL_PX</t>
        </is>
      </c>
      <c r="IH3" s="5" t="inlineStr">
        <is>
          <t>Date</t>
        </is>
      </c>
      <c r="II3" s="5" t="inlineStr">
        <is>
          <t>PX_BID</t>
        </is>
      </c>
      <c r="IJ3" s="5" t="inlineStr">
        <is>
          <t>PX_ASK</t>
        </is>
      </c>
      <c r="IK3" s="5" t="inlineStr">
        <is>
          <t>PX_MID</t>
        </is>
      </c>
      <c r="IL3" s="5" t="inlineStr">
        <is>
          <t>PX_LAST</t>
        </is>
      </c>
      <c r="IM3" s="5" t="inlineStr">
        <is>
          <t>PX_SETTLE</t>
        </is>
      </c>
      <c r="IN3" s="5" t="inlineStr">
        <is>
          <t>PX_VOLUME</t>
        </is>
      </c>
      <c r="IO3" s="5" t="inlineStr">
        <is>
          <t>OPEN_INT</t>
        </is>
      </c>
      <c r="IP3" s="5" t="inlineStr">
        <is>
          <t>IVOL_MID</t>
        </is>
      </c>
      <c r="IQ3" s="5" t="inlineStr">
        <is>
          <t>IVOL_BID</t>
        </is>
      </c>
      <c r="IR3" s="5" t="inlineStr">
        <is>
          <t>IVOL_ASK</t>
        </is>
      </c>
      <c r="IS3" s="5" t="inlineStr">
        <is>
          <t>DELTA_MID</t>
        </is>
      </c>
      <c r="IT3" s="5" t="inlineStr">
        <is>
          <t>GAMMA_MID</t>
        </is>
      </c>
      <c r="IU3" s="5" t="inlineStr">
        <is>
          <t>VEGA_MID</t>
        </is>
      </c>
      <c r="IV3" s="5" t="inlineStr">
        <is>
          <t>THETA_MID</t>
        </is>
      </c>
      <c r="IW3" s="5" t="inlineStr">
        <is>
          <t>OPT_UNDL_PX</t>
        </is>
      </c>
      <c r="IY3" s="5" t="inlineStr">
        <is>
          <t>Date</t>
        </is>
      </c>
      <c r="IZ3" s="5" t="inlineStr">
        <is>
          <t>PX_BID</t>
        </is>
      </c>
      <c r="JA3" s="5" t="inlineStr">
        <is>
          <t>PX_ASK</t>
        </is>
      </c>
      <c r="JB3" s="5" t="inlineStr">
        <is>
          <t>PX_MID</t>
        </is>
      </c>
      <c r="JC3" s="5" t="inlineStr">
        <is>
          <t>PX_LAST</t>
        </is>
      </c>
      <c r="JD3" s="5" t="inlineStr">
        <is>
          <t>PX_SETTLE</t>
        </is>
      </c>
      <c r="JE3" s="5" t="inlineStr">
        <is>
          <t>PX_VOLUME</t>
        </is>
      </c>
      <c r="JF3" s="5" t="inlineStr">
        <is>
          <t>OPEN_INT</t>
        </is>
      </c>
      <c r="JG3" s="5" t="inlineStr">
        <is>
          <t>IVOL_MID</t>
        </is>
      </c>
      <c r="JH3" s="5" t="inlineStr">
        <is>
          <t>IVOL_BID</t>
        </is>
      </c>
      <c r="JI3" s="5" t="inlineStr">
        <is>
          <t>IVOL_ASK</t>
        </is>
      </c>
      <c r="JJ3" s="5" t="inlineStr">
        <is>
          <t>DELTA_MID</t>
        </is>
      </c>
      <c r="JK3" s="5" t="inlineStr">
        <is>
          <t>GAMMA_MID</t>
        </is>
      </c>
      <c r="JL3" s="5" t="inlineStr">
        <is>
          <t>VEGA_MID</t>
        </is>
      </c>
      <c r="JM3" s="5" t="inlineStr">
        <is>
          <t>THETA_MID</t>
        </is>
      </c>
      <c r="JN3" s="5" t="inlineStr">
        <is>
          <t>OPT_UNDL_PX</t>
        </is>
      </c>
      <c r="JP3" s="5" t="inlineStr">
        <is>
          <t>Date</t>
        </is>
      </c>
      <c r="JQ3" s="5" t="inlineStr">
        <is>
          <t>PX_BID</t>
        </is>
      </c>
      <c r="JR3" s="5" t="inlineStr">
        <is>
          <t>PX_ASK</t>
        </is>
      </c>
      <c r="JS3" s="5" t="inlineStr">
        <is>
          <t>PX_MID</t>
        </is>
      </c>
      <c r="JT3" s="5" t="inlineStr">
        <is>
          <t>PX_LAST</t>
        </is>
      </c>
      <c r="JU3" s="5" t="inlineStr">
        <is>
          <t>PX_SETTLE</t>
        </is>
      </c>
      <c r="JV3" s="5" t="inlineStr">
        <is>
          <t>PX_VOLUME</t>
        </is>
      </c>
      <c r="JW3" s="5" t="inlineStr">
        <is>
          <t>OPEN_INT</t>
        </is>
      </c>
      <c r="JX3" s="5" t="inlineStr">
        <is>
          <t>IVOL_MID</t>
        </is>
      </c>
      <c r="JY3" s="5" t="inlineStr">
        <is>
          <t>IVOL_BID</t>
        </is>
      </c>
      <c r="JZ3" s="5" t="inlineStr">
        <is>
          <t>IVOL_ASK</t>
        </is>
      </c>
      <c r="KA3" s="5" t="inlineStr">
        <is>
          <t>DELTA_MID</t>
        </is>
      </c>
      <c r="KB3" s="5" t="inlineStr">
        <is>
          <t>GAMMA_MID</t>
        </is>
      </c>
      <c r="KC3" s="5" t="inlineStr">
        <is>
          <t>VEGA_MID</t>
        </is>
      </c>
      <c r="KD3" s="5" t="inlineStr">
        <is>
          <t>THETA_MID</t>
        </is>
      </c>
      <c r="KE3" s="5" t="inlineStr">
        <is>
          <t>OPT_UNDL_PX</t>
        </is>
      </c>
      <c r="KG3" s="5" t="inlineStr">
        <is>
          <t>Date</t>
        </is>
      </c>
      <c r="KH3" s="5" t="inlineStr">
        <is>
          <t>PX_BID</t>
        </is>
      </c>
      <c r="KI3" s="5" t="inlineStr">
        <is>
          <t>PX_ASK</t>
        </is>
      </c>
      <c r="KJ3" s="5" t="inlineStr">
        <is>
          <t>PX_MID</t>
        </is>
      </c>
      <c r="KK3" s="5" t="inlineStr">
        <is>
          <t>PX_LAST</t>
        </is>
      </c>
      <c r="KL3" s="5" t="inlineStr">
        <is>
          <t>PX_SETTLE</t>
        </is>
      </c>
      <c r="KM3" s="5" t="inlineStr">
        <is>
          <t>PX_VOLUME</t>
        </is>
      </c>
      <c r="KN3" s="5" t="inlineStr">
        <is>
          <t>OPEN_INT</t>
        </is>
      </c>
      <c r="KO3" s="5" t="inlineStr">
        <is>
          <t>IVOL_MID</t>
        </is>
      </c>
      <c r="KP3" s="5" t="inlineStr">
        <is>
          <t>IVOL_BID</t>
        </is>
      </c>
      <c r="KQ3" s="5" t="inlineStr">
        <is>
          <t>IVOL_ASK</t>
        </is>
      </c>
      <c r="KR3" s="5" t="inlineStr">
        <is>
          <t>DELTA_MID</t>
        </is>
      </c>
      <c r="KS3" s="5" t="inlineStr">
        <is>
          <t>GAMMA_MID</t>
        </is>
      </c>
      <c r="KT3" s="5" t="inlineStr">
        <is>
          <t>VEGA_MID</t>
        </is>
      </c>
      <c r="KU3" s="5" t="inlineStr">
        <is>
          <t>THETA_MID</t>
        </is>
      </c>
      <c r="KV3" s="5" t="inlineStr">
        <is>
          <t>OPT_UNDL_PX</t>
        </is>
      </c>
      <c r="KX3" s="5" t="inlineStr">
        <is>
          <t>Date</t>
        </is>
      </c>
      <c r="KY3" s="5" t="inlineStr">
        <is>
          <t>PX_BID</t>
        </is>
      </c>
      <c r="KZ3" s="5" t="inlineStr">
        <is>
          <t>PX_ASK</t>
        </is>
      </c>
      <c r="LA3" s="5" t="inlineStr">
        <is>
          <t>PX_MID</t>
        </is>
      </c>
      <c r="LB3" s="5" t="inlineStr">
        <is>
          <t>PX_LAST</t>
        </is>
      </c>
      <c r="LC3" s="5" t="inlineStr">
        <is>
          <t>PX_SETTLE</t>
        </is>
      </c>
      <c r="LD3" s="5" t="inlineStr">
        <is>
          <t>PX_VOLUME</t>
        </is>
      </c>
      <c r="LE3" s="5" t="inlineStr">
        <is>
          <t>OPEN_INT</t>
        </is>
      </c>
      <c r="LF3" s="5" t="inlineStr">
        <is>
          <t>IVOL_MID</t>
        </is>
      </c>
      <c r="LG3" s="5" t="inlineStr">
        <is>
          <t>IVOL_BID</t>
        </is>
      </c>
      <c r="LH3" s="5" t="inlineStr">
        <is>
          <t>IVOL_ASK</t>
        </is>
      </c>
      <c r="LI3" s="5" t="inlineStr">
        <is>
          <t>DELTA_MID</t>
        </is>
      </c>
      <c r="LJ3" s="5" t="inlineStr">
        <is>
          <t>GAMMA_MID</t>
        </is>
      </c>
      <c r="LK3" s="5" t="inlineStr">
        <is>
          <t>VEGA_MID</t>
        </is>
      </c>
      <c r="LL3" s="5" t="inlineStr">
        <is>
          <t>THETA_MID</t>
        </is>
      </c>
      <c r="LM3" s="5" t="inlineStr">
        <is>
          <t>OPT_UNDL_PX</t>
        </is>
      </c>
      <c r="LO3" s="5" t="inlineStr">
        <is>
          <t>Date</t>
        </is>
      </c>
      <c r="LP3" s="5" t="inlineStr">
        <is>
          <t>PX_BID</t>
        </is>
      </c>
      <c r="LQ3" s="5" t="inlineStr">
        <is>
          <t>PX_ASK</t>
        </is>
      </c>
      <c r="LR3" s="5" t="inlineStr">
        <is>
          <t>PX_MID</t>
        </is>
      </c>
      <c r="LS3" s="5" t="inlineStr">
        <is>
          <t>PX_LAST</t>
        </is>
      </c>
      <c r="LT3" s="5" t="inlineStr">
        <is>
          <t>PX_SETTLE</t>
        </is>
      </c>
      <c r="LU3" s="5" t="inlineStr">
        <is>
          <t>PX_VOLUME</t>
        </is>
      </c>
      <c r="LV3" s="5" t="inlineStr">
        <is>
          <t>OPEN_INT</t>
        </is>
      </c>
      <c r="LW3" s="5" t="inlineStr">
        <is>
          <t>IVOL_MID</t>
        </is>
      </c>
      <c r="LX3" s="5" t="inlineStr">
        <is>
          <t>IVOL_BID</t>
        </is>
      </c>
      <c r="LY3" s="5" t="inlineStr">
        <is>
          <t>IVOL_ASK</t>
        </is>
      </c>
      <c r="LZ3" s="5" t="inlineStr">
        <is>
          <t>DELTA_MID</t>
        </is>
      </c>
      <c r="MA3" s="5" t="inlineStr">
        <is>
          <t>GAMMA_MID</t>
        </is>
      </c>
      <c r="MB3" s="5" t="inlineStr">
        <is>
          <t>VEGA_MID</t>
        </is>
      </c>
      <c r="MC3" s="5" t="inlineStr">
        <is>
          <t>THETA_MID</t>
        </is>
      </c>
      <c r="MD3" s="5" t="inlineStr">
        <is>
          <t>OPT_UNDL_PX</t>
        </is>
      </c>
      <c r="MF3" s="5" t="inlineStr">
        <is>
          <t>Date</t>
        </is>
      </c>
      <c r="MG3" s="5" t="inlineStr">
        <is>
          <t>PX_BID</t>
        </is>
      </c>
      <c r="MH3" s="5" t="inlineStr">
        <is>
          <t>PX_ASK</t>
        </is>
      </c>
      <c r="MI3" s="5" t="inlineStr">
        <is>
          <t>PX_MID</t>
        </is>
      </c>
      <c r="MJ3" s="5" t="inlineStr">
        <is>
          <t>PX_LAST</t>
        </is>
      </c>
      <c r="MK3" s="5" t="inlineStr">
        <is>
          <t>PX_SETTLE</t>
        </is>
      </c>
      <c r="ML3" s="5" t="inlineStr">
        <is>
          <t>PX_VOLUME</t>
        </is>
      </c>
      <c r="MM3" s="5" t="inlineStr">
        <is>
          <t>OPEN_INT</t>
        </is>
      </c>
      <c r="MN3" s="5" t="inlineStr">
        <is>
          <t>IVOL_MID</t>
        </is>
      </c>
      <c r="MO3" s="5" t="inlineStr">
        <is>
          <t>IVOL_BID</t>
        </is>
      </c>
      <c r="MP3" s="5" t="inlineStr">
        <is>
          <t>IVOL_ASK</t>
        </is>
      </c>
      <c r="MQ3" s="5" t="inlineStr">
        <is>
          <t>DELTA_MID</t>
        </is>
      </c>
      <c r="MR3" s="5" t="inlineStr">
        <is>
          <t>GAMMA_MID</t>
        </is>
      </c>
      <c r="MS3" s="5" t="inlineStr">
        <is>
          <t>VEGA_MID</t>
        </is>
      </c>
      <c r="MT3" s="5" t="inlineStr">
        <is>
          <t>THETA_MID</t>
        </is>
      </c>
      <c r="MU3" s="5" t="inlineStr">
        <is>
          <t>OPT_UNDL_PX</t>
        </is>
      </c>
      <c r="MW3" s="5" t="inlineStr">
        <is>
          <t>Date</t>
        </is>
      </c>
      <c r="MX3" s="5" t="inlineStr">
        <is>
          <t>PX_BID</t>
        </is>
      </c>
      <c r="MY3" s="5" t="inlineStr">
        <is>
          <t>PX_ASK</t>
        </is>
      </c>
      <c r="MZ3" s="5" t="inlineStr">
        <is>
          <t>PX_MID</t>
        </is>
      </c>
      <c r="NA3" s="5" t="inlineStr">
        <is>
          <t>PX_LAST</t>
        </is>
      </c>
      <c r="NB3" s="5" t="inlineStr">
        <is>
          <t>PX_SETTLE</t>
        </is>
      </c>
      <c r="NC3" s="5" t="inlineStr">
        <is>
          <t>PX_VOLUME</t>
        </is>
      </c>
      <c r="ND3" s="5" t="inlineStr">
        <is>
          <t>OPEN_INT</t>
        </is>
      </c>
      <c r="NE3" s="5" t="inlineStr">
        <is>
          <t>IVOL_MID</t>
        </is>
      </c>
      <c r="NF3" s="5" t="inlineStr">
        <is>
          <t>IVOL_BID</t>
        </is>
      </c>
      <c r="NG3" s="5" t="inlineStr">
        <is>
          <t>IVOL_ASK</t>
        </is>
      </c>
      <c r="NH3" s="5" t="inlineStr">
        <is>
          <t>DELTA_MID</t>
        </is>
      </c>
      <c r="NI3" s="5" t="inlineStr">
        <is>
          <t>GAMMA_MID</t>
        </is>
      </c>
      <c r="NJ3" s="5" t="inlineStr">
        <is>
          <t>VEGA_MID</t>
        </is>
      </c>
      <c r="NK3" s="5" t="inlineStr">
        <is>
          <t>THETA_MID</t>
        </is>
      </c>
      <c r="NL3" s="5" t="inlineStr">
        <is>
          <t>OPT_UNDL_PX</t>
        </is>
      </c>
      <c r="NN3" s="5" t="inlineStr">
        <is>
          <t>Date</t>
        </is>
      </c>
      <c r="NO3" s="5" t="inlineStr">
        <is>
          <t>PX_BID</t>
        </is>
      </c>
      <c r="NP3" s="5" t="inlineStr">
        <is>
          <t>PX_ASK</t>
        </is>
      </c>
      <c r="NQ3" s="5" t="inlineStr">
        <is>
          <t>PX_MID</t>
        </is>
      </c>
      <c r="NR3" s="5" t="inlineStr">
        <is>
          <t>PX_LAST</t>
        </is>
      </c>
      <c r="NS3" s="5" t="inlineStr">
        <is>
          <t>PX_SETTLE</t>
        </is>
      </c>
      <c r="NT3" s="5" t="inlineStr">
        <is>
          <t>PX_VOLUME</t>
        </is>
      </c>
      <c r="NU3" s="5" t="inlineStr">
        <is>
          <t>OPEN_INT</t>
        </is>
      </c>
      <c r="NV3" s="5" t="inlineStr">
        <is>
          <t>IVOL_MID</t>
        </is>
      </c>
      <c r="NW3" s="5" t="inlineStr">
        <is>
          <t>IVOL_BID</t>
        </is>
      </c>
      <c r="NX3" s="5" t="inlineStr">
        <is>
          <t>IVOL_ASK</t>
        </is>
      </c>
      <c r="NY3" s="5" t="inlineStr">
        <is>
          <t>DELTA_MID</t>
        </is>
      </c>
      <c r="NZ3" s="5" t="inlineStr">
        <is>
          <t>GAMMA_MID</t>
        </is>
      </c>
      <c r="OA3" s="5" t="inlineStr">
        <is>
          <t>VEGA_MID</t>
        </is>
      </c>
      <c r="OB3" s="5" t="inlineStr">
        <is>
          <t>THETA_MID</t>
        </is>
      </c>
      <c r="OC3" s="5" t="inlineStr">
        <is>
          <t>OPT_UNDL_PX</t>
        </is>
      </c>
      <c r="OE3" s="5" t="inlineStr">
        <is>
          <t>Date</t>
        </is>
      </c>
      <c r="OF3" s="5" t="inlineStr">
        <is>
          <t>PX_BID</t>
        </is>
      </c>
      <c r="OG3" s="5" t="inlineStr">
        <is>
          <t>PX_ASK</t>
        </is>
      </c>
      <c r="OH3" s="5" t="inlineStr">
        <is>
          <t>PX_MID</t>
        </is>
      </c>
      <c r="OI3" s="5" t="inlineStr">
        <is>
          <t>PX_LAST</t>
        </is>
      </c>
      <c r="OJ3" s="5" t="inlineStr">
        <is>
          <t>PX_SETTLE</t>
        </is>
      </c>
      <c r="OK3" s="5" t="inlineStr">
        <is>
          <t>PX_VOLUME</t>
        </is>
      </c>
      <c r="OL3" s="5" t="inlineStr">
        <is>
          <t>OPEN_INT</t>
        </is>
      </c>
      <c r="OM3" s="5" t="inlineStr">
        <is>
          <t>IVOL_MID</t>
        </is>
      </c>
      <c r="ON3" s="5" t="inlineStr">
        <is>
          <t>IVOL_BID</t>
        </is>
      </c>
      <c r="OO3" s="5" t="inlineStr">
        <is>
          <t>IVOL_ASK</t>
        </is>
      </c>
      <c r="OP3" s="5" t="inlineStr">
        <is>
          <t>DELTA_MID</t>
        </is>
      </c>
      <c r="OQ3" s="5" t="inlineStr">
        <is>
          <t>GAMMA_MID</t>
        </is>
      </c>
      <c r="OR3" s="5" t="inlineStr">
        <is>
          <t>VEGA_MID</t>
        </is>
      </c>
      <c r="OS3" s="5" t="inlineStr">
        <is>
          <t>THETA_MID</t>
        </is>
      </c>
      <c r="OT3" s="5" t="inlineStr">
        <is>
          <t>OPT_UNDL_PX</t>
        </is>
      </c>
      <c r="OV3" s="5" t="inlineStr">
        <is>
          <t>Date</t>
        </is>
      </c>
      <c r="OW3" s="5" t="inlineStr">
        <is>
          <t>PX_BID</t>
        </is>
      </c>
      <c r="OX3" s="5" t="inlineStr">
        <is>
          <t>PX_ASK</t>
        </is>
      </c>
      <c r="OY3" s="5" t="inlineStr">
        <is>
          <t>PX_MID</t>
        </is>
      </c>
      <c r="OZ3" s="5" t="inlineStr">
        <is>
          <t>PX_LAST</t>
        </is>
      </c>
      <c r="PA3" s="5" t="inlineStr">
        <is>
          <t>PX_SETTLE</t>
        </is>
      </c>
      <c r="PB3" s="5" t="inlineStr">
        <is>
          <t>PX_VOLUME</t>
        </is>
      </c>
      <c r="PC3" s="5" t="inlineStr">
        <is>
          <t>OPEN_INT</t>
        </is>
      </c>
      <c r="PD3" s="5" t="inlineStr">
        <is>
          <t>IVOL_MID</t>
        </is>
      </c>
      <c r="PE3" s="5" t="inlineStr">
        <is>
          <t>IVOL_BID</t>
        </is>
      </c>
      <c r="PF3" s="5" t="inlineStr">
        <is>
          <t>IVOL_ASK</t>
        </is>
      </c>
      <c r="PG3" s="5" t="inlineStr">
        <is>
          <t>DELTA_MID</t>
        </is>
      </c>
      <c r="PH3" s="5" t="inlineStr">
        <is>
          <t>GAMMA_MID</t>
        </is>
      </c>
      <c r="PI3" s="5" t="inlineStr">
        <is>
          <t>VEGA_MID</t>
        </is>
      </c>
      <c r="PJ3" s="5" t="inlineStr">
        <is>
          <t>THETA_MID</t>
        </is>
      </c>
      <c r="PK3" s="5" t="inlineStr">
        <is>
          <t>OPT_UNDL_PX</t>
        </is>
      </c>
      <c r="PM3" s="5" t="inlineStr">
        <is>
          <t>Date</t>
        </is>
      </c>
      <c r="PN3" s="5" t="inlineStr">
        <is>
          <t>PX_BID</t>
        </is>
      </c>
      <c r="PO3" s="5" t="inlineStr">
        <is>
          <t>PX_ASK</t>
        </is>
      </c>
      <c r="PP3" s="5" t="inlineStr">
        <is>
          <t>PX_MID</t>
        </is>
      </c>
      <c r="PQ3" s="5" t="inlineStr">
        <is>
          <t>PX_LAST</t>
        </is>
      </c>
      <c r="PR3" s="5" t="inlineStr">
        <is>
          <t>PX_SETTLE</t>
        </is>
      </c>
      <c r="PS3" s="5" t="inlineStr">
        <is>
          <t>PX_VOLUME</t>
        </is>
      </c>
      <c r="PT3" s="5" t="inlineStr">
        <is>
          <t>OPEN_INT</t>
        </is>
      </c>
      <c r="PU3" s="5" t="inlineStr">
        <is>
          <t>IVOL_MID</t>
        </is>
      </c>
      <c r="PV3" s="5" t="inlineStr">
        <is>
          <t>IVOL_BID</t>
        </is>
      </c>
      <c r="PW3" s="5" t="inlineStr">
        <is>
          <t>IVOL_ASK</t>
        </is>
      </c>
      <c r="PX3" s="5" t="inlineStr">
        <is>
          <t>DELTA_MID</t>
        </is>
      </c>
      <c r="PY3" s="5" t="inlineStr">
        <is>
          <t>GAMMA_MID</t>
        </is>
      </c>
      <c r="PZ3" s="5" t="inlineStr">
        <is>
          <t>VEGA_MID</t>
        </is>
      </c>
      <c r="QA3" s="5" t="inlineStr">
        <is>
          <t>THETA_MID</t>
        </is>
      </c>
      <c r="QB3" s="5" t="inlineStr">
        <is>
          <t>OPT_UNDL_PX</t>
        </is>
      </c>
      <c r="QD3" s="5" t="inlineStr">
        <is>
          <t>Date</t>
        </is>
      </c>
      <c r="QE3" s="5" t="inlineStr">
        <is>
          <t>PX_BID</t>
        </is>
      </c>
      <c r="QF3" s="5" t="inlineStr">
        <is>
          <t>PX_ASK</t>
        </is>
      </c>
      <c r="QG3" s="5" t="inlineStr">
        <is>
          <t>PX_MID</t>
        </is>
      </c>
      <c r="QH3" s="5" t="inlineStr">
        <is>
          <t>PX_LAST</t>
        </is>
      </c>
      <c r="QI3" s="5" t="inlineStr">
        <is>
          <t>PX_SETTLE</t>
        </is>
      </c>
      <c r="QJ3" s="5" t="inlineStr">
        <is>
          <t>PX_VOLUME</t>
        </is>
      </c>
      <c r="QK3" s="5" t="inlineStr">
        <is>
          <t>OPEN_INT</t>
        </is>
      </c>
      <c r="QL3" s="5" t="inlineStr">
        <is>
          <t>IVOL_MID</t>
        </is>
      </c>
      <c r="QM3" s="5" t="inlineStr">
        <is>
          <t>IVOL_BID</t>
        </is>
      </c>
      <c r="QN3" s="5" t="inlineStr">
        <is>
          <t>IVOL_ASK</t>
        </is>
      </c>
      <c r="QO3" s="5" t="inlineStr">
        <is>
          <t>DELTA_MID</t>
        </is>
      </c>
      <c r="QP3" s="5" t="inlineStr">
        <is>
          <t>GAMMA_MID</t>
        </is>
      </c>
      <c r="QQ3" s="5" t="inlineStr">
        <is>
          <t>VEGA_MID</t>
        </is>
      </c>
      <c r="QR3" s="5" t="inlineStr">
        <is>
          <t>THETA_MID</t>
        </is>
      </c>
      <c r="QS3" s="5" t="inlineStr">
        <is>
          <t>OPT_UNDL_PX</t>
        </is>
      </c>
      <c r="QU3" s="5" t="inlineStr">
        <is>
          <t>Date</t>
        </is>
      </c>
      <c r="QV3" s="5" t="inlineStr">
        <is>
          <t>PX_BID</t>
        </is>
      </c>
      <c r="QW3" s="5" t="inlineStr">
        <is>
          <t>PX_ASK</t>
        </is>
      </c>
      <c r="QX3" s="5" t="inlineStr">
        <is>
          <t>PX_MID</t>
        </is>
      </c>
      <c r="QY3" s="5" t="inlineStr">
        <is>
          <t>PX_LAST</t>
        </is>
      </c>
      <c r="QZ3" s="5" t="inlineStr">
        <is>
          <t>PX_SETTLE</t>
        </is>
      </c>
      <c r="RA3" s="5" t="inlineStr">
        <is>
          <t>PX_VOLUME</t>
        </is>
      </c>
      <c r="RB3" s="5" t="inlineStr">
        <is>
          <t>OPEN_INT</t>
        </is>
      </c>
      <c r="RC3" s="5" t="inlineStr">
        <is>
          <t>IVOL_MID</t>
        </is>
      </c>
      <c r="RD3" s="5" t="inlineStr">
        <is>
          <t>IVOL_BID</t>
        </is>
      </c>
      <c r="RE3" s="5" t="inlineStr">
        <is>
          <t>IVOL_ASK</t>
        </is>
      </c>
      <c r="RF3" s="5" t="inlineStr">
        <is>
          <t>DELTA_MID</t>
        </is>
      </c>
      <c r="RG3" s="5" t="inlineStr">
        <is>
          <t>GAMMA_MID</t>
        </is>
      </c>
      <c r="RH3" s="5" t="inlineStr">
        <is>
          <t>VEGA_MID</t>
        </is>
      </c>
      <c r="RI3" s="5" t="inlineStr">
        <is>
          <t>THETA_MID</t>
        </is>
      </c>
      <c r="RJ3" s="5" t="inlineStr">
        <is>
          <t>OPT_UNDL_PX</t>
        </is>
      </c>
      <c r="RL3" s="5" t="inlineStr">
        <is>
          <t>Date</t>
        </is>
      </c>
      <c r="RM3" s="5" t="inlineStr">
        <is>
          <t>PX_BID</t>
        </is>
      </c>
      <c r="RN3" s="5" t="inlineStr">
        <is>
          <t>PX_ASK</t>
        </is>
      </c>
      <c r="RO3" s="5" t="inlineStr">
        <is>
          <t>PX_MID</t>
        </is>
      </c>
      <c r="RP3" s="5" t="inlineStr">
        <is>
          <t>PX_LAST</t>
        </is>
      </c>
      <c r="RQ3" s="5" t="inlineStr">
        <is>
          <t>PX_SETTLE</t>
        </is>
      </c>
      <c r="RR3" s="5" t="inlineStr">
        <is>
          <t>PX_VOLUME</t>
        </is>
      </c>
      <c r="RS3" s="5" t="inlineStr">
        <is>
          <t>OPEN_INT</t>
        </is>
      </c>
      <c r="RT3" s="5" t="inlineStr">
        <is>
          <t>IVOL_MID</t>
        </is>
      </c>
      <c r="RU3" s="5" t="inlineStr">
        <is>
          <t>IVOL_BID</t>
        </is>
      </c>
      <c r="RV3" s="5" t="inlineStr">
        <is>
          <t>IVOL_ASK</t>
        </is>
      </c>
      <c r="RW3" s="5" t="inlineStr">
        <is>
          <t>DELTA_MID</t>
        </is>
      </c>
      <c r="RX3" s="5" t="inlineStr">
        <is>
          <t>GAMMA_MID</t>
        </is>
      </c>
      <c r="RY3" s="5" t="inlineStr">
        <is>
          <t>VEGA_MID</t>
        </is>
      </c>
      <c r="RZ3" s="5" t="inlineStr">
        <is>
          <t>THETA_MID</t>
        </is>
      </c>
      <c r="SA3" s="5" t="inlineStr">
        <is>
          <t>OPT_UNDL_PX</t>
        </is>
      </c>
      <c r="SC3" s="5" t="inlineStr">
        <is>
          <t>Date</t>
        </is>
      </c>
      <c r="SD3" s="5" t="inlineStr">
        <is>
          <t>PX_BID</t>
        </is>
      </c>
      <c r="SE3" s="5" t="inlineStr">
        <is>
          <t>PX_ASK</t>
        </is>
      </c>
      <c r="SF3" s="5" t="inlineStr">
        <is>
          <t>PX_MID</t>
        </is>
      </c>
      <c r="SG3" s="5" t="inlineStr">
        <is>
          <t>PX_LAST</t>
        </is>
      </c>
      <c r="SH3" s="5" t="inlineStr">
        <is>
          <t>PX_SETTLE</t>
        </is>
      </c>
      <c r="SI3" s="5" t="inlineStr">
        <is>
          <t>PX_VOLUME</t>
        </is>
      </c>
      <c r="SJ3" s="5" t="inlineStr">
        <is>
          <t>OPEN_INT</t>
        </is>
      </c>
      <c r="SK3" s="5" t="inlineStr">
        <is>
          <t>IVOL_MID</t>
        </is>
      </c>
      <c r="SL3" s="5" t="inlineStr">
        <is>
          <t>IVOL_BID</t>
        </is>
      </c>
      <c r="SM3" s="5" t="inlineStr">
        <is>
          <t>IVOL_ASK</t>
        </is>
      </c>
      <c r="SN3" s="5" t="inlineStr">
        <is>
          <t>DELTA_MID</t>
        </is>
      </c>
      <c r="SO3" s="5" t="inlineStr">
        <is>
          <t>GAMMA_MID</t>
        </is>
      </c>
      <c r="SP3" s="5" t="inlineStr">
        <is>
          <t>VEGA_MID</t>
        </is>
      </c>
      <c r="SQ3" s="5" t="inlineStr">
        <is>
          <t>THETA_MID</t>
        </is>
      </c>
      <c r="SR3" s="5" t="inlineStr">
        <is>
          <t>OPT_UNDL_PX</t>
        </is>
      </c>
      <c r="ST3" s="5" t="inlineStr">
        <is>
          <t>Date</t>
        </is>
      </c>
      <c r="SU3" s="5" t="inlineStr">
        <is>
          <t>PX_BID</t>
        </is>
      </c>
      <c r="SV3" s="5" t="inlineStr">
        <is>
          <t>PX_ASK</t>
        </is>
      </c>
      <c r="SW3" s="5" t="inlineStr">
        <is>
          <t>PX_MID</t>
        </is>
      </c>
      <c r="SX3" s="5" t="inlineStr">
        <is>
          <t>PX_LAST</t>
        </is>
      </c>
      <c r="SY3" s="5" t="inlineStr">
        <is>
          <t>PX_SETTLE</t>
        </is>
      </c>
      <c r="SZ3" s="5" t="inlineStr">
        <is>
          <t>PX_VOLUME</t>
        </is>
      </c>
      <c r="TA3" s="5" t="inlineStr">
        <is>
          <t>OPEN_INT</t>
        </is>
      </c>
      <c r="TB3" s="5" t="inlineStr">
        <is>
          <t>IVOL_MID</t>
        </is>
      </c>
      <c r="TC3" s="5" t="inlineStr">
        <is>
          <t>IVOL_BID</t>
        </is>
      </c>
      <c r="TD3" s="5" t="inlineStr">
        <is>
          <t>IVOL_ASK</t>
        </is>
      </c>
      <c r="TE3" s="5" t="inlineStr">
        <is>
          <t>DELTA_MID</t>
        </is>
      </c>
      <c r="TF3" s="5" t="inlineStr">
        <is>
          <t>GAMMA_MID</t>
        </is>
      </c>
      <c r="TG3" s="5" t="inlineStr">
        <is>
          <t>VEGA_MID</t>
        </is>
      </c>
      <c r="TH3" s="5" t="inlineStr">
        <is>
          <t>THETA_MID</t>
        </is>
      </c>
      <c r="TI3" s="5" t="inlineStr">
        <is>
          <t>OPT_UNDL_PX</t>
        </is>
      </c>
      <c r="TK3" s="5" t="inlineStr">
        <is>
          <t>Date</t>
        </is>
      </c>
      <c r="TL3" s="5" t="inlineStr">
        <is>
          <t>PX_BID</t>
        </is>
      </c>
      <c r="TM3" s="5" t="inlineStr">
        <is>
          <t>PX_ASK</t>
        </is>
      </c>
      <c r="TN3" s="5" t="inlineStr">
        <is>
          <t>PX_MID</t>
        </is>
      </c>
      <c r="TO3" s="5" t="inlineStr">
        <is>
          <t>PX_LAST</t>
        </is>
      </c>
      <c r="TP3" s="5" t="inlineStr">
        <is>
          <t>PX_SETTLE</t>
        </is>
      </c>
      <c r="TQ3" s="5" t="inlineStr">
        <is>
          <t>PX_VOLUME</t>
        </is>
      </c>
      <c r="TR3" s="5" t="inlineStr">
        <is>
          <t>OPEN_INT</t>
        </is>
      </c>
      <c r="TS3" s="5" t="inlineStr">
        <is>
          <t>IVOL_MID</t>
        </is>
      </c>
      <c r="TT3" s="5" t="inlineStr">
        <is>
          <t>IVOL_BID</t>
        </is>
      </c>
      <c r="TU3" s="5" t="inlineStr">
        <is>
          <t>IVOL_ASK</t>
        </is>
      </c>
      <c r="TV3" s="5" t="inlineStr">
        <is>
          <t>DELTA_MID</t>
        </is>
      </c>
      <c r="TW3" s="5" t="inlineStr">
        <is>
          <t>GAMMA_MID</t>
        </is>
      </c>
      <c r="TX3" s="5" t="inlineStr">
        <is>
          <t>VEGA_MID</t>
        </is>
      </c>
      <c r="TY3" s="5" t="inlineStr">
        <is>
          <t>THETA_MID</t>
        </is>
      </c>
      <c r="TZ3" s="5" t="inlineStr">
        <is>
          <t>OPT_UNDL_PX</t>
        </is>
      </c>
      <c r="UB3" s="5" t="inlineStr">
        <is>
          <t>Date</t>
        </is>
      </c>
      <c r="UC3" s="5" t="inlineStr">
        <is>
          <t>PX_BID</t>
        </is>
      </c>
      <c r="UD3" s="5" t="inlineStr">
        <is>
          <t>PX_ASK</t>
        </is>
      </c>
      <c r="UE3" s="5" t="inlineStr">
        <is>
          <t>PX_MID</t>
        </is>
      </c>
      <c r="UF3" s="5" t="inlineStr">
        <is>
          <t>PX_LAST</t>
        </is>
      </c>
      <c r="UG3" s="5" t="inlineStr">
        <is>
          <t>PX_SETTLE</t>
        </is>
      </c>
      <c r="UH3" s="5" t="inlineStr">
        <is>
          <t>PX_VOLUME</t>
        </is>
      </c>
      <c r="UI3" s="5" t="inlineStr">
        <is>
          <t>OPEN_INT</t>
        </is>
      </c>
      <c r="UJ3" s="5" t="inlineStr">
        <is>
          <t>IVOL_MID</t>
        </is>
      </c>
      <c r="UK3" s="5" t="inlineStr">
        <is>
          <t>IVOL_BID</t>
        </is>
      </c>
      <c r="UL3" s="5" t="inlineStr">
        <is>
          <t>IVOL_ASK</t>
        </is>
      </c>
      <c r="UM3" s="5" t="inlineStr">
        <is>
          <t>DELTA_MID</t>
        </is>
      </c>
      <c r="UN3" s="5" t="inlineStr">
        <is>
          <t>GAMMA_MID</t>
        </is>
      </c>
      <c r="UO3" s="5" t="inlineStr">
        <is>
          <t>VEGA_MID</t>
        </is>
      </c>
      <c r="UP3" s="5" t="inlineStr">
        <is>
          <t>THETA_MID</t>
        </is>
      </c>
      <c r="UQ3" s="5" t="inlineStr">
        <is>
          <t>OPT_UNDL_PX</t>
        </is>
      </c>
      <c r="US3" s="5" t="inlineStr">
        <is>
          <t>Date</t>
        </is>
      </c>
      <c r="UT3" s="5" t="inlineStr">
        <is>
          <t>PX_BID</t>
        </is>
      </c>
      <c r="UU3" s="5" t="inlineStr">
        <is>
          <t>PX_ASK</t>
        </is>
      </c>
      <c r="UV3" s="5" t="inlineStr">
        <is>
          <t>PX_MID</t>
        </is>
      </c>
      <c r="UW3" s="5" t="inlineStr">
        <is>
          <t>PX_LAST</t>
        </is>
      </c>
      <c r="UX3" s="5" t="inlineStr">
        <is>
          <t>PX_SETTLE</t>
        </is>
      </c>
      <c r="UY3" s="5" t="inlineStr">
        <is>
          <t>PX_VOLUME</t>
        </is>
      </c>
      <c r="UZ3" s="5" t="inlineStr">
        <is>
          <t>OPEN_INT</t>
        </is>
      </c>
      <c r="VA3" s="5" t="inlineStr">
        <is>
          <t>IVOL_MID</t>
        </is>
      </c>
      <c r="VB3" s="5" t="inlineStr">
        <is>
          <t>IVOL_BID</t>
        </is>
      </c>
      <c r="VC3" s="5" t="inlineStr">
        <is>
          <t>IVOL_ASK</t>
        </is>
      </c>
      <c r="VD3" s="5" t="inlineStr">
        <is>
          <t>DELTA_MID</t>
        </is>
      </c>
      <c r="VE3" s="5" t="inlineStr">
        <is>
          <t>GAMMA_MID</t>
        </is>
      </c>
      <c r="VF3" s="5" t="inlineStr">
        <is>
          <t>VEGA_MID</t>
        </is>
      </c>
      <c r="VG3" s="5" t="inlineStr">
        <is>
          <t>THETA_MID</t>
        </is>
      </c>
      <c r="VH3" s="5" t="inlineStr">
        <is>
          <t>OPT_UNDL_PX</t>
        </is>
      </c>
    </row>
    <row r="4">
      <c r="A4" s="2" t="inlineStr">
        <is>
          <t>Year in ticker</t>
        </is>
      </c>
      <c r="B4" s="4">
        <f>IF(B2&lt;Settings!$B$3,TEXT(MOD(Settings!$E$14,100),"00"),TEXT(MOD(Settings!$E$14,10),"0"))</f>
        <v/>
      </c>
      <c r="D4" s="4">
        <f>BDH(D$1,E$3:S$3,$B$9,$B$10,"Dir=V","Dts=S","Sort=A","Days=T","Fill=B")</f>
        <v/>
      </c>
      <c r="U4" s="4">
        <f>BDH(U$1,V$3:AJ$3,$B$9,$B$10,"Dir=V","Dts=S","Sort=A","Days=T","Fill=B")</f>
        <v/>
      </c>
      <c r="AL4" s="4">
        <f>BDH(AL$1,AM$3:BA$3,$B$9,$B$10,"Dir=V","Dts=S","Sort=A","Days=T","Fill=B")</f>
        <v/>
      </c>
      <c r="BC4" s="4">
        <f>BDH(BC$1,BD$3:BR$3,$B$9,$B$10,"Dir=V","Dts=S","Sort=A","Days=T","Fill=B")</f>
        <v/>
      </c>
      <c r="BT4" s="4">
        <f>BDH(BT$1,BU$3:CI$3,$B$9,$B$10,"Dir=V","Dts=S","Sort=A","Days=T","Fill=B")</f>
        <v/>
      </c>
      <c r="CK4" s="4">
        <f>BDH(CK$1,CL$3:CZ$3,$B$9,$B$10,"Dir=V","Dts=S","Sort=A","Days=T","Fill=B")</f>
        <v/>
      </c>
      <c r="DB4" s="4">
        <f>BDH(DB$1,DC$3:DQ$3,$B$9,$B$10,"Dir=V","Dts=S","Sort=A","Days=T","Fill=B")</f>
        <v/>
      </c>
      <c r="DS4" s="4">
        <f>BDH(DS$1,DT$3:EH$3,$B$9,$B$10,"Dir=V","Dts=S","Sort=A","Days=T","Fill=B")</f>
        <v/>
      </c>
      <c r="EJ4" s="4">
        <f>BDH(EJ$1,EK$3:EY$3,$B$9,$B$10,"Dir=V","Dts=S","Sort=A","Days=T","Fill=B")</f>
        <v/>
      </c>
      <c r="FA4" s="4">
        <f>BDH(FA$1,FB$3:FP$3,$B$9,$B$10,"Dir=V","Dts=S","Sort=A","Days=T","Fill=B")</f>
        <v/>
      </c>
      <c r="FR4" s="4">
        <f>BDH(FR$1,FS$3:GG$3,$B$9,$B$10,"Dir=V","Dts=S","Sort=A","Days=T","Fill=B")</f>
        <v/>
      </c>
      <c r="GI4" s="4">
        <f>BDH(GI$1,GJ$3:GX$3,$B$9,$B$10,"Dir=V","Dts=S","Sort=A","Days=T","Fill=B")</f>
        <v/>
      </c>
      <c r="GZ4" s="4">
        <f>BDH(GZ$1,HA$3:HO$3,$B$9,$B$10,"Dir=V","Dts=S","Sort=A","Days=T","Fill=B")</f>
        <v/>
      </c>
      <c r="HQ4" s="4">
        <f>BDH(HQ$1,HR$3:IF$3,$B$9,$B$10,"Dir=V","Dts=S","Sort=A","Days=T","Fill=B")</f>
        <v/>
      </c>
      <c r="IH4" s="4">
        <f>BDH(IH$1,II$3:IW$3,$B$9,$B$10,"Dir=V","Dts=S","Sort=A","Days=T","Fill=B")</f>
        <v/>
      </c>
      <c r="IY4" s="4">
        <f>BDH(IY$1,IZ$3:JN$3,$B$9,$B$10,"Dir=V","Dts=S","Sort=A","Days=T","Fill=B")</f>
        <v/>
      </c>
      <c r="JP4" s="4">
        <f>BDH(JP$1,JQ$3:KE$3,$B$9,$B$10,"Dir=V","Dts=S","Sort=A","Days=T","Fill=B")</f>
        <v/>
      </c>
      <c r="KG4" s="4">
        <f>BDH(KG$1,KH$3:KV$3,$B$9,$B$10,"Dir=V","Dts=S","Sort=A","Days=T","Fill=B")</f>
        <v/>
      </c>
      <c r="KX4" s="4">
        <f>BDH(KX$1,KY$3:LM$3,$B$9,$B$10,"Dir=V","Dts=S","Sort=A","Days=T","Fill=B")</f>
        <v/>
      </c>
      <c r="LO4" s="4">
        <f>BDH(LO$1,LP$3:MD$3,$B$9,$B$10,"Dir=V","Dts=S","Sort=A","Days=T","Fill=B")</f>
        <v/>
      </c>
      <c r="MF4" s="4">
        <f>BDH(MF$1,MG$3:MU$3,$B$9,$B$10,"Dir=V","Dts=S","Sort=A","Days=T","Fill=B")</f>
        <v/>
      </c>
      <c r="MW4" s="4">
        <f>BDH(MW$1,MX$3:NL$3,$B$9,$B$10,"Dir=V","Dts=S","Sort=A","Days=T","Fill=B")</f>
        <v/>
      </c>
      <c r="NN4" s="4">
        <f>BDH(NN$1,NO$3:OC$3,$B$9,$B$10,"Dir=V","Dts=S","Sort=A","Days=T","Fill=B")</f>
        <v/>
      </c>
      <c r="OE4" s="4">
        <f>BDH(OE$1,OF$3:OT$3,$B$9,$B$10,"Dir=V","Dts=S","Sort=A","Days=T","Fill=B")</f>
        <v/>
      </c>
      <c r="OV4" s="4">
        <f>BDH(OV$1,OW$3:PK$3,$B$9,$B$10,"Dir=V","Dts=S","Sort=A","Days=T","Fill=B")</f>
        <v/>
      </c>
      <c r="PM4" s="4">
        <f>BDH(PM$1,PN$3:QB$3,$B$9,$B$10,"Dir=V","Dts=S","Sort=A","Days=T","Fill=B")</f>
        <v/>
      </c>
      <c r="QD4" s="4">
        <f>BDH(QD$1,QE$3:QS$3,$B$9,$B$10,"Dir=V","Dts=S","Sort=A","Days=T","Fill=B")</f>
        <v/>
      </c>
      <c r="QU4" s="4">
        <f>BDH(QU$1,QV$3:RJ$3,$B$9,$B$10,"Dir=V","Dts=S","Sort=A","Days=T","Fill=B")</f>
        <v/>
      </c>
      <c r="RL4" s="4">
        <f>BDH(RL$1,RM$3:SA$3,$B$9,$B$10,"Dir=V","Dts=S","Sort=A","Days=T","Fill=B")</f>
        <v/>
      </c>
      <c r="SC4" s="4">
        <f>BDH(SC$1,SD$3:SR$3,$B$9,$B$10,"Dir=V","Dts=S","Sort=A","Days=T","Fill=B")</f>
        <v/>
      </c>
      <c r="ST4" s="4">
        <f>BDH(ST$1,SU$3:TI$3,$B$9,$B$10,"Dir=V","Dts=S","Sort=A","Days=T","Fill=B")</f>
        <v/>
      </c>
      <c r="TK4" s="4">
        <f>BDH(TK$1,TL$3:TZ$3,$B$9,$B$10,"Dir=V","Dts=S","Sort=A","Days=T","Fill=B")</f>
        <v/>
      </c>
      <c r="UB4" s="4">
        <f>BDH(UB$1,UC$3:UQ$3,$B$9,$B$10,"Dir=V","Dts=S","Sort=A","Days=T","Fill=B")</f>
        <v/>
      </c>
      <c r="US4" s="4">
        <f>BDH(US$1,UT$3:VH$3,$B$9,$B$10,"Dir=V","Dts=S","Sort=A","Days=T","Fill=B")</f>
        <v/>
      </c>
    </row>
    <row r="5">
      <c r="A5" s="2" t="inlineStr">
        <is>
          <t>Futures ticker</t>
        </is>
      </c>
      <c r="B5" s="4">
        <f>IF(Settings!$B$14="Y","CL"&amp;MID("FGHJKMNQUVXZ",B1,1)&amp;B4&amp;" Comdty","")</f>
        <v/>
      </c>
    </row>
    <row r="6">
      <c r="A6" s="2" t="inlineStr">
        <is>
          <t>Strike reference date</t>
        </is>
      </c>
      <c r="B6" s="8">
        <f>B3-45</f>
        <v/>
      </c>
    </row>
    <row r="7">
      <c r="A7" s="2" t="inlineStr">
        <is>
          <t>Futures price on that date</t>
        </is>
      </c>
      <c r="B7" s="10">
        <f>IF(B5="","",BDH(B5,"PX_LAST",B6,B6,"Days=A","Fill=P","Dts=H"))</f>
        <v/>
      </c>
    </row>
    <row r="8">
      <c r="A8" s="2" t="inlineStr">
        <is>
          <t>ATM strike</t>
        </is>
      </c>
      <c r="B8" s="9">
        <f>IF(ISNUMBER(B7),ROUND(B7,0),"")</f>
        <v/>
      </c>
    </row>
    <row r="9">
      <c r="A9" s="2" t="inlineStr">
        <is>
          <t>History start</t>
        </is>
      </c>
      <c r="B9" s="8">
        <f>B3-100</f>
        <v/>
      </c>
    </row>
    <row r="10">
      <c r="A10" s="2" t="inlineStr">
        <is>
          <t>History end</t>
        </is>
      </c>
      <c r="B10" s="8">
        <f>B3</f>
        <v/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NL9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2" customWidth="1" min="2" max="2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1" customWidth="1" min="15" max="15"/>
    <col width="11" customWidth="1" min="16" max="16"/>
    <col width="10" customWidth="1" min="17" max="17"/>
    <col width="11" customWidth="1" min="18" max="18"/>
    <col width="13" customWidth="1" min="19" max="19"/>
    <col width="12" customWidth="1" min="21" max="21"/>
    <col width="10" customWidth="1" min="22" max="22"/>
    <col width="10" customWidth="1" min="23" max="23"/>
    <col width="10" customWidth="1" min="24" max="24"/>
    <col width="10" customWidth="1" min="25" max="25"/>
    <col width="11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1" customWidth="1" min="32" max="32"/>
    <col width="11" customWidth="1" min="33" max="33"/>
    <col width="10" customWidth="1" min="34" max="34"/>
    <col width="11" customWidth="1" min="35" max="35"/>
    <col width="13" customWidth="1" min="36" max="36"/>
    <col width="12" customWidth="1" min="38" max="38"/>
    <col width="10" customWidth="1" min="39" max="39"/>
    <col width="10" customWidth="1" min="40" max="40"/>
    <col width="10" customWidth="1" min="41" max="41"/>
    <col width="10" customWidth="1" min="42" max="42"/>
    <col width="11" customWidth="1" min="43" max="43"/>
    <col width="11" customWidth="1" min="44" max="44"/>
    <col width="10" customWidth="1" min="45" max="45"/>
    <col width="10" customWidth="1" min="46" max="46"/>
    <col width="10" customWidth="1" min="47" max="47"/>
    <col width="10" customWidth="1" min="48" max="48"/>
    <col width="11" customWidth="1" min="49" max="49"/>
    <col width="11" customWidth="1" min="50" max="50"/>
    <col width="10" customWidth="1" min="51" max="51"/>
    <col width="11" customWidth="1" min="52" max="52"/>
    <col width="13" customWidth="1" min="53" max="53"/>
    <col width="12" customWidth="1" min="55" max="55"/>
    <col width="10" customWidth="1" min="56" max="56"/>
    <col width="10" customWidth="1" min="57" max="57"/>
    <col width="10" customWidth="1" min="58" max="58"/>
    <col width="10" customWidth="1" min="59" max="59"/>
    <col width="11" customWidth="1" min="60" max="60"/>
    <col width="11" customWidth="1" min="61" max="61"/>
    <col width="10" customWidth="1" min="62" max="62"/>
    <col width="10" customWidth="1" min="63" max="63"/>
    <col width="10" customWidth="1" min="64" max="64"/>
    <col width="10" customWidth="1" min="65" max="65"/>
    <col width="11" customWidth="1" min="66" max="66"/>
    <col width="11" customWidth="1" min="67" max="67"/>
    <col width="10" customWidth="1" min="68" max="68"/>
    <col width="11" customWidth="1" min="69" max="69"/>
    <col width="13" customWidth="1" min="70" max="70"/>
    <col width="12" customWidth="1" min="72" max="72"/>
    <col width="10" customWidth="1" min="73" max="73"/>
    <col width="10" customWidth="1" min="74" max="74"/>
    <col width="10" customWidth="1" min="75" max="75"/>
    <col width="10" customWidth="1" min="76" max="76"/>
    <col width="11" customWidth="1" min="77" max="77"/>
    <col width="11" customWidth="1" min="78" max="78"/>
    <col width="10" customWidth="1" min="79" max="79"/>
    <col width="10" customWidth="1" min="80" max="80"/>
    <col width="10" customWidth="1" min="81" max="81"/>
    <col width="10" customWidth="1" min="82" max="82"/>
    <col width="11" customWidth="1" min="83" max="83"/>
    <col width="11" customWidth="1" min="84" max="84"/>
    <col width="10" customWidth="1" min="85" max="85"/>
    <col width="11" customWidth="1" min="86" max="86"/>
    <col width="13" customWidth="1" min="87" max="87"/>
    <col width="12" customWidth="1" min="89" max="89"/>
    <col width="10" customWidth="1" min="90" max="90"/>
    <col width="10" customWidth="1" min="91" max="91"/>
    <col width="10" customWidth="1" min="92" max="92"/>
    <col width="10" customWidth="1" min="93" max="93"/>
    <col width="11" customWidth="1" min="94" max="94"/>
    <col width="11" customWidth="1" min="95" max="95"/>
    <col width="10" customWidth="1" min="96" max="96"/>
    <col width="10" customWidth="1" min="97" max="97"/>
    <col width="10" customWidth="1" min="98" max="98"/>
    <col width="10" customWidth="1" min="99" max="99"/>
    <col width="11" customWidth="1" min="100" max="100"/>
    <col width="11" customWidth="1" min="101" max="101"/>
    <col width="10" customWidth="1" min="102" max="102"/>
    <col width="11" customWidth="1" min="103" max="103"/>
    <col width="13" customWidth="1" min="104" max="104"/>
    <col width="12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1" customWidth="1" min="111" max="111"/>
    <col width="11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1" customWidth="1" min="117" max="117"/>
    <col width="11" customWidth="1" min="118" max="118"/>
    <col width="10" customWidth="1" min="119" max="119"/>
    <col width="11" customWidth="1" min="120" max="120"/>
    <col width="13" customWidth="1" min="121" max="121"/>
    <col width="12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1" customWidth="1" min="128" max="128"/>
    <col width="11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1" customWidth="1" min="134" max="134"/>
    <col width="11" customWidth="1" min="135" max="135"/>
    <col width="10" customWidth="1" min="136" max="136"/>
    <col width="11" customWidth="1" min="137" max="137"/>
    <col width="13" customWidth="1" min="138" max="138"/>
    <col width="12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1" customWidth="1" min="145" max="145"/>
    <col width="11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1" customWidth="1" min="151" max="151"/>
    <col width="11" customWidth="1" min="152" max="152"/>
    <col width="10" customWidth="1" min="153" max="153"/>
    <col width="11" customWidth="1" min="154" max="154"/>
    <col width="13" customWidth="1" min="155" max="155"/>
    <col width="12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1" customWidth="1" min="162" max="162"/>
    <col width="11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1" customWidth="1" min="168" max="168"/>
    <col width="11" customWidth="1" min="169" max="169"/>
    <col width="10" customWidth="1" min="170" max="170"/>
    <col width="11" customWidth="1" min="171" max="171"/>
    <col width="13" customWidth="1" min="172" max="172"/>
    <col width="12" customWidth="1" min="174" max="174"/>
    <col width="10" customWidth="1" min="175" max="175"/>
    <col width="10" customWidth="1" min="176" max="176"/>
    <col width="10" customWidth="1" min="177" max="177"/>
    <col width="10" customWidth="1" min="178" max="178"/>
    <col width="11" customWidth="1" min="179" max="179"/>
    <col width="11" customWidth="1" min="180" max="180"/>
    <col width="10" customWidth="1" min="181" max="181"/>
    <col width="10" customWidth="1" min="182" max="182"/>
    <col width="10" customWidth="1" min="183" max="183"/>
    <col width="10" customWidth="1" min="184" max="184"/>
    <col width="11" customWidth="1" min="185" max="185"/>
    <col width="11" customWidth="1" min="186" max="186"/>
    <col width="10" customWidth="1" min="187" max="187"/>
    <col width="11" customWidth="1" min="188" max="188"/>
    <col width="13" customWidth="1" min="189" max="189"/>
    <col width="12" customWidth="1" min="191" max="191"/>
    <col width="10" customWidth="1" min="192" max="192"/>
    <col width="10" customWidth="1" min="193" max="193"/>
    <col width="10" customWidth="1" min="194" max="194"/>
    <col width="10" customWidth="1" min="195" max="195"/>
    <col width="11" customWidth="1" min="196" max="196"/>
    <col width="11" customWidth="1" min="197" max="197"/>
    <col width="10" customWidth="1" min="198" max="198"/>
    <col width="10" customWidth="1" min="199" max="199"/>
    <col width="10" customWidth="1" min="200" max="200"/>
    <col width="10" customWidth="1" min="201" max="201"/>
    <col width="11" customWidth="1" min="202" max="202"/>
    <col width="11" customWidth="1" min="203" max="203"/>
    <col width="10" customWidth="1" min="204" max="204"/>
    <col width="11" customWidth="1" min="205" max="205"/>
    <col width="13" customWidth="1" min="206" max="206"/>
    <col width="12" customWidth="1" min="208" max="208"/>
    <col width="10" customWidth="1" min="209" max="209"/>
    <col width="10" customWidth="1" min="210" max="210"/>
    <col width="10" customWidth="1" min="211" max="211"/>
    <col width="10" customWidth="1" min="212" max="212"/>
    <col width="11" customWidth="1" min="213" max="213"/>
    <col width="11" customWidth="1" min="214" max="214"/>
    <col width="10" customWidth="1" min="215" max="215"/>
    <col width="10" customWidth="1" min="216" max="216"/>
    <col width="10" customWidth="1" min="217" max="217"/>
    <col width="10" customWidth="1" min="218" max="218"/>
    <col width="11" customWidth="1" min="219" max="219"/>
    <col width="11" customWidth="1" min="220" max="220"/>
    <col width="10" customWidth="1" min="221" max="221"/>
    <col width="11" customWidth="1" min="222" max="222"/>
    <col width="13" customWidth="1" min="223" max="223"/>
    <col width="12" customWidth="1" min="225" max="225"/>
    <col width="10" customWidth="1" min="226" max="226"/>
    <col width="10" customWidth="1" min="227" max="227"/>
    <col width="10" customWidth="1" min="228" max="228"/>
    <col width="10" customWidth="1" min="229" max="229"/>
    <col width="11" customWidth="1" min="230" max="230"/>
    <col width="11" customWidth="1" min="231" max="231"/>
    <col width="10" customWidth="1" min="232" max="232"/>
    <col width="10" customWidth="1" min="233" max="233"/>
    <col width="10" customWidth="1" min="234" max="234"/>
    <col width="10" customWidth="1" min="235" max="235"/>
    <col width="11" customWidth="1" min="236" max="236"/>
    <col width="11" customWidth="1" min="237" max="237"/>
    <col width="10" customWidth="1" min="238" max="238"/>
    <col width="11" customWidth="1" min="239" max="239"/>
    <col width="13" customWidth="1" min="240" max="240"/>
    <col width="12" customWidth="1" min="242" max="242"/>
    <col width="10" customWidth="1" min="243" max="243"/>
    <col width="10" customWidth="1" min="244" max="244"/>
    <col width="10" customWidth="1" min="245" max="245"/>
    <col width="10" customWidth="1" min="246" max="246"/>
    <col width="11" customWidth="1" min="247" max="247"/>
    <col width="11" customWidth="1" min="248" max="248"/>
    <col width="10" customWidth="1" min="249" max="249"/>
    <col width="10" customWidth="1" min="250" max="250"/>
    <col width="10" customWidth="1" min="251" max="251"/>
    <col width="10" customWidth="1" min="252" max="252"/>
    <col width="11" customWidth="1" min="253" max="253"/>
    <col width="11" customWidth="1" min="254" max="254"/>
    <col width="10" customWidth="1" min="255" max="255"/>
    <col width="11" customWidth="1" min="256" max="256"/>
    <col width="13" customWidth="1" min="257" max="257"/>
    <col width="12" customWidth="1" min="259" max="259"/>
    <col width="10" customWidth="1" min="260" max="260"/>
    <col width="10" customWidth="1" min="261" max="261"/>
    <col width="10" customWidth="1" min="262" max="262"/>
    <col width="10" customWidth="1" min="263" max="263"/>
    <col width="11" customWidth="1" min="264" max="264"/>
    <col width="11" customWidth="1" min="265" max="265"/>
    <col width="10" customWidth="1" min="266" max="266"/>
    <col width="10" customWidth="1" min="267" max="267"/>
    <col width="10" customWidth="1" min="268" max="268"/>
    <col width="10" customWidth="1" min="269" max="269"/>
    <col width="11" customWidth="1" min="270" max="270"/>
    <col width="11" customWidth="1" min="271" max="271"/>
    <col width="10" customWidth="1" min="272" max="272"/>
    <col width="11" customWidth="1" min="273" max="273"/>
    <col width="13" customWidth="1" min="274" max="274"/>
    <col width="12" customWidth="1" min="276" max="276"/>
    <col width="10" customWidth="1" min="277" max="277"/>
    <col width="10" customWidth="1" min="278" max="278"/>
    <col width="10" customWidth="1" min="279" max="279"/>
    <col width="10" customWidth="1" min="280" max="280"/>
    <col width="11" customWidth="1" min="281" max="281"/>
    <col width="11" customWidth="1" min="282" max="282"/>
    <col width="10" customWidth="1" min="283" max="283"/>
    <col width="10" customWidth="1" min="284" max="284"/>
    <col width="10" customWidth="1" min="285" max="285"/>
    <col width="10" customWidth="1" min="286" max="286"/>
    <col width="11" customWidth="1" min="287" max="287"/>
    <col width="11" customWidth="1" min="288" max="288"/>
    <col width="10" customWidth="1" min="289" max="289"/>
    <col width="11" customWidth="1" min="290" max="290"/>
    <col width="13" customWidth="1" min="291" max="291"/>
    <col width="12" customWidth="1" min="293" max="293"/>
    <col width="10" customWidth="1" min="294" max="294"/>
    <col width="10" customWidth="1" min="295" max="295"/>
    <col width="10" customWidth="1" min="296" max="296"/>
    <col width="10" customWidth="1" min="297" max="297"/>
    <col width="11" customWidth="1" min="298" max="298"/>
    <col width="11" customWidth="1" min="299" max="299"/>
    <col width="10" customWidth="1" min="300" max="300"/>
    <col width="10" customWidth="1" min="301" max="301"/>
    <col width="10" customWidth="1" min="302" max="302"/>
    <col width="10" customWidth="1" min="303" max="303"/>
    <col width="11" customWidth="1" min="304" max="304"/>
    <col width="11" customWidth="1" min="305" max="305"/>
    <col width="10" customWidth="1" min="306" max="306"/>
    <col width="11" customWidth="1" min="307" max="307"/>
    <col width="13" customWidth="1" min="308" max="308"/>
    <col width="12" customWidth="1" min="310" max="310"/>
    <col width="10" customWidth="1" min="311" max="311"/>
    <col width="10" customWidth="1" min="312" max="312"/>
    <col width="10" customWidth="1" min="313" max="313"/>
    <col width="10" customWidth="1" min="314" max="314"/>
    <col width="11" customWidth="1" min="315" max="315"/>
    <col width="11" customWidth="1" min="316" max="316"/>
    <col width="10" customWidth="1" min="317" max="317"/>
    <col width="10" customWidth="1" min="318" max="318"/>
    <col width="10" customWidth="1" min="319" max="319"/>
    <col width="10" customWidth="1" min="320" max="320"/>
    <col width="11" customWidth="1" min="321" max="321"/>
    <col width="11" customWidth="1" min="322" max="322"/>
    <col width="10" customWidth="1" min="323" max="323"/>
    <col width="11" customWidth="1" min="324" max="324"/>
    <col width="13" customWidth="1" min="325" max="325"/>
    <col width="12" customWidth="1" min="327" max="327"/>
    <col width="10" customWidth="1" min="328" max="328"/>
    <col width="10" customWidth="1" min="329" max="329"/>
    <col width="10" customWidth="1" min="330" max="330"/>
    <col width="10" customWidth="1" min="331" max="331"/>
    <col width="11" customWidth="1" min="332" max="332"/>
    <col width="11" customWidth="1" min="333" max="333"/>
    <col width="10" customWidth="1" min="334" max="334"/>
    <col width="10" customWidth="1" min="335" max="335"/>
    <col width="10" customWidth="1" min="336" max="336"/>
    <col width="10" customWidth="1" min="337" max="337"/>
    <col width="11" customWidth="1" min="338" max="338"/>
    <col width="11" customWidth="1" min="339" max="339"/>
    <col width="10" customWidth="1" min="340" max="340"/>
    <col width="11" customWidth="1" min="341" max="341"/>
    <col width="13" customWidth="1" min="342" max="342"/>
    <col width="12" customWidth="1" min="344" max="344"/>
    <col width="10" customWidth="1" min="345" max="345"/>
    <col width="10" customWidth="1" min="346" max="346"/>
    <col width="10" customWidth="1" min="347" max="347"/>
    <col width="10" customWidth="1" min="348" max="348"/>
    <col width="11" customWidth="1" min="349" max="349"/>
    <col width="11" customWidth="1" min="350" max="350"/>
    <col width="10" customWidth="1" min="351" max="351"/>
    <col width="10" customWidth="1" min="352" max="352"/>
    <col width="10" customWidth="1" min="353" max="353"/>
    <col width="10" customWidth="1" min="354" max="354"/>
    <col width="11" customWidth="1" min="355" max="355"/>
    <col width="11" customWidth="1" min="356" max="356"/>
    <col width="10" customWidth="1" min="357" max="357"/>
    <col width="11" customWidth="1" min="358" max="358"/>
    <col width="13" customWidth="1" min="359" max="359"/>
    <col width="12" customWidth="1" min="361" max="361"/>
    <col width="10" customWidth="1" min="362" max="362"/>
    <col width="10" customWidth="1" min="363" max="363"/>
    <col width="10" customWidth="1" min="364" max="364"/>
    <col width="10" customWidth="1" min="365" max="365"/>
    <col width="11" customWidth="1" min="366" max="366"/>
    <col width="11" customWidth="1" min="367" max="367"/>
    <col width="10" customWidth="1" min="368" max="368"/>
    <col width="10" customWidth="1" min="369" max="369"/>
    <col width="10" customWidth="1" min="370" max="370"/>
    <col width="10" customWidth="1" min="371" max="371"/>
    <col width="11" customWidth="1" min="372" max="372"/>
    <col width="11" customWidth="1" min="373" max="373"/>
    <col width="10" customWidth="1" min="374" max="374"/>
    <col width="11" customWidth="1" min="375" max="375"/>
    <col width="13" customWidth="1" min="376" max="376"/>
  </cols>
  <sheetData>
    <row r="1">
      <c r="A1" s="2" t="inlineStr">
        <is>
          <t>Month</t>
        </is>
      </c>
      <c r="B1" s="9" t="n">
        <v>1</v>
      </c>
      <c r="D1" s="2">
        <f>IF(ISNUMBER(B$7),"USO US "&amp;TEXT(B$3,"mm/dd/yy")&amp;" C"&amp;(B$7-5*B$6)&amp;" Equity","")</f>
        <v/>
      </c>
      <c r="U1" s="2">
        <f>IF(ISNUMBER(B$7),"USO US "&amp;TEXT(B$3,"mm/dd/yy")&amp;" P"&amp;(B$7-5*B$6)&amp;" Equity","")</f>
        <v/>
      </c>
      <c r="AL1" s="2">
        <f>IF(ISNUMBER(B$7),"USO US "&amp;TEXT(B$3,"mm/dd/yy")&amp;" C"&amp;(B$7-4*B$6)&amp;" Equity","")</f>
        <v/>
      </c>
      <c r="BC1" s="2">
        <f>IF(ISNUMBER(B$7),"USO US "&amp;TEXT(B$3,"mm/dd/yy")&amp;" P"&amp;(B$7-4*B$6)&amp;" Equity","")</f>
        <v/>
      </c>
      <c r="BT1" s="2">
        <f>IF(ISNUMBER(B$7),"USO US "&amp;TEXT(B$3,"mm/dd/yy")&amp;" C"&amp;(B$7-3*B$6)&amp;" Equity","")</f>
        <v/>
      </c>
      <c r="CK1" s="2">
        <f>IF(ISNUMBER(B$7),"USO US "&amp;TEXT(B$3,"mm/dd/yy")&amp;" P"&amp;(B$7-3*B$6)&amp;" Equity","")</f>
        <v/>
      </c>
      <c r="DB1" s="2">
        <f>IF(ISNUMBER(B$7),"USO US "&amp;TEXT(B$3,"mm/dd/yy")&amp;" C"&amp;(B$7-2*B$6)&amp;" Equity","")</f>
        <v/>
      </c>
      <c r="DS1" s="2">
        <f>IF(ISNUMBER(B$7),"USO US "&amp;TEXT(B$3,"mm/dd/yy")&amp;" P"&amp;(B$7-2*B$6)&amp;" Equity","")</f>
        <v/>
      </c>
      <c r="EJ1" s="2">
        <f>IF(ISNUMBER(B$7),"USO US "&amp;TEXT(B$3,"mm/dd/yy")&amp;" C"&amp;(B$7-1*B$6)&amp;" Equity","")</f>
        <v/>
      </c>
      <c r="FA1" s="2">
        <f>IF(ISNUMBER(B$7),"USO US "&amp;TEXT(B$3,"mm/dd/yy")&amp;" P"&amp;(B$7-1*B$6)&amp;" Equity","")</f>
        <v/>
      </c>
      <c r="FR1" s="2">
        <f>IF(ISNUMBER(B$7),"USO US "&amp;TEXT(B$3,"mm/dd/yy")&amp;" C"&amp;B$7&amp;" Equity","")</f>
        <v/>
      </c>
      <c r="GI1" s="2">
        <f>IF(ISNUMBER(B$7),"USO US "&amp;TEXT(B$3,"mm/dd/yy")&amp;" P"&amp;B$7&amp;" Equity","")</f>
        <v/>
      </c>
      <c r="GZ1" s="2">
        <f>IF(ISNUMBER(B$7),"USO US "&amp;TEXT(B$3,"mm/dd/yy")&amp;" C"&amp;(B$7+1*B$6)&amp;" Equity","")</f>
        <v/>
      </c>
      <c r="HQ1" s="2">
        <f>IF(ISNUMBER(B$7),"USO US "&amp;TEXT(B$3,"mm/dd/yy")&amp;" P"&amp;(B$7+1*B$6)&amp;" Equity","")</f>
        <v/>
      </c>
      <c r="IH1" s="2">
        <f>IF(ISNUMBER(B$7),"USO US "&amp;TEXT(B$3,"mm/dd/yy")&amp;" C"&amp;(B$7+2*B$6)&amp;" Equity","")</f>
        <v/>
      </c>
      <c r="IY1" s="2">
        <f>IF(ISNUMBER(B$7),"USO US "&amp;TEXT(B$3,"mm/dd/yy")&amp;" P"&amp;(B$7+2*B$6)&amp;" Equity","")</f>
        <v/>
      </c>
      <c r="JP1" s="2">
        <f>IF(ISNUMBER(B$7),"USO US "&amp;TEXT(B$3,"mm/dd/yy")&amp;" C"&amp;(B$7+3*B$6)&amp;" Equity","")</f>
        <v/>
      </c>
      <c r="KG1" s="2">
        <f>IF(ISNUMBER(B$7),"USO US "&amp;TEXT(B$3,"mm/dd/yy")&amp;" P"&amp;(B$7+3*B$6)&amp;" Equity","")</f>
        <v/>
      </c>
      <c r="KX1" s="2">
        <f>IF(ISNUMBER(B$7),"USO US "&amp;TEXT(B$3,"mm/dd/yy")&amp;" C"&amp;(B$7+4*B$6)&amp;" Equity","")</f>
        <v/>
      </c>
      <c r="LO1" s="2">
        <f>IF(ISNUMBER(B$7),"USO US "&amp;TEXT(B$3,"mm/dd/yy")&amp;" P"&amp;(B$7+4*B$6)&amp;" Equity","")</f>
        <v/>
      </c>
      <c r="MF1" s="2">
        <f>IF(ISNUMBER(B$7),"USO US "&amp;TEXT(B$3,"mm/dd/yy")&amp;" C"&amp;(B$7+5*B$6)&amp;" Equity","")</f>
        <v/>
      </c>
      <c r="MW1" s="2">
        <f>IF(ISNUMBER(B$7),"USO US "&amp;TEXT(B$3,"mm/dd/yy")&amp;" P"&amp;(B$7+5*B$6)&amp;" Equity","")</f>
        <v/>
      </c>
    </row>
    <row r="2">
      <c r="A2" s="2" t="inlineStr">
        <is>
          <t>Underlying</t>
        </is>
      </c>
      <c r="B2" s="4">
        <f>IF(Settings!$B$15="Y","USO US Equity","")</f>
        <v/>
      </c>
      <c r="D2" s="4" t="inlineStr">
        <is>
          <t>call -5 from ATM</t>
        </is>
      </c>
      <c r="U2" s="4" t="inlineStr">
        <is>
          <t>put -5 from ATM</t>
        </is>
      </c>
      <c r="AL2" s="4" t="inlineStr">
        <is>
          <t>call -4 from ATM</t>
        </is>
      </c>
      <c r="BC2" s="4" t="inlineStr">
        <is>
          <t>put -4 from ATM</t>
        </is>
      </c>
      <c r="BT2" s="4" t="inlineStr">
        <is>
          <t>call -3 from ATM</t>
        </is>
      </c>
      <c r="CK2" s="4" t="inlineStr">
        <is>
          <t>put -3 from ATM</t>
        </is>
      </c>
      <c r="DB2" s="4" t="inlineStr">
        <is>
          <t>call -2 from ATM</t>
        </is>
      </c>
      <c r="DS2" s="4" t="inlineStr">
        <is>
          <t>put -2 from ATM</t>
        </is>
      </c>
      <c r="EJ2" s="4" t="inlineStr">
        <is>
          <t>call -1 from ATM</t>
        </is>
      </c>
      <c r="FA2" s="4" t="inlineStr">
        <is>
          <t>put -1 from ATM</t>
        </is>
      </c>
      <c r="FR2" s="4" t="inlineStr">
        <is>
          <t>call +0 from ATM</t>
        </is>
      </c>
      <c r="GI2" s="4" t="inlineStr">
        <is>
          <t>put +0 from ATM</t>
        </is>
      </c>
      <c r="GZ2" s="4" t="inlineStr">
        <is>
          <t>call +1 from ATM</t>
        </is>
      </c>
      <c r="HQ2" s="4" t="inlineStr">
        <is>
          <t>put +1 from ATM</t>
        </is>
      </c>
      <c r="IH2" s="4" t="inlineStr">
        <is>
          <t>call +2 from ATM</t>
        </is>
      </c>
      <c r="IY2" s="4" t="inlineStr">
        <is>
          <t>put +2 from ATM</t>
        </is>
      </c>
      <c r="JP2" s="4" t="inlineStr">
        <is>
          <t>call +3 from ATM</t>
        </is>
      </c>
      <c r="KG2" s="4" t="inlineStr">
        <is>
          <t>put +3 from ATM</t>
        </is>
      </c>
      <c r="KX2" s="4" t="inlineStr">
        <is>
          <t>call +4 from ATM</t>
        </is>
      </c>
      <c r="LO2" s="4" t="inlineStr">
        <is>
          <t>put +4 from ATM</t>
        </is>
      </c>
      <c r="MF2" s="4" t="inlineStr">
        <is>
          <t>call +5 from ATM</t>
        </is>
      </c>
      <c r="MW2" s="4" t="inlineStr">
        <is>
          <t>put +5 from ATM</t>
        </is>
      </c>
    </row>
    <row r="3">
      <c r="A3" s="2" t="inlineStr">
        <is>
          <t>Expiry (3rd Friday)</t>
        </is>
      </c>
      <c r="B3" s="3">
        <f>DATE(Settings!$E$15,B1,15)+MOD(6-WEEKDAY(DATE(Settings!$E$15,B1,15)),7)</f>
        <v/>
      </c>
      <c r="D3" s="5" t="inlineStr">
        <is>
          <t>Date</t>
        </is>
      </c>
      <c r="E3" s="5" t="inlineStr">
        <is>
          <t>PX_BID</t>
        </is>
      </c>
      <c r="F3" s="5" t="inlineStr">
        <is>
          <t>PX_ASK</t>
        </is>
      </c>
      <c r="G3" s="5" t="inlineStr">
        <is>
          <t>PX_MID</t>
        </is>
      </c>
      <c r="H3" s="5" t="inlineStr">
        <is>
          <t>PX_LAST</t>
        </is>
      </c>
      <c r="I3" s="5" t="inlineStr">
        <is>
          <t>PX_SETTLE</t>
        </is>
      </c>
      <c r="J3" s="5" t="inlineStr">
        <is>
          <t>PX_VOLUME</t>
        </is>
      </c>
      <c r="K3" s="5" t="inlineStr">
        <is>
          <t>OPEN_INT</t>
        </is>
      </c>
      <c r="L3" s="5" t="inlineStr">
        <is>
          <t>IVOL_MID</t>
        </is>
      </c>
      <c r="M3" s="5" t="inlineStr">
        <is>
          <t>IVOL_BID</t>
        </is>
      </c>
      <c r="N3" s="5" t="inlineStr">
        <is>
          <t>IVOL_ASK</t>
        </is>
      </c>
      <c r="O3" s="5" t="inlineStr">
        <is>
          <t>DELTA_MID</t>
        </is>
      </c>
      <c r="P3" s="5" t="inlineStr">
        <is>
          <t>GAMMA_MID</t>
        </is>
      </c>
      <c r="Q3" s="5" t="inlineStr">
        <is>
          <t>VEGA_MID</t>
        </is>
      </c>
      <c r="R3" s="5" t="inlineStr">
        <is>
          <t>THETA_MID</t>
        </is>
      </c>
      <c r="S3" s="5" t="inlineStr">
        <is>
          <t>OPT_UNDL_PX</t>
        </is>
      </c>
      <c r="U3" s="5" t="inlineStr">
        <is>
          <t>Date</t>
        </is>
      </c>
      <c r="V3" s="5" t="inlineStr">
        <is>
          <t>PX_BID</t>
        </is>
      </c>
      <c r="W3" s="5" t="inlineStr">
        <is>
          <t>PX_ASK</t>
        </is>
      </c>
      <c r="X3" s="5" t="inlineStr">
        <is>
          <t>PX_MID</t>
        </is>
      </c>
      <c r="Y3" s="5" t="inlineStr">
        <is>
          <t>PX_LAST</t>
        </is>
      </c>
      <c r="Z3" s="5" t="inlineStr">
        <is>
          <t>PX_SETTLE</t>
        </is>
      </c>
      <c r="AA3" s="5" t="inlineStr">
        <is>
          <t>PX_VOLUME</t>
        </is>
      </c>
      <c r="AB3" s="5" t="inlineStr">
        <is>
          <t>OPEN_INT</t>
        </is>
      </c>
      <c r="AC3" s="5" t="inlineStr">
        <is>
          <t>IVOL_MID</t>
        </is>
      </c>
      <c r="AD3" s="5" t="inlineStr">
        <is>
          <t>IVOL_BID</t>
        </is>
      </c>
      <c r="AE3" s="5" t="inlineStr">
        <is>
          <t>IVOL_ASK</t>
        </is>
      </c>
      <c r="AF3" s="5" t="inlineStr">
        <is>
          <t>DELTA_MID</t>
        </is>
      </c>
      <c r="AG3" s="5" t="inlineStr">
        <is>
          <t>GAMMA_MID</t>
        </is>
      </c>
      <c r="AH3" s="5" t="inlineStr">
        <is>
          <t>VEGA_MID</t>
        </is>
      </c>
      <c r="AI3" s="5" t="inlineStr">
        <is>
          <t>THETA_MID</t>
        </is>
      </c>
      <c r="AJ3" s="5" t="inlineStr">
        <is>
          <t>OPT_UNDL_PX</t>
        </is>
      </c>
      <c r="AL3" s="5" t="inlineStr">
        <is>
          <t>Date</t>
        </is>
      </c>
      <c r="AM3" s="5" t="inlineStr">
        <is>
          <t>PX_BID</t>
        </is>
      </c>
      <c r="AN3" s="5" t="inlineStr">
        <is>
          <t>PX_ASK</t>
        </is>
      </c>
      <c r="AO3" s="5" t="inlineStr">
        <is>
          <t>PX_MID</t>
        </is>
      </c>
      <c r="AP3" s="5" t="inlineStr">
        <is>
          <t>PX_LAST</t>
        </is>
      </c>
      <c r="AQ3" s="5" t="inlineStr">
        <is>
          <t>PX_SETTLE</t>
        </is>
      </c>
      <c r="AR3" s="5" t="inlineStr">
        <is>
          <t>PX_VOLUME</t>
        </is>
      </c>
      <c r="AS3" s="5" t="inlineStr">
        <is>
          <t>OPEN_INT</t>
        </is>
      </c>
      <c r="AT3" s="5" t="inlineStr">
        <is>
          <t>IVOL_MID</t>
        </is>
      </c>
      <c r="AU3" s="5" t="inlineStr">
        <is>
          <t>IVOL_BID</t>
        </is>
      </c>
      <c r="AV3" s="5" t="inlineStr">
        <is>
          <t>IVOL_ASK</t>
        </is>
      </c>
      <c r="AW3" s="5" t="inlineStr">
        <is>
          <t>DELTA_MID</t>
        </is>
      </c>
      <c r="AX3" s="5" t="inlineStr">
        <is>
          <t>GAMMA_MID</t>
        </is>
      </c>
      <c r="AY3" s="5" t="inlineStr">
        <is>
          <t>VEGA_MID</t>
        </is>
      </c>
      <c r="AZ3" s="5" t="inlineStr">
        <is>
          <t>THETA_MID</t>
        </is>
      </c>
      <c r="BA3" s="5" t="inlineStr">
        <is>
          <t>OPT_UNDL_PX</t>
        </is>
      </c>
      <c r="BC3" s="5" t="inlineStr">
        <is>
          <t>Date</t>
        </is>
      </c>
      <c r="BD3" s="5" t="inlineStr">
        <is>
          <t>PX_BID</t>
        </is>
      </c>
      <c r="BE3" s="5" t="inlineStr">
        <is>
          <t>PX_ASK</t>
        </is>
      </c>
      <c r="BF3" s="5" t="inlineStr">
        <is>
          <t>PX_MID</t>
        </is>
      </c>
      <c r="BG3" s="5" t="inlineStr">
        <is>
          <t>PX_LAST</t>
        </is>
      </c>
      <c r="BH3" s="5" t="inlineStr">
        <is>
          <t>PX_SETTLE</t>
        </is>
      </c>
      <c r="BI3" s="5" t="inlineStr">
        <is>
          <t>PX_VOLUME</t>
        </is>
      </c>
      <c r="BJ3" s="5" t="inlineStr">
        <is>
          <t>OPEN_INT</t>
        </is>
      </c>
      <c r="BK3" s="5" t="inlineStr">
        <is>
          <t>IVOL_MID</t>
        </is>
      </c>
      <c r="BL3" s="5" t="inlineStr">
        <is>
          <t>IVOL_BID</t>
        </is>
      </c>
      <c r="BM3" s="5" t="inlineStr">
        <is>
          <t>IVOL_ASK</t>
        </is>
      </c>
      <c r="BN3" s="5" t="inlineStr">
        <is>
          <t>DELTA_MID</t>
        </is>
      </c>
      <c r="BO3" s="5" t="inlineStr">
        <is>
          <t>GAMMA_MID</t>
        </is>
      </c>
      <c r="BP3" s="5" t="inlineStr">
        <is>
          <t>VEGA_MID</t>
        </is>
      </c>
      <c r="BQ3" s="5" t="inlineStr">
        <is>
          <t>THETA_MID</t>
        </is>
      </c>
      <c r="BR3" s="5" t="inlineStr">
        <is>
          <t>OPT_UNDL_PX</t>
        </is>
      </c>
      <c r="BT3" s="5" t="inlineStr">
        <is>
          <t>Date</t>
        </is>
      </c>
      <c r="BU3" s="5" t="inlineStr">
        <is>
          <t>PX_BID</t>
        </is>
      </c>
      <c r="BV3" s="5" t="inlineStr">
        <is>
          <t>PX_ASK</t>
        </is>
      </c>
      <c r="BW3" s="5" t="inlineStr">
        <is>
          <t>PX_MID</t>
        </is>
      </c>
      <c r="BX3" s="5" t="inlineStr">
        <is>
          <t>PX_LAST</t>
        </is>
      </c>
      <c r="BY3" s="5" t="inlineStr">
        <is>
          <t>PX_SETTLE</t>
        </is>
      </c>
      <c r="BZ3" s="5" t="inlineStr">
        <is>
          <t>PX_VOLUME</t>
        </is>
      </c>
      <c r="CA3" s="5" t="inlineStr">
        <is>
          <t>OPEN_INT</t>
        </is>
      </c>
      <c r="CB3" s="5" t="inlineStr">
        <is>
          <t>IVOL_MID</t>
        </is>
      </c>
      <c r="CC3" s="5" t="inlineStr">
        <is>
          <t>IVOL_BID</t>
        </is>
      </c>
      <c r="CD3" s="5" t="inlineStr">
        <is>
          <t>IVOL_ASK</t>
        </is>
      </c>
      <c r="CE3" s="5" t="inlineStr">
        <is>
          <t>DELTA_MID</t>
        </is>
      </c>
      <c r="CF3" s="5" t="inlineStr">
        <is>
          <t>GAMMA_MID</t>
        </is>
      </c>
      <c r="CG3" s="5" t="inlineStr">
        <is>
          <t>VEGA_MID</t>
        </is>
      </c>
      <c r="CH3" s="5" t="inlineStr">
        <is>
          <t>THETA_MID</t>
        </is>
      </c>
      <c r="CI3" s="5" t="inlineStr">
        <is>
          <t>OPT_UNDL_PX</t>
        </is>
      </c>
      <c r="CK3" s="5" t="inlineStr">
        <is>
          <t>Date</t>
        </is>
      </c>
      <c r="CL3" s="5" t="inlineStr">
        <is>
          <t>PX_BID</t>
        </is>
      </c>
      <c r="CM3" s="5" t="inlineStr">
        <is>
          <t>PX_ASK</t>
        </is>
      </c>
      <c r="CN3" s="5" t="inlineStr">
        <is>
          <t>PX_MID</t>
        </is>
      </c>
      <c r="CO3" s="5" t="inlineStr">
        <is>
          <t>PX_LAST</t>
        </is>
      </c>
      <c r="CP3" s="5" t="inlineStr">
        <is>
          <t>PX_SETTLE</t>
        </is>
      </c>
      <c r="CQ3" s="5" t="inlineStr">
        <is>
          <t>PX_VOLUME</t>
        </is>
      </c>
      <c r="CR3" s="5" t="inlineStr">
        <is>
          <t>OPEN_INT</t>
        </is>
      </c>
      <c r="CS3" s="5" t="inlineStr">
        <is>
          <t>IVOL_MID</t>
        </is>
      </c>
      <c r="CT3" s="5" t="inlineStr">
        <is>
          <t>IVOL_BID</t>
        </is>
      </c>
      <c r="CU3" s="5" t="inlineStr">
        <is>
          <t>IVOL_ASK</t>
        </is>
      </c>
      <c r="CV3" s="5" t="inlineStr">
        <is>
          <t>DELTA_MID</t>
        </is>
      </c>
      <c r="CW3" s="5" t="inlineStr">
        <is>
          <t>GAMMA_MID</t>
        </is>
      </c>
      <c r="CX3" s="5" t="inlineStr">
        <is>
          <t>VEGA_MID</t>
        </is>
      </c>
      <c r="CY3" s="5" t="inlineStr">
        <is>
          <t>THETA_MID</t>
        </is>
      </c>
      <c r="CZ3" s="5" t="inlineStr">
        <is>
          <t>OPT_UNDL_PX</t>
        </is>
      </c>
      <c r="DB3" s="5" t="inlineStr">
        <is>
          <t>Date</t>
        </is>
      </c>
      <c r="DC3" s="5" t="inlineStr">
        <is>
          <t>PX_BID</t>
        </is>
      </c>
      <c r="DD3" s="5" t="inlineStr">
        <is>
          <t>PX_ASK</t>
        </is>
      </c>
      <c r="DE3" s="5" t="inlineStr">
        <is>
          <t>PX_MID</t>
        </is>
      </c>
      <c r="DF3" s="5" t="inlineStr">
        <is>
          <t>PX_LAST</t>
        </is>
      </c>
      <c r="DG3" s="5" t="inlineStr">
        <is>
          <t>PX_SETTLE</t>
        </is>
      </c>
      <c r="DH3" s="5" t="inlineStr">
        <is>
          <t>PX_VOLUME</t>
        </is>
      </c>
      <c r="DI3" s="5" t="inlineStr">
        <is>
          <t>OPEN_INT</t>
        </is>
      </c>
      <c r="DJ3" s="5" t="inlineStr">
        <is>
          <t>IVOL_MID</t>
        </is>
      </c>
      <c r="DK3" s="5" t="inlineStr">
        <is>
          <t>IVOL_BID</t>
        </is>
      </c>
      <c r="DL3" s="5" t="inlineStr">
        <is>
          <t>IVOL_ASK</t>
        </is>
      </c>
      <c r="DM3" s="5" t="inlineStr">
        <is>
          <t>DELTA_MID</t>
        </is>
      </c>
      <c r="DN3" s="5" t="inlineStr">
        <is>
          <t>GAMMA_MID</t>
        </is>
      </c>
      <c r="DO3" s="5" t="inlineStr">
        <is>
          <t>VEGA_MID</t>
        </is>
      </c>
      <c r="DP3" s="5" t="inlineStr">
        <is>
          <t>THETA_MID</t>
        </is>
      </c>
      <c r="DQ3" s="5" t="inlineStr">
        <is>
          <t>OPT_UNDL_PX</t>
        </is>
      </c>
      <c r="DS3" s="5" t="inlineStr">
        <is>
          <t>Date</t>
        </is>
      </c>
      <c r="DT3" s="5" t="inlineStr">
        <is>
          <t>PX_BID</t>
        </is>
      </c>
      <c r="DU3" s="5" t="inlineStr">
        <is>
          <t>PX_ASK</t>
        </is>
      </c>
      <c r="DV3" s="5" t="inlineStr">
        <is>
          <t>PX_MID</t>
        </is>
      </c>
      <c r="DW3" s="5" t="inlineStr">
        <is>
          <t>PX_LAST</t>
        </is>
      </c>
      <c r="DX3" s="5" t="inlineStr">
        <is>
          <t>PX_SETTLE</t>
        </is>
      </c>
      <c r="DY3" s="5" t="inlineStr">
        <is>
          <t>PX_VOLUME</t>
        </is>
      </c>
      <c r="DZ3" s="5" t="inlineStr">
        <is>
          <t>OPEN_INT</t>
        </is>
      </c>
      <c r="EA3" s="5" t="inlineStr">
        <is>
          <t>IVOL_MID</t>
        </is>
      </c>
      <c r="EB3" s="5" t="inlineStr">
        <is>
          <t>IVOL_BID</t>
        </is>
      </c>
      <c r="EC3" s="5" t="inlineStr">
        <is>
          <t>IVOL_ASK</t>
        </is>
      </c>
      <c r="ED3" s="5" t="inlineStr">
        <is>
          <t>DELTA_MID</t>
        </is>
      </c>
      <c r="EE3" s="5" t="inlineStr">
        <is>
          <t>GAMMA_MID</t>
        </is>
      </c>
      <c r="EF3" s="5" t="inlineStr">
        <is>
          <t>VEGA_MID</t>
        </is>
      </c>
      <c r="EG3" s="5" t="inlineStr">
        <is>
          <t>THETA_MID</t>
        </is>
      </c>
      <c r="EH3" s="5" t="inlineStr">
        <is>
          <t>OPT_UNDL_PX</t>
        </is>
      </c>
      <c r="EJ3" s="5" t="inlineStr">
        <is>
          <t>Date</t>
        </is>
      </c>
      <c r="EK3" s="5" t="inlineStr">
        <is>
          <t>PX_BID</t>
        </is>
      </c>
      <c r="EL3" s="5" t="inlineStr">
        <is>
          <t>PX_ASK</t>
        </is>
      </c>
      <c r="EM3" s="5" t="inlineStr">
        <is>
          <t>PX_MID</t>
        </is>
      </c>
      <c r="EN3" s="5" t="inlineStr">
        <is>
          <t>PX_LAST</t>
        </is>
      </c>
      <c r="EO3" s="5" t="inlineStr">
        <is>
          <t>PX_SETTLE</t>
        </is>
      </c>
      <c r="EP3" s="5" t="inlineStr">
        <is>
          <t>PX_VOLUME</t>
        </is>
      </c>
      <c r="EQ3" s="5" t="inlineStr">
        <is>
          <t>OPEN_INT</t>
        </is>
      </c>
      <c r="ER3" s="5" t="inlineStr">
        <is>
          <t>IVOL_MID</t>
        </is>
      </c>
      <c r="ES3" s="5" t="inlineStr">
        <is>
          <t>IVOL_BID</t>
        </is>
      </c>
      <c r="ET3" s="5" t="inlineStr">
        <is>
          <t>IVOL_ASK</t>
        </is>
      </c>
      <c r="EU3" s="5" t="inlineStr">
        <is>
          <t>DELTA_MID</t>
        </is>
      </c>
      <c r="EV3" s="5" t="inlineStr">
        <is>
          <t>GAMMA_MID</t>
        </is>
      </c>
      <c r="EW3" s="5" t="inlineStr">
        <is>
          <t>VEGA_MID</t>
        </is>
      </c>
      <c r="EX3" s="5" t="inlineStr">
        <is>
          <t>THETA_MID</t>
        </is>
      </c>
      <c r="EY3" s="5" t="inlineStr">
        <is>
          <t>OPT_UNDL_PX</t>
        </is>
      </c>
      <c r="FA3" s="5" t="inlineStr">
        <is>
          <t>Date</t>
        </is>
      </c>
      <c r="FB3" s="5" t="inlineStr">
        <is>
          <t>PX_BID</t>
        </is>
      </c>
      <c r="FC3" s="5" t="inlineStr">
        <is>
          <t>PX_ASK</t>
        </is>
      </c>
      <c r="FD3" s="5" t="inlineStr">
        <is>
          <t>PX_MID</t>
        </is>
      </c>
      <c r="FE3" s="5" t="inlineStr">
        <is>
          <t>PX_LAST</t>
        </is>
      </c>
      <c r="FF3" s="5" t="inlineStr">
        <is>
          <t>PX_SETTLE</t>
        </is>
      </c>
      <c r="FG3" s="5" t="inlineStr">
        <is>
          <t>PX_VOLUME</t>
        </is>
      </c>
      <c r="FH3" s="5" t="inlineStr">
        <is>
          <t>OPEN_INT</t>
        </is>
      </c>
      <c r="FI3" s="5" t="inlineStr">
        <is>
          <t>IVOL_MID</t>
        </is>
      </c>
      <c r="FJ3" s="5" t="inlineStr">
        <is>
          <t>IVOL_BID</t>
        </is>
      </c>
      <c r="FK3" s="5" t="inlineStr">
        <is>
          <t>IVOL_ASK</t>
        </is>
      </c>
      <c r="FL3" s="5" t="inlineStr">
        <is>
          <t>DELTA_MID</t>
        </is>
      </c>
      <c r="FM3" s="5" t="inlineStr">
        <is>
          <t>GAMMA_MID</t>
        </is>
      </c>
      <c r="FN3" s="5" t="inlineStr">
        <is>
          <t>VEGA_MID</t>
        </is>
      </c>
      <c r="FO3" s="5" t="inlineStr">
        <is>
          <t>THETA_MID</t>
        </is>
      </c>
      <c r="FP3" s="5" t="inlineStr">
        <is>
          <t>OPT_UNDL_PX</t>
        </is>
      </c>
      <c r="FR3" s="5" t="inlineStr">
        <is>
          <t>Date</t>
        </is>
      </c>
      <c r="FS3" s="5" t="inlineStr">
        <is>
          <t>PX_BID</t>
        </is>
      </c>
      <c r="FT3" s="5" t="inlineStr">
        <is>
          <t>PX_ASK</t>
        </is>
      </c>
      <c r="FU3" s="5" t="inlineStr">
        <is>
          <t>PX_MID</t>
        </is>
      </c>
      <c r="FV3" s="5" t="inlineStr">
        <is>
          <t>PX_LAST</t>
        </is>
      </c>
      <c r="FW3" s="5" t="inlineStr">
        <is>
          <t>PX_SETTLE</t>
        </is>
      </c>
      <c r="FX3" s="5" t="inlineStr">
        <is>
          <t>PX_VOLUME</t>
        </is>
      </c>
      <c r="FY3" s="5" t="inlineStr">
        <is>
          <t>OPEN_INT</t>
        </is>
      </c>
      <c r="FZ3" s="5" t="inlineStr">
        <is>
          <t>IVOL_MID</t>
        </is>
      </c>
      <c r="GA3" s="5" t="inlineStr">
        <is>
          <t>IVOL_BID</t>
        </is>
      </c>
      <c r="GB3" s="5" t="inlineStr">
        <is>
          <t>IVOL_ASK</t>
        </is>
      </c>
      <c r="GC3" s="5" t="inlineStr">
        <is>
          <t>DELTA_MID</t>
        </is>
      </c>
      <c r="GD3" s="5" t="inlineStr">
        <is>
          <t>GAMMA_MID</t>
        </is>
      </c>
      <c r="GE3" s="5" t="inlineStr">
        <is>
          <t>VEGA_MID</t>
        </is>
      </c>
      <c r="GF3" s="5" t="inlineStr">
        <is>
          <t>THETA_MID</t>
        </is>
      </c>
      <c r="GG3" s="5" t="inlineStr">
        <is>
          <t>OPT_UNDL_PX</t>
        </is>
      </c>
      <c r="GI3" s="5" t="inlineStr">
        <is>
          <t>Date</t>
        </is>
      </c>
      <c r="GJ3" s="5" t="inlineStr">
        <is>
          <t>PX_BID</t>
        </is>
      </c>
      <c r="GK3" s="5" t="inlineStr">
        <is>
          <t>PX_ASK</t>
        </is>
      </c>
      <c r="GL3" s="5" t="inlineStr">
        <is>
          <t>PX_MID</t>
        </is>
      </c>
      <c r="GM3" s="5" t="inlineStr">
        <is>
          <t>PX_LAST</t>
        </is>
      </c>
      <c r="GN3" s="5" t="inlineStr">
        <is>
          <t>PX_SETTLE</t>
        </is>
      </c>
      <c r="GO3" s="5" t="inlineStr">
        <is>
          <t>PX_VOLUME</t>
        </is>
      </c>
      <c r="GP3" s="5" t="inlineStr">
        <is>
          <t>OPEN_INT</t>
        </is>
      </c>
      <c r="GQ3" s="5" t="inlineStr">
        <is>
          <t>IVOL_MID</t>
        </is>
      </c>
      <c r="GR3" s="5" t="inlineStr">
        <is>
          <t>IVOL_BID</t>
        </is>
      </c>
      <c r="GS3" s="5" t="inlineStr">
        <is>
          <t>IVOL_ASK</t>
        </is>
      </c>
      <c r="GT3" s="5" t="inlineStr">
        <is>
          <t>DELTA_MID</t>
        </is>
      </c>
      <c r="GU3" s="5" t="inlineStr">
        <is>
          <t>GAMMA_MID</t>
        </is>
      </c>
      <c r="GV3" s="5" t="inlineStr">
        <is>
          <t>VEGA_MID</t>
        </is>
      </c>
      <c r="GW3" s="5" t="inlineStr">
        <is>
          <t>THETA_MID</t>
        </is>
      </c>
      <c r="GX3" s="5" t="inlineStr">
        <is>
          <t>OPT_UNDL_PX</t>
        </is>
      </c>
      <c r="GZ3" s="5" t="inlineStr">
        <is>
          <t>Date</t>
        </is>
      </c>
      <c r="HA3" s="5" t="inlineStr">
        <is>
          <t>PX_BID</t>
        </is>
      </c>
      <c r="HB3" s="5" t="inlineStr">
        <is>
          <t>PX_ASK</t>
        </is>
      </c>
      <c r="HC3" s="5" t="inlineStr">
        <is>
          <t>PX_MID</t>
        </is>
      </c>
      <c r="HD3" s="5" t="inlineStr">
        <is>
          <t>PX_LAST</t>
        </is>
      </c>
      <c r="HE3" s="5" t="inlineStr">
        <is>
          <t>PX_SETTLE</t>
        </is>
      </c>
      <c r="HF3" s="5" t="inlineStr">
        <is>
          <t>PX_VOLUME</t>
        </is>
      </c>
      <c r="HG3" s="5" t="inlineStr">
        <is>
          <t>OPEN_INT</t>
        </is>
      </c>
      <c r="HH3" s="5" t="inlineStr">
        <is>
          <t>IVOL_MID</t>
        </is>
      </c>
      <c r="HI3" s="5" t="inlineStr">
        <is>
          <t>IVOL_BID</t>
        </is>
      </c>
      <c r="HJ3" s="5" t="inlineStr">
        <is>
          <t>IVOL_ASK</t>
        </is>
      </c>
      <c r="HK3" s="5" t="inlineStr">
        <is>
          <t>DELTA_MID</t>
        </is>
      </c>
      <c r="HL3" s="5" t="inlineStr">
        <is>
          <t>GAMMA_MID</t>
        </is>
      </c>
      <c r="HM3" s="5" t="inlineStr">
        <is>
          <t>VEGA_MID</t>
        </is>
      </c>
      <c r="HN3" s="5" t="inlineStr">
        <is>
          <t>THETA_MID</t>
        </is>
      </c>
      <c r="HO3" s="5" t="inlineStr">
        <is>
          <t>OPT_UNDL_PX</t>
        </is>
      </c>
      <c r="HQ3" s="5" t="inlineStr">
        <is>
          <t>Date</t>
        </is>
      </c>
      <c r="HR3" s="5" t="inlineStr">
        <is>
          <t>PX_BID</t>
        </is>
      </c>
      <c r="HS3" s="5" t="inlineStr">
        <is>
          <t>PX_ASK</t>
        </is>
      </c>
      <c r="HT3" s="5" t="inlineStr">
        <is>
          <t>PX_MID</t>
        </is>
      </c>
      <c r="HU3" s="5" t="inlineStr">
        <is>
          <t>PX_LAST</t>
        </is>
      </c>
      <c r="HV3" s="5" t="inlineStr">
        <is>
          <t>PX_SETTLE</t>
        </is>
      </c>
      <c r="HW3" s="5" t="inlineStr">
        <is>
          <t>PX_VOLUME</t>
        </is>
      </c>
      <c r="HX3" s="5" t="inlineStr">
        <is>
          <t>OPEN_INT</t>
        </is>
      </c>
      <c r="HY3" s="5" t="inlineStr">
        <is>
          <t>IVOL_MID</t>
        </is>
      </c>
      <c r="HZ3" s="5" t="inlineStr">
        <is>
          <t>IVOL_BID</t>
        </is>
      </c>
      <c r="IA3" s="5" t="inlineStr">
        <is>
          <t>IVOL_ASK</t>
        </is>
      </c>
      <c r="IB3" s="5" t="inlineStr">
        <is>
          <t>DELTA_MID</t>
        </is>
      </c>
      <c r="IC3" s="5" t="inlineStr">
        <is>
          <t>GAMMA_MID</t>
        </is>
      </c>
      <c r="ID3" s="5" t="inlineStr">
        <is>
          <t>VEGA_MID</t>
        </is>
      </c>
      <c r="IE3" s="5" t="inlineStr">
        <is>
          <t>THETA_MID</t>
        </is>
      </c>
      <c r="IF3" s="5" t="inlineStr">
        <is>
          <t>OPT_UNDL_PX</t>
        </is>
      </c>
      <c r="IH3" s="5" t="inlineStr">
        <is>
          <t>Date</t>
        </is>
      </c>
      <c r="II3" s="5" t="inlineStr">
        <is>
          <t>PX_BID</t>
        </is>
      </c>
      <c r="IJ3" s="5" t="inlineStr">
        <is>
          <t>PX_ASK</t>
        </is>
      </c>
      <c r="IK3" s="5" t="inlineStr">
        <is>
          <t>PX_MID</t>
        </is>
      </c>
      <c r="IL3" s="5" t="inlineStr">
        <is>
          <t>PX_LAST</t>
        </is>
      </c>
      <c r="IM3" s="5" t="inlineStr">
        <is>
          <t>PX_SETTLE</t>
        </is>
      </c>
      <c r="IN3" s="5" t="inlineStr">
        <is>
          <t>PX_VOLUME</t>
        </is>
      </c>
      <c r="IO3" s="5" t="inlineStr">
        <is>
          <t>OPEN_INT</t>
        </is>
      </c>
      <c r="IP3" s="5" t="inlineStr">
        <is>
          <t>IVOL_MID</t>
        </is>
      </c>
      <c r="IQ3" s="5" t="inlineStr">
        <is>
          <t>IVOL_BID</t>
        </is>
      </c>
      <c r="IR3" s="5" t="inlineStr">
        <is>
          <t>IVOL_ASK</t>
        </is>
      </c>
      <c r="IS3" s="5" t="inlineStr">
        <is>
          <t>DELTA_MID</t>
        </is>
      </c>
      <c r="IT3" s="5" t="inlineStr">
        <is>
          <t>GAMMA_MID</t>
        </is>
      </c>
      <c r="IU3" s="5" t="inlineStr">
        <is>
          <t>VEGA_MID</t>
        </is>
      </c>
      <c r="IV3" s="5" t="inlineStr">
        <is>
          <t>THETA_MID</t>
        </is>
      </c>
      <c r="IW3" s="5" t="inlineStr">
        <is>
          <t>OPT_UNDL_PX</t>
        </is>
      </c>
      <c r="IY3" s="5" t="inlineStr">
        <is>
          <t>Date</t>
        </is>
      </c>
      <c r="IZ3" s="5" t="inlineStr">
        <is>
          <t>PX_BID</t>
        </is>
      </c>
      <c r="JA3" s="5" t="inlineStr">
        <is>
          <t>PX_ASK</t>
        </is>
      </c>
      <c r="JB3" s="5" t="inlineStr">
        <is>
          <t>PX_MID</t>
        </is>
      </c>
      <c r="JC3" s="5" t="inlineStr">
        <is>
          <t>PX_LAST</t>
        </is>
      </c>
      <c r="JD3" s="5" t="inlineStr">
        <is>
          <t>PX_SETTLE</t>
        </is>
      </c>
      <c r="JE3" s="5" t="inlineStr">
        <is>
          <t>PX_VOLUME</t>
        </is>
      </c>
      <c r="JF3" s="5" t="inlineStr">
        <is>
          <t>OPEN_INT</t>
        </is>
      </c>
      <c r="JG3" s="5" t="inlineStr">
        <is>
          <t>IVOL_MID</t>
        </is>
      </c>
      <c r="JH3" s="5" t="inlineStr">
        <is>
          <t>IVOL_BID</t>
        </is>
      </c>
      <c r="JI3" s="5" t="inlineStr">
        <is>
          <t>IVOL_ASK</t>
        </is>
      </c>
      <c r="JJ3" s="5" t="inlineStr">
        <is>
          <t>DELTA_MID</t>
        </is>
      </c>
      <c r="JK3" s="5" t="inlineStr">
        <is>
          <t>GAMMA_MID</t>
        </is>
      </c>
      <c r="JL3" s="5" t="inlineStr">
        <is>
          <t>VEGA_MID</t>
        </is>
      </c>
      <c r="JM3" s="5" t="inlineStr">
        <is>
          <t>THETA_MID</t>
        </is>
      </c>
      <c r="JN3" s="5" t="inlineStr">
        <is>
          <t>OPT_UNDL_PX</t>
        </is>
      </c>
      <c r="JP3" s="5" t="inlineStr">
        <is>
          <t>Date</t>
        </is>
      </c>
      <c r="JQ3" s="5" t="inlineStr">
        <is>
          <t>PX_BID</t>
        </is>
      </c>
      <c r="JR3" s="5" t="inlineStr">
        <is>
          <t>PX_ASK</t>
        </is>
      </c>
      <c r="JS3" s="5" t="inlineStr">
        <is>
          <t>PX_MID</t>
        </is>
      </c>
      <c r="JT3" s="5" t="inlineStr">
        <is>
          <t>PX_LAST</t>
        </is>
      </c>
      <c r="JU3" s="5" t="inlineStr">
        <is>
          <t>PX_SETTLE</t>
        </is>
      </c>
      <c r="JV3" s="5" t="inlineStr">
        <is>
          <t>PX_VOLUME</t>
        </is>
      </c>
      <c r="JW3" s="5" t="inlineStr">
        <is>
          <t>OPEN_INT</t>
        </is>
      </c>
      <c r="JX3" s="5" t="inlineStr">
        <is>
          <t>IVOL_MID</t>
        </is>
      </c>
      <c r="JY3" s="5" t="inlineStr">
        <is>
          <t>IVOL_BID</t>
        </is>
      </c>
      <c r="JZ3" s="5" t="inlineStr">
        <is>
          <t>IVOL_ASK</t>
        </is>
      </c>
      <c r="KA3" s="5" t="inlineStr">
        <is>
          <t>DELTA_MID</t>
        </is>
      </c>
      <c r="KB3" s="5" t="inlineStr">
        <is>
          <t>GAMMA_MID</t>
        </is>
      </c>
      <c r="KC3" s="5" t="inlineStr">
        <is>
          <t>VEGA_MID</t>
        </is>
      </c>
      <c r="KD3" s="5" t="inlineStr">
        <is>
          <t>THETA_MID</t>
        </is>
      </c>
      <c r="KE3" s="5" t="inlineStr">
        <is>
          <t>OPT_UNDL_PX</t>
        </is>
      </c>
      <c r="KG3" s="5" t="inlineStr">
        <is>
          <t>Date</t>
        </is>
      </c>
      <c r="KH3" s="5" t="inlineStr">
        <is>
          <t>PX_BID</t>
        </is>
      </c>
      <c r="KI3" s="5" t="inlineStr">
        <is>
          <t>PX_ASK</t>
        </is>
      </c>
      <c r="KJ3" s="5" t="inlineStr">
        <is>
          <t>PX_MID</t>
        </is>
      </c>
      <c r="KK3" s="5" t="inlineStr">
        <is>
          <t>PX_LAST</t>
        </is>
      </c>
      <c r="KL3" s="5" t="inlineStr">
        <is>
          <t>PX_SETTLE</t>
        </is>
      </c>
      <c r="KM3" s="5" t="inlineStr">
        <is>
          <t>PX_VOLUME</t>
        </is>
      </c>
      <c r="KN3" s="5" t="inlineStr">
        <is>
          <t>OPEN_INT</t>
        </is>
      </c>
      <c r="KO3" s="5" t="inlineStr">
        <is>
          <t>IVOL_MID</t>
        </is>
      </c>
      <c r="KP3" s="5" t="inlineStr">
        <is>
          <t>IVOL_BID</t>
        </is>
      </c>
      <c r="KQ3" s="5" t="inlineStr">
        <is>
          <t>IVOL_ASK</t>
        </is>
      </c>
      <c r="KR3" s="5" t="inlineStr">
        <is>
          <t>DELTA_MID</t>
        </is>
      </c>
      <c r="KS3" s="5" t="inlineStr">
        <is>
          <t>GAMMA_MID</t>
        </is>
      </c>
      <c r="KT3" s="5" t="inlineStr">
        <is>
          <t>VEGA_MID</t>
        </is>
      </c>
      <c r="KU3" s="5" t="inlineStr">
        <is>
          <t>THETA_MID</t>
        </is>
      </c>
      <c r="KV3" s="5" t="inlineStr">
        <is>
          <t>OPT_UNDL_PX</t>
        </is>
      </c>
      <c r="KX3" s="5" t="inlineStr">
        <is>
          <t>Date</t>
        </is>
      </c>
      <c r="KY3" s="5" t="inlineStr">
        <is>
          <t>PX_BID</t>
        </is>
      </c>
      <c r="KZ3" s="5" t="inlineStr">
        <is>
          <t>PX_ASK</t>
        </is>
      </c>
      <c r="LA3" s="5" t="inlineStr">
        <is>
          <t>PX_MID</t>
        </is>
      </c>
      <c r="LB3" s="5" t="inlineStr">
        <is>
          <t>PX_LAST</t>
        </is>
      </c>
      <c r="LC3" s="5" t="inlineStr">
        <is>
          <t>PX_SETTLE</t>
        </is>
      </c>
      <c r="LD3" s="5" t="inlineStr">
        <is>
          <t>PX_VOLUME</t>
        </is>
      </c>
      <c r="LE3" s="5" t="inlineStr">
        <is>
          <t>OPEN_INT</t>
        </is>
      </c>
      <c r="LF3" s="5" t="inlineStr">
        <is>
          <t>IVOL_MID</t>
        </is>
      </c>
      <c r="LG3" s="5" t="inlineStr">
        <is>
          <t>IVOL_BID</t>
        </is>
      </c>
      <c r="LH3" s="5" t="inlineStr">
        <is>
          <t>IVOL_ASK</t>
        </is>
      </c>
      <c r="LI3" s="5" t="inlineStr">
        <is>
          <t>DELTA_MID</t>
        </is>
      </c>
      <c r="LJ3" s="5" t="inlineStr">
        <is>
          <t>GAMMA_MID</t>
        </is>
      </c>
      <c r="LK3" s="5" t="inlineStr">
        <is>
          <t>VEGA_MID</t>
        </is>
      </c>
      <c r="LL3" s="5" t="inlineStr">
        <is>
          <t>THETA_MID</t>
        </is>
      </c>
      <c r="LM3" s="5" t="inlineStr">
        <is>
          <t>OPT_UNDL_PX</t>
        </is>
      </c>
      <c r="LO3" s="5" t="inlineStr">
        <is>
          <t>Date</t>
        </is>
      </c>
      <c r="LP3" s="5" t="inlineStr">
        <is>
          <t>PX_BID</t>
        </is>
      </c>
      <c r="LQ3" s="5" t="inlineStr">
        <is>
          <t>PX_ASK</t>
        </is>
      </c>
      <c r="LR3" s="5" t="inlineStr">
        <is>
          <t>PX_MID</t>
        </is>
      </c>
      <c r="LS3" s="5" t="inlineStr">
        <is>
          <t>PX_LAST</t>
        </is>
      </c>
      <c r="LT3" s="5" t="inlineStr">
        <is>
          <t>PX_SETTLE</t>
        </is>
      </c>
      <c r="LU3" s="5" t="inlineStr">
        <is>
          <t>PX_VOLUME</t>
        </is>
      </c>
      <c r="LV3" s="5" t="inlineStr">
        <is>
          <t>OPEN_INT</t>
        </is>
      </c>
      <c r="LW3" s="5" t="inlineStr">
        <is>
          <t>IVOL_MID</t>
        </is>
      </c>
      <c r="LX3" s="5" t="inlineStr">
        <is>
          <t>IVOL_BID</t>
        </is>
      </c>
      <c r="LY3" s="5" t="inlineStr">
        <is>
          <t>IVOL_ASK</t>
        </is>
      </c>
      <c r="LZ3" s="5" t="inlineStr">
        <is>
          <t>DELTA_MID</t>
        </is>
      </c>
      <c r="MA3" s="5" t="inlineStr">
        <is>
          <t>GAMMA_MID</t>
        </is>
      </c>
      <c r="MB3" s="5" t="inlineStr">
        <is>
          <t>VEGA_MID</t>
        </is>
      </c>
      <c r="MC3" s="5" t="inlineStr">
        <is>
          <t>THETA_MID</t>
        </is>
      </c>
      <c r="MD3" s="5" t="inlineStr">
        <is>
          <t>OPT_UNDL_PX</t>
        </is>
      </c>
      <c r="MF3" s="5" t="inlineStr">
        <is>
          <t>Date</t>
        </is>
      </c>
      <c r="MG3" s="5" t="inlineStr">
        <is>
          <t>PX_BID</t>
        </is>
      </c>
      <c r="MH3" s="5" t="inlineStr">
        <is>
          <t>PX_ASK</t>
        </is>
      </c>
      <c r="MI3" s="5" t="inlineStr">
        <is>
          <t>PX_MID</t>
        </is>
      </c>
      <c r="MJ3" s="5" t="inlineStr">
        <is>
          <t>PX_LAST</t>
        </is>
      </c>
      <c r="MK3" s="5" t="inlineStr">
        <is>
          <t>PX_SETTLE</t>
        </is>
      </c>
      <c r="ML3" s="5" t="inlineStr">
        <is>
          <t>PX_VOLUME</t>
        </is>
      </c>
      <c r="MM3" s="5" t="inlineStr">
        <is>
          <t>OPEN_INT</t>
        </is>
      </c>
      <c r="MN3" s="5" t="inlineStr">
        <is>
          <t>IVOL_MID</t>
        </is>
      </c>
      <c r="MO3" s="5" t="inlineStr">
        <is>
          <t>IVOL_BID</t>
        </is>
      </c>
      <c r="MP3" s="5" t="inlineStr">
        <is>
          <t>IVOL_ASK</t>
        </is>
      </c>
      <c r="MQ3" s="5" t="inlineStr">
        <is>
          <t>DELTA_MID</t>
        </is>
      </c>
      <c r="MR3" s="5" t="inlineStr">
        <is>
          <t>GAMMA_MID</t>
        </is>
      </c>
      <c r="MS3" s="5" t="inlineStr">
        <is>
          <t>VEGA_MID</t>
        </is>
      </c>
      <c r="MT3" s="5" t="inlineStr">
        <is>
          <t>THETA_MID</t>
        </is>
      </c>
      <c r="MU3" s="5" t="inlineStr">
        <is>
          <t>OPT_UNDL_PX</t>
        </is>
      </c>
      <c r="MW3" s="5" t="inlineStr">
        <is>
          <t>Date</t>
        </is>
      </c>
      <c r="MX3" s="5" t="inlineStr">
        <is>
          <t>PX_BID</t>
        </is>
      </c>
      <c r="MY3" s="5" t="inlineStr">
        <is>
          <t>PX_ASK</t>
        </is>
      </c>
      <c r="MZ3" s="5" t="inlineStr">
        <is>
          <t>PX_MID</t>
        </is>
      </c>
      <c r="NA3" s="5" t="inlineStr">
        <is>
          <t>PX_LAST</t>
        </is>
      </c>
      <c r="NB3" s="5" t="inlineStr">
        <is>
          <t>PX_SETTLE</t>
        </is>
      </c>
      <c r="NC3" s="5" t="inlineStr">
        <is>
          <t>PX_VOLUME</t>
        </is>
      </c>
      <c r="ND3" s="5" t="inlineStr">
        <is>
          <t>OPEN_INT</t>
        </is>
      </c>
      <c r="NE3" s="5" t="inlineStr">
        <is>
          <t>IVOL_MID</t>
        </is>
      </c>
      <c r="NF3" s="5" t="inlineStr">
        <is>
          <t>IVOL_BID</t>
        </is>
      </c>
      <c r="NG3" s="5" t="inlineStr">
        <is>
          <t>IVOL_ASK</t>
        </is>
      </c>
      <c r="NH3" s="5" t="inlineStr">
        <is>
          <t>DELTA_MID</t>
        </is>
      </c>
      <c r="NI3" s="5" t="inlineStr">
        <is>
          <t>GAMMA_MID</t>
        </is>
      </c>
      <c r="NJ3" s="5" t="inlineStr">
        <is>
          <t>VEGA_MID</t>
        </is>
      </c>
      <c r="NK3" s="5" t="inlineStr">
        <is>
          <t>THETA_MID</t>
        </is>
      </c>
      <c r="NL3" s="5" t="inlineStr">
        <is>
          <t>OPT_UNDL_PX</t>
        </is>
      </c>
    </row>
    <row r="4">
      <c r="A4" s="2" t="inlineStr">
        <is>
          <t>Strike reference date</t>
        </is>
      </c>
      <c r="B4" s="8">
        <f>B3-45</f>
        <v/>
      </c>
      <c r="D4" s="4">
        <f>BDH(D$1,E$3:S$3,$B$8,$B$9,"Dir=V","Dts=S","Sort=A","Days=T","Fill=B")</f>
        <v/>
      </c>
      <c r="U4" s="4">
        <f>BDH(U$1,V$3:AJ$3,$B$8,$B$9,"Dir=V","Dts=S","Sort=A","Days=T","Fill=B")</f>
        <v/>
      </c>
      <c r="AL4" s="4">
        <f>BDH(AL$1,AM$3:BA$3,$B$8,$B$9,"Dir=V","Dts=S","Sort=A","Days=T","Fill=B")</f>
        <v/>
      </c>
      <c r="BC4" s="4">
        <f>BDH(BC$1,BD$3:BR$3,$B$8,$B$9,"Dir=V","Dts=S","Sort=A","Days=T","Fill=B")</f>
        <v/>
      </c>
      <c r="BT4" s="4">
        <f>BDH(BT$1,BU$3:CI$3,$B$8,$B$9,"Dir=V","Dts=S","Sort=A","Days=T","Fill=B")</f>
        <v/>
      </c>
      <c r="CK4" s="4">
        <f>BDH(CK$1,CL$3:CZ$3,$B$8,$B$9,"Dir=V","Dts=S","Sort=A","Days=T","Fill=B")</f>
        <v/>
      </c>
      <c r="DB4" s="4">
        <f>BDH(DB$1,DC$3:DQ$3,$B$8,$B$9,"Dir=V","Dts=S","Sort=A","Days=T","Fill=B")</f>
        <v/>
      </c>
      <c r="DS4" s="4">
        <f>BDH(DS$1,DT$3:EH$3,$B$8,$B$9,"Dir=V","Dts=S","Sort=A","Days=T","Fill=B")</f>
        <v/>
      </c>
      <c r="EJ4" s="4">
        <f>BDH(EJ$1,EK$3:EY$3,$B$8,$B$9,"Dir=V","Dts=S","Sort=A","Days=T","Fill=B")</f>
        <v/>
      </c>
      <c r="FA4" s="4">
        <f>BDH(FA$1,FB$3:FP$3,$B$8,$B$9,"Dir=V","Dts=S","Sort=A","Days=T","Fill=B")</f>
        <v/>
      </c>
      <c r="FR4" s="4">
        <f>BDH(FR$1,FS$3:GG$3,$B$8,$B$9,"Dir=V","Dts=S","Sort=A","Days=T","Fill=B")</f>
        <v/>
      </c>
      <c r="GI4" s="4">
        <f>BDH(GI$1,GJ$3:GX$3,$B$8,$B$9,"Dir=V","Dts=S","Sort=A","Days=T","Fill=B")</f>
        <v/>
      </c>
      <c r="GZ4" s="4">
        <f>BDH(GZ$1,HA$3:HO$3,$B$8,$B$9,"Dir=V","Dts=S","Sort=A","Days=T","Fill=B")</f>
        <v/>
      </c>
      <c r="HQ4" s="4">
        <f>BDH(HQ$1,HR$3:IF$3,$B$8,$B$9,"Dir=V","Dts=S","Sort=A","Days=T","Fill=B")</f>
        <v/>
      </c>
      <c r="IH4" s="4">
        <f>BDH(IH$1,II$3:IW$3,$B$8,$B$9,"Dir=V","Dts=S","Sort=A","Days=T","Fill=B")</f>
        <v/>
      </c>
      <c r="IY4" s="4">
        <f>BDH(IY$1,IZ$3:JN$3,$B$8,$B$9,"Dir=V","Dts=S","Sort=A","Days=T","Fill=B")</f>
        <v/>
      </c>
      <c r="JP4" s="4">
        <f>BDH(JP$1,JQ$3:KE$3,$B$8,$B$9,"Dir=V","Dts=S","Sort=A","Days=T","Fill=B")</f>
        <v/>
      </c>
      <c r="KG4" s="4">
        <f>BDH(KG$1,KH$3:KV$3,$B$8,$B$9,"Dir=V","Dts=S","Sort=A","Days=T","Fill=B")</f>
        <v/>
      </c>
      <c r="KX4" s="4">
        <f>BDH(KX$1,KY$3:LM$3,$B$8,$B$9,"Dir=V","Dts=S","Sort=A","Days=T","Fill=B")</f>
        <v/>
      </c>
      <c r="LO4" s="4">
        <f>BDH(LO$1,LP$3:MD$3,$B$8,$B$9,"Dir=V","Dts=S","Sort=A","Days=T","Fill=B")</f>
        <v/>
      </c>
      <c r="MF4" s="4">
        <f>BDH(MF$1,MG$3:MU$3,$B$8,$B$9,"Dir=V","Dts=S","Sort=A","Days=T","Fill=B")</f>
        <v/>
      </c>
      <c r="MW4" s="4">
        <f>BDH(MW$1,MX$3:NL$3,$B$8,$B$9,"Dir=V","Dts=S","Sort=A","Days=T","Fill=B")</f>
        <v/>
      </c>
    </row>
    <row r="5">
      <c r="A5" s="2" t="inlineStr">
        <is>
          <t>Unadjusted close then</t>
        </is>
      </c>
      <c r="B5" s="10">
        <f>IF(B2="","",BDH(B2,"PX_LAST",B4,B4,"Days=A","Fill=P","Dts=H","CshAdjNormal=N","CshAdjAbnormal=N","CapChg=N"))</f>
        <v/>
      </c>
    </row>
    <row r="6">
      <c r="A6" s="2" t="inlineStr">
        <is>
          <t>Strike step</t>
        </is>
      </c>
      <c r="B6" s="11">
        <f>IF(ISNUMBER(B5),IF(B5&lt;25,0.5,IF(B5&lt;250,1,5)),"")</f>
        <v/>
      </c>
    </row>
    <row r="7">
      <c r="A7" s="2" t="inlineStr">
        <is>
          <t>ATM strike</t>
        </is>
      </c>
      <c r="B7" s="11">
        <f>IF(ISNUMBER(B5),ROUND(B5/B6,0)*B6,"")</f>
        <v/>
      </c>
    </row>
    <row r="8">
      <c r="A8" s="2" t="inlineStr">
        <is>
          <t>History start</t>
        </is>
      </c>
      <c r="B8" s="8">
        <f>B3-100</f>
        <v/>
      </c>
    </row>
    <row r="9">
      <c r="A9" s="2" t="inlineStr">
        <is>
          <t>History end</t>
        </is>
      </c>
      <c r="B9" s="8">
        <f>B3</f>
        <v/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NL9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2" customWidth="1" min="2" max="2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1" customWidth="1" min="15" max="15"/>
    <col width="11" customWidth="1" min="16" max="16"/>
    <col width="10" customWidth="1" min="17" max="17"/>
    <col width="11" customWidth="1" min="18" max="18"/>
    <col width="13" customWidth="1" min="19" max="19"/>
    <col width="12" customWidth="1" min="21" max="21"/>
    <col width="10" customWidth="1" min="22" max="22"/>
    <col width="10" customWidth="1" min="23" max="23"/>
    <col width="10" customWidth="1" min="24" max="24"/>
    <col width="10" customWidth="1" min="25" max="25"/>
    <col width="11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1" customWidth="1" min="32" max="32"/>
    <col width="11" customWidth="1" min="33" max="33"/>
    <col width="10" customWidth="1" min="34" max="34"/>
    <col width="11" customWidth="1" min="35" max="35"/>
    <col width="13" customWidth="1" min="36" max="36"/>
    <col width="12" customWidth="1" min="38" max="38"/>
    <col width="10" customWidth="1" min="39" max="39"/>
    <col width="10" customWidth="1" min="40" max="40"/>
    <col width="10" customWidth="1" min="41" max="41"/>
    <col width="10" customWidth="1" min="42" max="42"/>
    <col width="11" customWidth="1" min="43" max="43"/>
    <col width="11" customWidth="1" min="44" max="44"/>
    <col width="10" customWidth="1" min="45" max="45"/>
    <col width="10" customWidth="1" min="46" max="46"/>
    <col width="10" customWidth="1" min="47" max="47"/>
    <col width="10" customWidth="1" min="48" max="48"/>
    <col width="11" customWidth="1" min="49" max="49"/>
    <col width="11" customWidth="1" min="50" max="50"/>
    <col width="10" customWidth="1" min="51" max="51"/>
    <col width="11" customWidth="1" min="52" max="52"/>
    <col width="13" customWidth="1" min="53" max="53"/>
    <col width="12" customWidth="1" min="55" max="55"/>
    <col width="10" customWidth="1" min="56" max="56"/>
    <col width="10" customWidth="1" min="57" max="57"/>
    <col width="10" customWidth="1" min="58" max="58"/>
    <col width="10" customWidth="1" min="59" max="59"/>
    <col width="11" customWidth="1" min="60" max="60"/>
    <col width="11" customWidth="1" min="61" max="61"/>
    <col width="10" customWidth="1" min="62" max="62"/>
    <col width="10" customWidth="1" min="63" max="63"/>
    <col width="10" customWidth="1" min="64" max="64"/>
    <col width="10" customWidth="1" min="65" max="65"/>
    <col width="11" customWidth="1" min="66" max="66"/>
    <col width="11" customWidth="1" min="67" max="67"/>
    <col width="10" customWidth="1" min="68" max="68"/>
    <col width="11" customWidth="1" min="69" max="69"/>
    <col width="13" customWidth="1" min="70" max="70"/>
    <col width="12" customWidth="1" min="72" max="72"/>
    <col width="10" customWidth="1" min="73" max="73"/>
    <col width="10" customWidth="1" min="74" max="74"/>
    <col width="10" customWidth="1" min="75" max="75"/>
    <col width="10" customWidth="1" min="76" max="76"/>
    <col width="11" customWidth="1" min="77" max="77"/>
    <col width="11" customWidth="1" min="78" max="78"/>
    <col width="10" customWidth="1" min="79" max="79"/>
    <col width="10" customWidth="1" min="80" max="80"/>
    <col width="10" customWidth="1" min="81" max="81"/>
    <col width="10" customWidth="1" min="82" max="82"/>
    <col width="11" customWidth="1" min="83" max="83"/>
    <col width="11" customWidth="1" min="84" max="84"/>
    <col width="10" customWidth="1" min="85" max="85"/>
    <col width="11" customWidth="1" min="86" max="86"/>
    <col width="13" customWidth="1" min="87" max="87"/>
    <col width="12" customWidth="1" min="89" max="89"/>
    <col width="10" customWidth="1" min="90" max="90"/>
    <col width="10" customWidth="1" min="91" max="91"/>
    <col width="10" customWidth="1" min="92" max="92"/>
    <col width="10" customWidth="1" min="93" max="93"/>
    <col width="11" customWidth="1" min="94" max="94"/>
    <col width="11" customWidth="1" min="95" max="95"/>
    <col width="10" customWidth="1" min="96" max="96"/>
    <col width="10" customWidth="1" min="97" max="97"/>
    <col width="10" customWidth="1" min="98" max="98"/>
    <col width="10" customWidth="1" min="99" max="99"/>
    <col width="11" customWidth="1" min="100" max="100"/>
    <col width="11" customWidth="1" min="101" max="101"/>
    <col width="10" customWidth="1" min="102" max="102"/>
    <col width="11" customWidth="1" min="103" max="103"/>
    <col width="13" customWidth="1" min="104" max="104"/>
    <col width="12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1" customWidth="1" min="111" max="111"/>
    <col width="11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1" customWidth="1" min="117" max="117"/>
    <col width="11" customWidth="1" min="118" max="118"/>
    <col width="10" customWidth="1" min="119" max="119"/>
    <col width="11" customWidth="1" min="120" max="120"/>
    <col width="13" customWidth="1" min="121" max="121"/>
    <col width="12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1" customWidth="1" min="128" max="128"/>
    <col width="11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1" customWidth="1" min="134" max="134"/>
    <col width="11" customWidth="1" min="135" max="135"/>
    <col width="10" customWidth="1" min="136" max="136"/>
    <col width="11" customWidth="1" min="137" max="137"/>
    <col width="13" customWidth="1" min="138" max="138"/>
    <col width="12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1" customWidth="1" min="145" max="145"/>
    <col width="11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1" customWidth="1" min="151" max="151"/>
    <col width="11" customWidth="1" min="152" max="152"/>
    <col width="10" customWidth="1" min="153" max="153"/>
    <col width="11" customWidth="1" min="154" max="154"/>
    <col width="13" customWidth="1" min="155" max="155"/>
    <col width="12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1" customWidth="1" min="162" max="162"/>
    <col width="11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1" customWidth="1" min="168" max="168"/>
    <col width="11" customWidth="1" min="169" max="169"/>
    <col width="10" customWidth="1" min="170" max="170"/>
    <col width="11" customWidth="1" min="171" max="171"/>
    <col width="13" customWidth="1" min="172" max="172"/>
    <col width="12" customWidth="1" min="174" max="174"/>
    <col width="10" customWidth="1" min="175" max="175"/>
    <col width="10" customWidth="1" min="176" max="176"/>
    <col width="10" customWidth="1" min="177" max="177"/>
    <col width="10" customWidth="1" min="178" max="178"/>
    <col width="11" customWidth="1" min="179" max="179"/>
    <col width="11" customWidth="1" min="180" max="180"/>
    <col width="10" customWidth="1" min="181" max="181"/>
    <col width="10" customWidth="1" min="182" max="182"/>
    <col width="10" customWidth="1" min="183" max="183"/>
    <col width="10" customWidth="1" min="184" max="184"/>
    <col width="11" customWidth="1" min="185" max="185"/>
    <col width="11" customWidth="1" min="186" max="186"/>
    <col width="10" customWidth="1" min="187" max="187"/>
    <col width="11" customWidth="1" min="188" max="188"/>
    <col width="13" customWidth="1" min="189" max="189"/>
    <col width="12" customWidth="1" min="191" max="191"/>
    <col width="10" customWidth="1" min="192" max="192"/>
    <col width="10" customWidth="1" min="193" max="193"/>
    <col width="10" customWidth="1" min="194" max="194"/>
    <col width="10" customWidth="1" min="195" max="195"/>
    <col width="11" customWidth="1" min="196" max="196"/>
    <col width="11" customWidth="1" min="197" max="197"/>
    <col width="10" customWidth="1" min="198" max="198"/>
    <col width="10" customWidth="1" min="199" max="199"/>
    <col width="10" customWidth="1" min="200" max="200"/>
    <col width="10" customWidth="1" min="201" max="201"/>
    <col width="11" customWidth="1" min="202" max="202"/>
    <col width="11" customWidth="1" min="203" max="203"/>
    <col width="10" customWidth="1" min="204" max="204"/>
    <col width="11" customWidth="1" min="205" max="205"/>
    <col width="13" customWidth="1" min="206" max="206"/>
    <col width="12" customWidth="1" min="208" max="208"/>
    <col width="10" customWidth="1" min="209" max="209"/>
    <col width="10" customWidth="1" min="210" max="210"/>
    <col width="10" customWidth="1" min="211" max="211"/>
    <col width="10" customWidth="1" min="212" max="212"/>
    <col width="11" customWidth="1" min="213" max="213"/>
    <col width="11" customWidth="1" min="214" max="214"/>
    <col width="10" customWidth="1" min="215" max="215"/>
    <col width="10" customWidth="1" min="216" max="216"/>
    <col width="10" customWidth="1" min="217" max="217"/>
    <col width="10" customWidth="1" min="218" max="218"/>
    <col width="11" customWidth="1" min="219" max="219"/>
    <col width="11" customWidth="1" min="220" max="220"/>
    <col width="10" customWidth="1" min="221" max="221"/>
    <col width="11" customWidth="1" min="222" max="222"/>
    <col width="13" customWidth="1" min="223" max="223"/>
    <col width="12" customWidth="1" min="225" max="225"/>
    <col width="10" customWidth="1" min="226" max="226"/>
    <col width="10" customWidth="1" min="227" max="227"/>
    <col width="10" customWidth="1" min="228" max="228"/>
    <col width="10" customWidth="1" min="229" max="229"/>
    <col width="11" customWidth="1" min="230" max="230"/>
    <col width="11" customWidth="1" min="231" max="231"/>
    <col width="10" customWidth="1" min="232" max="232"/>
    <col width="10" customWidth="1" min="233" max="233"/>
    <col width="10" customWidth="1" min="234" max="234"/>
    <col width="10" customWidth="1" min="235" max="235"/>
    <col width="11" customWidth="1" min="236" max="236"/>
    <col width="11" customWidth="1" min="237" max="237"/>
    <col width="10" customWidth="1" min="238" max="238"/>
    <col width="11" customWidth="1" min="239" max="239"/>
    <col width="13" customWidth="1" min="240" max="240"/>
    <col width="12" customWidth="1" min="242" max="242"/>
    <col width="10" customWidth="1" min="243" max="243"/>
    <col width="10" customWidth="1" min="244" max="244"/>
    <col width="10" customWidth="1" min="245" max="245"/>
    <col width="10" customWidth="1" min="246" max="246"/>
    <col width="11" customWidth="1" min="247" max="247"/>
    <col width="11" customWidth="1" min="248" max="248"/>
    <col width="10" customWidth="1" min="249" max="249"/>
    <col width="10" customWidth="1" min="250" max="250"/>
    <col width="10" customWidth="1" min="251" max="251"/>
    <col width="10" customWidth="1" min="252" max="252"/>
    <col width="11" customWidth="1" min="253" max="253"/>
    <col width="11" customWidth="1" min="254" max="254"/>
    <col width="10" customWidth="1" min="255" max="255"/>
    <col width="11" customWidth="1" min="256" max="256"/>
    <col width="13" customWidth="1" min="257" max="257"/>
    <col width="12" customWidth="1" min="259" max="259"/>
    <col width="10" customWidth="1" min="260" max="260"/>
    <col width="10" customWidth="1" min="261" max="261"/>
    <col width="10" customWidth="1" min="262" max="262"/>
    <col width="10" customWidth="1" min="263" max="263"/>
    <col width="11" customWidth="1" min="264" max="264"/>
    <col width="11" customWidth="1" min="265" max="265"/>
    <col width="10" customWidth="1" min="266" max="266"/>
    <col width="10" customWidth="1" min="267" max="267"/>
    <col width="10" customWidth="1" min="268" max="268"/>
    <col width="10" customWidth="1" min="269" max="269"/>
    <col width="11" customWidth="1" min="270" max="270"/>
    <col width="11" customWidth="1" min="271" max="271"/>
    <col width="10" customWidth="1" min="272" max="272"/>
    <col width="11" customWidth="1" min="273" max="273"/>
    <col width="13" customWidth="1" min="274" max="274"/>
    <col width="12" customWidth="1" min="276" max="276"/>
    <col width="10" customWidth="1" min="277" max="277"/>
    <col width="10" customWidth="1" min="278" max="278"/>
    <col width="10" customWidth="1" min="279" max="279"/>
    <col width="10" customWidth="1" min="280" max="280"/>
    <col width="11" customWidth="1" min="281" max="281"/>
    <col width="11" customWidth="1" min="282" max="282"/>
    <col width="10" customWidth="1" min="283" max="283"/>
    <col width="10" customWidth="1" min="284" max="284"/>
    <col width="10" customWidth="1" min="285" max="285"/>
    <col width="10" customWidth="1" min="286" max="286"/>
    <col width="11" customWidth="1" min="287" max="287"/>
    <col width="11" customWidth="1" min="288" max="288"/>
    <col width="10" customWidth="1" min="289" max="289"/>
    <col width="11" customWidth="1" min="290" max="290"/>
    <col width="13" customWidth="1" min="291" max="291"/>
    <col width="12" customWidth="1" min="293" max="293"/>
    <col width="10" customWidth="1" min="294" max="294"/>
    <col width="10" customWidth="1" min="295" max="295"/>
    <col width="10" customWidth="1" min="296" max="296"/>
    <col width="10" customWidth="1" min="297" max="297"/>
    <col width="11" customWidth="1" min="298" max="298"/>
    <col width="11" customWidth="1" min="299" max="299"/>
    <col width="10" customWidth="1" min="300" max="300"/>
    <col width="10" customWidth="1" min="301" max="301"/>
    <col width="10" customWidth="1" min="302" max="302"/>
    <col width="10" customWidth="1" min="303" max="303"/>
    <col width="11" customWidth="1" min="304" max="304"/>
    <col width="11" customWidth="1" min="305" max="305"/>
    <col width="10" customWidth="1" min="306" max="306"/>
    <col width="11" customWidth="1" min="307" max="307"/>
    <col width="13" customWidth="1" min="308" max="308"/>
    <col width="12" customWidth="1" min="310" max="310"/>
    <col width="10" customWidth="1" min="311" max="311"/>
    <col width="10" customWidth="1" min="312" max="312"/>
    <col width="10" customWidth="1" min="313" max="313"/>
    <col width="10" customWidth="1" min="314" max="314"/>
    <col width="11" customWidth="1" min="315" max="315"/>
    <col width="11" customWidth="1" min="316" max="316"/>
    <col width="10" customWidth="1" min="317" max="317"/>
    <col width="10" customWidth="1" min="318" max="318"/>
    <col width="10" customWidth="1" min="319" max="319"/>
    <col width="10" customWidth="1" min="320" max="320"/>
    <col width="11" customWidth="1" min="321" max="321"/>
    <col width="11" customWidth="1" min="322" max="322"/>
    <col width="10" customWidth="1" min="323" max="323"/>
    <col width="11" customWidth="1" min="324" max="324"/>
    <col width="13" customWidth="1" min="325" max="325"/>
    <col width="12" customWidth="1" min="327" max="327"/>
    <col width="10" customWidth="1" min="328" max="328"/>
    <col width="10" customWidth="1" min="329" max="329"/>
    <col width="10" customWidth="1" min="330" max="330"/>
    <col width="10" customWidth="1" min="331" max="331"/>
    <col width="11" customWidth="1" min="332" max="332"/>
    <col width="11" customWidth="1" min="333" max="333"/>
    <col width="10" customWidth="1" min="334" max="334"/>
    <col width="10" customWidth="1" min="335" max="335"/>
    <col width="10" customWidth="1" min="336" max="336"/>
    <col width="10" customWidth="1" min="337" max="337"/>
    <col width="11" customWidth="1" min="338" max="338"/>
    <col width="11" customWidth="1" min="339" max="339"/>
    <col width="10" customWidth="1" min="340" max="340"/>
    <col width="11" customWidth="1" min="341" max="341"/>
    <col width="13" customWidth="1" min="342" max="342"/>
    <col width="12" customWidth="1" min="344" max="344"/>
    <col width="10" customWidth="1" min="345" max="345"/>
    <col width="10" customWidth="1" min="346" max="346"/>
    <col width="10" customWidth="1" min="347" max="347"/>
    <col width="10" customWidth="1" min="348" max="348"/>
    <col width="11" customWidth="1" min="349" max="349"/>
    <col width="11" customWidth="1" min="350" max="350"/>
    <col width="10" customWidth="1" min="351" max="351"/>
    <col width="10" customWidth="1" min="352" max="352"/>
    <col width="10" customWidth="1" min="353" max="353"/>
    <col width="10" customWidth="1" min="354" max="354"/>
    <col width="11" customWidth="1" min="355" max="355"/>
    <col width="11" customWidth="1" min="356" max="356"/>
    <col width="10" customWidth="1" min="357" max="357"/>
    <col width="11" customWidth="1" min="358" max="358"/>
    <col width="13" customWidth="1" min="359" max="359"/>
    <col width="12" customWidth="1" min="361" max="361"/>
    <col width="10" customWidth="1" min="362" max="362"/>
    <col width="10" customWidth="1" min="363" max="363"/>
    <col width="10" customWidth="1" min="364" max="364"/>
    <col width="10" customWidth="1" min="365" max="365"/>
    <col width="11" customWidth="1" min="366" max="366"/>
    <col width="11" customWidth="1" min="367" max="367"/>
    <col width="10" customWidth="1" min="368" max="368"/>
    <col width="10" customWidth="1" min="369" max="369"/>
    <col width="10" customWidth="1" min="370" max="370"/>
    <col width="10" customWidth="1" min="371" max="371"/>
    <col width="11" customWidth="1" min="372" max="372"/>
    <col width="11" customWidth="1" min="373" max="373"/>
    <col width="10" customWidth="1" min="374" max="374"/>
    <col width="11" customWidth="1" min="375" max="375"/>
    <col width="13" customWidth="1" min="376" max="376"/>
  </cols>
  <sheetData>
    <row r="1">
      <c r="A1" s="2" t="inlineStr">
        <is>
          <t>Month</t>
        </is>
      </c>
      <c r="B1" s="9" t="n">
        <v>2</v>
      </c>
      <c r="D1" s="2">
        <f>IF(ISNUMBER(B$7),"USO US "&amp;TEXT(B$3,"mm/dd/yy")&amp;" C"&amp;(B$7-5*B$6)&amp;" Equity","")</f>
        <v/>
      </c>
      <c r="U1" s="2">
        <f>IF(ISNUMBER(B$7),"USO US "&amp;TEXT(B$3,"mm/dd/yy")&amp;" P"&amp;(B$7-5*B$6)&amp;" Equity","")</f>
        <v/>
      </c>
      <c r="AL1" s="2">
        <f>IF(ISNUMBER(B$7),"USO US "&amp;TEXT(B$3,"mm/dd/yy")&amp;" C"&amp;(B$7-4*B$6)&amp;" Equity","")</f>
        <v/>
      </c>
      <c r="BC1" s="2">
        <f>IF(ISNUMBER(B$7),"USO US "&amp;TEXT(B$3,"mm/dd/yy")&amp;" P"&amp;(B$7-4*B$6)&amp;" Equity","")</f>
        <v/>
      </c>
      <c r="BT1" s="2">
        <f>IF(ISNUMBER(B$7),"USO US "&amp;TEXT(B$3,"mm/dd/yy")&amp;" C"&amp;(B$7-3*B$6)&amp;" Equity","")</f>
        <v/>
      </c>
      <c r="CK1" s="2">
        <f>IF(ISNUMBER(B$7),"USO US "&amp;TEXT(B$3,"mm/dd/yy")&amp;" P"&amp;(B$7-3*B$6)&amp;" Equity","")</f>
        <v/>
      </c>
      <c r="DB1" s="2">
        <f>IF(ISNUMBER(B$7),"USO US "&amp;TEXT(B$3,"mm/dd/yy")&amp;" C"&amp;(B$7-2*B$6)&amp;" Equity","")</f>
        <v/>
      </c>
      <c r="DS1" s="2">
        <f>IF(ISNUMBER(B$7),"USO US "&amp;TEXT(B$3,"mm/dd/yy")&amp;" P"&amp;(B$7-2*B$6)&amp;" Equity","")</f>
        <v/>
      </c>
      <c r="EJ1" s="2">
        <f>IF(ISNUMBER(B$7),"USO US "&amp;TEXT(B$3,"mm/dd/yy")&amp;" C"&amp;(B$7-1*B$6)&amp;" Equity","")</f>
        <v/>
      </c>
      <c r="FA1" s="2">
        <f>IF(ISNUMBER(B$7),"USO US "&amp;TEXT(B$3,"mm/dd/yy")&amp;" P"&amp;(B$7-1*B$6)&amp;" Equity","")</f>
        <v/>
      </c>
      <c r="FR1" s="2">
        <f>IF(ISNUMBER(B$7),"USO US "&amp;TEXT(B$3,"mm/dd/yy")&amp;" C"&amp;B$7&amp;" Equity","")</f>
        <v/>
      </c>
      <c r="GI1" s="2">
        <f>IF(ISNUMBER(B$7),"USO US "&amp;TEXT(B$3,"mm/dd/yy")&amp;" P"&amp;B$7&amp;" Equity","")</f>
        <v/>
      </c>
      <c r="GZ1" s="2">
        <f>IF(ISNUMBER(B$7),"USO US "&amp;TEXT(B$3,"mm/dd/yy")&amp;" C"&amp;(B$7+1*B$6)&amp;" Equity","")</f>
        <v/>
      </c>
      <c r="HQ1" s="2">
        <f>IF(ISNUMBER(B$7),"USO US "&amp;TEXT(B$3,"mm/dd/yy")&amp;" P"&amp;(B$7+1*B$6)&amp;" Equity","")</f>
        <v/>
      </c>
      <c r="IH1" s="2">
        <f>IF(ISNUMBER(B$7),"USO US "&amp;TEXT(B$3,"mm/dd/yy")&amp;" C"&amp;(B$7+2*B$6)&amp;" Equity","")</f>
        <v/>
      </c>
      <c r="IY1" s="2">
        <f>IF(ISNUMBER(B$7),"USO US "&amp;TEXT(B$3,"mm/dd/yy")&amp;" P"&amp;(B$7+2*B$6)&amp;" Equity","")</f>
        <v/>
      </c>
      <c r="JP1" s="2">
        <f>IF(ISNUMBER(B$7),"USO US "&amp;TEXT(B$3,"mm/dd/yy")&amp;" C"&amp;(B$7+3*B$6)&amp;" Equity","")</f>
        <v/>
      </c>
      <c r="KG1" s="2">
        <f>IF(ISNUMBER(B$7),"USO US "&amp;TEXT(B$3,"mm/dd/yy")&amp;" P"&amp;(B$7+3*B$6)&amp;" Equity","")</f>
        <v/>
      </c>
      <c r="KX1" s="2">
        <f>IF(ISNUMBER(B$7),"USO US "&amp;TEXT(B$3,"mm/dd/yy")&amp;" C"&amp;(B$7+4*B$6)&amp;" Equity","")</f>
        <v/>
      </c>
      <c r="LO1" s="2">
        <f>IF(ISNUMBER(B$7),"USO US "&amp;TEXT(B$3,"mm/dd/yy")&amp;" P"&amp;(B$7+4*B$6)&amp;" Equity","")</f>
        <v/>
      </c>
      <c r="MF1" s="2">
        <f>IF(ISNUMBER(B$7),"USO US "&amp;TEXT(B$3,"mm/dd/yy")&amp;" C"&amp;(B$7+5*B$6)&amp;" Equity","")</f>
        <v/>
      </c>
      <c r="MW1" s="2">
        <f>IF(ISNUMBER(B$7),"USO US "&amp;TEXT(B$3,"mm/dd/yy")&amp;" P"&amp;(B$7+5*B$6)&amp;" Equity","")</f>
        <v/>
      </c>
    </row>
    <row r="2">
      <c r="A2" s="2" t="inlineStr">
        <is>
          <t>Underlying</t>
        </is>
      </c>
      <c r="B2" s="4">
        <f>IF(Settings!$B$15="Y","USO US Equity","")</f>
        <v/>
      </c>
      <c r="D2" s="4" t="inlineStr">
        <is>
          <t>call -5 from ATM</t>
        </is>
      </c>
      <c r="U2" s="4" t="inlineStr">
        <is>
          <t>put -5 from ATM</t>
        </is>
      </c>
      <c r="AL2" s="4" t="inlineStr">
        <is>
          <t>call -4 from ATM</t>
        </is>
      </c>
      <c r="BC2" s="4" t="inlineStr">
        <is>
          <t>put -4 from ATM</t>
        </is>
      </c>
      <c r="BT2" s="4" t="inlineStr">
        <is>
          <t>call -3 from ATM</t>
        </is>
      </c>
      <c r="CK2" s="4" t="inlineStr">
        <is>
          <t>put -3 from ATM</t>
        </is>
      </c>
      <c r="DB2" s="4" t="inlineStr">
        <is>
          <t>call -2 from ATM</t>
        </is>
      </c>
      <c r="DS2" s="4" t="inlineStr">
        <is>
          <t>put -2 from ATM</t>
        </is>
      </c>
      <c r="EJ2" s="4" t="inlineStr">
        <is>
          <t>call -1 from ATM</t>
        </is>
      </c>
      <c r="FA2" s="4" t="inlineStr">
        <is>
          <t>put -1 from ATM</t>
        </is>
      </c>
      <c r="FR2" s="4" t="inlineStr">
        <is>
          <t>call +0 from ATM</t>
        </is>
      </c>
      <c r="GI2" s="4" t="inlineStr">
        <is>
          <t>put +0 from ATM</t>
        </is>
      </c>
      <c r="GZ2" s="4" t="inlineStr">
        <is>
          <t>call +1 from ATM</t>
        </is>
      </c>
      <c r="HQ2" s="4" t="inlineStr">
        <is>
          <t>put +1 from ATM</t>
        </is>
      </c>
      <c r="IH2" s="4" t="inlineStr">
        <is>
          <t>call +2 from ATM</t>
        </is>
      </c>
      <c r="IY2" s="4" t="inlineStr">
        <is>
          <t>put +2 from ATM</t>
        </is>
      </c>
      <c r="JP2" s="4" t="inlineStr">
        <is>
          <t>call +3 from ATM</t>
        </is>
      </c>
      <c r="KG2" s="4" t="inlineStr">
        <is>
          <t>put +3 from ATM</t>
        </is>
      </c>
      <c r="KX2" s="4" t="inlineStr">
        <is>
          <t>call +4 from ATM</t>
        </is>
      </c>
      <c r="LO2" s="4" t="inlineStr">
        <is>
          <t>put +4 from ATM</t>
        </is>
      </c>
      <c r="MF2" s="4" t="inlineStr">
        <is>
          <t>call +5 from ATM</t>
        </is>
      </c>
      <c r="MW2" s="4" t="inlineStr">
        <is>
          <t>put +5 from ATM</t>
        </is>
      </c>
    </row>
    <row r="3">
      <c r="A3" s="2" t="inlineStr">
        <is>
          <t>Expiry (3rd Friday)</t>
        </is>
      </c>
      <c r="B3" s="3">
        <f>DATE(Settings!$E$15,B1,15)+MOD(6-WEEKDAY(DATE(Settings!$E$15,B1,15)),7)</f>
        <v/>
      </c>
      <c r="D3" s="5" t="inlineStr">
        <is>
          <t>Date</t>
        </is>
      </c>
      <c r="E3" s="5" t="inlineStr">
        <is>
          <t>PX_BID</t>
        </is>
      </c>
      <c r="F3" s="5" t="inlineStr">
        <is>
          <t>PX_ASK</t>
        </is>
      </c>
      <c r="G3" s="5" t="inlineStr">
        <is>
          <t>PX_MID</t>
        </is>
      </c>
      <c r="H3" s="5" t="inlineStr">
        <is>
          <t>PX_LAST</t>
        </is>
      </c>
      <c r="I3" s="5" t="inlineStr">
        <is>
          <t>PX_SETTLE</t>
        </is>
      </c>
      <c r="J3" s="5" t="inlineStr">
        <is>
          <t>PX_VOLUME</t>
        </is>
      </c>
      <c r="K3" s="5" t="inlineStr">
        <is>
          <t>OPEN_INT</t>
        </is>
      </c>
      <c r="L3" s="5" t="inlineStr">
        <is>
          <t>IVOL_MID</t>
        </is>
      </c>
      <c r="M3" s="5" t="inlineStr">
        <is>
          <t>IVOL_BID</t>
        </is>
      </c>
      <c r="N3" s="5" t="inlineStr">
        <is>
          <t>IVOL_ASK</t>
        </is>
      </c>
      <c r="O3" s="5" t="inlineStr">
        <is>
          <t>DELTA_MID</t>
        </is>
      </c>
      <c r="P3" s="5" t="inlineStr">
        <is>
          <t>GAMMA_MID</t>
        </is>
      </c>
      <c r="Q3" s="5" t="inlineStr">
        <is>
          <t>VEGA_MID</t>
        </is>
      </c>
      <c r="R3" s="5" t="inlineStr">
        <is>
          <t>THETA_MID</t>
        </is>
      </c>
      <c r="S3" s="5" t="inlineStr">
        <is>
          <t>OPT_UNDL_PX</t>
        </is>
      </c>
      <c r="U3" s="5" t="inlineStr">
        <is>
          <t>Date</t>
        </is>
      </c>
      <c r="V3" s="5" t="inlineStr">
        <is>
          <t>PX_BID</t>
        </is>
      </c>
      <c r="W3" s="5" t="inlineStr">
        <is>
          <t>PX_ASK</t>
        </is>
      </c>
      <c r="X3" s="5" t="inlineStr">
        <is>
          <t>PX_MID</t>
        </is>
      </c>
      <c r="Y3" s="5" t="inlineStr">
        <is>
          <t>PX_LAST</t>
        </is>
      </c>
      <c r="Z3" s="5" t="inlineStr">
        <is>
          <t>PX_SETTLE</t>
        </is>
      </c>
      <c r="AA3" s="5" t="inlineStr">
        <is>
          <t>PX_VOLUME</t>
        </is>
      </c>
      <c r="AB3" s="5" t="inlineStr">
        <is>
          <t>OPEN_INT</t>
        </is>
      </c>
      <c r="AC3" s="5" t="inlineStr">
        <is>
          <t>IVOL_MID</t>
        </is>
      </c>
      <c r="AD3" s="5" t="inlineStr">
        <is>
          <t>IVOL_BID</t>
        </is>
      </c>
      <c r="AE3" s="5" t="inlineStr">
        <is>
          <t>IVOL_ASK</t>
        </is>
      </c>
      <c r="AF3" s="5" t="inlineStr">
        <is>
          <t>DELTA_MID</t>
        </is>
      </c>
      <c r="AG3" s="5" t="inlineStr">
        <is>
          <t>GAMMA_MID</t>
        </is>
      </c>
      <c r="AH3" s="5" t="inlineStr">
        <is>
          <t>VEGA_MID</t>
        </is>
      </c>
      <c r="AI3" s="5" t="inlineStr">
        <is>
          <t>THETA_MID</t>
        </is>
      </c>
      <c r="AJ3" s="5" t="inlineStr">
        <is>
          <t>OPT_UNDL_PX</t>
        </is>
      </c>
      <c r="AL3" s="5" t="inlineStr">
        <is>
          <t>Date</t>
        </is>
      </c>
      <c r="AM3" s="5" t="inlineStr">
        <is>
          <t>PX_BID</t>
        </is>
      </c>
      <c r="AN3" s="5" t="inlineStr">
        <is>
          <t>PX_ASK</t>
        </is>
      </c>
      <c r="AO3" s="5" t="inlineStr">
        <is>
          <t>PX_MID</t>
        </is>
      </c>
      <c r="AP3" s="5" t="inlineStr">
        <is>
          <t>PX_LAST</t>
        </is>
      </c>
      <c r="AQ3" s="5" t="inlineStr">
        <is>
          <t>PX_SETTLE</t>
        </is>
      </c>
      <c r="AR3" s="5" t="inlineStr">
        <is>
          <t>PX_VOLUME</t>
        </is>
      </c>
      <c r="AS3" s="5" t="inlineStr">
        <is>
          <t>OPEN_INT</t>
        </is>
      </c>
      <c r="AT3" s="5" t="inlineStr">
        <is>
          <t>IVOL_MID</t>
        </is>
      </c>
      <c r="AU3" s="5" t="inlineStr">
        <is>
          <t>IVOL_BID</t>
        </is>
      </c>
      <c r="AV3" s="5" t="inlineStr">
        <is>
          <t>IVOL_ASK</t>
        </is>
      </c>
      <c r="AW3" s="5" t="inlineStr">
        <is>
          <t>DELTA_MID</t>
        </is>
      </c>
      <c r="AX3" s="5" t="inlineStr">
        <is>
          <t>GAMMA_MID</t>
        </is>
      </c>
      <c r="AY3" s="5" t="inlineStr">
        <is>
          <t>VEGA_MID</t>
        </is>
      </c>
      <c r="AZ3" s="5" t="inlineStr">
        <is>
          <t>THETA_MID</t>
        </is>
      </c>
      <c r="BA3" s="5" t="inlineStr">
        <is>
          <t>OPT_UNDL_PX</t>
        </is>
      </c>
      <c r="BC3" s="5" t="inlineStr">
        <is>
          <t>Date</t>
        </is>
      </c>
      <c r="BD3" s="5" t="inlineStr">
        <is>
          <t>PX_BID</t>
        </is>
      </c>
      <c r="BE3" s="5" t="inlineStr">
        <is>
          <t>PX_ASK</t>
        </is>
      </c>
      <c r="BF3" s="5" t="inlineStr">
        <is>
          <t>PX_MID</t>
        </is>
      </c>
      <c r="BG3" s="5" t="inlineStr">
        <is>
          <t>PX_LAST</t>
        </is>
      </c>
      <c r="BH3" s="5" t="inlineStr">
        <is>
          <t>PX_SETTLE</t>
        </is>
      </c>
      <c r="BI3" s="5" t="inlineStr">
        <is>
          <t>PX_VOLUME</t>
        </is>
      </c>
      <c r="BJ3" s="5" t="inlineStr">
        <is>
          <t>OPEN_INT</t>
        </is>
      </c>
      <c r="BK3" s="5" t="inlineStr">
        <is>
          <t>IVOL_MID</t>
        </is>
      </c>
      <c r="BL3" s="5" t="inlineStr">
        <is>
          <t>IVOL_BID</t>
        </is>
      </c>
      <c r="BM3" s="5" t="inlineStr">
        <is>
          <t>IVOL_ASK</t>
        </is>
      </c>
      <c r="BN3" s="5" t="inlineStr">
        <is>
          <t>DELTA_MID</t>
        </is>
      </c>
      <c r="BO3" s="5" t="inlineStr">
        <is>
          <t>GAMMA_MID</t>
        </is>
      </c>
      <c r="BP3" s="5" t="inlineStr">
        <is>
          <t>VEGA_MID</t>
        </is>
      </c>
      <c r="BQ3" s="5" t="inlineStr">
        <is>
          <t>THETA_MID</t>
        </is>
      </c>
      <c r="BR3" s="5" t="inlineStr">
        <is>
          <t>OPT_UNDL_PX</t>
        </is>
      </c>
      <c r="BT3" s="5" t="inlineStr">
        <is>
          <t>Date</t>
        </is>
      </c>
      <c r="BU3" s="5" t="inlineStr">
        <is>
          <t>PX_BID</t>
        </is>
      </c>
      <c r="BV3" s="5" t="inlineStr">
        <is>
          <t>PX_ASK</t>
        </is>
      </c>
      <c r="BW3" s="5" t="inlineStr">
        <is>
          <t>PX_MID</t>
        </is>
      </c>
      <c r="BX3" s="5" t="inlineStr">
        <is>
          <t>PX_LAST</t>
        </is>
      </c>
      <c r="BY3" s="5" t="inlineStr">
        <is>
          <t>PX_SETTLE</t>
        </is>
      </c>
      <c r="BZ3" s="5" t="inlineStr">
        <is>
          <t>PX_VOLUME</t>
        </is>
      </c>
      <c r="CA3" s="5" t="inlineStr">
        <is>
          <t>OPEN_INT</t>
        </is>
      </c>
      <c r="CB3" s="5" t="inlineStr">
        <is>
          <t>IVOL_MID</t>
        </is>
      </c>
      <c r="CC3" s="5" t="inlineStr">
        <is>
          <t>IVOL_BID</t>
        </is>
      </c>
      <c r="CD3" s="5" t="inlineStr">
        <is>
          <t>IVOL_ASK</t>
        </is>
      </c>
      <c r="CE3" s="5" t="inlineStr">
        <is>
          <t>DELTA_MID</t>
        </is>
      </c>
      <c r="CF3" s="5" t="inlineStr">
        <is>
          <t>GAMMA_MID</t>
        </is>
      </c>
      <c r="CG3" s="5" t="inlineStr">
        <is>
          <t>VEGA_MID</t>
        </is>
      </c>
      <c r="CH3" s="5" t="inlineStr">
        <is>
          <t>THETA_MID</t>
        </is>
      </c>
      <c r="CI3" s="5" t="inlineStr">
        <is>
          <t>OPT_UNDL_PX</t>
        </is>
      </c>
      <c r="CK3" s="5" t="inlineStr">
        <is>
          <t>Date</t>
        </is>
      </c>
      <c r="CL3" s="5" t="inlineStr">
        <is>
          <t>PX_BID</t>
        </is>
      </c>
      <c r="CM3" s="5" t="inlineStr">
        <is>
          <t>PX_ASK</t>
        </is>
      </c>
      <c r="CN3" s="5" t="inlineStr">
        <is>
          <t>PX_MID</t>
        </is>
      </c>
      <c r="CO3" s="5" t="inlineStr">
        <is>
          <t>PX_LAST</t>
        </is>
      </c>
      <c r="CP3" s="5" t="inlineStr">
        <is>
          <t>PX_SETTLE</t>
        </is>
      </c>
      <c r="CQ3" s="5" t="inlineStr">
        <is>
          <t>PX_VOLUME</t>
        </is>
      </c>
      <c r="CR3" s="5" t="inlineStr">
        <is>
          <t>OPEN_INT</t>
        </is>
      </c>
      <c r="CS3" s="5" t="inlineStr">
        <is>
          <t>IVOL_MID</t>
        </is>
      </c>
      <c r="CT3" s="5" t="inlineStr">
        <is>
          <t>IVOL_BID</t>
        </is>
      </c>
      <c r="CU3" s="5" t="inlineStr">
        <is>
          <t>IVOL_ASK</t>
        </is>
      </c>
      <c r="CV3" s="5" t="inlineStr">
        <is>
          <t>DELTA_MID</t>
        </is>
      </c>
      <c r="CW3" s="5" t="inlineStr">
        <is>
          <t>GAMMA_MID</t>
        </is>
      </c>
      <c r="CX3" s="5" t="inlineStr">
        <is>
          <t>VEGA_MID</t>
        </is>
      </c>
      <c r="CY3" s="5" t="inlineStr">
        <is>
          <t>THETA_MID</t>
        </is>
      </c>
      <c r="CZ3" s="5" t="inlineStr">
        <is>
          <t>OPT_UNDL_PX</t>
        </is>
      </c>
      <c r="DB3" s="5" t="inlineStr">
        <is>
          <t>Date</t>
        </is>
      </c>
      <c r="DC3" s="5" t="inlineStr">
        <is>
          <t>PX_BID</t>
        </is>
      </c>
      <c r="DD3" s="5" t="inlineStr">
        <is>
          <t>PX_ASK</t>
        </is>
      </c>
      <c r="DE3" s="5" t="inlineStr">
        <is>
          <t>PX_MID</t>
        </is>
      </c>
      <c r="DF3" s="5" t="inlineStr">
        <is>
          <t>PX_LAST</t>
        </is>
      </c>
      <c r="DG3" s="5" t="inlineStr">
        <is>
          <t>PX_SETTLE</t>
        </is>
      </c>
      <c r="DH3" s="5" t="inlineStr">
        <is>
          <t>PX_VOLUME</t>
        </is>
      </c>
      <c r="DI3" s="5" t="inlineStr">
        <is>
          <t>OPEN_INT</t>
        </is>
      </c>
      <c r="DJ3" s="5" t="inlineStr">
        <is>
          <t>IVOL_MID</t>
        </is>
      </c>
      <c r="DK3" s="5" t="inlineStr">
        <is>
          <t>IVOL_BID</t>
        </is>
      </c>
      <c r="DL3" s="5" t="inlineStr">
        <is>
          <t>IVOL_ASK</t>
        </is>
      </c>
      <c r="DM3" s="5" t="inlineStr">
        <is>
          <t>DELTA_MID</t>
        </is>
      </c>
      <c r="DN3" s="5" t="inlineStr">
        <is>
          <t>GAMMA_MID</t>
        </is>
      </c>
      <c r="DO3" s="5" t="inlineStr">
        <is>
          <t>VEGA_MID</t>
        </is>
      </c>
      <c r="DP3" s="5" t="inlineStr">
        <is>
          <t>THETA_MID</t>
        </is>
      </c>
      <c r="DQ3" s="5" t="inlineStr">
        <is>
          <t>OPT_UNDL_PX</t>
        </is>
      </c>
      <c r="DS3" s="5" t="inlineStr">
        <is>
          <t>Date</t>
        </is>
      </c>
      <c r="DT3" s="5" t="inlineStr">
        <is>
          <t>PX_BID</t>
        </is>
      </c>
      <c r="DU3" s="5" t="inlineStr">
        <is>
          <t>PX_ASK</t>
        </is>
      </c>
      <c r="DV3" s="5" t="inlineStr">
        <is>
          <t>PX_MID</t>
        </is>
      </c>
      <c r="DW3" s="5" t="inlineStr">
        <is>
          <t>PX_LAST</t>
        </is>
      </c>
      <c r="DX3" s="5" t="inlineStr">
        <is>
          <t>PX_SETTLE</t>
        </is>
      </c>
      <c r="DY3" s="5" t="inlineStr">
        <is>
          <t>PX_VOLUME</t>
        </is>
      </c>
      <c r="DZ3" s="5" t="inlineStr">
        <is>
          <t>OPEN_INT</t>
        </is>
      </c>
      <c r="EA3" s="5" t="inlineStr">
        <is>
          <t>IVOL_MID</t>
        </is>
      </c>
      <c r="EB3" s="5" t="inlineStr">
        <is>
          <t>IVOL_BID</t>
        </is>
      </c>
      <c r="EC3" s="5" t="inlineStr">
        <is>
          <t>IVOL_ASK</t>
        </is>
      </c>
      <c r="ED3" s="5" t="inlineStr">
        <is>
          <t>DELTA_MID</t>
        </is>
      </c>
      <c r="EE3" s="5" t="inlineStr">
        <is>
          <t>GAMMA_MID</t>
        </is>
      </c>
      <c r="EF3" s="5" t="inlineStr">
        <is>
          <t>VEGA_MID</t>
        </is>
      </c>
      <c r="EG3" s="5" t="inlineStr">
        <is>
          <t>THETA_MID</t>
        </is>
      </c>
      <c r="EH3" s="5" t="inlineStr">
        <is>
          <t>OPT_UNDL_PX</t>
        </is>
      </c>
      <c r="EJ3" s="5" t="inlineStr">
        <is>
          <t>Date</t>
        </is>
      </c>
      <c r="EK3" s="5" t="inlineStr">
        <is>
          <t>PX_BID</t>
        </is>
      </c>
      <c r="EL3" s="5" t="inlineStr">
        <is>
          <t>PX_ASK</t>
        </is>
      </c>
      <c r="EM3" s="5" t="inlineStr">
        <is>
          <t>PX_MID</t>
        </is>
      </c>
      <c r="EN3" s="5" t="inlineStr">
        <is>
          <t>PX_LAST</t>
        </is>
      </c>
      <c r="EO3" s="5" t="inlineStr">
        <is>
          <t>PX_SETTLE</t>
        </is>
      </c>
      <c r="EP3" s="5" t="inlineStr">
        <is>
          <t>PX_VOLUME</t>
        </is>
      </c>
      <c r="EQ3" s="5" t="inlineStr">
        <is>
          <t>OPEN_INT</t>
        </is>
      </c>
      <c r="ER3" s="5" t="inlineStr">
        <is>
          <t>IVOL_MID</t>
        </is>
      </c>
      <c r="ES3" s="5" t="inlineStr">
        <is>
          <t>IVOL_BID</t>
        </is>
      </c>
      <c r="ET3" s="5" t="inlineStr">
        <is>
          <t>IVOL_ASK</t>
        </is>
      </c>
      <c r="EU3" s="5" t="inlineStr">
        <is>
          <t>DELTA_MID</t>
        </is>
      </c>
      <c r="EV3" s="5" t="inlineStr">
        <is>
          <t>GAMMA_MID</t>
        </is>
      </c>
      <c r="EW3" s="5" t="inlineStr">
        <is>
          <t>VEGA_MID</t>
        </is>
      </c>
      <c r="EX3" s="5" t="inlineStr">
        <is>
          <t>THETA_MID</t>
        </is>
      </c>
      <c r="EY3" s="5" t="inlineStr">
        <is>
          <t>OPT_UNDL_PX</t>
        </is>
      </c>
      <c r="FA3" s="5" t="inlineStr">
        <is>
          <t>Date</t>
        </is>
      </c>
      <c r="FB3" s="5" t="inlineStr">
        <is>
          <t>PX_BID</t>
        </is>
      </c>
      <c r="FC3" s="5" t="inlineStr">
        <is>
          <t>PX_ASK</t>
        </is>
      </c>
      <c r="FD3" s="5" t="inlineStr">
        <is>
          <t>PX_MID</t>
        </is>
      </c>
      <c r="FE3" s="5" t="inlineStr">
        <is>
          <t>PX_LAST</t>
        </is>
      </c>
      <c r="FF3" s="5" t="inlineStr">
        <is>
          <t>PX_SETTLE</t>
        </is>
      </c>
      <c r="FG3" s="5" t="inlineStr">
        <is>
          <t>PX_VOLUME</t>
        </is>
      </c>
      <c r="FH3" s="5" t="inlineStr">
        <is>
          <t>OPEN_INT</t>
        </is>
      </c>
      <c r="FI3" s="5" t="inlineStr">
        <is>
          <t>IVOL_MID</t>
        </is>
      </c>
      <c r="FJ3" s="5" t="inlineStr">
        <is>
          <t>IVOL_BID</t>
        </is>
      </c>
      <c r="FK3" s="5" t="inlineStr">
        <is>
          <t>IVOL_ASK</t>
        </is>
      </c>
      <c r="FL3" s="5" t="inlineStr">
        <is>
          <t>DELTA_MID</t>
        </is>
      </c>
      <c r="FM3" s="5" t="inlineStr">
        <is>
          <t>GAMMA_MID</t>
        </is>
      </c>
      <c r="FN3" s="5" t="inlineStr">
        <is>
          <t>VEGA_MID</t>
        </is>
      </c>
      <c r="FO3" s="5" t="inlineStr">
        <is>
          <t>THETA_MID</t>
        </is>
      </c>
      <c r="FP3" s="5" t="inlineStr">
        <is>
          <t>OPT_UNDL_PX</t>
        </is>
      </c>
      <c r="FR3" s="5" t="inlineStr">
        <is>
          <t>Date</t>
        </is>
      </c>
      <c r="FS3" s="5" t="inlineStr">
        <is>
          <t>PX_BID</t>
        </is>
      </c>
      <c r="FT3" s="5" t="inlineStr">
        <is>
          <t>PX_ASK</t>
        </is>
      </c>
      <c r="FU3" s="5" t="inlineStr">
        <is>
          <t>PX_MID</t>
        </is>
      </c>
      <c r="FV3" s="5" t="inlineStr">
        <is>
          <t>PX_LAST</t>
        </is>
      </c>
      <c r="FW3" s="5" t="inlineStr">
        <is>
          <t>PX_SETTLE</t>
        </is>
      </c>
      <c r="FX3" s="5" t="inlineStr">
        <is>
          <t>PX_VOLUME</t>
        </is>
      </c>
      <c r="FY3" s="5" t="inlineStr">
        <is>
          <t>OPEN_INT</t>
        </is>
      </c>
      <c r="FZ3" s="5" t="inlineStr">
        <is>
          <t>IVOL_MID</t>
        </is>
      </c>
      <c r="GA3" s="5" t="inlineStr">
        <is>
          <t>IVOL_BID</t>
        </is>
      </c>
      <c r="GB3" s="5" t="inlineStr">
        <is>
          <t>IVOL_ASK</t>
        </is>
      </c>
      <c r="GC3" s="5" t="inlineStr">
        <is>
          <t>DELTA_MID</t>
        </is>
      </c>
      <c r="GD3" s="5" t="inlineStr">
        <is>
          <t>GAMMA_MID</t>
        </is>
      </c>
      <c r="GE3" s="5" t="inlineStr">
        <is>
          <t>VEGA_MID</t>
        </is>
      </c>
      <c r="GF3" s="5" t="inlineStr">
        <is>
          <t>THETA_MID</t>
        </is>
      </c>
      <c r="GG3" s="5" t="inlineStr">
        <is>
          <t>OPT_UNDL_PX</t>
        </is>
      </c>
      <c r="GI3" s="5" t="inlineStr">
        <is>
          <t>Date</t>
        </is>
      </c>
      <c r="GJ3" s="5" t="inlineStr">
        <is>
          <t>PX_BID</t>
        </is>
      </c>
      <c r="GK3" s="5" t="inlineStr">
        <is>
          <t>PX_ASK</t>
        </is>
      </c>
      <c r="GL3" s="5" t="inlineStr">
        <is>
          <t>PX_MID</t>
        </is>
      </c>
      <c r="GM3" s="5" t="inlineStr">
        <is>
          <t>PX_LAST</t>
        </is>
      </c>
      <c r="GN3" s="5" t="inlineStr">
        <is>
          <t>PX_SETTLE</t>
        </is>
      </c>
      <c r="GO3" s="5" t="inlineStr">
        <is>
          <t>PX_VOLUME</t>
        </is>
      </c>
      <c r="GP3" s="5" t="inlineStr">
        <is>
          <t>OPEN_INT</t>
        </is>
      </c>
      <c r="GQ3" s="5" t="inlineStr">
        <is>
          <t>IVOL_MID</t>
        </is>
      </c>
      <c r="GR3" s="5" t="inlineStr">
        <is>
          <t>IVOL_BID</t>
        </is>
      </c>
      <c r="GS3" s="5" t="inlineStr">
        <is>
          <t>IVOL_ASK</t>
        </is>
      </c>
      <c r="GT3" s="5" t="inlineStr">
        <is>
          <t>DELTA_MID</t>
        </is>
      </c>
      <c r="GU3" s="5" t="inlineStr">
        <is>
          <t>GAMMA_MID</t>
        </is>
      </c>
      <c r="GV3" s="5" t="inlineStr">
        <is>
          <t>VEGA_MID</t>
        </is>
      </c>
      <c r="GW3" s="5" t="inlineStr">
        <is>
          <t>THETA_MID</t>
        </is>
      </c>
      <c r="GX3" s="5" t="inlineStr">
        <is>
          <t>OPT_UNDL_PX</t>
        </is>
      </c>
      <c r="GZ3" s="5" t="inlineStr">
        <is>
          <t>Date</t>
        </is>
      </c>
      <c r="HA3" s="5" t="inlineStr">
        <is>
          <t>PX_BID</t>
        </is>
      </c>
      <c r="HB3" s="5" t="inlineStr">
        <is>
          <t>PX_ASK</t>
        </is>
      </c>
      <c r="HC3" s="5" t="inlineStr">
        <is>
          <t>PX_MID</t>
        </is>
      </c>
      <c r="HD3" s="5" t="inlineStr">
        <is>
          <t>PX_LAST</t>
        </is>
      </c>
      <c r="HE3" s="5" t="inlineStr">
        <is>
          <t>PX_SETTLE</t>
        </is>
      </c>
      <c r="HF3" s="5" t="inlineStr">
        <is>
          <t>PX_VOLUME</t>
        </is>
      </c>
      <c r="HG3" s="5" t="inlineStr">
        <is>
          <t>OPEN_INT</t>
        </is>
      </c>
      <c r="HH3" s="5" t="inlineStr">
        <is>
          <t>IVOL_MID</t>
        </is>
      </c>
      <c r="HI3" s="5" t="inlineStr">
        <is>
          <t>IVOL_BID</t>
        </is>
      </c>
      <c r="HJ3" s="5" t="inlineStr">
        <is>
          <t>IVOL_ASK</t>
        </is>
      </c>
      <c r="HK3" s="5" t="inlineStr">
        <is>
          <t>DELTA_MID</t>
        </is>
      </c>
      <c r="HL3" s="5" t="inlineStr">
        <is>
          <t>GAMMA_MID</t>
        </is>
      </c>
      <c r="HM3" s="5" t="inlineStr">
        <is>
          <t>VEGA_MID</t>
        </is>
      </c>
      <c r="HN3" s="5" t="inlineStr">
        <is>
          <t>THETA_MID</t>
        </is>
      </c>
      <c r="HO3" s="5" t="inlineStr">
        <is>
          <t>OPT_UNDL_PX</t>
        </is>
      </c>
      <c r="HQ3" s="5" t="inlineStr">
        <is>
          <t>Date</t>
        </is>
      </c>
      <c r="HR3" s="5" t="inlineStr">
        <is>
          <t>PX_BID</t>
        </is>
      </c>
      <c r="HS3" s="5" t="inlineStr">
        <is>
          <t>PX_ASK</t>
        </is>
      </c>
      <c r="HT3" s="5" t="inlineStr">
        <is>
          <t>PX_MID</t>
        </is>
      </c>
      <c r="HU3" s="5" t="inlineStr">
        <is>
          <t>PX_LAST</t>
        </is>
      </c>
      <c r="HV3" s="5" t="inlineStr">
        <is>
          <t>PX_SETTLE</t>
        </is>
      </c>
      <c r="HW3" s="5" t="inlineStr">
        <is>
          <t>PX_VOLUME</t>
        </is>
      </c>
      <c r="HX3" s="5" t="inlineStr">
        <is>
          <t>OPEN_INT</t>
        </is>
      </c>
      <c r="HY3" s="5" t="inlineStr">
        <is>
          <t>IVOL_MID</t>
        </is>
      </c>
      <c r="HZ3" s="5" t="inlineStr">
        <is>
          <t>IVOL_BID</t>
        </is>
      </c>
      <c r="IA3" s="5" t="inlineStr">
        <is>
          <t>IVOL_ASK</t>
        </is>
      </c>
      <c r="IB3" s="5" t="inlineStr">
        <is>
          <t>DELTA_MID</t>
        </is>
      </c>
      <c r="IC3" s="5" t="inlineStr">
        <is>
          <t>GAMMA_MID</t>
        </is>
      </c>
      <c r="ID3" s="5" t="inlineStr">
        <is>
          <t>VEGA_MID</t>
        </is>
      </c>
      <c r="IE3" s="5" t="inlineStr">
        <is>
          <t>THETA_MID</t>
        </is>
      </c>
      <c r="IF3" s="5" t="inlineStr">
        <is>
          <t>OPT_UNDL_PX</t>
        </is>
      </c>
      <c r="IH3" s="5" t="inlineStr">
        <is>
          <t>Date</t>
        </is>
      </c>
      <c r="II3" s="5" t="inlineStr">
        <is>
          <t>PX_BID</t>
        </is>
      </c>
      <c r="IJ3" s="5" t="inlineStr">
        <is>
          <t>PX_ASK</t>
        </is>
      </c>
      <c r="IK3" s="5" t="inlineStr">
        <is>
          <t>PX_MID</t>
        </is>
      </c>
      <c r="IL3" s="5" t="inlineStr">
        <is>
          <t>PX_LAST</t>
        </is>
      </c>
      <c r="IM3" s="5" t="inlineStr">
        <is>
          <t>PX_SETTLE</t>
        </is>
      </c>
      <c r="IN3" s="5" t="inlineStr">
        <is>
          <t>PX_VOLUME</t>
        </is>
      </c>
      <c r="IO3" s="5" t="inlineStr">
        <is>
          <t>OPEN_INT</t>
        </is>
      </c>
      <c r="IP3" s="5" t="inlineStr">
        <is>
          <t>IVOL_MID</t>
        </is>
      </c>
      <c r="IQ3" s="5" t="inlineStr">
        <is>
          <t>IVOL_BID</t>
        </is>
      </c>
      <c r="IR3" s="5" t="inlineStr">
        <is>
          <t>IVOL_ASK</t>
        </is>
      </c>
      <c r="IS3" s="5" t="inlineStr">
        <is>
          <t>DELTA_MID</t>
        </is>
      </c>
      <c r="IT3" s="5" t="inlineStr">
        <is>
          <t>GAMMA_MID</t>
        </is>
      </c>
      <c r="IU3" s="5" t="inlineStr">
        <is>
          <t>VEGA_MID</t>
        </is>
      </c>
      <c r="IV3" s="5" t="inlineStr">
        <is>
          <t>THETA_MID</t>
        </is>
      </c>
      <c r="IW3" s="5" t="inlineStr">
        <is>
          <t>OPT_UNDL_PX</t>
        </is>
      </c>
      <c r="IY3" s="5" t="inlineStr">
        <is>
          <t>Date</t>
        </is>
      </c>
      <c r="IZ3" s="5" t="inlineStr">
        <is>
          <t>PX_BID</t>
        </is>
      </c>
      <c r="JA3" s="5" t="inlineStr">
        <is>
          <t>PX_ASK</t>
        </is>
      </c>
      <c r="JB3" s="5" t="inlineStr">
        <is>
          <t>PX_MID</t>
        </is>
      </c>
      <c r="JC3" s="5" t="inlineStr">
        <is>
          <t>PX_LAST</t>
        </is>
      </c>
      <c r="JD3" s="5" t="inlineStr">
        <is>
          <t>PX_SETTLE</t>
        </is>
      </c>
      <c r="JE3" s="5" t="inlineStr">
        <is>
          <t>PX_VOLUME</t>
        </is>
      </c>
      <c r="JF3" s="5" t="inlineStr">
        <is>
          <t>OPEN_INT</t>
        </is>
      </c>
      <c r="JG3" s="5" t="inlineStr">
        <is>
          <t>IVOL_MID</t>
        </is>
      </c>
      <c r="JH3" s="5" t="inlineStr">
        <is>
          <t>IVOL_BID</t>
        </is>
      </c>
      <c r="JI3" s="5" t="inlineStr">
        <is>
          <t>IVOL_ASK</t>
        </is>
      </c>
      <c r="JJ3" s="5" t="inlineStr">
        <is>
          <t>DELTA_MID</t>
        </is>
      </c>
      <c r="JK3" s="5" t="inlineStr">
        <is>
          <t>GAMMA_MID</t>
        </is>
      </c>
      <c r="JL3" s="5" t="inlineStr">
        <is>
          <t>VEGA_MID</t>
        </is>
      </c>
      <c r="JM3" s="5" t="inlineStr">
        <is>
          <t>THETA_MID</t>
        </is>
      </c>
      <c r="JN3" s="5" t="inlineStr">
        <is>
          <t>OPT_UNDL_PX</t>
        </is>
      </c>
      <c r="JP3" s="5" t="inlineStr">
        <is>
          <t>Date</t>
        </is>
      </c>
      <c r="JQ3" s="5" t="inlineStr">
        <is>
          <t>PX_BID</t>
        </is>
      </c>
      <c r="JR3" s="5" t="inlineStr">
        <is>
          <t>PX_ASK</t>
        </is>
      </c>
      <c r="JS3" s="5" t="inlineStr">
        <is>
          <t>PX_MID</t>
        </is>
      </c>
      <c r="JT3" s="5" t="inlineStr">
        <is>
          <t>PX_LAST</t>
        </is>
      </c>
      <c r="JU3" s="5" t="inlineStr">
        <is>
          <t>PX_SETTLE</t>
        </is>
      </c>
      <c r="JV3" s="5" t="inlineStr">
        <is>
          <t>PX_VOLUME</t>
        </is>
      </c>
      <c r="JW3" s="5" t="inlineStr">
        <is>
          <t>OPEN_INT</t>
        </is>
      </c>
      <c r="JX3" s="5" t="inlineStr">
        <is>
          <t>IVOL_MID</t>
        </is>
      </c>
      <c r="JY3" s="5" t="inlineStr">
        <is>
          <t>IVOL_BID</t>
        </is>
      </c>
      <c r="JZ3" s="5" t="inlineStr">
        <is>
          <t>IVOL_ASK</t>
        </is>
      </c>
      <c r="KA3" s="5" t="inlineStr">
        <is>
          <t>DELTA_MID</t>
        </is>
      </c>
      <c r="KB3" s="5" t="inlineStr">
        <is>
          <t>GAMMA_MID</t>
        </is>
      </c>
      <c r="KC3" s="5" t="inlineStr">
        <is>
          <t>VEGA_MID</t>
        </is>
      </c>
      <c r="KD3" s="5" t="inlineStr">
        <is>
          <t>THETA_MID</t>
        </is>
      </c>
      <c r="KE3" s="5" t="inlineStr">
        <is>
          <t>OPT_UNDL_PX</t>
        </is>
      </c>
      <c r="KG3" s="5" t="inlineStr">
        <is>
          <t>Date</t>
        </is>
      </c>
      <c r="KH3" s="5" t="inlineStr">
        <is>
          <t>PX_BID</t>
        </is>
      </c>
      <c r="KI3" s="5" t="inlineStr">
        <is>
          <t>PX_ASK</t>
        </is>
      </c>
      <c r="KJ3" s="5" t="inlineStr">
        <is>
          <t>PX_MID</t>
        </is>
      </c>
      <c r="KK3" s="5" t="inlineStr">
        <is>
          <t>PX_LAST</t>
        </is>
      </c>
      <c r="KL3" s="5" t="inlineStr">
        <is>
          <t>PX_SETTLE</t>
        </is>
      </c>
      <c r="KM3" s="5" t="inlineStr">
        <is>
          <t>PX_VOLUME</t>
        </is>
      </c>
      <c r="KN3" s="5" t="inlineStr">
        <is>
          <t>OPEN_INT</t>
        </is>
      </c>
      <c r="KO3" s="5" t="inlineStr">
        <is>
          <t>IVOL_MID</t>
        </is>
      </c>
      <c r="KP3" s="5" t="inlineStr">
        <is>
          <t>IVOL_BID</t>
        </is>
      </c>
      <c r="KQ3" s="5" t="inlineStr">
        <is>
          <t>IVOL_ASK</t>
        </is>
      </c>
      <c r="KR3" s="5" t="inlineStr">
        <is>
          <t>DELTA_MID</t>
        </is>
      </c>
      <c r="KS3" s="5" t="inlineStr">
        <is>
          <t>GAMMA_MID</t>
        </is>
      </c>
      <c r="KT3" s="5" t="inlineStr">
        <is>
          <t>VEGA_MID</t>
        </is>
      </c>
      <c r="KU3" s="5" t="inlineStr">
        <is>
          <t>THETA_MID</t>
        </is>
      </c>
      <c r="KV3" s="5" t="inlineStr">
        <is>
          <t>OPT_UNDL_PX</t>
        </is>
      </c>
      <c r="KX3" s="5" t="inlineStr">
        <is>
          <t>Date</t>
        </is>
      </c>
      <c r="KY3" s="5" t="inlineStr">
        <is>
          <t>PX_BID</t>
        </is>
      </c>
      <c r="KZ3" s="5" t="inlineStr">
        <is>
          <t>PX_ASK</t>
        </is>
      </c>
      <c r="LA3" s="5" t="inlineStr">
        <is>
          <t>PX_MID</t>
        </is>
      </c>
      <c r="LB3" s="5" t="inlineStr">
        <is>
          <t>PX_LAST</t>
        </is>
      </c>
      <c r="LC3" s="5" t="inlineStr">
        <is>
          <t>PX_SETTLE</t>
        </is>
      </c>
      <c r="LD3" s="5" t="inlineStr">
        <is>
          <t>PX_VOLUME</t>
        </is>
      </c>
      <c r="LE3" s="5" t="inlineStr">
        <is>
          <t>OPEN_INT</t>
        </is>
      </c>
      <c r="LF3" s="5" t="inlineStr">
        <is>
          <t>IVOL_MID</t>
        </is>
      </c>
      <c r="LG3" s="5" t="inlineStr">
        <is>
          <t>IVOL_BID</t>
        </is>
      </c>
      <c r="LH3" s="5" t="inlineStr">
        <is>
          <t>IVOL_ASK</t>
        </is>
      </c>
      <c r="LI3" s="5" t="inlineStr">
        <is>
          <t>DELTA_MID</t>
        </is>
      </c>
      <c r="LJ3" s="5" t="inlineStr">
        <is>
          <t>GAMMA_MID</t>
        </is>
      </c>
      <c r="LK3" s="5" t="inlineStr">
        <is>
          <t>VEGA_MID</t>
        </is>
      </c>
      <c r="LL3" s="5" t="inlineStr">
        <is>
          <t>THETA_MID</t>
        </is>
      </c>
      <c r="LM3" s="5" t="inlineStr">
        <is>
          <t>OPT_UNDL_PX</t>
        </is>
      </c>
      <c r="LO3" s="5" t="inlineStr">
        <is>
          <t>Date</t>
        </is>
      </c>
      <c r="LP3" s="5" t="inlineStr">
        <is>
          <t>PX_BID</t>
        </is>
      </c>
      <c r="LQ3" s="5" t="inlineStr">
        <is>
          <t>PX_ASK</t>
        </is>
      </c>
      <c r="LR3" s="5" t="inlineStr">
        <is>
          <t>PX_MID</t>
        </is>
      </c>
      <c r="LS3" s="5" t="inlineStr">
        <is>
          <t>PX_LAST</t>
        </is>
      </c>
      <c r="LT3" s="5" t="inlineStr">
        <is>
          <t>PX_SETTLE</t>
        </is>
      </c>
      <c r="LU3" s="5" t="inlineStr">
        <is>
          <t>PX_VOLUME</t>
        </is>
      </c>
      <c r="LV3" s="5" t="inlineStr">
        <is>
          <t>OPEN_INT</t>
        </is>
      </c>
      <c r="LW3" s="5" t="inlineStr">
        <is>
          <t>IVOL_MID</t>
        </is>
      </c>
      <c r="LX3" s="5" t="inlineStr">
        <is>
          <t>IVOL_BID</t>
        </is>
      </c>
      <c r="LY3" s="5" t="inlineStr">
        <is>
          <t>IVOL_ASK</t>
        </is>
      </c>
      <c r="LZ3" s="5" t="inlineStr">
        <is>
          <t>DELTA_MID</t>
        </is>
      </c>
      <c r="MA3" s="5" t="inlineStr">
        <is>
          <t>GAMMA_MID</t>
        </is>
      </c>
      <c r="MB3" s="5" t="inlineStr">
        <is>
          <t>VEGA_MID</t>
        </is>
      </c>
      <c r="MC3" s="5" t="inlineStr">
        <is>
          <t>THETA_MID</t>
        </is>
      </c>
      <c r="MD3" s="5" t="inlineStr">
        <is>
          <t>OPT_UNDL_PX</t>
        </is>
      </c>
      <c r="MF3" s="5" t="inlineStr">
        <is>
          <t>Date</t>
        </is>
      </c>
      <c r="MG3" s="5" t="inlineStr">
        <is>
          <t>PX_BID</t>
        </is>
      </c>
      <c r="MH3" s="5" t="inlineStr">
        <is>
          <t>PX_ASK</t>
        </is>
      </c>
      <c r="MI3" s="5" t="inlineStr">
        <is>
          <t>PX_MID</t>
        </is>
      </c>
      <c r="MJ3" s="5" t="inlineStr">
        <is>
          <t>PX_LAST</t>
        </is>
      </c>
      <c r="MK3" s="5" t="inlineStr">
        <is>
          <t>PX_SETTLE</t>
        </is>
      </c>
      <c r="ML3" s="5" t="inlineStr">
        <is>
          <t>PX_VOLUME</t>
        </is>
      </c>
      <c r="MM3" s="5" t="inlineStr">
        <is>
          <t>OPEN_INT</t>
        </is>
      </c>
      <c r="MN3" s="5" t="inlineStr">
        <is>
          <t>IVOL_MID</t>
        </is>
      </c>
      <c r="MO3" s="5" t="inlineStr">
        <is>
          <t>IVOL_BID</t>
        </is>
      </c>
      <c r="MP3" s="5" t="inlineStr">
        <is>
          <t>IVOL_ASK</t>
        </is>
      </c>
      <c r="MQ3" s="5" t="inlineStr">
        <is>
          <t>DELTA_MID</t>
        </is>
      </c>
      <c r="MR3" s="5" t="inlineStr">
        <is>
          <t>GAMMA_MID</t>
        </is>
      </c>
      <c r="MS3" s="5" t="inlineStr">
        <is>
          <t>VEGA_MID</t>
        </is>
      </c>
      <c r="MT3" s="5" t="inlineStr">
        <is>
          <t>THETA_MID</t>
        </is>
      </c>
      <c r="MU3" s="5" t="inlineStr">
        <is>
          <t>OPT_UNDL_PX</t>
        </is>
      </c>
      <c r="MW3" s="5" t="inlineStr">
        <is>
          <t>Date</t>
        </is>
      </c>
      <c r="MX3" s="5" t="inlineStr">
        <is>
          <t>PX_BID</t>
        </is>
      </c>
      <c r="MY3" s="5" t="inlineStr">
        <is>
          <t>PX_ASK</t>
        </is>
      </c>
      <c r="MZ3" s="5" t="inlineStr">
        <is>
          <t>PX_MID</t>
        </is>
      </c>
      <c r="NA3" s="5" t="inlineStr">
        <is>
          <t>PX_LAST</t>
        </is>
      </c>
      <c r="NB3" s="5" t="inlineStr">
        <is>
          <t>PX_SETTLE</t>
        </is>
      </c>
      <c r="NC3" s="5" t="inlineStr">
        <is>
          <t>PX_VOLUME</t>
        </is>
      </c>
      <c r="ND3" s="5" t="inlineStr">
        <is>
          <t>OPEN_INT</t>
        </is>
      </c>
      <c r="NE3" s="5" t="inlineStr">
        <is>
          <t>IVOL_MID</t>
        </is>
      </c>
      <c r="NF3" s="5" t="inlineStr">
        <is>
          <t>IVOL_BID</t>
        </is>
      </c>
      <c r="NG3" s="5" t="inlineStr">
        <is>
          <t>IVOL_ASK</t>
        </is>
      </c>
      <c r="NH3" s="5" t="inlineStr">
        <is>
          <t>DELTA_MID</t>
        </is>
      </c>
      <c r="NI3" s="5" t="inlineStr">
        <is>
          <t>GAMMA_MID</t>
        </is>
      </c>
      <c r="NJ3" s="5" t="inlineStr">
        <is>
          <t>VEGA_MID</t>
        </is>
      </c>
      <c r="NK3" s="5" t="inlineStr">
        <is>
          <t>THETA_MID</t>
        </is>
      </c>
      <c r="NL3" s="5" t="inlineStr">
        <is>
          <t>OPT_UNDL_PX</t>
        </is>
      </c>
    </row>
    <row r="4">
      <c r="A4" s="2" t="inlineStr">
        <is>
          <t>Strike reference date</t>
        </is>
      </c>
      <c r="B4" s="8">
        <f>B3-45</f>
        <v/>
      </c>
      <c r="D4" s="4">
        <f>BDH(D$1,E$3:S$3,$B$8,$B$9,"Dir=V","Dts=S","Sort=A","Days=T","Fill=B")</f>
        <v/>
      </c>
      <c r="U4" s="4">
        <f>BDH(U$1,V$3:AJ$3,$B$8,$B$9,"Dir=V","Dts=S","Sort=A","Days=T","Fill=B")</f>
        <v/>
      </c>
      <c r="AL4" s="4">
        <f>BDH(AL$1,AM$3:BA$3,$B$8,$B$9,"Dir=V","Dts=S","Sort=A","Days=T","Fill=B")</f>
        <v/>
      </c>
      <c r="BC4" s="4">
        <f>BDH(BC$1,BD$3:BR$3,$B$8,$B$9,"Dir=V","Dts=S","Sort=A","Days=T","Fill=B")</f>
        <v/>
      </c>
      <c r="BT4" s="4">
        <f>BDH(BT$1,BU$3:CI$3,$B$8,$B$9,"Dir=V","Dts=S","Sort=A","Days=T","Fill=B")</f>
        <v/>
      </c>
      <c r="CK4" s="4">
        <f>BDH(CK$1,CL$3:CZ$3,$B$8,$B$9,"Dir=V","Dts=S","Sort=A","Days=T","Fill=B")</f>
        <v/>
      </c>
      <c r="DB4" s="4">
        <f>BDH(DB$1,DC$3:DQ$3,$B$8,$B$9,"Dir=V","Dts=S","Sort=A","Days=T","Fill=B")</f>
        <v/>
      </c>
      <c r="DS4" s="4">
        <f>BDH(DS$1,DT$3:EH$3,$B$8,$B$9,"Dir=V","Dts=S","Sort=A","Days=T","Fill=B")</f>
        <v/>
      </c>
      <c r="EJ4" s="4">
        <f>BDH(EJ$1,EK$3:EY$3,$B$8,$B$9,"Dir=V","Dts=S","Sort=A","Days=T","Fill=B")</f>
        <v/>
      </c>
      <c r="FA4" s="4">
        <f>BDH(FA$1,FB$3:FP$3,$B$8,$B$9,"Dir=V","Dts=S","Sort=A","Days=T","Fill=B")</f>
        <v/>
      </c>
      <c r="FR4" s="4">
        <f>BDH(FR$1,FS$3:GG$3,$B$8,$B$9,"Dir=V","Dts=S","Sort=A","Days=T","Fill=B")</f>
        <v/>
      </c>
      <c r="GI4" s="4">
        <f>BDH(GI$1,GJ$3:GX$3,$B$8,$B$9,"Dir=V","Dts=S","Sort=A","Days=T","Fill=B")</f>
        <v/>
      </c>
      <c r="GZ4" s="4">
        <f>BDH(GZ$1,HA$3:HO$3,$B$8,$B$9,"Dir=V","Dts=S","Sort=A","Days=T","Fill=B")</f>
        <v/>
      </c>
      <c r="HQ4" s="4">
        <f>BDH(HQ$1,HR$3:IF$3,$B$8,$B$9,"Dir=V","Dts=S","Sort=A","Days=T","Fill=B")</f>
        <v/>
      </c>
      <c r="IH4" s="4">
        <f>BDH(IH$1,II$3:IW$3,$B$8,$B$9,"Dir=V","Dts=S","Sort=A","Days=T","Fill=B")</f>
        <v/>
      </c>
      <c r="IY4" s="4">
        <f>BDH(IY$1,IZ$3:JN$3,$B$8,$B$9,"Dir=V","Dts=S","Sort=A","Days=T","Fill=B")</f>
        <v/>
      </c>
      <c r="JP4" s="4">
        <f>BDH(JP$1,JQ$3:KE$3,$B$8,$B$9,"Dir=V","Dts=S","Sort=A","Days=T","Fill=B")</f>
        <v/>
      </c>
      <c r="KG4" s="4">
        <f>BDH(KG$1,KH$3:KV$3,$B$8,$B$9,"Dir=V","Dts=S","Sort=A","Days=T","Fill=B")</f>
        <v/>
      </c>
      <c r="KX4" s="4">
        <f>BDH(KX$1,KY$3:LM$3,$B$8,$B$9,"Dir=V","Dts=S","Sort=A","Days=T","Fill=B")</f>
        <v/>
      </c>
      <c r="LO4" s="4">
        <f>BDH(LO$1,LP$3:MD$3,$B$8,$B$9,"Dir=V","Dts=S","Sort=A","Days=T","Fill=B")</f>
        <v/>
      </c>
      <c r="MF4" s="4">
        <f>BDH(MF$1,MG$3:MU$3,$B$8,$B$9,"Dir=V","Dts=S","Sort=A","Days=T","Fill=B")</f>
        <v/>
      </c>
      <c r="MW4" s="4">
        <f>BDH(MW$1,MX$3:NL$3,$B$8,$B$9,"Dir=V","Dts=S","Sort=A","Days=T","Fill=B")</f>
        <v/>
      </c>
    </row>
    <row r="5">
      <c r="A5" s="2" t="inlineStr">
        <is>
          <t>Unadjusted close then</t>
        </is>
      </c>
      <c r="B5" s="10">
        <f>IF(B2="","",BDH(B2,"PX_LAST",B4,B4,"Days=A","Fill=P","Dts=H","CshAdjNormal=N","CshAdjAbnormal=N","CapChg=N"))</f>
        <v/>
      </c>
    </row>
    <row r="6">
      <c r="A6" s="2" t="inlineStr">
        <is>
          <t>Strike step</t>
        </is>
      </c>
      <c r="B6" s="11">
        <f>IF(ISNUMBER(B5),IF(B5&lt;25,0.5,IF(B5&lt;250,1,5)),"")</f>
        <v/>
      </c>
    </row>
    <row r="7">
      <c r="A7" s="2" t="inlineStr">
        <is>
          <t>ATM strike</t>
        </is>
      </c>
      <c r="B7" s="11">
        <f>IF(ISNUMBER(B5),ROUND(B5/B6,0)*B6,"")</f>
        <v/>
      </c>
    </row>
    <row r="8">
      <c r="A8" s="2" t="inlineStr">
        <is>
          <t>History start</t>
        </is>
      </c>
      <c r="B8" s="8">
        <f>B3-100</f>
        <v/>
      </c>
    </row>
    <row r="9">
      <c r="A9" s="2" t="inlineStr">
        <is>
          <t>History end</t>
        </is>
      </c>
      <c r="B9" s="8">
        <f>B3</f>
        <v/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NL9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2" customWidth="1" min="2" max="2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1" customWidth="1" min="15" max="15"/>
    <col width="11" customWidth="1" min="16" max="16"/>
    <col width="10" customWidth="1" min="17" max="17"/>
    <col width="11" customWidth="1" min="18" max="18"/>
    <col width="13" customWidth="1" min="19" max="19"/>
    <col width="12" customWidth="1" min="21" max="21"/>
    <col width="10" customWidth="1" min="22" max="22"/>
    <col width="10" customWidth="1" min="23" max="23"/>
    <col width="10" customWidth="1" min="24" max="24"/>
    <col width="10" customWidth="1" min="25" max="25"/>
    <col width="11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1" customWidth="1" min="32" max="32"/>
    <col width="11" customWidth="1" min="33" max="33"/>
    <col width="10" customWidth="1" min="34" max="34"/>
    <col width="11" customWidth="1" min="35" max="35"/>
    <col width="13" customWidth="1" min="36" max="36"/>
    <col width="12" customWidth="1" min="38" max="38"/>
    <col width="10" customWidth="1" min="39" max="39"/>
    <col width="10" customWidth="1" min="40" max="40"/>
    <col width="10" customWidth="1" min="41" max="41"/>
    <col width="10" customWidth="1" min="42" max="42"/>
    <col width="11" customWidth="1" min="43" max="43"/>
    <col width="11" customWidth="1" min="44" max="44"/>
    <col width="10" customWidth="1" min="45" max="45"/>
    <col width="10" customWidth="1" min="46" max="46"/>
    <col width="10" customWidth="1" min="47" max="47"/>
    <col width="10" customWidth="1" min="48" max="48"/>
    <col width="11" customWidth="1" min="49" max="49"/>
    <col width="11" customWidth="1" min="50" max="50"/>
    <col width="10" customWidth="1" min="51" max="51"/>
    <col width="11" customWidth="1" min="52" max="52"/>
    <col width="13" customWidth="1" min="53" max="53"/>
    <col width="12" customWidth="1" min="55" max="55"/>
    <col width="10" customWidth="1" min="56" max="56"/>
    <col width="10" customWidth="1" min="57" max="57"/>
    <col width="10" customWidth="1" min="58" max="58"/>
    <col width="10" customWidth="1" min="59" max="59"/>
    <col width="11" customWidth="1" min="60" max="60"/>
    <col width="11" customWidth="1" min="61" max="61"/>
    <col width="10" customWidth="1" min="62" max="62"/>
    <col width="10" customWidth="1" min="63" max="63"/>
    <col width="10" customWidth="1" min="64" max="64"/>
    <col width="10" customWidth="1" min="65" max="65"/>
    <col width="11" customWidth="1" min="66" max="66"/>
    <col width="11" customWidth="1" min="67" max="67"/>
    <col width="10" customWidth="1" min="68" max="68"/>
    <col width="11" customWidth="1" min="69" max="69"/>
    <col width="13" customWidth="1" min="70" max="70"/>
    <col width="12" customWidth="1" min="72" max="72"/>
    <col width="10" customWidth="1" min="73" max="73"/>
    <col width="10" customWidth="1" min="74" max="74"/>
    <col width="10" customWidth="1" min="75" max="75"/>
    <col width="10" customWidth="1" min="76" max="76"/>
    <col width="11" customWidth="1" min="77" max="77"/>
    <col width="11" customWidth="1" min="78" max="78"/>
    <col width="10" customWidth="1" min="79" max="79"/>
    <col width="10" customWidth="1" min="80" max="80"/>
    <col width="10" customWidth="1" min="81" max="81"/>
    <col width="10" customWidth="1" min="82" max="82"/>
    <col width="11" customWidth="1" min="83" max="83"/>
    <col width="11" customWidth="1" min="84" max="84"/>
    <col width="10" customWidth="1" min="85" max="85"/>
    <col width="11" customWidth="1" min="86" max="86"/>
    <col width="13" customWidth="1" min="87" max="87"/>
    <col width="12" customWidth="1" min="89" max="89"/>
    <col width="10" customWidth="1" min="90" max="90"/>
    <col width="10" customWidth="1" min="91" max="91"/>
    <col width="10" customWidth="1" min="92" max="92"/>
    <col width="10" customWidth="1" min="93" max="93"/>
    <col width="11" customWidth="1" min="94" max="94"/>
    <col width="11" customWidth="1" min="95" max="95"/>
    <col width="10" customWidth="1" min="96" max="96"/>
    <col width="10" customWidth="1" min="97" max="97"/>
    <col width="10" customWidth="1" min="98" max="98"/>
    <col width="10" customWidth="1" min="99" max="99"/>
    <col width="11" customWidth="1" min="100" max="100"/>
    <col width="11" customWidth="1" min="101" max="101"/>
    <col width="10" customWidth="1" min="102" max="102"/>
    <col width="11" customWidth="1" min="103" max="103"/>
    <col width="13" customWidth="1" min="104" max="104"/>
    <col width="12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1" customWidth="1" min="111" max="111"/>
    <col width="11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1" customWidth="1" min="117" max="117"/>
    <col width="11" customWidth="1" min="118" max="118"/>
    <col width="10" customWidth="1" min="119" max="119"/>
    <col width="11" customWidth="1" min="120" max="120"/>
    <col width="13" customWidth="1" min="121" max="121"/>
    <col width="12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1" customWidth="1" min="128" max="128"/>
    <col width="11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1" customWidth="1" min="134" max="134"/>
    <col width="11" customWidth="1" min="135" max="135"/>
    <col width="10" customWidth="1" min="136" max="136"/>
    <col width="11" customWidth="1" min="137" max="137"/>
    <col width="13" customWidth="1" min="138" max="138"/>
    <col width="12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1" customWidth="1" min="145" max="145"/>
    <col width="11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1" customWidth="1" min="151" max="151"/>
    <col width="11" customWidth="1" min="152" max="152"/>
    <col width="10" customWidth="1" min="153" max="153"/>
    <col width="11" customWidth="1" min="154" max="154"/>
    <col width="13" customWidth="1" min="155" max="155"/>
    <col width="12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1" customWidth="1" min="162" max="162"/>
    <col width="11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1" customWidth="1" min="168" max="168"/>
    <col width="11" customWidth="1" min="169" max="169"/>
    <col width="10" customWidth="1" min="170" max="170"/>
    <col width="11" customWidth="1" min="171" max="171"/>
    <col width="13" customWidth="1" min="172" max="172"/>
    <col width="12" customWidth="1" min="174" max="174"/>
    <col width="10" customWidth="1" min="175" max="175"/>
    <col width="10" customWidth="1" min="176" max="176"/>
    <col width="10" customWidth="1" min="177" max="177"/>
    <col width="10" customWidth="1" min="178" max="178"/>
    <col width="11" customWidth="1" min="179" max="179"/>
    <col width="11" customWidth="1" min="180" max="180"/>
    <col width="10" customWidth="1" min="181" max="181"/>
    <col width="10" customWidth="1" min="182" max="182"/>
    <col width="10" customWidth="1" min="183" max="183"/>
    <col width="10" customWidth="1" min="184" max="184"/>
    <col width="11" customWidth="1" min="185" max="185"/>
    <col width="11" customWidth="1" min="186" max="186"/>
    <col width="10" customWidth="1" min="187" max="187"/>
    <col width="11" customWidth="1" min="188" max="188"/>
    <col width="13" customWidth="1" min="189" max="189"/>
    <col width="12" customWidth="1" min="191" max="191"/>
    <col width="10" customWidth="1" min="192" max="192"/>
    <col width="10" customWidth="1" min="193" max="193"/>
    <col width="10" customWidth="1" min="194" max="194"/>
    <col width="10" customWidth="1" min="195" max="195"/>
    <col width="11" customWidth="1" min="196" max="196"/>
    <col width="11" customWidth="1" min="197" max="197"/>
    <col width="10" customWidth="1" min="198" max="198"/>
    <col width="10" customWidth="1" min="199" max="199"/>
    <col width="10" customWidth="1" min="200" max="200"/>
    <col width="10" customWidth="1" min="201" max="201"/>
    <col width="11" customWidth="1" min="202" max="202"/>
    <col width="11" customWidth="1" min="203" max="203"/>
    <col width="10" customWidth="1" min="204" max="204"/>
    <col width="11" customWidth="1" min="205" max="205"/>
    <col width="13" customWidth="1" min="206" max="206"/>
    <col width="12" customWidth="1" min="208" max="208"/>
    <col width="10" customWidth="1" min="209" max="209"/>
    <col width="10" customWidth="1" min="210" max="210"/>
    <col width="10" customWidth="1" min="211" max="211"/>
    <col width="10" customWidth="1" min="212" max="212"/>
    <col width="11" customWidth="1" min="213" max="213"/>
    <col width="11" customWidth="1" min="214" max="214"/>
    <col width="10" customWidth="1" min="215" max="215"/>
    <col width="10" customWidth="1" min="216" max="216"/>
    <col width="10" customWidth="1" min="217" max="217"/>
    <col width="10" customWidth="1" min="218" max="218"/>
    <col width="11" customWidth="1" min="219" max="219"/>
    <col width="11" customWidth="1" min="220" max="220"/>
    <col width="10" customWidth="1" min="221" max="221"/>
    <col width="11" customWidth="1" min="222" max="222"/>
    <col width="13" customWidth="1" min="223" max="223"/>
    <col width="12" customWidth="1" min="225" max="225"/>
    <col width="10" customWidth="1" min="226" max="226"/>
    <col width="10" customWidth="1" min="227" max="227"/>
    <col width="10" customWidth="1" min="228" max="228"/>
    <col width="10" customWidth="1" min="229" max="229"/>
    <col width="11" customWidth="1" min="230" max="230"/>
    <col width="11" customWidth="1" min="231" max="231"/>
    <col width="10" customWidth="1" min="232" max="232"/>
    <col width="10" customWidth="1" min="233" max="233"/>
    <col width="10" customWidth="1" min="234" max="234"/>
    <col width="10" customWidth="1" min="235" max="235"/>
    <col width="11" customWidth="1" min="236" max="236"/>
    <col width="11" customWidth="1" min="237" max="237"/>
    <col width="10" customWidth="1" min="238" max="238"/>
    <col width="11" customWidth="1" min="239" max="239"/>
    <col width="13" customWidth="1" min="240" max="240"/>
    <col width="12" customWidth="1" min="242" max="242"/>
    <col width="10" customWidth="1" min="243" max="243"/>
    <col width="10" customWidth="1" min="244" max="244"/>
    <col width="10" customWidth="1" min="245" max="245"/>
    <col width="10" customWidth="1" min="246" max="246"/>
    <col width="11" customWidth="1" min="247" max="247"/>
    <col width="11" customWidth="1" min="248" max="248"/>
    <col width="10" customWidth="1" min="249" max="249"/>
    <col width="10" customWidth="1" min="250" max="250"/>
    <col width="10" customWidth="1" min="251" max="251"/>
    <col width="10" customWidth="1" min="252" max="252"/>
    <col width="11" customWidth="1" min="253" max="253"/>
    <col width="11" customWidth="1" min="254" max="254"/>
    <col width="10" customWidth="1" min="255" max="255"/>
    <col width="11" customWidth="1" min="256" max="256"/>
    <col width="13" customWidth="1" min="257" max="257"/>
    <col width="12" customWidth="1" min="259" max="259"/>
    <col width="10" customWidth="1" min="260" max="260"/>
    <col width="10" customWidth="1" min="261" max="261"/>
    <col width="10" customWidth="1" min="262" max="262"/>
    <col width="10" customWidth="1" min="263" max="263"/>
    <col width="11" customWidth="1" min="264" max="264"/>
    <col width="11" customWidth="1" min="265" max="265"/>
    <col width="10" customWidth="1" min="266" max="266"/>
    <col width="10" customWidth="1" min="267" max="267"/>
    <col width="10" customWidth="1" min="268" max="268"/>
    <col width="10" customWidth="1" min="269" max="269"/>
    <col width="11" customWidth="1" min="270" max="270"/>
    <col width="11" customWidth="1" min="271" max="271"/>
    <col width="10" customWidth="1" min="272" max="272"/>
    <col width="11" customWidth="1" min="273" max="273"/>
    <col width="13" customWidth="1" min="274" max="274"/>
    <col width="12" customWidth="1" min="276" max="276"/>
    <col width="10" customWidth="1" min="277" max="277"/>
    <col width="10" customWidth="1" min="278" max="278"/>
    <col width="10" customWidth="1" min="279" max="279"/>
    <col width="10" customWidth="1" min="280" max="280"/>
    <col width="11" customWidth="1" min="281" max="281"/>
    <col width="11" customWidth="1" min="282" max="282"/>
    <col width="10" customWidth="1" min="283" max="283"/>
    <col width="10" customWidth="1" min="284" max="284"/>
    <col width="10" customWidth="1" min="285" max="285"/>
    <col width="10" customWidth="1" min="286" max="286"/>
    <col width="11" customWidth="1" min="287" max="287"/>
    <col width="11" customWidth="1" min="288" max="288"/>
    <col width="10" customWidth="1" min="289" max="289"/>
    <col width="11" customWidth="1" min="290" max="290"/>
    <col width="13" customWidth="1" min="291" max="291"/>
    <col width="12" customWidth="1" min="293" max="293"/>
    <col width="10" customWidth="1" min="294" max="294"/>
    <col width="10" customWidth="1" min="295" max="295"/>
    <col width="10" customWidth="1" min="296" max="296"/>
    <col width="10" customWidth="1" min="297" max="297"/>
    <col width="11" customWidth="1" min="298" max="298"/>
    <col width="11" customWidth="1" min="299" max="299"/>
    <col width="10" customWidth="1" min="300" max="300"/>
    <col width="10" customWidth="1" min="301" max="301"/>
    <col width="10" customWidth="1" min="302" max="302"/>
    <col width="10" customWidth="1" min="303" max="303"/>
    <col width="11" customWidth="1" min="304" max="304"/>
    <col width="11" customWidth="1" min="305" max="305"/>
    <col width="10" customWidth="1" min="306" max="306"/>
    <col width="11" customWidth="1" min="307" max="307"/>
    <col width="13" customWidth="1" min="308" max="308"/>
    <col width="12" customWidth="1" min="310" max="310"/>
    <col width="10" customWidth="1" min="311" max="311"/>
    <col width="10" customWidth="1" min="312" max="312"/>
    <col width="10" customWidth="1" min="313" max="313"/>
    <col width="10" customWidth="1" min="314" max="314"/>
    <col width="11" customWidth="1" min="315" max="315"/>
    <col width="11" customWidth="1" min="316" max="316"/>
    <col width="10" customWidth="1" min="317" max="317"/>
    <col width="10" customWidth="1" min="318" max="318"/>
    <col width="10" customWidth="1" min="319" max="319"/>
    <col width="10" customWidth="1" min="320" max="320"/>
    <col width="11" customWidth="1" min="321" max="321"/>
    <col width="11" customWidth="1" min="322" max="322"/>
    <col width="10" customWidth="1" min="323" max="323"/>
    <col width="11" customWidth="1" min="324" max="324"/>
    <col width="13" customWidth="1" min="325" max="325"/>
    <col width="12" customWidth="1" min="327" max="327"/>
    <col width="10" customWidth="1" min="328" max="328"/>
    <col width="10" customWidth="1" min="329" max="329"/>
    <col width="10" customWidth="1" min="330" max="330"/>
    <col width="10" customWidth="1" min="331" max="331"/>
    <col width="11" customWidth="1" min="332" max="332"/>
    <col width="11" customWidth="1" min="333" max="333"/>
    <col width="10" customWidth="1" min="334" max="334"/>
    <col width="10" customWidth="1" min="335" max="335"/>
    <col width="10" customWidth="1" min="336" max="336"/>
    <col width="10" customWidth="1" min="337" max="337"/>
    <col width="11" customWidth="1" min="338" max="338"/>
    <col width="11" customWidth="1" min="339" max="339"/>
    <col width="10" customWidth="1" min="340" max="340"/>
    <col width="11" customWidth="1" min="341" max="341"/>
    <col width="13" customWidth="1" min="342" max="342"/>
    <col width="12" customWidth="1" min="344" max="344"/>
    <col width="10" customWidth="1" min="345" max="345"/>
    <col width="10" customWidth="1" min="346" max="346"/>
    <col width="10" customWidth="1" min="347" max="347"/>
    <col width="10" customWidth="1" min="348" max="348"/>
    <col width="11" customWidth="1" min="349" max="349"/>
    <col width="11" customWidth="1" min="350" max="350"/>
    <col width="10" customWidth="1" min="351" max="351"/>
    <col width="10" customWidth="1" min="352" max="352"/>
    <col width="10" customWidth="1" min="353" max="353"/>
    <col width="10" customWidth="1" min="354" max="354"/>
    <col width="11" customWidth="1" min="355" max="355"/>
    <col width="11" customWidth="1" min="356" max="356"/>
    <col width="10" customWidth="1" min="357" max="357"/>
    <col width="11" customWidth="1" min="358" max="358"/>
    <col width="13" customWidth="1" min="359" max="359"/>
    <col width="12" customWidth="1" min="361" max="361"/>
    <col width="10" customWidth="1" min="362" max="362"/>
    <col width="10" customWidth="1" min="363" max="363"/>
    <col width="10" customWidth="1" min="364" max="364"/>
    <col width="10" customWidth="1" min="365" max="365"/>
    <col width="11" customWidth="1" min="366" max="366"/>
    <col width="11" customWidth="1" min="367" max="367"/>
    <col width="10" customWidth="1" min="368" max="368"/>
    <col width="10" customWidth="1" min="369" max="369"/>
    <col width="10" customWidth="1" min="370" max="370"/>
    <col width="10" customWidth="1" min="371" max="371"/>
    <col width="11" customWidth="1" min="372" max="372"/>
    <col width="11" customWidth="1" min="373" max="373"/>
    <col width="10" customWidth="1" min="374" max="374"/>
    <col width="11" customWidth="1" min="375" max="375"/>
    <col width="13" customWidth="1" min="376" max="376"/>
  </cols>
  <sheetData>
    <row r="1">
      <c r="A1" s="2" t="inlineStr">
        <is>
          <t>Month</t>
        </is>
      </c>
      <c r="B1" s="9" t="n">
        <v>3</v>
      </c>
      <c r="D1" s="2">
        <f>IF(ISNUMBER(B$7),"USO US "&amp;TEXT(B$3,"mm/dd/yy")&amp;" C"&amp;(B$7-5*B$6)&amp;" Equity","")</f>
        <v/>
      </c>
      <c r="U1" s="2">
        <f>IF(ISNUMBER(B$7),"USO US "&amp;TEXT(B$3,"mm/dd/yy")&amp;" P"&amp;(B$7-5*B$6)&amp;" Equity","")</f>
        <v/>
      </c>
      <c r="AL1" s="2">
        <f>IF(ISNUMBER(B$7),"USO US "&amp;TEXT(B$3,"mm/dd/yy")&amp;" C"&amp;(B$7-4*B$6)&amp;" Equity","")</f>
        <v/>
      </c>
      <c r="BC1" s="2">
        <f>IF(ISNUMBER(B$7),"USO US "&amp;TEXT(B$3,"mm/dd/yy")&amp;" P"&amp;(B$7-4*B$6)&amp;" Equity","")</f>
        <v/>
      </c>
      <c r="BT1" s="2">
        <f>IF(ISNUMBER(B$7),"USO US "&amp;TEXT(B$3,"mm/dd/yy")&amp;" C"&amp;(B$7-3*B$6)&amp;" Equity","")</f>
        <v/>
      </c>
      <c r="CK1" s="2">
        <f>IF(ISNUMBER(B$7),"USO US "&amp;TEXT(B$3,"mm/dd/yy")&amp;" P"&amp;(B$7-3*B$6)&amp;" Equity","")</f>
        <v/>
      </c>
      <c r="DB1" s="2">
        <f>IF(ISNUMBER(B$7),"USO US "&amp;TEXT(B$3,"mm/dd/yy")&amp;" C"&amp;(B$7-2*B$6)&amp;" Equity","")</f>
        <v/>
      </c>
      <c r="DS1" s="2">
        <f>IF(ISNUMBER(B$7),"USO US "&amp;TEXT(B$3,"mm/dd/yy")&amp;" P"&amp;(B$7-2*B$6)&amp;" Equity","")</f>
        <v/>
      </c>
      <c r="EJ1" s="2">
        <f>IF(ISNUMBER(B$7),"USO US "&amp;TEXT(B$3,"mm/dd/yy")&amp;" C"&amp;(B$7-1*B$6)&amp;" Equity","")</f>
        <v/>
      </c>
      <c r="FA1" s="2">
        <f>IF(ISNUMBER(B$7),"USO US "&amp;TEXT(B$3,"mm/dd/yy")&amp;" P"&amp;(B$7-1*B$6)&amp;" Equity","")</f>
        <v/>
      </c>
      <c r="FR1" s="2">
        <f>IF(ISNUMBER(B$7),"USO US "&amp;TEXT(B$3,"mm/dd/yy")&amp;" C"&amp;B$7&amp;" Equity","")</f>
        <v/>
      </c>
      <c r="GI1" s="2">
        <f>IF(ISNUMBER(B$7),"USO US "&amp;TEXT(B$3,"mm/dd/yy")&amp;" P"&amp;B$7&amp;" Equity","")</f>
        <v/>
      </c>
      <c r="GZ1" s="2">
        <f>IF(ISNUMBER(B$7),"USO US "&amp;TEXT(B$3,"mm/dd/yy")&amp;" C"&amp;(B$7+1*B$6)&amp;" Equity","")</f>
        <v/>
      </c>
      <c r="HQ1" s="2">
        <f>IF(ISNUMBER(B$7),"USO US "&amp;TEXT(B$3,"mm/dd/yy")&amp;" P"&amp;(B$7+1*B$6)&amp;" Equity","")</f>
        <v/>
      </c>
      <c r="IH1" s="2">
        <f>IF(ISNUMBER(B$7),"USO US "&amp;TEXT(B$3,"mm/dd/yy")&amp;" C"&amp;(B$7+2*B$6)&amp;" Equity","")</f>
        <v/>
      </c>
      <c r="IY1" s="2">
        <f>IF(ISNUMBER(B$7),"USO US "&amp;TEXT(B$3,"mm/dd/yy")&amp;" P"&amp;(B$7+2*B$6)&amp;" Equity","")</f>
        <v/>
      </c>
      <c r="JP1" s="2">
        <f>IF(ISNUMBER(B$7),"USO US "&amp;TEXT(B$3,"mm/dd/yy")&amp;" C"&amp;(B$7+3*B$6)&amp;" Equity","")</f>
        <v/>
      </c>
      <c r="KG1" s="2">
        <f>IF(ISNUMBER(B$7),"USO US "&amp;TEXT(B$3,"mm/dd/yy")&amp;" P"&amp;(B$7+3*B$6)&amp;" Equity","")</f>
        <v/>
      </c>
      <c r="KX1" s="2">
        <f>IF(ISNUMBER(B$7),"USO US "&amp;TEXT(B$3,"mm/dd/yy")&amp;" C"&amp;(B$7+4*B$6)&amp;" Equity","")</f>
        <v/>
      </c>
      <c r="LO1" s="2">
        <f>IF(ISNUMBER(B$7),"USO US "&amp;TEXT(B$3,"mm/dd/yy")&amp;" P"&amp;(B$7+4*B$6)&amp;" Equity","")</f>
        <v/>
      </c>
      <c r="MF1" s="2">
        <f>IF(ISNUMBER(B$7),"USO US "&amp;TEXT(B$3,"mm/dd/yy")&amp;" C"&amp;(B$7+5*B$6)&amp;" Equity","")</f>
        <v/>
      </c>
      <c r="MW1" s="2">
        <f>IF(ISNUMBER(B$7),"USO US "&amp;TEXT(B$3,"mm/dd/yy")&amp;" P"&amp;(B$7+5*B$6)&amp;" Equity","")</f>
        <v/>
      </c>
    </row>
    <row r="2">
      <c r="A2" s="2" t="inlineStr">
        <is>
          <t>Underlying</t>
        </is>
      </c>
      <c r="B2" s="4">
        <f>IF(Settings!$B$15="Y","USO US Equity","")</f>
        <v/>
      </c>
      <c r="D2" s="4" t="inlineStr">
        <is>
          <t>call -5 from ATM</t>
        </is>
      </c>
      <c r="U2" s="4" t="inlineStr">
        <is>
          <t>put -5 from ATM</t>
        </is>
      </c>
      <c r="AL2" s="4" t="inlineStr">
        <is>
          <t>call -4 from ATM</t>
        </is>
      </c>
      <c r="BC2" s="4" t="inlineStr">
        <is>
          <t>put -4 from ATM</t>
        </is>
      </c>
      <c r="BT2" s="4" t="inlineStr">
        <is>
          <t>call -3 from ATM</t>
        </is>
      </c>
      <c r="CK2" s="4" t="inlineStr">
        <is>
          <t>put -3 from ATM</t>
        </is>
      </c>
      <c r="DB2" s="4" t="inlineStr">
        <is>
          <t>call -2 from ATM</t>
        </is>
      </c>
      <c r="DS2" s="4" t="inlineStr">
        <is>
          <t>put -2 from ATM</t>
        </is>
      </c>
      <c r="EJ2" s="4" t="inlineStr">
        <is>
          <t>call -1 from ATM</t>
        </is>
      </c>
      <c r="FA2" s="4" t="inlineStr">
        <is>
          <t>put -1 from ATM</t>
        </is>
      </c>
      <c r="FR2" s="4" t="inlineStr">
        <is>
          <t>call +0 from ATM</t>
        </is>
      </c>
      <c r="GI2" s="4" t="inlineStr">
        <is>
          <t>put +0 from ATM</t>
        </is>
      </c>
      <c r="GZ2" s="4" t="inlineStr">
        <is>
          <t>call +1 from ATM</t>
        </is>
      </c>
      <c r="HQ2" s="4" t="inlineStr">
        <is>
          <t>put +1 from ATM</t>
        </is>
      </c>
      <c r="IH2" s="4" t="inlineStr">
        <is>
          <t>call +2 from ATM</t>
        </is>
      </c>
      <c r="IY2" s="4" t="inlineStr">
        <is>
          <t>put +2 from ATM</t>
        </is>
      </c>
      <c r="JP2" s="4" t="inlineStr">
        <is>
          <t>call +3 from ATM</t>
        </is>
      </c>
      <c r="KG2" s="4" t="inlineStr">
        <is>
          <t>put +3 from ATM</t>
        </is>
      </c>
      <c r="KX2" s="4" t="inlineStr">
        <is>
          <t>call +4 from ATM</t>
        </is>
      </c>
      <c r="LO2" s="4" t="inlineStr">
        <is>
          <t>put +4 from ATM</t>
        </is>
      </c>
      <c r="MF2" s="4" t="inlineStr">
        <is>
          <t>call +5 from ATM</t>
        </is>
      </c>
      <c r="MW2" s="4" t="inlineStr">
        <is>
          <t>put +5 from ATM</t>
        </is>
      </c>
    </row>
    <row r="3">
      <c r="A3" s="2" t="inlineStr">
        <is>
          <t>Expiry (3rd Friday)</t>
        </is>
      </c>
      <c r="B3" s="3">
        <f>DATE(Settings!$E$15,B1,15)+MOD(6-WEEKDAY(DATE(Settings!$E$15,B1,15)),7)</f>
        <v/>
      </c>
      <c r="D3" s="5" t="inlineStr">
        <is>
          <t>Date</t>
        </is>
      </c>
      <c r="E3" s="5" t="inlineStr">
        <is>
          <t>PX_BID</t>
        </is>
      </c>
      <c r="F3" s="5" t="inlineStr">
        <is>
          <t>PX_ASK</t>
        </is>
      </c>
      <c r="G3" s="5" t="inlineStr">
        <is>
          <t>PX_MID</t>
        </is>
      </c>
      <c r="H3" s="5" t="inlineStr">
        <is>
          <t>PX_LAST</t>
        </is>
      </c>
      <c r="I3" s="5" t="inlineStr">
        <is>
          <t>PX_SETTLE</t>
        </is>
      </c>
      <c r="J3" s="5" t="inlineStr">
        <is>
          <t>PX_VOLUME</t>
        </is>
      </c>
      <c r="K3" s="5" t="inlineStr">
        <is>
          <t>OPEN_INT</t>
        </is>
      </c>
      <c r="L3" s="5" t="inlineStr">
        <is>
          <t>IVOL_MID</t>
        </is>
      </c>
      <c r="M3" s="5" t="inlineStr">
        <is>
          <t>IVOL_BID</t>
        </is>
      </c>
      <c r="N3" s="5" t="inlineStr">
        <is>
          <t>IVOL_ASK</t>
        </is>
      </c>
      <c r="O3" s="5" t="inlineStr">
        <is>
          <t>DELTA_MID</t>
        </is>
      </c>
      <c r="P3" s="5" t="inlineStr">
        <is>
          <t>GAMMA_MID</t>
        </is>
      </c>
      <c r="Q3" s="5" t="inlineStr">
        <is>
          <t>VEGA_MID</t>
        </is>
      </c>
      <c r="R3" s="5" t="inlineStr">
        <is>
          <t>THETA_MID</t>
        </is>
      </c>
      <c r="S3" s="5" t="inlineStr">
        <is>
          <t>OPT_UNDL_PX</t>
        </is>
      </c>
      <c r="U3" s="5" t="inlineStr">
        <is>
          <t>Date</t>
        </is>
      </c>
      <c r="V3" s="5" t="inlineStr">
        <is>
          <t>PX_BID</t>
        </is>
      </c>
      <c r="W3" s="5" t="inlineStr">
        <is>
          <t>PX_ASK</t>
        </is>
      </c>
      <c r="X3" s="5" t="inlineStr">
        <is>
          <t>PX_MID</t>
        </is>
      </c>
      <c r="Y3" s="5" t="inlineStr">
        <is>
          <t>PX_LAST</t>
        </is>
      </c>
      <c r="Z3" s="5" t="inlineStr">
        <is>
          <t>PX_SETTLE</t>
        </is>
      </c>
      <c r="AA3" s="5" t="inlineStr">
        <is>
          <t>PX_VOLUME</t>
        </is>
      </c>
      <c r="AB3" s="5" t="inlineStr">
        <is>
          <t>OPEN_INT</t>
        </is>
      </c>
      <c r="AC3" s="5" t="inlineStr">
        <is>
          <t>IVOL_MID</t>
        </is>
      </c>
      <c r="AD3" s="5" t="inlineStr">
        <is>
          <t>IVOL_BID</t>
        </is>
      </c>
      <c r="AE3" s="5" t="inlineStr">
        <is>
          <t>IVOL_ASK</t>
        </is>
      </c>
      <c r="AF3" s="5" t="inlineStr">
        <is>
          <t>DELTA_MID</t>
        </is>
      </c>
      <c r="AG3" s="5" t="inlineStr">
        <is>
          <t>GAMMA_MID</t>
        </is>
      </c>
      <c r="AH3" s="5" t="inlineStr">
        <is>
          <t>VEGA_MID</t>
        </is>
      </c>
      <c r="AI3" s="5" t="inlineStr">
        <is>
          <t>THETA_MID</t>
        </is>
      </c>
      <c r="AJ3" s="5" t="inlineStr">
        <is>
          <t>OPT_UNDL_PX</t>
        </is>
      </c>
      <c r="AL3" s="5" t="inlineStr">
        <is>
          <t>Date</t>
        </is>
      </c>
      <c r="AM3" s="5" t="inlineStr">
        <is>
          <t>PX_BID</t>
        </is>
      </c>
      <c r="AN3" s="5" t="inlineStr">
        <is>
          <t>PX_ASK</t>
        </is>
      </c>
      <c r="AO3" s="5" t="inlineStr">
        <is>
          <t>PX_MID</t>
        </is>
      </c>
      <c r="AP3" s="5" t="inlineStr">
        <is>
          <t>PX_LAST</t>
        </is>
      </c>
      <c r="AQ3" s="5" t="inlineStr">
        <is>
          <t>PX_SETTLE</t>
        </is>
      </c>
      <c r="AR3" s="5" t="inlineStr">
        <is>
          <t>PX_VOLUME</t>
        </is>
      </c>
      <c r="AS3" s="5" t="inlineStr">
        <is>
          <t>OPEN_INT</t>
        </is>
      </c>
      <c r="AT3" s="5" t="inlineStr">
        <is>
          <t>IVOL_MID</t>
        </is>
      </c>
      <c r="AU3" s="5" t="inlineStr">
        <is>
          <t>IVOL_BID</t>
        </is>
      </c>
      <c r="AV3" s="5" t="inlineStr">
        <is>
          <t>IVOL_ASK</t>
        </is>
      </c>
      <c r="AW3" s="5" t="inlineStr">
        <is>
          <t>DELTA_MID</t>
        </is>
      </c>
      <c r="AX3" s="5" t="inlineStr">
        <is>
          <t>GAMMA_MID</t>
        </is>
      </c>
      <c r="AY3" s="5" t="inlineStr">
        <is>
          <t>VEGA_MID</t>
        </is>
      </c>
      <c r="AZ3" s="5" t="inlineStr">
        <is>
          <t>THETA_MID</t>
        </is>
      </c>
      <c r="BA3" s="5" t="inlineStr">
        <is>
          <t>OPT_UNDL_PX</t>
        </is>
      </c>
      <c r="BC3" s="5" t="inlineStr">
        <is>
          <t>Date</t>
        </is>
      </c>
      <c r="BD3" s="5" t="inlineStr">
        <is>
          <t>PX_BID</t>
        </is>
      </c>
      <c r="BE3" s="5" t="inlineStr">
        <is>
          <t>PX_ASK</t>
        </is>
      </c>
      <c r="BF3" s="5" t="inlineStr">
        <is>
          <t>PX_MID</t>
        </is>
      </c>
      <c r="BG3" s="5" t="inlineStr">
        <is>
          <t>PX_LAST</t>
        </is>
      </c>
      <c r="BH3" s="5" t="inlineStr">
        <is>
          <t>PX_SETTLE</t>
        </is>
      </c>
      <c r="BI3" s="5" t="inlineStr">
        <is>
          <t>PX_VOLUME</t>
        </is>
      </c>
      <c r="BJ3" s="5" t="inlineStr">
        <is>
          <t>OPEN_INT</t>
        </is>
      </c>
      <c r="BK3" s="5" t="inlineStr">
        <is>
          <t>IVOL_MID</t>
        </is>
      </c>
      <c r="BL3" s="5" t="inlineStr">
        <is>
          <t>IVOL_BID</t>
        </is>
      </c>
      <c r="BM3" s="5" t="inlineStr">
        <is>
          <t>IVOL_ASK</t>
        </is>
      </c>
      <c r="BN3" s="5" t="inlineStr">
        <is>
          <t>DELTA_MID</t>
        </is>
      </c>
      <c r="BO3" s="5" t="inlineStr">
        <is>
          <t>GAMMA_MID</t>
        </is>
      </c>
      <c r="BP3" s="5" t="inlineStr">
        <is>
          <t>VEGA_MID</t>
        </is>
      </c>
      <c r="BQ3" s="5" t="inlineStr">
        <is>
          <t>THETA_MID</t>
        </is>
      </c>
      <c r="BR3" s="5" t="inlineStr">
        <is>
          <t>OPT_UNDL_PX</t>
        </is>
      </c>
      <c r="BT3" s="5" t="inlineStr">
        <is>
          <t>Date</t>
        </is>
      </c>
      <c r="BU3" s="5" t="inlineStr">
        <is>
          <t>PX_BID</t>
        </is>
      </c>
      <c r="BV3" s="5" t="inlineStr">
        <is>
          <t>PX_ASK</t>
        </is>
      </c>
      <c r="BW3" s="5" t="inlineStr">
        <is>
          <t>PX_MID</t>
        </is>
      </c>
      <c r="BX3" s="5" t="inlineStr">
        <is>
          <t>PX_LAST</t>
        </is>
      </c>
      <c r="BY3" s="5" t="inlineStr">
        <is>
          <t>PX_SETTLE</t>
        </is>
      </c>
      <c r="BZ3" s="5" t="inlineStr">
        <is>
          <t>PX_VOLUME</t>
        </is>
      </c>
      <c r="CA3" s="5" t="inlineStr">
        <is>
          <t>OPEN_INT</t>
        </is>
      </c>
      <c r="CB3" s="5" t="inlineStr">
        <is>
          <t>IVOL_MID</t>
        </is>
      </c>
      <c r="CC3" s="5" t="inlineStr">
        <is>
          <t>IVOL_BID</t>
        </is>
      </c>
      <c r="CD3" s="5" t="inlineStr">
        <is>
          <t>IVOL_ASK</t>
        </is>
      </c>
      <c r="CE3" s="5" t="inlineStr">
        <is>
          <t>DELTA_MID</t>
        </is>
      </c>
      <c r="CF3" s="5" t="inlineStr">
        <is>
          <t>GAMMA_MID</t>
        </is>
      </c>
      <c r="CG3" s="5" t="inlineStr">
        <is>
          <t>VEGA_MID</t>
        </is>
      </c>
      <c r="CH3" s="5" t="inlineStr">
        <is>
          <t>THETA_MID</t>
        </is>
      </c>
      <c r="CI3" s="5" t="inlineStr">
        <is>
          <t>OPT_UNDL_PX</t>
        </is>
      </c>
      <c r="CK3" s="5" t="inlineStr">
        <is>
          <t>Date</t>
        </is>
      </c>
      <c r="CL3" s="5" t="inlineStr">
        <is>
          <t>PX_BID</t>
        </is>
      </c>
      <c r="CM3" s="5" t="inlineStr">
        <is>
          <t>PX_ASK</t>
        </is>
      </c>
      <c r="CN3" s="5" t="inlineStr">
        <is>
          <t>PX_MID</t>
        </is>
      </c>
      <c r="CO3" s="5" t="inlineStr">
        <is>
          <t>PX_LAST</t>
        </is>
      </c>
      <c r="CP3" s="5" t="inlineStr">
        <is>
          <t>PX_SETTLE</t>
        </is>
      </c>
      <c r="CQ3" s="5" t="inlineStr">
        <is>
          <t>PX_VOLUME</t>
        </is>
      </c>
      <c r="CR3" s="5" t="inlineStr">
        <is>
          <t>OPEN_INT</t>
        </is>
      </c>
      <c r="CS3" s="5" t="inlineStr">
        <is>
          <t>IVOL_MID</t>
        </is>
      </c>
      <c r="CT3" s="5" t="inlineStr">
        <is>
          <t>IVOL_BID</t>
        </is>
      </c>
      <c r="CU3" s="5" t="inlineStr">
        <is>
          <t>IVOL_ASK</t>
        </is>
      </c>
      <c r="CV3" s="5" t="inlineStr">
        <is>
          <t>DELTA_MID</t>
        </is>
      </c>
      <c r="CW3" s="5" t="inlineStr">
        <is>
          <t>GAMMA_MID</t>
        </is>
      </c>
      <c r="CX3" s="5" t="inlineStr">
        <is>
          <t>VEGA_MID</t>
        </is>
      </c>
      <c r="CY3" s="5" t="inlineStr">
        <is>
          <t>THETA_MID</t>
        </is>
      </c>
      <c r="CZ3" s="5" t="inlineStr">
        <is>
          <t>OPT_UNDL_PX</t>
        </is>
      </c>
      <c r="DB3" s="5" t="inlineStr">
        <is>
          <t>Date</t>
        </is>
      </c>
      <c r="DC3" s="5" t="inlineStr">
        <is>
          <t>PX_BID</t>
        </is>
      </c>
      <c r="DD3" s="5" t="inlineStr">
        <is>
          <t>PX_ASK</t>
        </is>
      </c>
      <c r="DE3" s="5" t="inlineStr">
        <is>
          <t>PX_MID</t>
        </is>
      </c>
      <c r="DF3" s="5" t="inlineStr">
        <is>
          <t>PX_LAST</t>
        </is>
      </c>
      <c r="DG3" s="5" t="inlineStr">
        <is>
          <t>PX_SETTLE</t>
        </is>
      </c>
      <c r="DH3" s="5" t="inlineStr">
        <is>
          <t>PX_VOLUME</t>
        </is>
      </c>
      <c r="DI3" s="5" t="inlineStr">
        <is>
          <t>OPEN_INT</t>
        </is>
      </c>
      <c r="DJ3" s="5" t="inlineStr">
        <is>
          <t>IVOL_MID</t>
        </is>
      </c>
      <c r="DK3" s="5" t="inlineStr">
        <is>
          <t>IVOL_BID</t>
        </is>
      </c>
      <c r="DL3" s="5" t="inlineStr">
        <is>
          <t>IVOL_ASK</t>
        </is>
      </c>
      <c r="DM3" s="5" t="inlineStr">
        <is>
          <t>DELTA_MID</t>
        </is>
      </c>
      <c r="DN3" s="5" t="inlineStr">
        <is>
          <t>GAMMA_MID</t>
        </is>
      </c>
      <c r="DO3" s="5" t="inlineStr">
        <is>
          <t>VEGA_MID</t>
        </is>
      </c>
      <c r="DP3" s="5" t="inlineStr">
        <is>
          <t>THETA_MID</t>
        </is>
      </c>
      <c r="DQ3" s="5" t="inlineStr">
        <is>
          <t>OPT_UNDL_PX</t>
        </is>
      </c>
      <c r="DS3" s="5" t="inlineStr">
        <is>
          <t>Date</t>
        </is>
      </c>
      <c r="DT3" s="5" t="inlineStr">
        <is>
          <t>PX_BID</t>
        </is>
      </c>
      <c r="DU3" s="5" t="inlineStr">
        <is>
          <t>PX_ASK</t>
        </is>
      </c>
      <c r="DV3" s="5" t="inlineStr">
        <is>
          <t>PX_MID</t>
        </is>
      </c>
      <c r="DW3" s="5" t="inlineStr">
        <is>
          <t>PX_LAST</t>
        </is>
      </c>
      <c r="DX3" s="5" t="inlineStr">
        <is>
          <t>PX_SETTLE</t>
        </is>
      </c>
      <c r="DY3" s="5" t="inlineStr">
        <is>
          <t>PX_VOLUME</t>
        </is>
      </c>
      <c r="DZ3" s="5" t="inlineStr">
        <is>
          <t>OPEN_INT</t>
        </is>
      </c>
      <c r="EA3" s="5" t="inlineStr">
        <is>
          <t>IVOL_MID</t>
        </is>
      </c>
      <c r="EB3" s="5" t="inlineStr">
        <is>
          <t>IVOL_BID</t>
        </is>
      </c>
      <c r="EC3" s="5" t="inlineStr">
        <is>
          <t>IVOL_ASK</t>
        </is>
      </c>
      <c r="ED3" s="5" t="inlineStr">
        <is>
          <t>DELTA_MID</t>
        </is>
      </c>
      <c r="EE3" s="5" t="inlineStr">
        <is>
          <t>GAMMA_MID</t>
        </is>
      </c>
      <c r="EF3" s="5" t="inlineStr">
        <is>
          <t>VEGA_MID</t>
        </is>
      </c>
      <c r="EG3" s="5" t="inlineStr">
        <is>
          <t>THETA_MID</t>
        </is>
      </c>
      <c r="EH3" s="5" t="inlineStr">
        <is>
          <t>OPT_UNDL_PX</t>
        </is>
      </c>
      <c r="EJ3" s="5" t="inlineStr">
        <is>
          <t>Date</t>
        </is>
      </c>
      <c r="EK3" s="5" t="inlineStr">
        <is>
          <t>PX_BID</t>
        </is>
      </c>
      <c r="EL3" s="5" t="inlineStr">
        <is>
          <t>PX_ASK</t>
        </is>
      </c>
      <c r="EM3" s="5" t="inlineStr">
        <is>
          <t>PX_MID</t>
        </is>
      </c>
      <c r="EN3" s="5" t="inlineStr">
        <is>
          <t>PX_LAST</t>
        </is>
      </c>
      <c r="EO3" s="5" t="inlineStr">
        <is>
          <t>PX_SETTLE</t>
        </is>
      </c>
      <c r="EP3" s="5" t="inlineStr">
        <is>
          <t>PX_VOLUME</t>
        </is>
      </c>
      <c r="EQ3" s="5" t="inlineStr">
        <is>
          <t>OPEN_INT</t>
        </is>
      </c>
      <c r="ER3" s="5" t="inlineStr">
        <is>
          <t>IVOL_MID</t>
        </is>
      </c>
      <c r="ES3" s="5" t="inlineStr">
        <is>
          <t>IVOL_BID</t>
        </is>
      </c>
      <c r="ET3" s="5" t="inlineStr">
        <is>
          <t>IVOL_ASK</t>
        </is>
      </c>
      <c r="EU3" s="5" t="inlineStr">
        <is>
          <t>DELTA_MID</t>
        </is>
      </c>
      <c r="EV3" s="5" t="inlineStr">
        <is>
          <t>GAMMA_MID</t>
        </is>
      </c>
      <c r="EW3" s="5" t="inlineStr">
        <is>
          <t>VEGA_MID</t>
        </is>
      </c>
      <c r="EX3" s="5" t="inlineStr">
        <is>
          <t>THETA_MID</t>
        </is>
      </c>
      <c r="EY3" s="5" t="inlineStr">
        <is>
          <t>OPT_UNDL_PX</t>
        </is>
      </c>
      <c r="FA3" s="5" t="inlineStr">
        <is>
          <t>Date</t>
        </is>
      </c>
      <c r="FB3" s="5" t="inlineStr">
        <is>
          <t>PX_BID</t>
        </is>
      </c>
      <c r="FC3" s="5" t="inlineStr">
        <is>
          <t>PX_ASK</t>
        </is>
      </c>
      <c r="FD3" s="5" t="inlineStr">
        <is>
          <t>PX_MID</t>
        </is>
      </c>
      <c r="FE3" s="5" t="inlineStr">
        <is>
          <t>PX_LAST</t>
        </is>
      </c>
      <c r="FF3" s="5" t="inlineStr">
        <is>
          <t>PX_SETTLE</t>
        </is>
      </c>
      <c r="FG3" s="5" t="inlineStr">
        <is>
          <t>PX_VOLUME</t>
        </is>
      </c>
      <c r="FH3" s="5" t="inlineStr">
        <is>
          <t>OPEN_INT</t>
        </is>
      </c>
      <c r="FI3" s="5" t="inlineStr">
        <is>
          <t>IVOL_MID</t>
        </is>
      </c>
      <c r="FJ3" s="5" t="inlineStr">
        <is>
          <t>IVOL_BID</t>
        </is>
      </c>
      <c r="FK3" s="5" t="inlineStr">
        <is>
          <t>IVOL_ASK</t>
        </is>
      </c>
      <c r="FL3" s="5" t="inlineStr">
        <is>
          <t>DELTA_MID</t>
        </is>
      </c>
      <c r="FM3" s="5" t="inlineStr">
        <is>
          <t>GAMMA_MID</t>
        </is>
      </c>
      <c r="FN3" s="5" t="inlineStr">
        <is>
          <t>VEGA_MID</t>
        </is>
      </c>
      <c r="FO3" s="5" t="inlineStr">
        <is>
          <t>THETA_MID</t>
        </is>
      </c>
      <c r="FP3" s="5" t="inlineStr">
        <is>
          <t>OPT_UNDL_PX</t>
        </is>
      </c>
      <c r="FR3" s="5" t="inlineStr">
        <is>
          <t>Date</t>
        </is>
      </c>
      <c r="FS3" s="5" t="inlineStr">
        <is>
          <t>PX_BID</t>
        </is>
      </c>
      <c r="FT3" s="5" t="inlineStr">
        <is>
          <t>PX_ASK</t>
        </is>
      </c>
      <c r="FU3" s="5" t="inlineStr">
        <is>
          <t>PX_MID</t>
        </is>
      </c>
      <c r="FV3" s="5" t="inlineStr">
        <is>
          <t>PX_LAST</t>
        </is>
      </c>
      <c r="FW3" s="5" t="inlineStr">
        <is>
          <t>PX_SETTLE</t>
        </is>
      </c>
      <c r="FX3" s="5" t="inlineStr">
        <is>
          <t>PX_VOLUME</t>
        </is>
      </c>
      <c r="FY3" s="5" t="inlineStr">
        <is>
          <t>OPEN_INT</t>
        </is>
      </c>
      <c r="FZ3" s="5" t="inlineStr">
        <is>
          <t>IVOL_MID</t>
        </is>
      </c>
      <c r="GA3" s="5" t="inlineStr">
        <is>
          <t>IVOL_BID</t>
        </is>
      </c>
      <c r="GB3" s="5" t="inlineStr">
        <is>
          <t>IVOL_ASK</t>
        </is>
      </c>
      <c r="GC3" s="5" t="inlineStr">
        <is>
          <t>DELTA_MID</t>
        </is>
      </c>
      <c r="GD3" s="5" t="inlineStr">
        <is>
          <t>GAMMA_MID</t>
        </is>
      </c>
      <c r="GE3" s="5" t="inlineStr">
        <is>
          <t>VEGA_MID</t>
        </is>
      </c>
      <c r="GF3" s="5" t="inlineStr">
        <is>
          <t>THETA_MID</t>
        </is>
      </c>
      <c r="GG3" s="5" t="inlineStr">
        <is>
          <t>OPT_UNDL_PX</t>
        </is>
      </c>
      <c r="GI3" s="5" t="inlineStr">
        <is>
          <t>Date</t>
        </is>
      </c>
      <c r="GJ3" s="5" t="inlineStr">
        <is>
          <t>PX_BID</t>
        </is>
      </c>
      <c r="GK3" s="5" t="inlineStr">
        <is>
          <t>PX_ASK</t>
        </is>
      </c>
      <c r="GL3" s="5" t="inlineStr">
        <is>
          <t>PX_MID</t>
        </is>
      </c>
      <c r="GM3" s="5" t="inlineStr">
        <is>
          <t>PX_LAST</t>
        </is>
      </c>
      <c r="GN3" s="5" t="inlineStr">
        <is>
          <t>PX_SETTLE</t>
        </is>
      </c>
      <c r="GO3" s="5" t="inlineStr">
        <is>
          <t>PX_VOLUME</t>
        </is>
      </c>
      <c r="GP3" s="5" t="inlineStr">
        <is>
          <t>OPEN_INT</t>
        </is>
      </c>
      <c r="GQ3" s="5" t="inlineStr">
        <is>
          <t>IVOL_MID</t>
        </is>
      </c>
      <c r="GR3" s="5" t="inlineStr">
        <is>
          <t>IVOL_BID</t>
        </is>
      </c>
      <c r="GS3" s="5" t="inlineStr">
        <is>
          <t>IVOL_ASK</t>
        </is>
      </c>
      <c r="GT3" s="5" t="inlineStr">
        <is>
          <t>DELTA_MID</t>
        </is>
      </c>
      <c r="GU3" s="5" t="inlineStr">
        <is>
          <t>GAMMA_MID</t>
        </is>
      </c>
      <c r="GV3" s="5" t="inlineStr">
        <is>
          <t>VEGA_MID</t>
        </is>
      </c>
      <c r="GW3" s="5" t="inlineStr">
        <is>
          <t>THETA_MID</t>
        </is>
      </c>
      <c r="GX3" s="5" t="inlineStr">
        <is>
          <t>OPT_UNDL_PX</t>
        </is>
      </c>
      <c r="GZ3" s="5" t="inlineStr">
        <is>
          <t>Date</t>
        </is>
      </c>
      <c r="HA3" s="5" t="inlineStr">
        <is>
          <t>PX_BID</t>
        </is>
      </c>
      <c r="HB3" s="5" t="inlineStr">
        <is>
          <t>PX_ASK</t>
        </is>
      </c>
      <c r="HC3" s="5" t="inlineStr">
        <is>
          <t>PX_MID</t>
        </is>
      </c>
      <c r="HD3" s="5" t="inlineStr">
        <is>
          <t>PX_LAST</t>
        </is>
      </c>
      <c r="HE3" s="5" t="inlineStr">
        <is>
          <t>PX_SETTLE</t>
        </is>
      </c>
      <c r="HF3" s="5" t="inlineStr">
        <is>
          <t>PX_VOLUME</t>
        </is>
      </c>
      <c r="HG3" s="5" t="inlineStr">
        <is>
          <t>OPEN_INT</t>
        </is>
      </c>
      <c r="HH3" s="5" t="inlineStr">
        <is>
          <t>IVOL_MID</t>
        </is>
      </c>
      <c r="HI3" s="5" t="inlineStr">
        <is>
          <t>IVOL_BID</t>
        </is>
      </c>
      <c r="HJ3" s="5" t="inlineStr">
        <is>
          <t>IVOL_ASK</t>
        </is>
      </c>
      <c r="HK3" s="5" t="inlineStr">
        <is>
          <t>DELTA_MID</t>
        </is>
      </c>
      <c r="HL3" s="5" t="inlineStr">
        <is>
          <t>GAMMA_MID</t>
        </is>
      </c>
      <c r="HM3" s="5" t="inlineStr">
        <is>
          <t>VEGA_MID</t>
        </is>
      </c>
      <c r="HN3" s="5" t="inlineStr">
        <is>
          <t>THETA_MID</t>
        </is>
      </c>
      <c r="HO3" s="5" t="inlineStr">
        <is>
          <t>OPT_UNDL_PX</t>
        </is>
      </c>
      <c r="HQ3" s="5" t="inlineStr">
        <is>
          <t>Date</t>
        </is>
      </c>
      <c r="HR3" s="5" t="inlineStr">
        <is>
          <t>PX_BID</t>
        </is>
      </c>
      <c r="HS3" s="5" t="inlineStr">
        <is>
          <t>PX_ASK</t>
        </is>
      </c>
      <c r="HT3" s="5" t="inlineStr">
        <is>
          <t>PX_MID</t>
        </is>
      </c>
      <c r="HU3" s="5" t="inlineStr">
        <is>
          <t>PX_LAST</t>
        </is>
      </c>
      <c r="HV3" s="5" t="inlineStr">
        <is>
          <t>PX_SETTLE</t>
        </is>
      </c>
      <c r="HW3" s="5" t="inlineStr">
        <is>
          <t>PX_VOLUME</t>
        </is>
      </c>
      <c r="HX3" s="5" t="inlineStr">
        <is>
          <t>OPEN_INT</t>
        </is>
      </c>
      <c r="HY3" s="5" t="inlineStr">
        <is>
          <t>IVOL_MID</t>
        </is>
      </c>
      <c r="HZ3" s="5" t="inlineStr">
        <is>
          <t>IVOL_BID</t>
        </is>
      </c>
      <c r="IA3" s="5" t="inlineStr">
        <is>
          <t>IVOL_ASK</t>
        </is>
      </c>
      <c r="IB3" s="5" t="inlineStr">
        <is>
          <t>DELTA_MID</t>
        </is>
      </c>
      <c r="IC3" s="5" t="inlineStr">
        <is>
          <t>GAMMA_MID</t>
        </is>
      </c>
      <c r="ID3" s="5" t="inlineStr">
        <is>
          <t>VEGA_MID</t>
        </is>
      </c>
      <c r="IE3" s="5" t="inlineStr">
        <is>
          <t>THETA_MID</t>
        </is>
      </c>
      <c r="IF3" s="5" t="inlineStr">
        <is>
          <t>OPT_UNDL_PX</t>
        </is>
      </c>
      <c r="IH3" s="5" t="inlineStr">
        <is>
          <t>Date</t>
        </is>
      </c>
      <c r="II3" s="5" t="inlineStr">
        <is>
          <t>PX_BID</t>
        </is>
      </c>
      <c r="IJ3" s="5" t="inlineStr">
        <is>
          <t>PX_ASK</t>
        </is>
      </c>
      <c r="IK3" s="5" t="inlineStr">
        <is>
          <t>PX_MID</t>
        </is>
      </c>
      <c r="IL3" s="5" t="inlineStr">
        <is>
          <t>PX_LAST</t>
        </is>
      </c>
      <c r="IM3" s="5" t="inlineStr">
        <is>
          <t>PX_SETTLE</t>
        </is>
      </c>
      <c r="IN3" s="5" t="inlineStr">
        <is>
          <t>PX_VOLUME</t>
        </is>
      </c>
      <c r="IO3" s="5" t="inlineStr">
        <is>
          <t>OPEN_INT</t>
        </is>
      </c>
      <c r="IP3" s="5" t="inlineStr">
        <is>
          <t>IVOL_MID</t>
        </is>
      </c>
      <c r="IQ3" s="5" t="inlineStr">
        <is>
          <t>IVOL_BID</t>
        </is>
      </c>
      <c r="IR3" s="5" t="inlineStr">
        <is>
          <t>IVOL_ASK</t>
        </is>
      </c>
      <c r="IS3" s="5" t="inlineStr">
        <is>
          <t>DELTA_MID</t>
        </is>
      </c>
      <c r="IT3" s="5" t="inlineStr">
        <is>
          <t>GAMMA_MID</t>
        </is>
      </c>
      <c r="IU3" s="5" t="inlineStr">
        <is>
          <t>VEGA_MID</t>
        </is>
      </c>
      <c r="IV3" s="5" t="inlineStr">
        <is>
          <t>THETA_MID</t>
        </is>
      </c>
      <c r="IW3" s="5" t="inlineStr">
        <is>
          <t>OPT_UNDL_PX</t>
        </is>
      </c>
      <c r="IY3" s="5" t="inlineStr">
        <is>
          <t>Date</t>
        </is>
      </c>
      <c r="IZ3" s="5" t="inlineStr">
        <is>
          <t>PX_BID</t>
        </is>
      </c>
      <c r="JA3" s="5" t="inlineStr">
        <is>
          <t>PX_ASK</t>
        </is>
      </c>
      <c r="JB3" s="5" t="inlineStr">
        <is>
          <t>PX_MID</t>
        </is>
      </c>
      <c r="JC3" s="5" t="inlineStr">
        <is>
          <t>PX_LAST</t>
        </is>
      </c>
      <c r="JD3" s="5" t="inlineStr">
        <is>
          <t>PX_SETTLE</t>
        </is>
      </c>
      <c r="JE3" s="5" t="inlineStr">
        <is>
          <t>PX_VOLUME</t>
        </is>
      </c>
      <c r="JF3" s="5" t="inlineStr">
        <is>
          <t>OPEN_INT</t>
        </is>
      </c>
      <c r="JG3" s="5" t="inlineStr">
        <is>
          <t>IVOL_MID</t>
        </is>
      </c>
      <c r="JH3" s="5" t="inlineStr">
        <is>
          <t>IVOL_BID</t>
        </is>
      </c>
      <c r="JI3" s="5" t="inlineStr">
        <is>
          <t>IVOL_ASK</t>
        </is>
      </c>
      <c r="JJ3" s="5" t="inlineStr">
        <is>
          <t>DELTA_MID</t>
        </is>
      </c>
      <c r="JK3" s="5" t="inlineStr">
        <is>
          <t>GAMMA_MID</t>
        </is>
      </c>
      <c r="JL3" s="5" t="inlineStr">
        <is>
          <t>VEGA_MID</t>
        </is>
      </c>
      <c r="JM3" s="5" t="inlineStr">
        <is>
          <t>THETA_MID</t>
        </is>
      </c>
      <c r="JN3" s="5" t="inlineStr">
        <is>
          <t>OPT_UNDL_PX</t>
        </is>
      </c>
      <c r="JP3" s="5" t="inlineStr">
        <is>
          <t>Date</t>
        </is>
      </c>
      <c r="JQ3" s="5" t="inlineStr">
        <is>
          <t>PX_BID</t>
        </is>
      </c>
      <c r="JR3" s="5" t="inlineStr">
        <is>
          <t>PX_ASK</t>
        </is>
      </c>
      <c r="JS3" s="5" t="inlineStr">
        <is>
          <t>PX_MID</t>
        </is>
      </c>
      <c r="JT3" s="5" t="inlineStr">
        <is>
          <t>PX_LAST</t>
        </is>
      </c>
      <c r="JU3" s="5" t="inlineStr">
        <is>
          <t>PX_SETTLE</t>
        </is>
      </c>
      <c r="JV3" s="5" t="inlineStr">
        <is>
          <t>PX_VOLUME</t>
        </is>
      </c>
      <c r="JW3" s="5" t="inlineStr">
        <is>
          <t>OPEN_INT</t>
        </is>
      </c>
      <c r="JX3" s="5" t="inlineStr">
        <is>
          <t>IVOL_MID</t>
        </is>
      </c>
      <c r="JY3" s="5" t="inlineStr">
        <is>
          <t>IVOL_BID</t>
        </is>
      </c>
      <c r="JZ3" s="5" t="inlineStr">
        <is>
          <t>IVOL_ASK</t>
        </is>
      </c>
      <c r="KA3" s="5" t="inlineStr">
        <is>
          <t>DELTA_MID</t>
        </is>
      </c>
      <c r="KB3" s="5" t="inlineStr">
        <is>
          <t>GAMMA_MID</t>
        </is>
      </c>
      <c r="KC3" s="5" t="inlineStr">
        <is>
          <t>VEGA_MID</t>
        </is>
      </c>
      <c r="KD3" s="5" t="inlineStr">
        <is>
          <t>THETA_MID</t>
        </is>
      </c>
      <c r="KE3" s="5" t="inlineStr">
        <is>
          <t>OPT_UNDL_PX</t>
        </is>
      </c>
      <c r="KG3" s="5" t="inlineStr">
        <is>
          <t>Date</t>
        </is>
      </c>
      <c r="KH3" s="5" t="inlineStr">
        <is>
          <t>PX_BID</t>
        </is>
      </c>
      <c r="KI3" s="5" t="inlineStr">
        <is>
          <t>PX_ASK</t>
        </is>
      </c>
      <c r="KJ3" s="5" t="inlineStr">
        <is>
          <t>PX_MID</t>
        </is>
      </c>
      <c r="KK3" s="5" t="inlineStr">
        <is>
          <t>PX_LAST</t>
        </is>
      </c>
      <c r="KL3" s="5" t="inlineStr">
        <is>
          <t>PX_SETTLE</t>
        </is>
      </c>
      <c r="KM3" s="5" t="inlineStr">
        <is>
          <t>PX_VOLUME</t>
        </is>
      </c>
      <c r="KN3" s="5" t="inlineStr">
        <is>
          <t>OPEN_INT</t>
        </is>
      </c>
      <c r="KO3" s="5" t="inlineStr">
        <is>
          <t>IVOL_MID</t>
        </is>
      </c>
      <c r="KP3" s="5" t="inlineStr">
        <is>
          <t>IVOL_BID</t>
        </is>
      </c>
      <c r="KQ3" s="5" t="inlineStr">
        <is>
          <t>IVOL_ASK</t>
        </is>
      </c>
      <c r="KR3" s="5" t="inlineStr">
        <is>
          <t>DELTA_MID</t>
        </is>
      </c>
      <c r="KS3" s="5" t="inlineStr">
        <is>
          <t>GAMMA_MID</t>
        </is>
      </c>
      <c r="KT3" s="5" t="inlineStr">
        <is>
          <t>VEGA_MID</t>
        </is>
      </c>
      <c r="KU3" s="5" t="inlineStr">
        <is>
          <t>THETA_MID</t>
        </is>
      </c>
      <c r="KV3" s="5" t="inlineStr">
        <is>
          <t>OPT_UNDL_PX</t>
        </is>
      </c>
      <c r="KX3" s="5" t="inlineStr">
        <is>
          <t>Date</t>
        </is>
      </c>
      <c r="KY3" s="5" t="inlineStr">
        <is>
          <t>PX_BID</t>
        </is>
      </c>
      <c r="KZ3" s="5" t="inlineStr">
        <is>
          <t>PX_ASK</t>
        </is>
      </c>
      <c r="LA3" s="5" t="inlineStr">
        <is>
          <t>PX_MID</t>
        </is>
      </c>
      <c r="LB3" s="5" t="inlineStr">
        <is>
          <t>PX_LAST</t>
        </is>
      </c>
      <c r="LC3" s="5" t="inlineStr">
        <is>
          <t>PX_SETTLE</t>
        </is>
      </c>
      <c r="LD3" s="5" t="inlineStr">
        <is>
          <t>PX_VOLUME</t>
        </is>
      </c>
      <c r="LE3" s="5" t="inlineStr">
        <is>
          <t>OPEN_INT</t>
        </is>
      </c>
      <c r="LF3" s="5" t="inlineStr">
        <is>
          <t>IVOL_MID</t>
        </is>
      </c>
      <c r="LG3" s="5" t="inlineStr">
        <is>
          <t>IVOL_BID</t>
        </is>
      </c>
      <c r="LH3" s="5" t="inlineStr">
        <is>
          <t>IVOL_ASK</t>
        </is>
      </c>
      <c r="LI3" s="5" t="inlineStr">
        <is>
          <t>DELTA_MID</t>
        </is>
      </c>
      <c r="LJ3" s="5" t="inlineStr">
        <is>
          <t>GAMMA_MID</t>
        </is>
      </c>
      <c r="LK3" s="5" t="inlineStr">
        <is>
          <t>VEGA_MID</t>
        </is>
      </c>
      <c r="LL3" s="5" t="inlineStr">
        <is>
          <t>THETA_MID</t>
        </is>
      </c>
      <c r="LM3" s="5" t="inlineStr">
        <is>
          <t>OPT_UNDL_PX</t>
        </is>
      </c>
      <c r="LO3" s="5" t="inlineStr">
        <is>
          <t>Date</t>
        </is>
      </c>
      <c r="LP3" s="5" t="inlineStr">
        <is>
          <t>PX_BID</t>
        </is>
      </c>
      <c r="LQ3" s="5" t="inlineStr">
        <is>
          <t>PX_ASK</t>
        </is>
      </c>
      <c r="LR3" s="5" t="inlineStr">
        <is>
          <t>PX_MID</t>
        </is>
      </c>
      <c r="LS3" s="5" t="inlineStr">
        <is>
          <t>PX_LAST</t>
        </is>
      </c>
      <c r="LT3" s="5" t="inlineStr">
        <is>
          <t>PX_SETTLE</t>
        </is>
      </c>
      <c r="LU3" s="5" t="inlineStr">
        <is>
          <t>PX_VOLUME</t>
        </is>
      </c>
      <c r="LV3" s="5" t="inlineStr">
        <is>
          <t>OPEN_INT</t>
        </is>
      </c>
      <c r="LW3" s="5" t="inlineStr">
        <is>
          <t>IVOL_MID</t>
        </is>
      </c>
      <c r="LX3" s="5" t="inlineStr">
        <is>
          <t>IVOL_BID</t>
        </is>
      </c>
      <c r="LY3" s="5" t="inlineStr">
        <is>
          <t>IVOL_ASK</t>
        </is>
      </c>
      <c r="LZ3" s="5" t="inlineStr">
        <is>
          <t>DELTA_MID</t>
        </is>
      </c>
      <c r="MA3" s="5" t="inlineStr">
        <is>
          <t>GAMMA_MID</t>
        </is>
      </c>
      <c r="MB3" s="5" t="inlineStr">
        <is>
          <t>VEGA_MID</t>
        </is>
      </c>
      <c r="MC3" s="5" t="inlineStr">
        <is>
          <t>THETA_MID</t>
        </is>
      </c>
      <c r="MD3" s="5" t="inlineStr">
        <is>
          <t>OPT_UNDL_PX</t>
        </is>
      </c>
      <c r="MF3" s="5" t="inlineStr">
        <is>
          <t>Date</t>
        </is>
      </c>
      <c r="MG3" s="5" t="inlineStr">
        <is>
          <t>PX_BID</t>
        </is>
      </c>
      <c r="MH3" s="5" t="inlineStr">
        <is>
          <t>PX_ASK</t>
        </is>
      </c>
      <c r="MI3" s="5" t="inlineStr">
        <is>
          <t>PX_MID</t>
        </is>
      </c>
      <c r="MJ3" s="5" t="inlineStr">
        <is>
          <t>PX_LAST</t>
        </is>
      </c>
      <c r="MK3" s="5" t="inlineStr">
        <is>
          <t>PX_SETTLE</t>
        </is>
      </c>
      <c r="ML3" s="5" t="inlineStr">
        <is>
          <t>PX_VOLUME</t>
        </is>
      </c>
      <c r="MM3" s="5" t="inlineStr">
        <is>
          <t>OPEN_INT</t>
        </is>
      </c>
      <c r="MN3" s="5" t="inlineStr">
        <is>
          <t>IVOL_MID</t>
        </is>
      </c>
      <c r="MO3" s="5" t="inlineStr">
        <is>
          <t>IVOL_BID</t>
        </is>
      </c>
      <c r="MP3" s="5" t="inlineStr">
        <is>
          <t>IVOL_ASK</t>
        </is>
      </c>
      <c r="MQ3" s="5" t="inlineStr">
        <is>
          <t>DELTA_MID</t>
        </is>
      </c>
      <c r="MR3" s="5" t="inlineStr">
        <is>
          <t>GAMMA_MID</t>
        </is>
      </c>
      <c r="MS3" s="5" t="inlineStr">
        <is>
          <t>VEGA_MID</t>
        </is>
      </c>
      <c r="MT3" s="5" t="inlineStr">
        <is>
          <t>THETA_MID</t>
        </is>
      </c>
      <c r="MU3" s="5" t="inlineStr">
        <is>
          <t>OPT_UNDL_PX</t>
        </is>
      </c>
      <c r="MW3" s="5" t="inlineStr">
        <is>
          <t>Date</t>
        </is>
      </c>
      <c r="MX3" s="5" t="inlineStr">
        <is>
          <t>PX_BID</t>
        </is>
      </c>
      <c r="MY3" s="5" t="inlineStr">
        <is>
          <t>PX_ASK</t>
        </is>
      </c>
      <c r="MZ3" s="5" t="inlineStr">
        <is>
          <t>PX_MID</t>
        </is>
      </c>
      <c r="NA3" s="5" t="inlineStr">
        <is>
          <t>PX_LAST</t>
        </is>
      </c>
      <c r="NB3" s="5" t="inlineStr">
        <is>
          <t>PX_SETTLE</t>
        </is>
      </c>
      <c r="NC3" s="5" t="inlineStr">
        <is>
          <t>PX_VOLUME</t>
        </is>
      </c>
      <c r="ND3" s="5" t="inlineStr">
        <is>
          <t>OPEN_INT</t>
        </is>
      </c>
      <c r="NE3" s="5" t="inlineStr">
        <is>
          <t>IVOL_MID</t>
        </is>
      </c>
      <c r="NF3" s="5" t="inlineStr">
        <is>
          <t>IVOL_BID</t>
        </is>
      </c>
      <c r="NG3" s="5" t="inlineStr">
        <is>
          <t>IVOL_ASK</t>
        </is>
      </c>
      <c r="NH3" s="5" t="inlineStr">
        <is>
          <t>DELTA_MID</t>
        </is>
      </c>
      <c r="NI3" s="5" t="inlineStr">
        <is>
          <t>GAMMA_MID</t>
        </is>
      </c>
      <c r="NJ3" s="5" t="inlineStr">
        <is>
          <t>VEGA_MID</t>
        </is>
      </c>
      <c r="NK3" s="5" t="inlineStr">
        <is>
          <t>THETA_MID</t>
        </is>
      </c>
      <c r="NL3" s="5" t="inlineStr">
        <is>
          <t>OPT_UNDL_PX</t>
        </is>
      </c>
    </row>
    <row r="4">
      <c r="A4" s="2" t="inlineStr">
        <is>
          <t>Strike reference date</t>
        </is>
      </c>
      <c r="B4" s="8">
        <f>B3-45</f>
        <v/>
      </c>
      <c r="D4" s="4">
        <f>BDH(D$1,E$3:S$3,$B$8,$B$9,"Dir=V","Dts=S","Sort=A","Days=T","Fill=B")</f>
        <v/>
      </c>
      <c r="U4" s="4">
        <f>BDH(U$1,V$3:AJ$3,$B$8,$B$9,"Dir=V","Dts=S","Sort=A","Days=T","Fill=B")</f>
        <v/>
      </c>
      <c r="AL4" s="4">
        <f>BDH(AL$1,AM$3:BA$3,$B$8,$B$9,"Dir=V","Dts=S","Sort=A","Days=T","Fill=B")</f>
        <v/>
      </c>
      <c r="BC4" s="4">
        <f>BDH(BC$1,BD$3:BR$3,$B$8,$B$9,"Dir=V","Dts=S","Sort=A","Days=T","Fill=B")</f>
        <v/>
      </c>
      <c r="BT4" s="4">
        <f>BDH(BT$1,BU$3:CI$3,$B$8,$B$9,"Dir=V","Dts=S","Sort=A","Days=T","Fill=B")</f>
        <v/>
      </c>
      <c r="CK4" s="4">
        <f>BDH(CK$1,CL$3:CZ$3,$B$8,$B$9,"Dir=V","Dts=S","Sort=A","Days=T","Fill=B")</f>
        <v/>
      </c>
      <c r="DB4" s="4">
        <f>BDH(DB$1,DC$3:DQ$3,$B$8,$B$9,"Dir=V","Dts=S","Sort=A","Days=T","Fill=B")</f>
        <v/>
      </c>
      <c r="DS4" s="4">
        <f>BDH(DS$1,DT$3:EH$3,$B$8,$B$9,"Dir=V","Dts=S","Sort=A","Days=T","Fill=B")</f>
        <v/>
      </c>
      <c r="EJ4" s="4">
        <f>BDH(EJ$1,EK$3:EY$3,$B$8,$B$9,"Dir=V","Dts=S","Sort=A","Days=T","Fill=B")</f>
        <v/>
      </c>
      <c r="FA4" s="4">
        <f>BDH(FA$1,FB$3:FP$3,$B$8,$B$9,"Dir=V","Dts=S","Sort=A","Days=T","Fill=B")</f>
        <v/>
      </c>
      <c r="FR4" s="4">
        <f>BDH(FR$1,FS$3:GG$3,$B$8,$B$9,"Dir=V","Dts=S","Sort=A","Days=T","Fill=B")</f>
        <v/>
      </c>
      <c r="GI4" s="4">
        <f>BDH(GI$1,GJ$3:GX$3,$B$8,$B$9,"Dir=V","Dts=S","Sort=A","Days=T","Fill=B")</f>
        <v/>
      </c>
      <c r="GZ4" s="4">
        <f>BDH(GZ$1,HA$3:HO$3,$B$8,$B$9,"Dir=V","Dts=S","Sort=A","Days=T","Fill=B")</f>
        <v/>
      </c>
      <c r="HQ4" s="4">
        <f>BDH(HQ$1,HR$3:IF$3,$B$8,$B$9,"Dir=V","Dts=S","Sort=A","Days=T","Fill=B")</f>
        <v/>
      </c>
      <c r="IH4" s="4">
        <f>BDH(IH$1,II$3:IW$3,$B$8,$B$9,"Dir=V","Dts=S","Sort=A","Days=T","Fill=B")</f>
        <v/>
      </c>
      <c r="IY4" s="4">
        <f>BDH(IY$1,IZ$3:JN$3,$B$8,$B$9,"Dir=V","Dts=S","Sort=A","Days=T","Fill=B")</f>
        <v/>
      </c>
      <c r="JP4" s="4">
        <f>BDH(JP$1,JQ$3:KE$3,$B$8,$B$9,"Dir=V","Dts=S","Sort=A","Days=T","Fill=B")</f>
        <v/>
      </c>
      <c r="KG4" s="4">
        <f>BDH(KG$1,KH$3:KV$3,$B$8,$B$9,"Dir=V","Dts=S","Sort=A","Days=T","Fill=B")</f>
        <v/>
      </c>
      <c r="KX4" s="4">
        <f>BDH(KX$1,KY$3:LM$3,$B$8,$B$9,"Dir=V","Dts=S","Sort=A","Days=T","Fill=B")</f>
        <v/>
      </c>
      <c r="LO4" s="4">
        <f>BDH(LO$1,LP$3:MD$3,$B$8,$B$9,"Dir=V","Dts=S","Sort=A","Days=T","Fill=B")</f>
        <v/>
      </c>
      <c r="MF4" s="4">
        <f>BDH(MF$1,MG$3:MU$3,$B$8,$B$9,"Dir=V","Dts=S","Sort=A","Days=T","Fill=B")</f>
        <v/>
      </c>
      <c r="MW4" s="4">
        <f>BDH(MW$1,MX$3:NL$3,$B$8,$B$9,"Dir=V","Dts=S","Sort=A","Days=T","Fill=B")</f>
        <v/>
      </c>
    </row>
    <row r="5">
      <c r="A5" s="2" t="inlineStr">
        <is>
          <t>Unadjusted close then</t>
        </is>
      </c>
      <c r="B5" s="10">
        <f>IF(B2="","",BDH(B2,"PX_LAST",B4,B4,"Days=A","Fill=P","Dts=H","CshAdjNormal=N","CshAdjAbnormal=N","CapChg=N"))</f>
        <v/>
      </c>
    </row>
    <row r="6">
      <c r="A6" s="2" t="inlineStr">
        <is>
          <t>Strike step</t>
        </is>
      </c>
      <c r="B6" s="11">
        <f>IF(ISNUMBER(B5),IF(B5&lt;25,0.5,IF(B5&lt;250,1,5)),"")</f>
        <v/>
      </c>
    </row>
    <row r="7">
      <c r="A7" s="2" t="inlineStr">
        <is>
          <t>ATM strike</t>
        </is>
      </c>
      <c r="B7" s="11">
        <f>IF(ISNUMBER(B5),ROUND(B5/B6,0)*B6,"")</f>
        <v/>
      </c>
    </row>
    <row r="8">
      <c r="A8" s="2" t="inlineStr">
        <is>
          <t>History start</t>
        </is>
      </c>
      <c r="B8" s="8">
        <f>B3-100</f>
        <v/>
      </c>
    </row>
    <row r="9">
      <c r="A9" s="2" t="inlineStr">
        <is>
          <t>History end</t>
        </is>
      </c>
      <c r="B9" s="8">
        <f>B3</f>
        <v/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NL9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2" customWidth="1" min="2" max="2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1" customWidth="1" min="15" max="15"/>
    <col width="11" customWidth="1" min="16" max="16"/>
    <col width="10" customWidth="1" min="17" max="17"/>
    <col width="11" customWidth="1" min="18" max="18"/>
    <col width="13" customWidth="1" min="19" max="19"/>
    <col width="12" customWidth="1" min="21" max="21"/>
    <col width="10" customWidth="1" min="22" max="22"/>
    <col width="10" customWidth="1" min="23" max="23"/>
    <col width="10" customWidth="1" min="24" max="24"/>
    <col width="10" customWidth="1" min="25" max="25"/>
    <col width="11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1" customWidth="1" min="32" max="32"/>
    <col width="11" customWidth="1" min="33" max="33"/>
    <col width="10" customWidth="1" min="34" max="34"/>
    <col width="11" customWidth="1" min="35" max="35"/>
    <col width="13" customWidth="1" min="36" max="36"/>
    <col width="12" customWidth="1" min="38" max="38"/>
    <col width="10" customWidth="1" min="39" max="39"/>
    <col width="10" customWidth="1" min="40" max="40"/>
    <col width="10" customWidth="1" min="41" max="41"/>
    <col width="10" customWidth="1" min="42" max="42"/>
    <col width="11" customWidth="1" min="43" max="43"/>
    <col width="11" customWidth="1" min="44" max="44"/>
    <col width="10" customWidth="1" min="45" max="45"/>
    <col width="10" customWidth="1" min="46" max="46"/>
    <col width="10" customWidth="1" min="47" max="47"/>
    <col width="10" customWidth="1" min="48" max="48"/>
    <col width="11" customWidth="1" min="49" max="49"/>
    <col width="11" customWidth="1" min="50" max="50"/>
    <col width="10" customWidth="1" min="51" max="51"/>
    <col width="11" customWidth="1" min="52" max="52"/>
    <col width="13" customWidth="1" min="53" max="53"/>
    <col width="12" customWidth="1" min="55" max="55"/>
    <col width="10" customWidth="1" min="56" max="56"/>
    <col width="10" customWidth="1" min="57" max="57"/>
    <col width="10" customWidth="1" min="58" max="58"/>
    <col width="10" customWidth="1" min="59" max="59"/>
    <col width="11" customWidth="1" min="60" max="60"/>
    <col width="11" customWidth="1" min="61" max="61"/>
    <col width="10" customWidth="1" min="62" max="62"/>
    <col width="10" customWidth="1" min="63" max="63"/>
    <col width="10" customWidth="1" min="64" max="64"/>
    <col width="10" customWidth="1" min="65" max="65"/>
    <col width="11" customWidth="1" min="66" max="66"/>
    <col width="11" customWidth="1" min="67" max="67"/>
    <col width="10" customWidth="1" min="68" max="68"/>
    <col width="11" customWidth="1" min="69" max="69"/>
    <col width="13" customWidth="1" min="70" max="70"/>
    <col width="12" customWidth="1" min="72" max="72"/>
    <col width="10" customWidth="1" min="73" max="73"/>
    <col width="10" customWidth="1" min="74" max="74"/>
    <col width="10" customWidth="1" min="75" max="75"/>
    <col width="10" customWidth="1" min="76" max="76"/>
    <col width="11" customWidth="1" min="77" max="77"/>
    <col width="11" customWidth="1" min="78" max="78"/>
    <col width="10" customWidth="1" min="79" max="79"/>
    <col width="10" customWidth="1" min="80" max="80"/>
    <col width="10" customWidth="1" min="81" max="81"/>
    <col width="10" customWidth="1" min="82" max="82"/>
    <col width="11" customWidth="1" min="83" max="83"/>
    <col width="11" customWidth="1" min="84" max="84"/>
    <col width="10" customWidth="1" min="85" max="85"/>
    <col width="11" customWidth="1" min="86" max="86"/>
    <col width="13" customWidth="1" min="87" max="87"/>
    <col width="12" customWidth="1" min="89" max="89"/>
    <col width="10" customWidth="1" min="90" max="90"/>
    <col width="10" customWidth="1" min="91" max="91"/>
    <col width="10" customWidth="1" min="92" max="92"/>
    <col width="10" customWidth="1" min="93" max="93"/>
    <col width="11" customWidth="1" min="94" max="94"/>
    <col width="11" customWidth="1" min="95" max="95"/>
    <col width="10" customWidth="1" min="96" max="96"/>
    <col width="10" customWidth="1" min="97" max="97"/>
    <col width="10" customWidth="1" min="98" max="98"/>
    <col width="10" customWidth="1" min="99" max="99"/>
    <col width="11" customWidth="1" min="100" max="100"/>
    <col width="11" customWidth="1" min="101" max="101"/>
    <col width="10" customWidth="1" min="102" max="102"/>
    <col width="11" customWidth="1" min="103" max="103"/>
    <col width="13" customWidth="1" min="104" max="104"/>
    <col width="12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1" customWidth="1" min="111" max="111"/>
    <col width="11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1" customWidth="1" min="117" max="117"/>
    <col width="11" customWidth="1" min="118" max="118"/>
    <col width="10" customWidth="1" min="119" max="119"/>
    <col width="11" customWidth="1" min="120" max="120"/>
    <col width="13" customWidth="1" min="121" max="121"/>
    <col width="12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1" customWidth="1" min="128" max="128"/>
    <col width="11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1" customWidth="1" min="134" max="134"/>
    <col width="11" customWidth="1" min="135" max="135"/>
    <col width="10" customWidth="1" min="136" max="136"/>
    <col width="11" customWidth="1" min="137" max="137"/>
    <col width="13" customWidth="1" min="138" max="138"/>
    <col width="12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1" customWidth="1" min="145" max="145"/>
    <col width="11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1" customWidth="1" min="151" max="151"/>
    <col width="11" customWidth="1" min="152" max="152"/>
    <col width="10" customWidth="1" min="153" max="153"/>
    <col width="11" customWidth="1" min="154" max="154"/>
    <col width="13" customWidth="1" min="155" max="155"/>
    <col width="12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1" customWidth="1" min="162" max="162"/>
    <col width="11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1" customWidth="1" min="168" max="168"/>
    <col width="11" customWidth="1" min="169" max="169"/>
    <col width="10" customWidth="1" min="170" max="170"/>
    <col width="11" customWidth="1" min="171" max="171"/>
    <col width="13" customWidth="1" min="172" max="172"/>
    <col width="12" customWidth="1" min="174" max="174"/>
    <col width="10" customWidth="1" min="175" max="175"/>
    <col width="10" customWidth="1" min="176" max="176"/>
    <col width="10" customWidth="1" min="177" max="177"/>
    <col width="10" customWidth="1" min="178" max="178"/>
    <col width="11" customWidth="1" min="179" max="179"/>
    <col width="11" customWidth="1" min="180" max="180"/>
    <col width="10" customWidth="1" min="181" max="181"/>
    <col width="10" customWidth="1" min="182" max="182"/>
    <col width="10" customWidth="1" min="183" max="183"/>
    <col width="10" customWidth="1" min="184" max="184"/>
    <col width="11" customWidth="1" min="185" max="185"/>
    <col width="11" customWidth="1" min="186" max="186"/>
    <col width="10" customWidth="1" min="187" max="187"/>
    <col width="11" customWidth="1" min="188" max="188"/>
    <col width="13" customWidth="1" min="189" max="189"/>
    <col width="12" customWidth="1" min="191" max="191"/>
    <col width="10" customWidth="1" min="192" max="192"/>
    <col width="10" customWidth="1" min="193" max="193"/>
    <col width="10" customWidth="1" min="194" max="194"/>
    <col width="10" customWidth="1" min="195" max="195"/>
    <col width="11" customWidth="1" min="196" max="196"/>
    <col width="11" customWidth="1" min="197" max="197"/>
    <col width="10" customWidth="1" min="198" max="198"/>
    <col width="10" customWidth="1" min="199" max="199"/>
    <col width="10" customWidth="1" min="200" max="200"/>
    <col width="10" customWidth="1" min="201" max="201"/>
    <col width="11" customWidth="1" min="202" max="202"/>
    <col width="11" customWidth="1" min="203" max="203"/>
    <col width="10" customWidth="1" min="204" max="204"/>
    <col width="11" customWidth="1" min="205" max="205"/>
    <col width="13" customWidth="1" min="206" max="206"/>
    <col width="12" customWidth="1" min="208" max="208"/>
    <col width="10" customWidth="1" min="209" max="209"/>
    <col width="10" customWidth="1" min="210" max="210"/>
    <col width="10" customWidth="1" min="211" max="211"/>
    <col width="10" customWidth="1" min="212" max="212"/>
    <col width="11" customWidth="1" min="213" max="213"/>
    <col width="11" customWidth="1" min="214" max="214"/>
    <col width="10" customWidth="1" min="215" max="215"/>
    <col width="10" customWidth="1" min="216" max="216"/>
    <col width="10" customWidth="1" min="217" max="217"/>
    <col width="10" customWidth="1" min="218" max="218"/>
    <col width="11" customWidth="1" min="219" max="219"/>
    <col width="11" customWidth="1" min="220" max="220"/>
    <col width="10" customWidth="1" min="221" max="221"/>
    <col width="11" customWidth="1" min="222" max="222"/>
    <col width="13" customWidth="1" min="223" max="223"/>
    <col width="12" customWidth="1" min="225" max="225"/>
    <col width="10" customWidth="1" min="226" max="226"/>
    <col width="10" customWidth="1" min="227" max="227"/>
    <col width="10" customWidth="1" min="228" max="228"/>
    <col width="10" customWidth="1" min="229" max="229"/>
    <col width="11" customWidth="1" min="230" max="230"/>
    <col width="11" customWidth="1" min="231" max="231"/>
    <col width="10" customWidth="1" min="232" max="232"/>
    <col width="10" customWidth="1" min="233" max="233"/>
    <col width="10" customWidth="1" min="234" max="234"/>
    <col width="10" customWidth="1" min="235" max="235"/>
    <col width="11" customWidth="1" min="236" max="236"/>
    <col width="11" customWidth="1" min="237" max="237"/>
    <col width="10" customWidth="1" min="238" max="238"/>
    <col width="11" customWidth="1" min="239" max="239"/>
    <col width="13" customWidth="1" min="240" max="240"/>
    <col width="12" customWidth="1" min="242" max="242"/>
    <col width="10" customWidth="1" min="243" max="243"/>
    <col width="10" customWidth="1" min="244" max="244"/>
    <col width="10" customWidth="1" min="245" max="245"/>
    <col width="10" customWidth="1" min="246" max="246"/>
    <col width="11" customWidth="1" min="247" max="247"/>
    <col width="11" customWidth="1" min="248" max="248"/>
    <col width="10" customWidth="1" min="249" max="249"/>
    <col width="10" customWidth="1" min="250" max="250"/>
    <col width="10" customWidth="1" min="251" max="251"/>
    <col width="10" customWidth="1" min="252" max="252"/>
    <col width="11" customWidth="1" min="253" max="253"/>
    <col width="11" customWidth="1" min="254" max="254"/>
    <col width="10" customWidth="1" min="255" max="255"/>
    <col width="11" customWidth="1" min="256" max="256"/>
    <col width="13" customWidth="1" min="257" max="257"/>
    <col width="12" customWidth="1" min="259" max="259"/>
    <col width="10" customWidth="1" min="260" max="260"/>
    <col width="10" customWidth="1" min="261" max="261"/>
    <col width="10" customWidth="1" min="262" max="262"/>
    <col width="10" customWidth="1" min="263" max="263"/>
    <col width="11" customWidth="1" min="264" max="264"/>
    <col width="11" customWidth="1" min="265" max="265"/>
    <col width="10" customWidth="1" min="266" max="266"/>
    <col width="10" customWidth="1" min="267" max="267"/>
    <col width="10" customWidth="1" min="268" max="268"/>
    <col width="10" customWidth="1" min="269" max="269"/>
    <col width="11" customWidth="1" min="270" max="270"/>
    <col width="11" customWidth="1" min="271" max="271"/>
    <col width="10" customWidth="1" min="272" max="272"/>
    <col width="11" customWidth="1" min="273" max="273"/>
    <col width="13" customWidth="1" min="274" max="274"/>
    <col width="12" customWidth="1" min="276" max="276"/>
    <col width="10" customWidth="1" min="277" max="277"/>
    <col width="10" customWidth="1" min="278" max="278"/>
    <col width="10" customWidth="1" min="279" max="279"/>
    <col width="10" customWidth="1" min="280" max="280"/>
    <col width="11" customWidth="1" min="281" max="281"/>
    <col width="11" customWidth="1" min="282" max="282"/>
    <col width="10" customWidth="1" min="283" max="283"/>
    <col width="10" customWidth="1" min="284" max="284"/>
    <col width="10" customWidth="1" min="285" max="285"/>
    <col width="10" customWidth="1" min="286" max="286"/>
    <col width="11" customWidth="1" min="287" max="287"/>
    <col width="11" customWidth="1" min="288" max="288"/>
    <col width="10" customWidth="1" min="289" max="289"/>
    <col width="11" customWidth="1" min="290" max="290"/>
    <col width="13" customWidth="1" min="291" max="291"/>
    <col width="12" customWidth="1" min="293" max="293"/>
    <col width="10" customWidth="1" min="294" max="294"/>
    <col width="10" customWidth="1" min="295" max="295"/>
    <col width="10" customWidth="1" min="296" max="296"/>
    <col width="10" customWidth="1" min="297" max="297"/>
    <col width="11" customWidth="1" min="298" max="298"/>
    <col width="11" customWidth="1" min="299" max="299"/>
    <col width="10" customWidth="1" min="300" max="300"/>
    <col width="10" customWidth="1" min="301" max="301"/>
    <col width="10" customWidth="1" min="302" max="302"/>
    <col width="10" customWidth="1" min="303" max="303"/>
    <col width="11" customWidth="1" min="304" max="304"/>
    <col width="11" customWidth="1" min="305" max="305"/>
    <col width="10" customWidth="1" min="306" max="306"/>
    <col width="11" customWidth="1" min="307" max="307"/>
    <col width="13" customWidth="1" min="308" max="308"/>
    <col width="12" customWidth="1" min="310" max="310"/>
    <col width="10" customWidth="1" min="311" max="311"/>
    <col width="10" customWidth="1" min="312" max="312"/>
    <col width="10" customWidth="1" min="313" max="313"/>
    <col width="10" customWidth="1" min="314" max="314"/>
    <col width="11" customWidth="1" min="315" max="315"/>
    <col width="11" customWidth="1" min="316" max="316"/>
    <col width="10" customWidth="1" min="317" max="317"/>
    <col width="10" customWidth="1" min="318" max="318"/>
    <col width="10" customWidth="1" min="319" max="319"/>
    <col width="10" customWidth="1" min="320" max="320"/>
    <col width="11" customWidth="1" min="321" max="321"/>
    <col width="11" customWidth="1" min="322" max="322"/>
    <col width="10" customWidth="1" min="323" max="323"/>
    <col width="11" customWidth="1" min="324" max="324"/>
    <col width="13" customWidth="1" min="325" max="325"/>
    <col width="12" customWidth="1" min="327" max="327"/>
    <col width="10" customWidth="1" min="328" max="328"/>
    <col width="10" customWidth="1" min="329" max="329"/>
    <col width="10" customWidth="1" min="330" max="330"/>
    <col width="10" customWidth="1" min="331" max="331"/>
    <col width="11" customWidth="1" min="332" max="332"/>
    <col width="11" customWidth="1" min="333" max="333"/>
    <col width="10" customWidth="1" min="334" max="334"/>
    <col width="10" customWidth="1" min="335" max="335"/>
    <col width="10" customWidth="1" min="336" max="336"/>
    <col width="10" customWidth="1" min="337" max="337"/>
    <col width="11" customWidth="1" min="338" max="338"/>
    <col width="11" customWidth="1" min="339" max="339"/>
    <col width="10" customWidth="1" min="340" max="340"/>
    <col width="11" customWidth="1" min="341" max="341"/>
    <col width="13" customWidth="1" min="342" max="342"/>
    <col width="12" customWidth="1" min="344" max="344"/>
    <col width="10" customWidth="1" min="345" max="345"/>
    <col width="10" customWidth="1" min="346" max="346"/>
    <col width="10" customWidth="1" min="347" max="347"/>
    <col width="10" customWidth="1" min="348" max="348"/>
    <col width="11" customWidth="1" min="349" max="349"/>
    <col width="11" customWidth="1" min="350" max="350"/>
    <col width="10" customWidth="1" min="351" max="351"/>
    <col width="10" customWidth="1" min="352" max="352"/>
    <col width="10" customWidth="1" min="353" max="353"/>
    <col width="10" customWidth="1" min="354" max="354"/>
    <col width="11" customWidth="1" min="355" max="355"/>
    <col width="11" customWidth="1" min="356" max="356"/>
    <col width="10" customWidth="1" min="357" max="357"/>
    <col width="11" customWidth="1" min="358" max="358"/>
    <col width="13" customWidth="1" min="359" max="359"/>
    <col width="12" customWidth="1" min="361" max="361"/>
    <col width="10" customWidth="1" min="362" max="362"/>
    <col width="10" customWidth="1" min="363" max="363"/>
    <col width="10" customWidth="1" min="364" max="364"/>
    <col width="10" customWidth="1" min="365" max="365"/>
    <col width="11" customWidth="1" min="366" max="366"/>
    <col width="11" customWidth="1" min="367" max="367"/>
    <col width="10" customWidth="1" min="368" max="368"/>
    <col width="10" customWidth="1" min="369" max="369"/>
    <col width="10" customWidth="1" min="370" max="370"/>
    <col width="10" customWidth="1" min="371" max="371"/>
    <col width="11" customWidth="1" min="372" max="372"/>
    <col width="11" customWidth="1" min="373" max="373"/>
    <col width="10" customWidth="1" min="374" max="374"/>
    <col width="11" customWidth="1" min="375" max="375"/>
    <col width="13" customWidth="1" min="376" max="376"/>
  </cols>
  <sheetData>
    <row r="1">
      <c r="A1" s="2" t="inlineStr">
        <is>
          <t>Month</t>
        </is>
      </c>
      <c r="B1" s="9" t="n">
        <v>4</v>
      </c>
      <c r="D1" s="2">
        <f>IF(ISNUMBER(B$7),"USO US "&amp;TEXT(B$3,"mm/dd/yy")&amp;" C"&amp;(B$7-5*B$6)&amp;" Equity","")</f>
        <v/>
      </c>
      <c r="U1" s="2">
        <f>IF(ISNUMBER(B$7),"USO US "&amp;TEXT(B$3,"mm/dd/yy")&amp;" P"&amp;(B$7-5*B$6)&amp;" Equity","")</f>
        <v/>
      </c>
      <c r="AL1" s="2">
        <f>IF(ISNUMBER(B$7),"USO US "&amp;TEXT(B$3,"mm/dd/yy")&amp;" C"&amp;(B$7-4*B$6)&amp;" Equity","")</f>
        <v/>
      </c>
      <c r="BC1" s="2">
        <f>IF(ISNUMBER(B$7),"USO US "&amp;TEXT(B$3,"mm/dd/yy")&amp;" P"&amp;(B$7-4*B$6)&amp;" Equity","")</f>
        <v/>
      </c>
      <c r="BT1" s="2">
        <f>IF(ISNUMBER(B$7),"USO US "&amp;TEXT(B$3,"mm/dd/yy")&amp;" C"&amp;(B$7-3*B$6)&amp;" Equity","")</f>
        <v/>
      </c>
      <c r="CK1" s="2">
        <f>IF(ISNUMBER(B$7),"USO US "&amp;TEXT(B$3,"mm/dd/yy")&amp;" P"&amp;(B$7-3*B$6)&amp;" Equity","")</f>
        <v/>
      </c>
      <c r="DB1" s="2">
        <f>IF(ISNUMBER(B$7),"USO US "&amp;TEXT(B$3,"mm/dd/yy")&amp;" C"&amp;(B$7-2*B$6)&amp;" Equity","")</f>
        <v/>
      </c>
      <c r="DS1" s="2">
        <f>IF(ISNUMBER(B$7),"USO US "&amp;TEXT(B$3,"mm/dd/yy")&amp;" P"&amp;(B$7-2*B$6)&amp;" Equity","")</f>
        <v/>
      </c>
      <c r="EJ1" s="2">
        <f>IF(ISNUMBER(B$7),"USO US "&amp;TEXT(B$3,"mm/dd/yy")&amp;" C"&amp;(B$7-1*B$6)&amp;" Equity","")</f>
        <v/>
      </c>
      <c r="FA1" s="2">
        <f>IF(ISNUMBER(B$7),"USO US "&amp;TEXT(B$3,"mm/dd/yy")&amp;" P"&amp;(B$7-1*B$6)&amp;" Equity","")</f>
        <v/>
      </c>
      <c r="FR1" s="2">
        <f>IF(ISNUMBER(B$7),"USO US "&amp;TEXT(B$3,"mm/dd/yy")&amp;" C"&amp;B$7&amp;" Equity","")</f>
        <v/>
      </c>
      <c r="GI1" s="2">
        <f>IF(ISNUMBER(B$7),"USO US "&amp;TEXT(B$3,"mm/dd/yy")&amp;" P"&amp;B$7&amp;" Equity","")</f>
        <v/>
      </c>
      <c r="GZ1" s="2">
        <f>IF(ISNUMBER(B$7),"USO US "&amp;TEXT(B$3,"mm/dd/yy")&amp;" C"&amp;(B$7+1*B$6)&amp;" Equity","")</f>
        <v/>
      </c>
      <c r="HQ1" s="2">
        <f>IF(ISNUMBER(B$7),"USO US "&amp;TEXT(B$3,"mm/dd/yy")&amp;" P"&amp;(B$7+1*B$6)&amp;" Equity","")</f>
        <v/>
      </c>
      <c r="IH1" s="2">
        <f>IF(ISNUMBER(B$7),"USO US "&amp;TEXT(B$3,"mm/dd/yy")&amp;" C"&amp;(B$7+2*B$6)&amp;" Equity","")</f>
        <v/>
      </c>
      <c r="IY1" s="2">
        <f>IF(ISNUMBER(B$7),"USO US "&amp;TEXT(B$3,"mm/dd/yy")&amp;" P"&amp;(B$7+2*B$6)&amp;" Equity","")</f>
        <v/>
      </c>
      <c r="JP1" s="2">
        <f>IF(ISNUMBER(B$7),"USO US "&amp;TEXT(B$3,"mm/dd/yy")&amp;" C"&amp;(B$7+3*B$6)&amp;" Equity","")</f>
        <v/>
      </c>
      <c r="KG1" s="2">
        <f>IF(ISNUMBER(B$7),"USO US "&amp;TEXT(B$3,"mm/dd/yy")&amp;" P"&amp;(B$7+3*B$6)&amp;" Equity","")</f>
        <v/>
      </c>
      <c r="KX1" s="2">
        <f>IF(ISNUMBER(B$7),"USO US "&amp;TEXT(B$3,"mm/dd/yy")&amp;" C"&amp;(B$7+4*B$6)&amp;" Equity","")</f>
        <v/>
      </c>
      <c r="LO1" s="2">
        <f>IF(ISNUMBER(B$7),"USO US "&amp;TEXT(B$3,"mm/dd/yy")&amp;" P"&amp;(B$7+4*B$6)&amp;" Equity","")</f>
        <v/>
      </c>
      <c r="MF1" s="2">
        <f>IF(ISNUMBER(B$7),"USO US "&amp;TEXT(B$3,"mm/dd/yy")&amp;" C"&amp;(B$7+5*B$6)&amp;" Equity","")</f>
        <v/>
      </c>
      <c r="MW1" s="2">
        <f>IF(ISNUMBER(B$7),"USO US "&amp;TEXT(B$3,"mm/dd/yy")&amp;" P"&amp;(B$7+5*B$6)&amp;" Equity","")</f>
        <v/>
      </c>
    </row>
    <row r="2">
      <c r="A2" s="2" t="inlineStr">
        <is>
          <t>Underlying</t>
        </is>
      </c>
      <c r="B2" s="4">
        <f>IF(Settings!$B$15="Y","USO US Equity","")</f>
        <v/>
      </c>
      <c r="D2" s="4" t="inlineStr">
        <is>
          <t>call -5 from ATM</t>
        </is>
      </c>
      <c r="U2" s="4" t="inlineStr">
        <is>
          <t>put -5 from ATM</t>
        </is>
      </c>
      <c r="AL2" s="4" t="inlineStr">
        <is>
          <t>call -4 from ATM</t>
        </is>
      </c>
      <c r="BC2" s="4" t="inlineStr">
        <is>
          <t>put -4 from ATM</t>
        </is>
      </c>
      <c r="BT2" s="4" t="inlineStr">
        <is>
          <t>call -3 from ATM</t>
        </is>
      </c>
      <c r="CK2" s="4" t="inlineStr">
        <is>
          <t>put -3 from ATM</t>
        </is>
      </c>
      <c r="DB2" s="4" t="inlineStr">
        <is>
          <t>call -2 from ATM</t>
        </is>
      </c>
      <c r="DS2" s="4" t="inlineStr">
        <is>
          <t>put -2 from ATM</t>
        </is>
      </c>
      <c r="EJ2" s="4" t="inlineStr">
        <is>
          <t>call -1 from ATM</t>
        </is>
      </c>
      <c r="FA2" s="4" t="inlineStr">
        <is>
          <t>put -1 from ATM</t>
        </is>
      </c>
      <c r="FR2" s="4" t="inlineStr">
        <is>
          <t>call +0 from ATM</t>
        </is>
      </c>
      <c r="GI2" s="4" t="inlineStr">
        <is>
          <t>put +0 from ATM</t>
        </is>
      </c>
      <c r="GZ2" s="4" t="inlineStr">
        <is>
          <t>call +1 from ATM</t>
        </is>
      </c>
      <c r="HQ2" s="4" t="inlineStr">
        <is>
          <t>put +1 from ATM</t>
        </is>
      </c>
      <c r="IH2" s="4" t="inlineStr">
        <is>
          <t>call +2 from ATM</t>
        </is>
      </c>
      <c r="IY2" s="4" t="inlineStr">
        <is>
          <t>put +2 from ATM</t>
        </is>
      </c>
      <c r="JP2" s="4" t="inlineStr">
        <is>
          <t>call +3 from ATM</t>
        </is>
      </c>
      <c r="KG2" s="4" t="inlineStr">
        <is>
          <t>put +3 from ATM</t>
        </is>
      </c>
      <c r="KX2" s="4" t="inlineStr">
        <is>
          <t>call +4 from ATM</t>
        </is>
      </c>
      <c r="LO2" s="4" t="inlineStr">
        <is>
          <t>put +4 from ATM</t>
        </is>
      </c>
      <c r="MF2" s="4" t="inlineStr">
        <is>
          <t>call +5 from ATM</t>
        </is>
      </c>
      <c r="MW2" s="4" t="inlineStr">
        <is>
          <t>put +5 from ATM</t>
        </is>
      </c>
    </row>
    <row r="3">
      <c r="A3" s="2" t="inlineStr">
        <is>
          <t>Expiry (3rd Friday)</t>
        </is>
      </c>
      <c r="B3" s="3">
        <f>DATE(Settings!$E$15,B1,15)+MOD(6-WEEKDAY(DATE(Settings!$E$15,B1,15)),7)</f>
        <v/>
      </c>
      <c r="D3" s="5" t="inlineStr">
        <is>
          <t>Date</t>
        </is>
      </c>
      <c r="E3" s="5" t="inlineStr">
        <is>
          <t>PX_BID</t>
        </is>
      </c>
      <c r="F3" s="5" t="inlineStr">
        <is>
          <t>PX_ASK</t>
        </is>
      </c>
      <c r="G3" s="5" t="inlineStr">
        <is>
          <t>PX_MID</t>
        </is>
      </c>
      <c r="H3" s="5" t="inlineStr">
        <is>
          <t>PX_LAST</t>
        </is>
      </c>
      <c r="I3" s="5" t="inlineStr">
        <is>
          <t>PX_SETTLE</t>
        </is>
      </c>
      <c r="J3" s="5" t="inlineStr">
        <is>
          <t>PX_VOLUME</t>
        </is>
      </c>
      <c r="K3" s="5" t="inlineStr">
        <is>
          <t>OPEN_INT</t>
        </is>
      </c>
      <c r="L3" s="5" t="inlineStr">
        <is>
          <t>IVOL_MID</t>
        </is>
      </c>
      <c r="M3" s="5" t="inlineStr">
        <is>
          <t>IVOL_BID</t>
        </is>
      </c>
      <c r="N3" s="5" t="inlineStr">
        <is>
          <t>IVOL_ASK</t>
        </is>
      </c>
      <c r="O3" s="5" t="inlineStr">
        <is>
          <t>DELTA_MID</t>
        </is>
      </c>
      <c r="P3" s="5" t="inlineStr">
        <is>
          <t>GAMMA_MID</t>
        </is>
      </c>
      <c r="Q3" s="5" t="inlineStr">
        <is>
          <t>VEGA_MID</t>
        </is>
      </c>
      <c r="R3" s="5" t="inlineStr">
        <is>
          <t>THETA_MID</t>
        </is>
      </c>
      <c r="S3" s="5" t="inlineStr">
        <is>
          <t>OPT_UNDL_PX</t>
        </is>
      </c>
      <c r="U3" s="5" t="inlineStr">
        <is>
          <t>Date</t>
        </is>
      </c>
      <c r="V3" s="5" t="inlineStr">
        <is>
          <t>PX_BID</t>
        </is>
      </c>
      <c r="W3" s="5" t="inlineStr">
        <is>
          <t>PX_ASK</t>
        </is>
      </c>
      <c r="X3" s="5" t="inlineStr">
        <is>
          <t>PX_MID</t>
        </is>
      </c>
      <c r="Y3" s="5" t="inlineStr">
        <is>
          <t>PX_LAST</t>
        </is>
      </c>
      <c r="Z3" s="5" t="inlineStr">
        <is>
          <t>PX_SETTLE</t>
        </is>
      </c>
      <c r="AA3" s="5" t="inlineStr">
        <is>
          <t>PX_VOLUME</t>
        </is>
      </c>
      <c r="AB3" s="5" t="inlineStr">
        <is>
          <t>OPEN_INT</t>
        </is>
      </c>
      <c r="AC3" s="5" t="inlineStr">
        <is>
          <t>IVOL_MID</t>
        </is>
      </c>
      <c r="AD3" s="5" t="inlineStr">
        <is>
          <t>IVOL_BID</t>
        </is>
      </c>
      <c r="AE3" s="5" t="inlineStr">
        <is>
          <t>IVOL_ASK</t>
        </is>
      </c>
      <c r="AF3" s="5" t="inlineStr">
        <is>
          <t>DELTA_MID</t>
        </is>
      </c>
      <c r="AG3" s="5" t="inlineStr">
        <is>
          <t>GAMMA_MID</t>
        </is>
      </c>
      <c r="AH3" s="5" t="inlineStr">
        <is>
          <t>VEGA_MID</t>
        </is>
      </c>
      <c r="AI3" s="5" t="inlineStr">
        <is>
          <t>THETA_MID</t>
        </is>
      </c>
      <c r="AJ3" s="5" t="inlineStr">
        <is>
          <t>OPT_UNDL_PX</t>
        </is>
      </c>
      <c r="AL3" s="5" t="inlineStr">
        <is>
          <t>Date</t>
        </is>
      </c>
      <c r="AM3" s="5" t="inlineStr">
        <is>
          <t>PX_BID</t>
        </is>
      </c>
      <c r="AN3" s="5" t="inlineStr">
        <is>
          <t>PX_ASK</t>
        </is>
      </c>
      <c r="AO3" s="5" t="inlineStr">
        <is>
          <t>PX_MID</t>
        </is>
      </c>
      <c r="AP3" s="5" t="inlineStr">
        <is>
          <t>PX_LAST</t>
        </is>
      </c>
      <c r="AQ3" s="5" t="inlineStr">
        <is>
          <t>PX_SETTLE</t>
        </is>
      </c>
      <c r="AR3" s="5" t="inlineStr">
        <is>
          <t>PX_VOLUME</t>
        </is>
      </c>
      <c r="AS3" s="5" t="inlineStr">
        <is>
          <t>OPEN_INT</t>
        </is>
      </c>
      <c r="AT3" s="5" t="inlineStr">
        <is>
          <t>IVOL_MID</t>
        </is>
      </c>
      <c r="AU3" s="5" t="inlineStr">
        <is>
          <t>IVOL_BID</t>
        </is>
      </c>
      <c r="AV3" s="5" t="inlineStr">
        <is>
          <t>IVOL_ASK</t>
        </is>
      </c>
      <c r="AW3" s="5" t="inlineStr">
        <is>
          <t>DELTA_MID</t>
        </is>
      </c>
      <c r="AX3" s="5" t="inlineStr">
        <is>
          <t>GAMMA_MID</t>
        </is>
      </c>
      <c r="AY3" s="5" t="inlineStr">
        <is>
          <t>VEGA_MID</t>
        </is>
      </c>
      <c r="AZ3" s="5" t="inlineStr">
        <is>
          <t>THETA_MID</t>
        </is>
      </c>
      <c r="BA3" s="5" t="inlineStr">
        <is>
          <t>OPT_UNDL_PX</t>
        </is>
      </c>
      <c r="BC3" s="5" t="inlineStr">
        <is>
          <t>Date</t>
        </is>
      </c>
      <c r="BD3" s="5" t="inlineStr">
        <is>
          <t>PX_BID</t>
        </is>
      </c>
      <c r="BE3" s="5" t="inlineStr">
        <is>
          <t>PX_ASK</t>
        </is>
      </c>
      <c r="BF3" s="5" t="inlineStr">
        <is>
          <t>PX_MID</t>
        </is>
      </c>
      <c r="BG3" s="5" t="inlineStr">
        <is>
          <t>PX_LAST</t>
        </is>
      </c>
      <c r="BH3" s="5" t="inlineStr">
        <is>
          <t>PX_SETTLE</t>
        </is>
      </c>
      <c r="BI3" s="5" t="inlineStr">
        <is>
          <t>PX_VOLUME</t>
        </is>
      </c>
      <c r="BJ3" s="5" t="inlineStr">
        <is>
          <t>OPEN_INT</t>
        </is>
      </c>
      <c r="BK3" s="5" t="inlineStr">
        <is>
          <t>IVOL_MID</t>
        </is>
      </c>
      <c r="BL3" s="5" t="inlineStr">
        <is>
          <t>IVOL_BID</t>
        </is>
      </c>
      <c r="BM3" s="5" t="inlineStr">
        <is>
          <t>IVOL_ASK</t>
        </is>
      </c>
      <c r="BN3" s="5" t="inlineStr">
        <is>
          <t>DELTA_MID</t>
        </is>
      </c>
      <c r="BO3" s="5" t="inlineStr">
        <is>
          <t>GAMMA_MID</t>
        </is>
      </c>
      <c r="BP3" s="5" t="inlineStr">
        <is>
          <t>VEGA_MID</t>
        </is>
      </c>
      <c r="BQ3" s="5" t="inlineStr">
        <is>
          <t>THETA_MID</t>
        </is>
      </c>
      <c r="BR3" s="5" t="inlineStr">
        <is>
          <t>OPT_UNDL_PX</t>
        </is>
      </c>
      <c r="BT3" s="5" t="inlineStr">
        <is>
          <t>Date</t>
        </is>
      </c>
      <c r="BU3" s="5" t="inlineStr">
        <is>
          <t>PX_BID</t>
        </is>
      </c>
      <c r="BV3" s="5" t="inlineStr">
        <is>
          <t>PX_ASK</t>
        </is>
      </c>
      <c r="BW3" s="5" t="inlineStr">
        <is>
          <t>PX_MID</t>
        </is>
      </c>
      <c r="BX3" s="5" t="inlineStr">
        <is>
          <t>PX_LAST</t>
        </is>
      </c>
      <c r="BY3" s="5" t="inlineStr">
        <is>
          <t>PX_SETTLE</t>
        </is>
      </c>
      <c r="BZ3" s="5" t="inlineStr">
        <is>
          <t>PX_VOLUME</t>
        </is>
      </c>
      <c r="CA3" s="5" t="inlineStr">
        <is>
          <t>OPEN_INT</t>
        </is>
      </c>
      <c r="CB3" s="5" t="inlineStr">
        <is>
          <t>IVOL_MID</t>
        </is>
      </c>
      <c r="CC3" s="5" t="inlineStr">
        <is>
          <t>IVOL_BID</t>
        </is>
      </c>
      <c r="CD3" s="5" t="inlineStr">
        <is>
          <t>IVOL_ASK</t>
        </is>
      </c>
      <c r="CE3" s="5" t="inlineStr">
        <is>
          <t>DELTA_MID</t>
        </is>
      </c>
      <c r="CF3" s="5" t="inlineStr">
        <is>
          <t>GAMMA_MID</t>
        </is>
      </c>
      <c r="CG3" s="5" t="inlineStr">
        <is>
          <t>VEGA_MID</t>
        </is>
      </c>
      <c r="CH3" s="5" t="inlineStr">
        <is>
          <t>THETA_MID</t>
        </is>
      </c>
      <c r="CI3" s="5" t="inlineStr">
        <is>
          <t>OPT_UNDL_PX</t>
        </is>
      </c>
      <c r="CK3" s="5" t="inlineStr">
        <is>
          <t>Date</t>
        </is>
      </c>
      <c r="CL3" s="5" t="inlineStr">
        <is>
          <t>PX_BID</t>
        </is>
      </c>
      <c r="CM3" s="5" t="inlineStr">
        <is>
          <t>PX_ASK</t>
        </is>
      </c>
      <c r="CN3" s="5" t="inlineStr">
        <is>
          <t>PX_MID</t>
        </is>
      </c>
      <c r="CO3" s="5" t="inlineStr">
        <is>
          <t>PX_LAST</t>
        </is>
      </c>
      <c r="CP3" s="5" t="inlineStr">
        <is>
          <t>PX_SETTLE</t>
        </is>
      </c>
      <c r="CQ3" s="5" t="inlineStr">
        <is>
          <t>PX_VOLUME</t>
        </is>
      </c>
      <c r="CR3" s="5" t="inlineStr">
        <is>
          <t>OPEN_INT</t>
        </is>
      </c>
      <c r="CS3" s="5" t="inlineStr">
        <is>
          <t>IVOL_MID</t>
        </is>
      </c>
      <c r="CT3" s="5" t="inlineStr">
        <is>
          <t>IVOL_BID</t>
        </is>
      </c>
      <c r="CU3" s="5" t="inlineStr">
        <is>
          <t>IVOL_ASK</t>
        </is>
      </c>
      <c r="CV3" s="5" t="inlineStr">
        <is>
          <t>DELTA_MID</t>
        </is>
      </c>
      <c r="CW3" s="5" t="inlineStr">
        <is>
          <t>GAMMA_MID</t>
        </is>
      </c>
      <c r="CX3" s="5" t="inlineStr">
        <is>
          <t>VEGA_MID</t>
        </is>
      </c>
      <c r="CY3" s="5" t="inlineStr">
        <is>
          <t>THETA_MID</t>
        </is>
      </c>
      <c r="CZ3" s="5" t="inlineStr">
        <is>
          <t>OPT_UNDL_PX</t>
        </is>
      </c>
      <c r="DB3" s="5" t="inlineStr">
        <is>
          <t>Date</t>
        </is>
      </c>
      <c r="DC3" s="5" t="inlineStr">
        <is>
          <t>PX_BID</t>
        </is>
      </c>
      <c r="DD3" s="5" t="inlineStr">
        <is>
          <t>PX_ASK</t>
        </is>
      </c>
      <c r="DE3" s="5" t="inlineStr">
        <is>
          <t>PX_MID</t>
        </is>
      </c>
      <c r="DF3" s="5" t="inlineStr">
        <is>
          <t>PX_LAST</t>
        </is>
      </c>
      <c r="DG3" s="5" t="inlineStr">
        <is>
          <t>PX_SETTLE</t>
        </is>
      </c>
      <c r="DH3" s="5" t="inlineStr">
        <is>
          <t>PX_VOLUME</t>
        </is>
      </c>
      <c r="DI3" s="5" t="inlineStr">
        <is>
          <t>OPEN_INT</t>
        </is>
      </c>
      <c r="DJ3" s="5" t="inlineStr">
        <is>
          <t>IVOL_MID</t>
        </is>
      </c>
      <c r="DK3" s="5" t="inlineStr">
        <is>
          <t>IVOL_BID</t>
        </is>
      </c>
      <c r="DL3" s="5" t="inlineStr">
        <is>
          <t>IVOL_ASK</t>
        </is>
      </c>
      <c r="DM3" s="5" t="inlineStr">
        <is>
          <t>DELTA_MID</t>
        </is>
      </c>
      <c r="DN3" s="5" t="inlineStr">
        <is>
          <t>GAMMA_MID</t>
        </is>
      </c>
      <c r="DO3" s="5" t="inlineStr">
        <is>
          <t>VEGA_MID</t>
        </is>
      </c>
      <c r="DP3" s="5" t="inlineStr">
        <is>
          <t>THETA_MID</t>
        </is>
      </c>
      <c r="DQ3" s="5" t="inlineStr">
        <is>
          <t>OPT_UNDL_PX</t>
        </is>
      </c>
      <c r="DS3" s="5" t="inlineStr">
        <is>
          <t>Date</t>
        </is>
      </c>
      <c r="DT3" s="5" t="inlineStr">
        <is>
          <t>PX_BID</t>
        </is>
      </c>
      <c r="DU3" s="5" t="inlineStr">
        <is>
          <t>PX_ASK</t>
        </is>
      </c>
      <c r="DV3" s="5" t="inlineStr">
        <is>
          <t>PX_MID</t>
        </is>
      </c>
      <c r="DW3" s="5" t="inlineStr">
        <is>
          <t>PX_LAST</t>
        </is>
      </c>
      <c r="DX3" s="5" t="inlineStr">
        <is>
          <t>PX_SETTLE</t>
        </is>
      </c>
      <c r="DY3" s="5" t="inlineStr">
        <is>
          <t>PX_VOLUME</t>
        </is>
      </c>
      <c r="DZ3" s="5" t="inlineStr">
        <is>
          <t>OPEN_INT</t>
        </is>
      </c>
      <c r="EA3" s="5" t="inlineStr">
        <is>
          <t>IVOL_MID</t>
        </is>
      </c>
      <c r="EB3" s="5" t="inlineStr">
        <is>
          <t>IVOL_BID</t>
        </is>
      </c>
      <c r="EC3" s="5" t="inlineStr">
        <is>
          <t>IVOL_ASK</t>
        </is>
      </c>
      <c r="ED3" s="5" t="inlineStr">
        <is>
          <t>DELTA_MID</t>
        </is>
      </c>
      <c r="EE3" s="5" t="inlineStr">
        <is>
          <t>GAMMA_MID</t>
        </is>
      </c>
      <c r="EF3" s="5" t="inlineStr">
        <is>
          <t>VEGA_MID</t>
        </is>
      </c>
      <c r="EG3" s="5" t="inlineStr">
        <is>
          <t>THETA_MID</t>
        </is>
      </c>
      <c r="EH3" s="5" t="inlineStr">
        <is>
          <t>OPT_UNDL_PX</t>
        </is>
      </c>
      <c r="EJ3" s="5" t="inlineStr">
        <is>
          <t>Date</t>
        </is>
      </c>
      <c r="EK3" s="5" t="inlineStr">
        <is>
          <t>PX_BID</t>
        </is>
      </c>
      <c r="EL3" s="5" t="inlineStr">
        <is>
          <t>PX_ASK</t>
        </is>
      </c>
      <c r="EM3" s="5" t="inlineStr">
        <is>
          <t>PX_MID</t>
        </is>
      </c>
      <c r="EN3" s="5" t="inlineStr">
        <is>
          <t>PX_LAST</t>
        </is>
      </c>
      <c r="EO3" s="5" t="inlineStr">
        <is>
          <t>PX_SETTLE</t>
        </is>
      </c>
      <c r="EP3" s="5" t="inlineStr">
        <is>
          <t>PX_VOLUME</t>
        </is>
      </c>
      <c r="EQ3" s="5" t="inlineStr">
        <is>
          <t>OPEN_INT</t>
        </is>
      </c>
      <c r="ER3" s="5" t="inlineStr">
        <is>
          <t>IVOL_MID</t>
        </is>
      </c>
      <c r="ES3" s="5" t="inlineStr">
        <is>
          <t>IVOL_BID</t>
        </is>
      </c>
      <c r="ET3" s="5" t="inlineStr">
        <is>
          <t>IVOL_ASK</t>
        </is>
      </c>
      <c r="EU3" s="5" t="inlineStr">
        <is>
          <t>DELTA_MID</t>
        </is>
      </c>
      <c r="EV3" s="5" t="inlineStr">
        <is>
          <t>GAMMA_MID</t>
        </is>
      </c>
      <c r="EW3" s="5" t="inlineStr">
        <is>
          <t>VEGA_MID</t>
        </is>
      </c>
      <c r="EX3" s="5" t="inlineStr">
        <is>
          <t>THETA_MID</t>
        </is>
      </c>
      <c r="EY3" s="5" t="inlineStr">
        <is>
          <t>OPT_UNDL_PX</t>
        </is>
      </c>
      <c r="FA3" s="5" t="inlineStr">
        <is>
          <t>Date</t>
        </is>
      </c>
      <c r="FB3" s="5" t="inlineStr">
        <is>
          <t>PX_BID</t>
        </is>
      </c>
      <c r="FC3" s="5" t="inlineStr">
        <is>
          <t>PX_ASK</t>
        </is>
      </c>
      <c r="FD3" s="5" t="inlineStr">
        <is>
          <t>PX_MID</t>
        </is>
      </c>
      <c r="FE3" s="5" t="inlineStr">
        <is>
          <t>PX_LAST</t>
        </is>
      </c>
      <c r="FF3" s="5" t="inlineStr">
        <is>
          <t>PX_SETTLE</t>
        </is>
      </c>
      <c r="FG3" s="5" t="inlineStr">
        <is>
          <t>PX_VOLUME</t>
        </is>
      </c>
      <c r="FH3" s="5" t="inlineStr">
        <is>
          <t>OPEN_INT</t>
        </is>
      </c>
      <c r="FI3" s="5" t="inlineStr">
        <is>
          <t>IVOL_MID</t>
        </is>
      </c>
      <c r="FJ3" s="5" t="inlineStr">
        <is>
          <t>IVOL_BID</t>
        </is>
      </c>
      <c r="FK3" s="5" t="inlineStr">
        <is>
          <t>IVOL_ASK</t>
        </is>
      </c>
      <c r="FL3" s="5" t="inlineStr">
        <is>
          <t>DELTA_MID</t>
        </is>
      </c>
      <c r="FM3" s="5" t="inlineStr">
        <is>
          <t>GAMMA_MID</t>
        </is>
      </c>
      <c r="FN3" s="5" t="inlineStr">
        <is>
          <t>VEGA_MID</t>
        </is>
      </c>
      <c r="FO3" s="5" t="inlineStr">
        <is>
          <t>THETA_MID</t>
        </is>
      </c>
      <c r="FP3" s="5" t="inlineStr">
        <is>
          <t>OPT_UNDL_PX</t>
        </is>
      </c>
      <c r="FR3" s="5" t="inlineStr">
        <is>
          <t>Date</t>
        </is>
      </c>
      <c r="FS3" s="5" t="inlineStr">
        <is>
          <t>PX_BID</t>
        </is>
      </c>
      <c r="FT3" s="5" t="inlineStr">
        <is>
          <t>PX_ASK</t>
        </is>
      </c>
      <c r="FU3" s="5" t="inlineStr">
        <is>
          <t>PX_MID</t>
        </is>
      </c>
      <c r="FV3" s="5" t="inlineStr">
        <is>
          <t>PX_LAST</t>
        </is>
      </c>
      <c r="FW3" s="5" t="inlineStr">
        <is>
          <t>PX_SETTLE</t>
        </is>
      </c>
      <c r="FX3" s="5" t="inlineStr">
        <is>
          <t>PX_VOLUME</t>
        </is>
      </c>
      <c r="FY3" s="5" t="inlineStr">
        <is>
          <t>OPEN_INT</t>
        </is>
      </c>
      <c r="FZ3" s="5" t="inlineStr">
        <is>
          <t>IVOL_MID</t>
        </is>
      </c>
      <c r="GA3" s="5" t="inlineStr">
        <is>
          <t>IVOL_BID</t>
        </is>
      </c>
      <c r="GB3" s="5" t="inlineStr">
        <is>
          <t>IVOL_ASK</t>
        </is>
      </c>
      <c r="GC3" s="5" t="inlineStr">
        <is>
          <t>DELTA_MID</t>
        </is>
      </c>
      <c r="GD3" s="5" t="inlineStr">
        <is>
          <t>GAMMA_MID</t>
        </is>
      </c>
      <c r="GE3" s="5" t="inlineStr">
        <is>
          <t>VEGA_MID</t>
        </is>
      </c>
      <c r="GF3" s="5" t="inlineStr">
        <is>
          <t>THETA_MID</t>
        </is>
      </c>
      <c r="GG3" s="5" t="inlineStr">
        <is>
          <t>OPT_UNDL_PX</t>
        </is>
      </c>
      <c r="GI3" s="5" t="inlineStr">
        <is>
          <t>Date</t>
        </is>
      </c>
      <c r="GJ3" s="5" t="inlineStr">
        <is>
          <t>PX_BID</t>
        </is>
      </c>
      <c r="GK3" s="5" t="inlineStr">
        <is>
          <t>PX_ASK</t>
        </is>
      </c>
      <c r="GL3" s="5" t="inlineStr">
        <is>
          <t>PX_MID</t>
        </is>
      </c>
      <c r="GM3" s="5" t="inlineStr">
        <is>
          <t>PX_LAST</t>
        </is>
      </c>
      <c r="GN3" s="5" t="inlineStr">
        <is>
          <t>PX_SETTLE</t>
        </is>
      </c>
      <c r="GO3" s="5" t="inlineStr">
        <is>
          <t>PX_VOLUME</t>
        </is>
      </c>
      <c r="GP3" s="5" t="inlineStr">
        <is>
          <t>OPEN_INT</t>
        </is>
      </c>
      <c r="GQ3" s="5" t="inlineStr">
        <is>
          <t>IVOL_MID</t>
        </is>
      </c>
      <c r="GR3" s="5" t="inlineStr">
        <is>
          <t>IVOL_BID</t>
        </is>
      </c>
      <c r="GS3" s="5" t="inlineStr">
        <is>
          <t>IVOL_ASK</t>
        </is>
      </c>
      <c r="GT3" s="5" t="inlineStr">
        <is>
          <t>DELTA_MID</t>
        </is>
      </c>
      <c r="GU3" s="5" t="inlineStr">
        <is>
          <t>GAMMA_MID</t>
        </is>
      </c>
      <c r="GV3" s="5" t="inlineStr">
        <is>
          <t>VEGA_MID</t>
        </is>
      </c>
      <c r="GW3" s="5" t="inlineStr">
        <is>
          <t>THETA_MID</t>
        </is>
      </c>
      <c r="GX3" s="5" t="inlineStr">
        <is>
          <t>OPT_UNDL_PX</t>
        </is>
      </c>
      <c r="GZ3" s="5" t="inlineStr">
        <is>
          <t>Date</t>
        </is>
      </c>
      <c r="HA3" s="5" t="inlineStr">
        <is>
          <t>PX_BID</t>
        </is>
      </c>
      <c r="HB3" s="5" t="inlineStr">
        <is>
          <t>PX_ASK</t>
        </is>
      </c>
      <c r="HC3" s="5" t="inlineStr">
        <is>
          <t>PX_MID</t>
        </is>
      </c>
      <c r="HD3" s="5" t="inlineStr">
        <is>
          <t>PX_LAST</t>
        </is>
      </c>
      <c r="HE3" s="5" t="inlineStr">
        <is>
          <t>PX_SETTLE</t>
        </is>
      </c>
      <c r="HF3" s="5" t="inlineStr">
        <is>
          <t>PX_VOLUME</t>
        </is>
      </c>
      <c r="HG3" s="5" t="inlineStr">
        <is>
          <t>OPEN_INT</t>
        </is>
      </c>
      <c r="HH3" s="5" t="inlineStr">
        <is>
          <t>IVOL_MID</t>
        </is>
      </c>
      <c r="HI3" s="5" t="inlineStr">
        <is>
          <t>IVOL_BID</t>
        </is>
      </c>
      <c r="HJ3" s="5" t="inlineStr">
        <is>
          <t>IVOL_ASK</t>
        </is>
      </c>
      <c r="HK3" s="5" t="inlineStr">
        <is>
          <t>DELTA_MID</t>
        </is>
      </c>
      <c r="HL3" s="5" t="inlineStr">
        <is>
          <t>GAMMA_MID</t>
        </is>
      </c>
      <c r="HM3" s="5" t="inlineStr">
        <is>
          <t>VEGA_MID</t>
        </is>
      </c>
      <c r="HN3" s="5" t="inlineStr">
        <is>
          <t>THETA_MID</t>
        </is>
      </c>
      <c r="HO3" s="5" t="inlineStr">
        <is>
          <t>OPT_UNDL_PX</t>
        </is>
      </c>
      <c r="HQ3" s="5" t="inlineStr">
        <is>
          <t>Date</t>
        </is>
      </c>
      <c r="HR3" s="5" t="inlineStr">
        <is>
          <t>PX_BID</t>
        </is>
      </c>
      <c r="HS3" s="5" t="inlineStr">
        <is>
          <t>PX_ASK</t>
        </is>
      </c>
      <c r="HT3" s="5" t="inlineStr">
        <is>
          <t>PX_MID</t>
        </is>
      </c>
      <c r="HU3" s="5" t="inlineStr">
        <is>
          <t>PX_LAST</t>
        </is>
      </c>
      <c r="HV3" s="5" t="inlineStr">
        <is>
          <t>PX_SETTLE</t>
        </is>
      </c>
      <c r="HW3" s="5" t="inlineStr">
        <is>
          <t>PX_VOLUME</t>
        </is>
      </c>
      <c r="HX3" s="5" t="inlineStr">
        <is>
          <t>OPEN_INT</t>
        </is>
      </c>
      <c r="HY3" s="5" t="inlineStr">
        <is>
          <t>IVOL_MID</t>
        </is>
      </c>
      <c r="HZ3" s="5" t="inlineStr">
        <is>
          <t>IVOL_BID</t>
        </is>
      </c>
      <c r="IA3" s="5" t="inlineStr">
        <is>
          <t>IVOL_ASK</t>
        </is>
      </c>
      <c r="IB3" s="5" t="inlineStr">
        <is>
          <t>DELTA_MID</t>
        </is>
      </c>
      <c r="IC3" s="5" t="inlineStr">
        <is>
          <t>GAMMA_MID</t>
        </is>
      </c>
      <c r="ID3" s="5" t="inlineStr">
        <is>
          <t>VEGA_MID</t>
        </is>
      </c>
      <c r="IE3" s="5" t="inlineStr">
        <is>
          <t>THETA_MID</t>
        </is>
      </c>
      <c r="IF3" s="5" t="inlineStr">
        <is>
          <t>OPT_UNDL_PX</t>
        </is>
      </c>
      <c r="IH3" s="5" t="inlineStr">
        <is>
          <t>Date</t>
        </is>
      </c>
      <c r="II3" s="5" t="inlineStr">
        <is>
          <t>PX_BID</t>
        </is>
      </c>
      <c r="IJ3" s="5" t="inlineStr">
        <is>
          <t>PX_ASK</t>
        </is>
      </c>
      <c r="IK3" s="5" t="inlineStr">
        <is>
          <t>PX_MID</t>
        </is>
      </c>
      <c r="IL3" s="5" t="inlineStr">
        <is>
          <t>PX_LAST</t>
        </is>
      </c>
      <c r="IM3" s="5" t="inlineStr">
        <is>
          <t>PX_SETTLE</t>
        </is>
      </c>
      <c r="IN3" s="5" t="inlineStr">
        <is>
          <t>PX_VOLUME</t>
        </is>
      </c>
      <c r="IO3" s="5" t="inlineStr">
        <is>
          <t>OPEN_INT</t>
        </is>
      </c>
      <c r="IP3" s="5" t="inlineStr">
        <is>
          <t>IVOL_MID</t>
        </is>
      </c>
      <c r="IQ3" s="5" t="inlineStr">
        <is>
          <t>IVOL_BID</t>
        </is>
      </c>
      <c r="IR3" s="5" t="inlineStr">
        <is>
          <t>IVOL_ASK</t>
        </is>
      </c>
      <c r="IS3" s="5" t="inlineStr">
        <is>
          <t>DELTA_MID</t>
        </is>
      </c>
      <c r="IT3" s="5" t="inlineStr">
        <is>
          <t>GAMMA_MID</t>
        </is>
      </c>
      <c r="IU3" s="5" t="inlineStr">
        <is>
          <t>VEGA_MID</t>
        </is>
      </c>
      <c r="IV3" s="5" t="inlineStr">
        <is>
          <t>THETA_MID</t>
        </is>
      </c>
      <c r="IW3" s="5" t="inlineStr">
        <is>
          <t>OPT_UNDL_PX</t>
        </is>
      </c>
      <c r="IY3" s="5" t="inlineStr">
        <is>
          <t>Date</t>
        </is>
      </c>
      <c r="IZ3" s="5" t="inlineStr">
        <is>
          <t>PX_BID</t>
        </is>
      </c>
      <c r="JA3" s="5" t="inlineStr">
        <is>
          <t>PX_ASK</t>
        </is>
      </c>
      <c r="JB3" s="5" t="inlineStr">
        <is>
          <t>PX_MID</t>
        </is>
      </c>
      <c r="JC3" s="5" t="inlineStr">
        <is>
          <t>PX_LAST</t>
        </is>
      </c>
      <c r="JD3" s="5" t="inlineStr">
        <is>
          <t>PX_SETTLE</t>
        </is>
      </c>
      <c r="JE3" s="5" t="inlineStr">
        <is>
          <t>PX_VOLUME</t>
        </is>
      </c>
      <c r="JF3" s="5" t="inlineStr">
        <is>
          <t>OPEN_INT</t>
        </is>
      </c>
      <c r="JG3" s="5" t="inlineStr">
        <is>
          <t>IVOL_MID</t>
        </is>
      </c>
      <c r="JH3" s="5" t="inlineStr">
        <is>
          <t>IVOL_BID</t>
        </is>
      </c>
      <c r="JI3" s="5" t="inlineStr">
        <is>
          <t>IVOL_ASK</t>
        </is>
      </c>
      <c r="JJ3" s="5" t="inlineStr">
        <is>
          <t>DELTA_MID</t>
        </is>
      </c>
      <c r="JK3" s="5" t="inlineStr">
        <is>
          <t>GAMMA_MID</t>
        </is>
      </c>
      <c r="JL3" s="5" t="inlineStr">
        <is>
          <t>VEGA_MID</t>
        </is>
      </c>
      <c r="JM3" s="5" t="inlineStr">
        <is>
          <t>THETA_MID</t>
        </is>
      </c>
      <c r="JN3" s="5" t="inlineStr">
        <is>
          <t>OPT_UNDL_PX</t>
        </is>
      </c>
      <c r="JP3" s="5" t="inlineStr">
        <is>
          <t>Date</t>
        </is>
      </c>
      <c r="JQ3" s="5" t="inlineStr">
        <is>
          <t>PX_BID</t>
        </is>
      </c>
      <c r="JR3" s="5" t="inlineStr">
        <is>
          <t>PX_ASK</t>
        </is>
      </c>
      <c r="JS3" s="5" t="inlineStr">
        <is>
          <t>PX_MID</t>
        </is>
      </c>
      <c r="JT3" s="5" t="inlineStr">
        <is>
          <t>PX_LAST</t>
        </is>
      </c>
      <c r="JU3" s="5" t="inlineStr">
        <is>
          <t>PX_SETTLE</t>
        </is>
      </c>
      <c r="JV3" s="5" t="inlineStr">
        <is>
          <t>PX_VOLUME</t>
        </is>
      </c>
      <c r="JW3" s="5" t="inlineStr">
        <is>
          <t>OPEN_INT</t>
        </is>
      </c>
      <c r="JX3" s="5" t="inlineStr">
        <is>
          <t>IVOL_MID</t>
        </is>
      </c>
      <c r="JY3" s="5" t="inlineStr">
        <is>
          <t>IVOL_BID</t>
        </is>
      </c>
      <c r="JZ3" s="5" t="inlineStr">
        <is>
          <t>IVOL_ASK</t>
        </is>
      </c>
      <c r="KA3" s="5" t="inlineStr">
        <is>
          <t>DELTA_MID</t>
        </is>
      </c>
      <c r="KB3" s="5" t="inlineStr">
        <is>
          <t>GAMMA_MID</t>
        </is>
      </c>
      <c r="KC3" s="5" t="inlineStr">
        <is>
          <t>VEGA_MID</t>
        </is>
      </c>
      <c r="KD3" s="5" t="inlineStr">
        <is>
          <t>THETA_MID</t>
        </is>
      </c>
      <c r="KE3" s="5" t="inlineStr">
        <is>
          <t>OPT_UNDL_PX</t>
        </is>
      </c>
      <c r="KG3" s="5" t="inlineStr">
        <is>
          <t>Date</t>
        </is>
      </c>
      <c r="KH3" s="5" t="inlineStr">
        <is>
          <t>PX_BID</t>
        </is>
      </c>
      <c r="KI3" s="5" t="inlineStr">
        <is>
          <t>PX_ASK</t>
        </is>
      </c>
      <c r="KJ3" s="5" t="inlineStr">
        <is>
          <t>PX_MID</t>
        </is>
      </c>
      <c r="KK3" s="5" t="inlineStr">
        <is>
          <t>PX_LAST</t>
        </is>
      </c>
      <c r="KL3" s="5" t="inlineStr">
        <is>
          <t>PX_SETTLE</t>
        </is>
      </c>
      <c r="KM3" s="5" t="inlineStr">
        <is>
          <t>PX_VOLUME</t>
        </is>
      </c>
      <c r="KN3" s="5" t="inlineStr">
        <is>
          <t>OPEN_INT</t>
        </is>
      </c>
      <c r="KO3" s="5" t="inlineStr">
        <is>
          <t>IVOL_MID</t>
        </is>
      </c>
      <c r="KP3" s="5" t="inlineStr">
        <is>
          <t>IVOL_BID</t>
        </is>
      </c>
      <c r="KQ3" s="5" t="inlineStr">
        <is>
          <t>IVOL_ASK</t>
        </is>
      </c>
      <c r="KR3" s="5" t="inlineStr">
        <is>
          <t>DELTA_MID</t>
        </is>
      </c>
      <c r="KS3" s="5" t="inlineStr">
        <is>
          <t>GAMMA_MID</t>
        </is>
      </c>
      <c r="KT3" s="5" t="inlineStr">
        <is>
          <t>VEGA_MID</t>
        </is>
      </c>
      <c r="KU3" s="5" t="inlineStr">
        <is>
          <t>THETA_MID</t>
        </is>
      </c>
      <c r="KV3" s="5" t="inlineStr">
        <is>
          <t>OPT_UNDL_PX</t>
        </is>
      </c>
      <c r="KX3" s="5" t="inlineStr">
        <is>
          <t>Date</t>
        </is>
      </c>
      <c r="KY3" s="5" t="inlineStr">
        <is>
          <t>PX_BID</t>
        </is>
      </c>
      <c r="KZ3" s="5" t="inlineStr">
        <is>
          <t>PX_ASK</t>
        </is>
      </c>
      <c r="LA3" s="5" t="inlineStr">
        <is>
          <t>PX_MID</t>
        </is>
      </c>
      <c r="LB3" s="5" t="inlineStr">
        <is>
          <t>PX_LAST</t>
        </is>
      </c>
      <c r="LC3" s="5" t="inlineStr">
        <is>
          <t>PX_SETTLE</t>
        </is>
      </c>
      <c r="LD3" s="5" t="inlineStr">
        <is>
          <t>PX_VOLUME</t>
        </is>
      </c>
      <c r="LE3" s="5" t="inlineStr">
        <is>
          <t>OPEN_INT</t>
        </is>
      </c>
      <c r="LF3" s="5" t="inlineStr">
        <is>
          <t>IVOL_MID</t>
        </is>
      </c>
      <c r="LG3" s="5" t="inlineStr">
        <is>
          <t>IVOL_BID</t>
        </is>
      </c>
      <c r="LH3" s="5" t="inlineStr">
        <is>
          <t>IVOL_ASK</t>
        </is>
      </c>
      <c r="LI3" s="5" t="inlineStr">
        <is>
          <t>DELTA_MID</t>
        </is>
      </c>
      <c r="LJ3" s="5" t="inlineStr">
        <is>
          <t>GAMMA_MID</t>
        </is>
      </c>
      <c r="LK3" s="5" t="inlineStr">
        <is>
          <t>VEGA_MID</t>
        </is>
      </c>
      <c r="LL3" s="5" t="inlineStr">
        <is>
          <t>THETA_MID</t>
        </is>
      </c>
      <c r="LM3" s="5" t="inlineStr">
        <is>
          <t>OPT_UNDL_PX</t>
        </is>
      </c>
      <c r="LO3" s="5" t="inlineStr">
        <is>
          <t>Date</t>
        </is>
      </c>
      <c r="LP3" s="5" t="inlineStr">
        <is>
          <t>PX_BID</t>
        </is>
      </c>
      <c r="LQ3" s="5" t="inlineStr">
        <is>
          <t>PX_ASK</t>
        </is>
      </c>
      <c r="LR3" s="5" t="inlineStr">
        <is>
          <t>PX_MID</t>
        </is>
      </c>
      <c r="LS3" s="5" t="inlineStr">
        <is>
          <t>PX_LAST</t>
        </is>
      </c>
      <c r="LT3" s="5" t="inlineStr">
        <is>
          <t>PX_SETTLE</t>
        </is>
      </c>
      <c r="LU3" s="5" t="inlineStr">
        <is>
          <t>PX_VOLUME</t>
        </is>
      </c>
      <c r="LV3" s="5" t="inlineStr">
        <is>
          <t>OPEN_INT</t>
        </is>
      </c>
      <c r="LW3" s="5" t="inlineStr">
        <is>
          <t>IVOL_MID</t>
        </is>
      </c>
      <c r="LX3" s="5" t="inlineStr">
        <is>
          <t>IVOL_BID</t>
        </is>
      </c>
      <c r="LY3" s="5" t="inlineStr">
        <is>
          <t>IVOL_ASK</t>
        </is>
      </c>
      <c r="LZ3" s="5" t="inlineStr">
        <is>
          <t>DELTA_MID</t>
        </is>
      </c>
      <c r="MA3" s="5" t="inlineStr">
        <is>
          <t>GAMMA_MID</t>
        </is>
      </c>
      <c r="MB3" s="5" t="inlineStr">
        <is>
          <t>VEGA_MID</t>
        </is>
      </c>
      <c r="MC3" s="5" t="inlineStr">
        <is>
          <t>THETA_MID</t>
        </is>
      </c>
      <c r="MD3" s="5" t="inlineStr">
        <is>
          <t>OPT_UNDL_PX</t>
        </is>
      </c>
      <c r="MF3" s="5" t="inlineStr">
        <is>
          <t>Date</t>
        </is>
      </c>
      <c r="MG3" s="5" t="inlineStr">
        <is>
          <t>PX_BID</t>
        </is>
      </c>
      <c r="MH3" s="5" t="inlineStr">
        <is>
          <t>PX_ASK</t>
        </is>
      </c>
      <c r="MI3" s="5" t="inlineStr">
        <is>
          <t>PX_MID</t>
        </is>
      </c>
      <c r="MJ3" s="5" t="inlineStr">
        <is>
          <t>PX_LAST</t>
        </is>
      </c>
      <c r="MK3" s="5" t="inlineStr">
        <is>
          <t>PX_SETTLE</t>
        </is>
      </c>
      <c r="ML3" s="5" t="inlineStr">
        <is>
          <t>PX_VOLUME</t>
        </is>
      </c>
      <c r="MM3" s="5" t="inlineStr">
        <is>
          <t>OPEN_INT</t>
        </is>
      </c>
      <c r="MN3" s="5" t="inlineStr">
        <is>
          <t>IVOL_MID</t>
        </is>
      </c>
      <c r="MO3" s="5" t="inlineStr">
        <is>
          <t>IVOL_BID</t>
        </is>
      </c>
      <c r="MP3" s="5" t="inlineStr">
        <is>
          <t>IVOL_ASK</t>
        </is>
      </c>
      <c r="MQ3" s="5" t="inlineStr">
        <is>
          <t>DELTA_MID</t>
        </is>
      </c>
      <c r="MR3" s="5" t="inlineStr">
        <is>
          <t>GAMMA_MID</t>
        </is>
      </c>
      <c r="MS3" s="5" t="inlineStr">
        <is>
          <t>VEGA_MID</t>
        </is>
      </c>
      <c r="MT3" s="5" t="inlineStr">
        <is>
          <t>THETA_MID</t>
        </is>
      </c>
      <c r="MU3" s="5" t="inlineStr">
        <is>
          <t>OPT_UNDL_PX</t>
        </is>
      </c>
      <c r="MW3" s="5" t="inlineStr">
        <is>
          <t>Date</t>
        </is>
      </c>
      <c r="MX3" s="5" t="inlineStr">
        <is>
          <t>PX_BID</t>
        </is>
      </c>
      <c r="MY3" s="5" t="inlineStr">
        <is>
          <t>PX_ASK</t>
        </is>
      </c>
      <c r="MZ3" s="5" t="inlineStr">
        <is>
          <t>PX_MID</t>
        </is>
      </c>
      <c r="NA3" s="5" t="inlineStr">
        <is>
          <t>PX_LAST</t>
        </is>
      </c>
      <c r="NB3" s="5" t="inlineStr">
        <is>
          <t>PX_SETTLE</t>
        </is>
      </c>
      <c r="NC3" s="5" t="inlineStr">
        <is>
          <t>PX_VOLUME</t>
        </is>
      </c>
      <c r="ND3" s="5" t="inlineStr">
        <is>
          <t>OPEN_INT</t>
        </is>
      </c>
      <c r="NE3" s="5" t="inlineStr">
        <is>
          <t>IVOL_MID</t>
        </is>
      </c>
      <c r="NF3" s="5" t="inlineStr">
        <is>
          <t>IVOL_BID</t>
        </is>
      </c>
      <c r="NG3" s="5" t="inlineStr">
        <is>
          <t>IVOL_ASK</t>
        </is>
      </c>
      <c r="NH3" s="5" t="inlineStr">
        <is>
          <t>DELTA_MID</t>
        </is>
      </c>
      <c r="NI3" s="5" t="inlineStr">
        <is>
          <t>GAMMA_MID</t>
        </is>
      </c>
      <c r="NJ3" s="5" t="inlineStr">
        <is>
          <t>VEGA_MID</t>
        </is>
      </c>
      <c r="NK3" s="5" t="inlineStr">
        <is>
          <t>THETA_MID</t>
        </is>
      </c>
      <c r="NL3" s="5" t="inlineStr">
        <is>
          <t>OPT_UNDL_PX</t>
        </is>
      </c>
    </row>
    <row r="4">
      <c r="A4" s="2" t="inlineStr">
        <is>
          <t>Strike reference date</t>
        </is>
      </c>
      <c r="B4" s="8">
        <f>B3-45</f>
        <v/>
      </c>
      <c r="D4" s="4">
        <f>BDH(D$1,E$3:S$3,$B$8,$B$9,"Dir=V","Dts=S","Sort=A","Days=T","Fill=B")</f>
        <v/>
      </c>
      <c r="U4" s="4">
        <f>BDH(U$1,V$3:AJ$3,$B$8,$B$9,"Dir=V","Dts=S","Sort=A","Days=T","Fill=B")</f>
        <v/>
      </c>
      <c r="AL4" s="4">
        <f>BDH(AL$1,AM$3:BA$3,$B$8,$B$9,"Dir=V","Dts=S","Sort=A","Days=T","Fill=B")</f>
        <v/>
      </c>
      <c r="BC4" s="4">
        <f>BDH(BC$1,BD$3:BR$3,$B$8,$B$9,"Dir=V","Dts=S","Sort=A","Days=T","Fill=B")</f>
        <v/>
      </c>
      <c r="BT4" s="4">
        <f>BDH(BT$1,BU$3:CI$3,$B$8,$B$9,"Dir=V","Dts=S","Sort=A","Days=T","Fill=B")</f>
        <v/>
      </c>
      <c r="CK4" s="4">
        <f>BDH(CK$1,CL$3:CZ$3,$B$8,$B$9,"Dir=V","Dts=S","Sort=A","Days=T","Fill=B")</f>
        <v/>
      </c>
      <c r="DB4" s="4">
        <f>BDH(DB$1,DC$3:DQ$3,$B$8,$B$9,"Dir=V","Dts=S","Sort=A","Days=T","Fill=B")</f>
        <v/>
      </c>
      <c r="DS4" s="4">
        <f>BDH(DS$1,DT$3:EH$3,$B$8,$B$9,"Dir=V","Dts=S","Sort=A","Days=T","Fill=B")</f>
        <v/>
      </c>
      <c r="EJ4" s="4">
        <f>BDH(EJ$1,EK$3:EY$3,$B$8,$B$9,"Dir=V","Dts=S","Sort=A","Days=T","Fill=B")</f>
        <v/>
      </c>
      <c r="FA4" s="4">
        <f>BDH(FA$1,FB$3:FP$3,$B$8,$B$9,"Dir=V","Dts=S","Sort=A","Days=T","Fill=B")</f>
        <v/>
      </c>
      <c r="FR4" s="4">
        <f>BDH(FR$1,FS$3:GG$3,$B$8,$B$9,"Dir=V","Dts=S","Sort=A","Days=T","Fill=B")</f>
        <v/>
      </c>
      <c r="GI4" s="4">
        <f>BDH(GI$1,GJ$3:GX$3,$B$8,$B$9,"Dir=V","Dts=S","Sort=A","Days=T","Fill=B")</f>
        <v/>
      </c>
      <c r="GZ4" s="4">
        <f>BDH(GZ$1,HA$3:HO$3,$B$8,$B$9,"Dir=V","Dts=S","Sort=A","Days=T","Fill=B")</f>
        <v/>
      </c>
      <c r="HQ4" s="4">
        <f>BDH(HQ$1,HR$3:IF$3,$B$8,$B$9,"Dir=V","Dts=S","Sort=A","Days=T","Fill=B")</f>
        <v/>
      </c>
      <c r="IH4" s="4">
        <f>BDH(IH$1,II$3:IW$3,$B$8,$B$9,"Dir=V","Dts=S","Sort=A","Days=T","Fill=B")</f>
        <v/>
      </c>
      <c r="IY4" s="4">
        <f>BDH(IY$1,IZ$3:JN$3,$B$8,$B$9,"Dir=V","Dts=S","Sort=A","Days=T","Fill=B")</f>
        <v/>
      </c>
      <c r="JP4" s="4">
        <f>BDH(JP$1,JQ$3:KE$3,$B$8,$B$9,"Dir=V","Dts=S","Sort=A","Days=T","Fill=B")</f>
        <v/>
      </c>
      <c r="KG4" s="4">
        <f>BDH(KG$1,KH$3:KV$3,$B$8,$B$9,"Dir=V","Dts=S","Sort=A","Days=T","Fill=B")</f>
        <v/>
      </c>
      <c r="KX4" s="4">
        <f>BDH(KX$1,KY$3:LM$3,$B$8,$B$9,"Dir=V","Dts=S","Sort=A","Days=T","Fill=B")</f>
        <v/>
      </c>
      <c r="LO4" s="4">
        <f>BDH(LO$1,LP$3:MD$3,$B$8,$B$9,"Dir=V","Dts=S","Sort=A","Days=T","Fill=B")</f>
        <v/>
      </c>
      <c r="MF4" s="4">
        <f>BDH(MF$1,MG$3:MU$3,$B$8,$B$9,"Dir=V","Dts=S","Sort=A","Days=T","Fill=B")</f>
        <v/>
      </c>
      <c r="MW4" s="4">
        <f>BDH(MW$1,MX$3:NL$3,$B$8,$B$9,"Dir=V","Dts=S","Sort=A","Days=T","Fill=B")</f>
        <v/>
      </c>
    </row>
    <row r="5">
      <c r="A5" s="2" t="inlineStr">
        <is>
          <t>Unadjusted close then</t>
        </is>
      </c>
      <c r="B5" s="10">
        <f>IF(B2="","",BDH(B2,"PX_LAST",B4,B4,"Days=A","Fill=P","Dts=H","CshAdjNormal=N","CshAdjAbnormal=N","CapChg=N"))</f>
        <v/>
      </c>
    </row>
    <row r="6">
      <c r="A6" s="2" t="inlineStr">
        <is>
          <t>Strike step</t>
        </is>
      </c>
      <c r="B6" s="11">
        <f>IF(ISNUMBER(B5),IF(B5&lt;25,0.5,IF(B5&lt;250,1,5)),"")</f>
        <v/>
      </c>
    </row>
    <row r="7">
      <c r="A7" s="2" t="inlineStr">
        <is>
          <t>ATM strike</t>
        </is>
      </c>
      <c r="B7" s="11">
        <f>IF(ISNUMBER(B5),ROUND(B5/B6,0)*B6,"")</f>
        <v/>
      </c>
    </row>
    <row r="8">
      <c r="A8" s="2" t="inlineStr">
        <is>
          <t>History start</t>
        </is>
      </c>
      <c r="B8" s="8">
        <f>B3-100</f>
        <v/>
      </c>
    </row>
    <row r="9">
      <c r="A9" s="2" t="inlineStr">
        <is>
          <t>History end</t>
        </is>
      </c>
      <c r="B9" s="8">
        <f>B3</f>
        <v/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NL9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2" customWidth="1" min="2" max="2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1" customWidth="1" min="15" max="15"/>
    <col width="11" customWidth="1" min="16" max="16"/>
    <col width="10" customWidth="1" min="17" max="17"/>
    <col width="11" customWidth="1" min="18" max="18"/>
    <col width="13" customWidth="1" min="19" max="19"/>
    <col width="12" customWidth="1" min="21" max="21"/>
    <col width="10" customWidth="1" min="22" max="22"/>
    <col width="10" customWidth="1" min="23" max="23"/>
    <col width="10" customWidth="1" min="24" max="24"/>
    <col width="10" customWidth="1" min="25" max="25"/>
    <col width="11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1" customWidth="1" min="32" max="32"/>
    <col width="11" customWidth="1" min="33" max="33"/>
    <col width="10" customWidth="1" min="34" max="34"/>
    <col width="11" customWidth="1" min="35" max="35"/>
    <col width="13" customWidth="1" min="36" max="36"/>
    <col width="12" customWidth="1" min="38" max="38"/>
    <col width="10" customWidth="1" min="39" max="39"/>
    <col width="10" customWidth="1" min="40" max="40"/>
    <col width="10" customWidth="1" min="41" max="41"/>
    <col width="10" customWidth="1" min="42" max="42"/>
    <col width="11" customWidth="1" min="43" max="43"/>
    <col width="11" customWidth="1" min="44" max="44"/>
    <col width="10" customWidth="1" min="45" max="45"/>
    <col width="10" customWidth="1" min="46" max="46"/>
    <col width="10" customWidth="1" min="47" max="47"/>
    <col width="10" customWidth="1" min="48" max="48"/>
    <col width="11" customWidth="1" min="49" max="49"/>
    <col width="11" customWidth="1" min="50" max="50"/>
    <col width="10" customWidth="1" min="51" max="51"/>
    <col width="11" customWidth="1" min="52" max="52"/>
    <col width="13" customWidth="1" min="53" max="53"/>
    <col width="12" customWidth="1" min="55" max="55"/>
    <col width="10" customWidth="1" min="56" max="56"/>
    <col width="10" customWidth="1" min="57" max="57"/>
    <col width="10" customWidth="1" min="58" max="58"/>
    <col width="10" customWidth="1" min="59" max="59"/>
    <col width="11" customWidth="1" min="60" max="60"/>
    <col width="11" customWidth="1" min="61" max="61"/>
    <col width="10" customWidth="1" min="62" max="62"/>
    <col width="10" customWidth="1" min="63" max="63"/>
    <col width="10" customWidth="1" min="64" max="64"/>
    <col width="10" customWidth="1" min="65" max="65"/>
    <col width="11" customWidth="1" min="66" max="66"/>
    <col width="11" customWidth="1" min="67" max="67"/>
    <col width="10" customWidth="1" min="68" max="68"/>
    <col width="11" customWidth="1" min="69" max="69"/>
    <col width="13" customWidth="1" min="70" max="70"/>
    <col width="12" customWidth="1" min="72" max="72"/>
    <col width="10" customWidth="1" min="73" max="73"/>
    <col width="10" customWidth="1" min="74" max="74"/>
    <col width="10" customWidth="1" min="75" max="75"/>
    <col width="10" customWidth="1" min="76" max="76"/>
    <col width="11" customWidth="1" min="77" max="77"/>
    <col width="11" customWidth="1" min="78" max="78"/>
    <col width="10" customWidth="1" min="79" max="79"/>
    <col width="10" customWidth="1" min="80" max="80"/>
    <col width="10" customWidth="1" min="81" max="81"/>
    <col width="10" customWidth="1" min="82" max="82"/>
    <col width="11" customWidth="1" min="83" max="83"/>
    <col width="11" customWidth="1" min="84" max="84"/>
    <col width="10" customWidth="1" min="85" max="85"/>
    <col width="11" customWidth="1" min="86" max="86"/>
    <col width="13" customWidth="1" min="87" max="87"/>
    <col width="12" customWidth="1" min="89" max="89"/>
    <col width="10" customWidth="1" min="90" max="90"/>
    <col width="10" customWidth="1" min="91" max="91"/>
    <col width="10" customWidth="1" min="92" max="92"/>
    <col width="10" customWidth="1" min="93" max="93"/>
    <col width="11" customWidth="1" min="94" max="94"/>
    <col width="11" customWidth="1" min="95" max="95"/>
    <col width="10" customWidth="1" min="96" max="96"/>
    <col width="10" customWidth="1" min="97" max="97"/>
    <col width="10" customWidth="1" min="98" max="98"/>
    <col width="10" customWidth="1" min="99" max="99"/>
    <col width="11" customWidth="1" min="100" max="100"/>
    <col width="11" customWidth="1" min="101" max="101"/>
    <col width="10" customWidth="1" min="102" max="102"/>
    <col width="11" customWidth="1" min="103" max="103"/>
    <col width="13" customWidth="1" min="104" max="104"/>
    <col width="12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1" customWidth="1" min="111" max="111"/>
    <col width="11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1" customWidth="1" min="117" max="117"/>
    <col width="11" customWidth="1" min="118" max="118"/>
    <col width="10" customWidth="1" min="119" max="119"/>
    <col width="11" customWidth="1" min="120" max="120"/>
    <col width="13" customWidth="1" min="121" max="121"/>
    <col width="12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1" customWidth="1" min="128" max="128"/>
    <col width="11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1" customWidth="1" min="134" max="134"/>
    <col width="11" customWidth="1" min="135" max="135"/>
    <col width="10" customWidth="1" min="136" max="136"/>
    <col width="11" customWidth="1" min="137" max="137"/>
    <col width="13" customWidth="1" min="138" max="138"/>
    <col width="12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1" customWidth="1" min="145" max="145"/>
    <col width="11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1" customWidth="1" min="151" max="151"/>
    <col width="11" customWidth="1" min="152" max="152"/>
    <col width="10" customWidth="1" min="153" max="153"/>
    <col width="11" customWidth="1" min="154" max="154"/>
    <col width="13" customWidth="1" min="155" max="155"/>
    <col width="12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1" customWidth="1" min="162" max="162"/>
    <col width="11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1" customWidth="1" min="168" max="168"/>
    <col width="11" customWidth="1" min="169" max="169"/>
    <col width="10" customWidth="1" min="170" max="170"/>
    <col width="11" customWidth="1" min="171" max="171"/>
    <col width="13" customWidth="1" min="172" max="172"/>
    <col width="12" customWidth="1" min="174" max="174"/>
    <col width="10" customWidth="1" min="175" max="175"/>
    <col width="10" customWidth="1" min="176" max="176"/>
    <col width="10" customWidth="1" min="177" max="177"/>
    <col width="10" customWidth="1" min="178" max="178"/>
    <col width="11" customWidth="1" min="179" max="179"/>
    <col width="11" customWidth="1" min="180" max="180"/>
    <col width="10" customWidth="1" min="181" max="181"/>
    <col width="10" customWidth="1" min="182" max="182"/>
    <col width="10" customWidth="1" min="183" max="183"/>
    <col width="10" customWidth="1" min="184" max="184"/>
    <col width="11" customWidth="1" min="185" max="185"/>
    <col width="11" customWidth="1" min="186" max="186"/>
    <col width="10" customWidth="1" min="187" max="187"/>
    <col width="11" customWidth="1" min="188" max="188"/>
    <col width="13" customWidth="1" min="189" max="189"/>
    <col width="12" customWidth="1" min="191" max="191"/>
    <col width="10" customWidth="1" min="192" max="192"/>
    <col width="10" customWidth="1" min="193" max="193"/>
    <col width="10" customWidth="1" min="194" max="194"/>
    <col width="10" customWidth="1" min="195" max="195"/>
    <col width="11" customWidth="1" min="196" max="196"/>
    <col width="11" customWidth="1" min="197" max="197"/>
    <col width="10" customWidth="1" min="198" max="198"/>
    <col width="10" customWidth="1" min="199" max="199"/>
    <col width="10" customWidth="1" min="200" max="200"/>
    <col width="10" customWidth="1" min="201" max="201"/>
    <col width="11" customWidth="1" min="202" max="202"/>
    <col width="11" customWidth="1" min="203" max="203"/>
    <col width="10" customWidth="1" min="204" max="204"/>
    <col width="11" customWidth="1" min="205" max="205"/>
    <col width="13" customWidth="1" min="206" max="206"/>
    <col width="12" customWidth="1" min="208" max="208"/>
    <col width="10" customWidth="1" min="209" max="209"/>
    <col width="10" customWidth="1" min="210" max="210"/>
    <col width="10" customWidth="1" min="211" max="211"/>
    <col width="10" customWidth="1" min="212" max="212"/>
    <col width="11" customWidth="1" min="213" max="213"/>
    <col width="11" customWidth="1" min="214" max="214"/>
    <col width="10" customWidth="1" min="215" max="215"/>
    <col width="10" customWidth="1" min="216" max="216"/>
    <col width="10" customWidth="1" min="217" max="217"/>
    <col width="10" customWidth="1" min="218" max="218"/>
    <col width="11" customWidth="1" min="219" max="219"/>
    <col width="11" customWidth="1" min="220" max="220"/>
    <col width="10" customWidth="1" min="221" max="221"/>
    <col width="11" customWidth="1" min="222" max="222"/>
    <col width="13" customWidth="1" min="223" max="223"/>
    <col width="12" customWidth="1" min="225" max="225"/>
    <col width="10" customWidth="1" min="226" max="226"/>
    <col width="10" customWidth="1" min="227" max="227"/>
    <col width="10" customWidth="1" min="228" max="228"/>
    <col width="10" customWidth="1" min="229" max="229"/>
    <col width="11" customWidth="1" min="230" max="230"/>
    <col width="11" customWidth="1" min="231" max="231"/>
    <col width="10" customWidth="1" min="232" max="232"/>
    <col width="10" customWidth="1" min="233" max="233"/>
    <col width="10" customWidth="1" min="234" max="234"/>
    <col width="10" customWidth="1" min="235" max="235"/>
    <col width="11" customWidth="1" min="236" max="236"/>
    <col width="11" customWidth="1" min="237" max="237"/>
    <col width="10" customWidth="1" min="238" max="238"/>
    <col width="11" customWidth="1" min="239" max="239"/>
    <col width="13" customWidth="1" min="240" max="240"/>
    <col width="12" customWidth="1" min="242" max="242"/>
    <col width="10" customWidth="1" min="243" max="243"/>
    <col width="10" customWidth="1" min="244" max="244"/>
    <col width="10" customWidth="1" min="245" max="245"/>
    <col width="10" customWidth="1" min="246" max="246"/>
    <col width="11" customWidth="1" min="247" max="247"/>
    <col width="11" customWidth="1" min="248" max="248"/>
    <col width="10" customWidth="1" min="249" max="249"/>
    <col width="10" customWidth="1" min="250" max="250"/>
    <col width="10" customWidth="1" min="251" max="251"/>
    <col width="10" customWidth="1" min="252" max="252"/>
    <col width="11" customWidth="1" min="253" max="253"/>
    <col width="11" customWidth="1" min="254" max="254"/>
    <col width="10" customWidth="1" min="255" max="255"/>
    <col width="11" customWidth="1" min="256" max="256"/>
    <col width="13" customWidth="1" min="257" max="257"/>
    <col width="12" customWidth="1" min="259" max="259"/>
    <col width="10" customWidth="1" min="260" max="260"/>
    <col width="10" customWidth="1" min="261" max="261"/>
    <col width="10" customWidth="1" min="262" max="262"/>
    <col width="10" customWidth="1" min="263" max="263"/>
    <col width="11" customWidth="1" min="264" max="264"/>
    <col width="11" customWidth="1" min="265" max="265"/>
    <col width="10" customWidth="1" min="266" max="266"/>
    <col width="10" customWidth="1" min="267" max="267"/>
    <col width="10" customWidth="1" min="268" max="268"/>
    <col width="10" customWidth="1" min="269" max="269"/>
    <col width="11" customWidth="1" min="270" max="270"/>
    <col width="11" customWidth="1" min="271" max="271"/>
    <col width="10" customWidth="1" min="272" max="272"/>
    <col width="11" customWidth="1" min="273" max="273"/>
    <col width="13" customWidth="1" min="274" max="274"/>
    <col width="12" customWidth="1" min="276" max="276"/>
    <col width="10" customWidth="1" min="277" max="277"/>
    <col width="10" customWidth="1" min="278" max="278"/>
    <col width="10" customWidth="1" min="279" max="279"/>
    <col width="10" customWidth="1" min="280" max="280"/>
    <col width="11" customWidth="1" min="281" max="281"/>
    <col width="11" customWidth="1" min="282" max="282"/>
    <col width="10" customWidth="1" min="283" max="283"/>
    <col width="10" customWidth="1" min="284" max="284"/>
    <col width="10" customWidth="1" min="285" max="285"/>
    <col width="10" customWidth="1" min="286" max="286"/>
    <col width="11" customWidth="1" min="287" max="287"/>
    <col width="11" customWidth="1" min="288" max="288"/>
    <col width="10" customWidth="1" min="289" max="289"/>
    <col width="11" customWidth="1" min="290" max="290"/>
    <col width="13" customWidth="1" min="291" max="291"/>
    <col width="12" customWidth="1" min="293" max="293"/>
    <col width="10" customWidth="1" min="294" max="294"/>
    <col width="10" customWidth="1" min="295" max="295"/>
    <col width="10" customWidth="1" min="296" max="296"/>
    <col width="10" customWidth="1" min="297" max="297"/>
    <col width="11" customWidth="1" min="298" max="298"/>
    <col width="11" customWidth="1" min="299" max="299"/>
    <col width="10" customWidth="1" min="300" max="300"/>
    <col width="10" customWidth="1" min="301" max="301"/>
    <col width="10" customWidth="1" min="302" max="302"/>
    <col width="10" customWidth="1" min="303" max="303"/>
    <col width="11" customWidth="1" min="304" max="304"/>
    <col width="11" customWidth="1" min="305" max="305"/>
    <col width="10" customWidth="1" min="306" max="306"/>
    <col width="11" customWidth="1" min="307" max="307"/>
    <col width="13" customWidth="1" min="308" max="308"/>
    <col width="12" customWidth="1" min="310" max="310"/>
    <col width="10" customWidth="1" min="311" max="311"/>
    <col width="10" customWidth="1" min="312" max="312"/>
    <col width="10" customWidth="1" min="313" max="313"/>
    <col width="10" customWidth="1" min="314" max="314"/>
    <col width="11" customWidth="1" min="315" max="315"/>
    <col width="11" customWidth="1" min="316" max="316"/>
    <col width="10" customWidth="1" min="317" max="317"/>
    <col width="10" customWidth="1" min="318" max="318"/>
    <col width="10" customWidth="1" min="319" max="319"/>
    <col width="10" customWidth="1" min="320" max="320"/>
    <col width="11" customWidth="1" min="321" max="321"/>
    <col width="11" customWidth="1" min="322" max="322"/>
    <col width="10" customWidth="1" min="323" max="323"/>
    <col width="11" customWidth="1" min="324" max="324"/>
    <col width="13" customWidth="1" min="325" max="325"/>
    <col width="12" customWidth="1" min="327" max="327"/>
    <col width="10" customWidth="1" min="328" max="328"/>
    <col width="10" customWidth="1" min="329" max="329"/>
    <col width="10" customWidth="1" min="330" max="330"/>
    <col width="10" customWidth="1" min="331" max="331"/>
    <col width="11" customWidth="1" min="332" max="332"/>
    <col width="11" customWidth="1" min="333" max="333"/>
    <col width="10" customWidth="1" min="334" max="334"/>
    <col width="10" customWidth="1" min="335" max="335"/>
    <col width="10" customWidth="1" min="336" max="336"/>
    <col width="10" customWidth="1" min="337" max="337"/>
    <col width="11" customWidth="1" min="338" max="338"/>
    <col width="11" customWidth="1" min="339" max="339"/>
    <col width="10" customWidth="1" min="340" max="340"/>
    <col width="11" customWidth="1" min="341" max="341"/>
    <col width="13" customWidth="1" min="342" max="342"/>
    <col width="12" customWidth="1" min="344" max="344"/>
    <col width="10" customWidth="1" min="345" max="345"/>
    <col width="10" customWidth="1" min="346" max="346"/>
    <col width="10" customWidth="1" min="347" max="347"/>
    <col width="10" customWidth="1" min="348" max="348"/>
    <col width="11" customWidth="1" min="349" max="349"/>
    <col width="11" customWidth="1" min="350" max="350"/>
    <col width="10" customWidth="1" min="351" max="351"/>
    <col width="10" customWidth="1" min="352" max="352"/>
    <col width="10" customWidth="1" min="353" max="353"/>
    <col width="10" customWidth="1" min="354" max="354"/>
    <col width="11" customWidth="1" min="355" max="355"/>
    <col width="11" customWidth="1" min="356" max="356"/>
    <col width="10" customWidth="1" min="357" max="357"/>
    <col width="11" customWidth="1" min="358" max="358"/>
    <col width="13" customWidth="1" min="359" max="359"/>
    <col width="12" customWidth="1" min="361" max="361"/>
    <col width="10" customWidth="1" min="362" max="362"/>
    <col width="10" customWidth="1" min="363" max="363"/>
    <col width="10" customWidth="1" min="364" max="364"/>
    <col width="10" customWidth="1" min="365" max="365"/>
    <col width="11" customWidth="1" min="366" max="366"/>
    <col width="11" customWidth="1" min="367" max="367"/>
    <col width="10" customWidth="1" min="368" max="368"/>
    <col width="10" customWidth="1" min="369" max="369"/>
    <col width="10" customWidth="1" min="370" max="370"/>
    <col width="10" customWidth="1" min="371" max="371"/>
    <col width="11" customWidth="1" min="372" max="372"/>
    <col width="11" customWidth="1" min="373" max="373"/>
    <col width="10" customWidth="1" min="374" max="374"/>
    <col width="11" customWidth="1" min="375" max="375"/>
    <col width="13" customWidth="1" min="376" max="376"/>
  </cols>
  <sheetData>
    <row r="1">
      <c r="A1" s="2" t="inlineStr">
        <is>
          <t>Month</t>
        </is>
      </c>
      <c r="B1" s="9" t="n">
        <v>5</v>
      </c>
      <c r="D1" s="2">
        <f>IF(ISNUMBER(B$7),"USO US "&amp;TEXT(B$3,"mm/dd/yy")&amp;" C"&amp;(B$7-5*B$6)&amp;" Equity","")</f>
        <v/>
      </c>
      <c r="U1" s="2">
        <f>IF(ISNUMBER(B$7),"USO US "&amp;TEXT(B$3,"mm/dd/yy")&amp;" P"&amp;(B$7-5*B$6)&amp;" Equity","")</f>
        <v/>
      </c>
      <c r="AL1" s="2">
        <f>IF(ISNUMBER(B$7),"USO US "&amp;TEXT(B$3,"mm/dd/yy")&amp;" C"&amp;(B$7-4*B$6)&amp;" Equity","")</f>
        <v/>
      </c>
      <c r="BC1" s="2">
        <f>IF(ISNUMBER(B$7),"USO US "&amp;TEXT(B$3,"mm/dd/yy")&amp;" P"&amp;(B$7-4*B$6)&amp;" Equity","")</f>
        <v/>
      </c>
      <c r="BT1" s="2">
        <f>IF(ISNUMBER(B$7),"USO US "&amp;TEXT(B$3,"mm/dd/yy")&amp;" C"&amp;(B$7-3*B$6)&amp;" Equity","")</f>
        <v/>
      </c>
      <c r="CK1" s="2">
        <f>IF(ISNUMBER(B$7),"USO US "&amp;TEXT(B$3,"mm/dd/yy")&amp;" P"&amp;(B$7-3*B$6)&amp;" Equity","")</f>
        <v/>
      </c>
      <c r="DB1" s="2">
        <f>IF(ISNUMBER(B$7),"USO US "&amp;TEXT(B$3,"mm/dd/yy")&amp;" C"&amp;(B$7-2*B$6)&amp;" Equity","")</f>
        <v/>
      </c>
      <c r="DS1" s="2">
        <f>IF(ISNUMBER(B$7),"USO US "&amp;TEXT(B$3,"mm/dd/yy")&amp;" P"&amp;(B$7-2*B$6)&amp;" Equity","")</f>
        <v/>
      </c>
      <c r="EJ1" s="2">
        <f>IF(ISNUMBER(B$7),"USO US "&amp;TEXT(B$3,"mm/dd/yy")&amp;" C"&amp;(B$7-1*B$6)&amp;" Equity","")</f>
        <v/>
      </c>
      <c r="FA1" s="2">
        <f>IF(ISNUMBER(B$7),"USO US "&amp;TEXT(B$3,"mm/dd/yy")&amp;" P"&amp;(B$7-1*B$6)&amp;" Equity","")</f>
        <v/>
      </c>
      <c r="FR1" s="2">
        <f>IF(ISNUMBER(B$7),"USO US "&amp;TEXT(B$3,"mm/dd/yy")&amp;" C"&amp;B$7&amp;" Equity","")</f>
        <v/>
      </c>
      <c r="GI1" s="2">
        <f>IF(ISNUMBER(B$7),"USO US "&amp;TEXT(B$3,"mm/dd/yy")&amp;" P"&amp;B$7&amp;" Equity","")</f>
        <v/>
      </c>
      <c r="GZ1" s="2">
        <f>IF(ISNUMBER(B$7),"USO US "&amp;TEXT(B$3,"mm/dd/yy")&amp;" C"&amp;(B$7+1*B$6)&amp;" Equity","")</f>
        <v/>
      </c>
      <c r="HQ1" s="2">
        <f>IF(ISNUMBER(B$7),"USO US "&amp;TEXT(B$3,"mm/dd/yy")&amp;" P"&amp;(B$7+1*B$6)&amp;" Equity","")</f>
        <v/>
      </c>
      <c r="IH1" s="2">
        <f>IF(ISNUMBER(B$7),"USO US "&amp;TEXT(B$3,"mm/dd/yy")&amp;" C"&amp;(B$7+2*B$6)&amp;" Equity","")</f>
        <v/>
      </c>
      <c r="IY1" s="2">
        <f>IF(ISNUMBER(B$7),"USO US "&amp;TEXT(B$3,"mm/dd/yy")&amp;" P"&amp;(B$7+2*B$6)&amp;" Equity","")</f>
        <v/>
      </c>
      <c r="JP1" s="2">
        <f>IF(ISNUMBER(B$7),"USO US "&amp;TEXT(B$3,"mm/dd/yy")&amp;" C"&amp;(B$7+3*B$6)&amp;" Equity","")</f>
        <v/>
      </c>
      <c r="KG1" s="2">
        <f>IF(ISNUMBER(B$7),"USO US "&amp;TEXT(B$3,"mm/dd/yy")&amp;" P"&amp;(B$7+3*B$6)&amp;" Equity","")</f>
        <v/>
      </c>
      <c r="KX1" s="2">
        <f>IF(ISNUMBER(B$7),"USO US "&amp;TEXT(B$3,"mm/dd/yy")&amp;" C"&amp;(B$7+4*B$6)&amp;" Equity","")</f>
        <v/>
      </c>
      <c r="LO1" s="2">
        <f>IF(ISNUMBER(B$7),"USO US "&amp;TEXT(B$3,"mm/dd/yy")&amp;" P"&amp;(B$7+4*B$6)&amp;" Equity","")</f>
        <v/>
      </c>
      <c r="MF1" s="2">
        <f>IF(ISNUMBER(B$7),"USO US "&amp;TEXT(B$3,"mm/dd/yy")&amp;" C"&amp;(B$7+5*B$6)&amp;" Equity","")</f>
        <v/>
      </c>
      <c r="MW1" s="2">
        <f>IF(ISNUMBER(B$7),"USO US "&amp;TEXT(B$3,"mm/dd/yy")&amp;" P"&amp;(B$7+5*B$6)&amp;" Equity","")</f>
        <v/>
      </c>
    </row>
    <row r="2">
      <c r="A2" s="2" t="inlineStr">
        <is>
          <t>Underlying</t>
        </is>
      </c>
      <c r="B2" s="4">
        <f>IF(Settings!$B$15="Y","USO US Equity","")</f>
        <v/>
      </c>
      <c r="D2" s="4" t="inlineStr">
        <is>
          <t>call -5 from ATM</t>
        </is>
      </c>
      <c r="U2" s="4" t="inlineStr">
        <is>
          <t>put -5 from ATM</t>
        </is>
      </c>
      <c r="AL2" s="4" t="inlineStr">
        <is>
          <t>call -4 from ATM</t>
        </is>
      </c>
      <c r="BC2" s="4" t="inlineStr">
        <is>
          <t>put -4 from ATM</t>
        </is>
      </c>
      <c r="BT2" s="4" t="inlineStr">
        <is>
          <t>call -3 from ATM</t>
        </is>
      </c>
      <c r="CK2" s="4" t="inlineStr">
        <is>
          <t>put -3 from ATM</t>
        </is>
      </c>
      <c r="DB2" s="4" t="inlineStr">
        <is>
          <t>call -2 from ATM</t>
        </is>
      </c>
      <c r="DS2" s="4" t="inlineStr">
        <is>
          <t>put -2 from ATM</t>
        </is>
      </c>
      <c r="EJ2" s="4" t="inlineStr">
        <is>
          <t>call -1 from ATM</t>
        </is>
      </c>
      <c r="FA2" s="4" t="inlineStr">
        <is>
          <t>put -1 from ATM</t>
        </is>
      </c>
      <c r="FR2" s="4" t="inlineStr">
        <is>
          <t>call +0 from ATM</t>
        </is>
      </c>
      <c r="GI2" s="4" t="inlineStr">
        <is>
          <t>put +0 from ATM</t>
        </is>
      </c>
      <c r="GZ2" s="4" t="inlineStr">
        <is>
          <t>call +1 from ATM</t>
        </is>
      </c>
      <c r="HQ2" s="4" t="inlineStr">
        <is>
          <t>put +1 from ATM</t>
        </is>
      </c>
      <c r="IH2" s="4" t="inlineStr">
        <is>
          <t>call +2 from ATM</t>
        </is>
      </c>
      <c r="IY2" s="4" t="inlineStr">
        <is>
          <t>put +2 from ATM</t>
        </is>
      </c>
      <c r="JP2" s="4" t="inlineStr">
        <is>
          <t>call +3 from ATM</t>
        </is>
      </c>
      <c r="KG2" s="4" t="inlineStr">
        <is>
          <t>put +3 from ATM</t>
        </is>
      </c>
      <c r="KX2" s="4" t="inlineStr">
        <is>
          <t>call +4 from ATM</t>
        </is>
      </c>
      <c r="LO2" s="4" t="inlineStr">
        <is>
          <t>put +4 from ATM</t>
        </is>
      </c>
      <c r="MF2" s="4" t="inlineStr">
        <is>
          <t>call +5 from ATM</t>
        </is>
      </c>
      <c r="MW2" s="4" t="inlineStr">
        <is>
          <t>put +5 from ATM</t>
        </is>
      </c>
    </row>
    <row r="3">
      <c r="A3" s="2" t="inlineStr">
        <is>
          <t>Expiry (3rd Friday)</t>
        </is>
      </c>
      <c r="B3" s="3">
        <f>DATE(Settings!$E$15,B1,15)+MOD(6-WEEKDAY(DATE(Settings!$E$15,B1,15)),7)</f>
        <v/>
      </c>
      <c r="D3" s="5" t="inlineStr">
        <is>
          <t>Date</t>
        </is>
      </c>
      <c r="E3" s="5" t="inlineStr">
        <is>
          <t>PX_BID</t>
        </is>
      </c>
      <c r="F3" s="5" t="inlineStr">
        <is>
          <t>PX_ASK</t>
        </is>
      </c>
      <c r="G3" s="5" t="inlineStr">
        <is>
          <t>PX_MID</t>
        </is>
      </c>
      <c r="H3" s="5" t="inlineStr">
        <is>
          <t>PX_LAST</t>
        </is>
      </c>
      <c r="I3" s="5" t="inlineStr">
        <is>
          <t>PX_SETTLE</t>
        </is>
      </c>
      <c r="J3" s="5" t="inlineStr">
        <is>
          <t>PX_VOLUME</t>
        </is>
      </c>
      <c r="K3" s="5" t="inlineStr">
        <is>
          <t>OPEN_INT</t>
        </is>
      </c>
      <c r="L3" s="5" t="inlineStr">
        <is>
          <t>IVOL_MID</t>
        </is>
      </c>
      <c r="M3" s="5" t="inlineStr">
        <is>
          <t>IVOL_BID</t>
        </is>
      </c>
      <c r="N3" s="5" t="inlineStr">
        <is>
          <t>IVOL_ASK</t>
        </is>
      </c>
      <c r="O3" s="5" t="inlineStr">
        <is>
          <t>DELTA_MID</t>
        </is>
      </c>
      <c r="P3" s="5" t="inlineStr">
        <is>
          <t>GAMMA_MID</t>
        </is>
      </c>
      <c r="Q3" s="5" t="inlineStr">
        <is>
          <t>VEGA_MID</t>
        </is>
      </c>
      <c r="R3" s="5" t="inlineStr">
        <is>
          <t>THETA_MID</t>
        </is>
      </c>
      <c r="S3" s="5" t="inlineStr">
        <is>
          <t>OPT_UNDL_PX</t>
        </is>
      </c>
      <c r="U3" s="5" t="inlineStr">
        <is>
          <t>Date</t>
        </is>
      </c>
      <c r="V3" s="5" t="inlineStr">
        <is>
          <t>PX_BID</t>
        </is>
      </c>
      <c r="W3" s="5" t="inlineStr">
        <is>
          <t>PX_ASK</t>
        </is>
      </c>
      <c r="X3" s="5" t="inlineStr">
        <is>
          <t>PX_MID</t>
        </is>
      </c>
      <c r="Y3" s="5" t="inlineStr">
        <is>
          <t>PX_LAST</t>
        </is>
      </c>
      <c r="Z3" s="5" t="inlineStr">
        <is>
          <t>PX_SETTLE</t>
        </is>
      </c>
      <c r="AA3" s="5" t="inlineStr">
        <is>
          <t>PX_VOLUME</t>
        </is>
      </c>
      <c r="AB3" s="5" t="inlineStr">
        <is>
          <t>OPEN_INT</t>
        </is>
      </c>
      <c r="AC3" s="5" t="inlineStr">
        <is>
          <t>IVOL_MID</t>
        </is>
      </c>
      <c r="AD3" s="5" t="inlineStr">
        <is>
          <t>IVOL_BID</t>
        </is>
      </c>
      <c r="AE3" s="5" t="inlineStr">
        <is>
          <t>IVOL_ASK</t>
        </is>
      </c>
      <c r="AF3" s="5" t="inlineStr">
        <is>
          <t>DELTA_MID</t>
        </is>
      </c>
      <c r="AG3" s="5" t="inlineStr">
        <is>
          <t>GAMMA_MID</t>
        </is>
      </c>
      <c r="AH3" s="5" t="inlineStr">
        <is>
          <t>VEGA_MID</t>
        </is>
      </c>
      <c r="AI3" s="5" t="inlineStr">
        <is>
          <t>THETA_MID</t>
        </is>
      </c>
      <c r="AJ3" s="5" t="inlineStr">
        <is>
          <t>OPT_UNDL_PX</t>
        </is>
      </c>
      <c r="AL3" s="5" t="inlineStr">
        <is>
          <t>Date</t>
        </is>
      </c>
      <c r="AM3" s="5" t="inlineStr">
        <is>
          <t>PX_BID</t>
        </is>
      </c>
      <c r="AN3" s="5" t="inlineStr">
        <is>
          <t>PX_ASK</t>
        </is>
      </c>
      <c r="AO3" s="5" t="inlineStr">
        <is>
          <t>PX_MID</t>
        </is>
      </c>
      <c r="AP3" s="5" t="inlineStr">
        <is>
          <t>PX_LAST</t>
        </is>
      </c>
      <c r="AQ3" s="5" t="inlineStr">
        <is>
          <t>PX_SETTLE</t>
        </is>
      </c>
      <c r="AR3" s="5" t="inlineStr">
        <is>
          <t>PX_VOLUME</t>
        </is>
      </c>
      <c r="AS3" s="5" t="inlineStr">
        <is>
          <t>OPEN_INT</t>
        </is>
      </c>
      <c r="AT3" s="5" t="inlineStr">
        <is>
          <t>IVOL_MID</t>
        </is>
      </c>
      <c r="AU3" s="5" t="inlineStr">
        <is>
          <t>IVOL_BID</t>
        </is>
      </c>
      <c r="AV3" s="5" t="inlineStr">
        <is>
          <t>IVOL_ASK</t>
        </is>
      </c>
      <c r="AW3" s="5" t="inlineStr">
        <is>
          <t>DELTA_MID</t>
        </is>
      </c>
      <c r="AX3" s="5" t="inlineStr">
        <is>
          <t>GAMMA_MID</t>
        </is>
      </c>
      <c r="AY3" s="5" t="inlineStr">
        <is>
          <t>VEGA_MID</t>
        </is>
      </c>
      <c r="AZ3" s="5" t="inlineStr">
        <is>
          <t>THETA_MID</t>
        </is>
      </c>
      <c r="BA3" s="5" t="inlineStr">
        <is>
          <t>OPT_UNDL_PX</t>
        </is>
      </c>
      <c r="BC3" s="5" t="inlineStr">
        <is>
          <t>Date</t>
        </is>
      </c>
      <c r="BD3" s="5" t="inlineStr">
        <is>
          <t>PX_BID</t>
        </is>
      </c>
      <c r="BE3" s="5" t="inlineStr">
        <is>
          <t>PX_ASK</t>
        </is>
      </c>
      <c r="BF3" s="5" t="inlineStr">
        <is>
          <t>PX_MID</t>
        </is>
      </c>
      <c r="BG3" s="5" t="inlineStr">
        <is>
          <t>PX_LAST</t>
        </is>
      </c>
      <c r="BH3" s="5" t="inlineStr">
        <is>
          <t>PX_SETTLE</t>
        </is>
      </c>
      <c r="BI3" s="5" t="inlineStr">
        <is>
          <t>PX_VOLUME</t>
        </is>
      </c>
      <c r="BJ3" s="5" t="inlineStr">
        <is>
          <t>OPEN_INT</t>
        </is>
      </c>
      <c r="BK3" s="5" t="inlineStr">
        <is>
          <t>IVOL_MID</t>
        </is>
      </c>
      <c r="BL3" s="5" t="inlineStr">
        <is>
          <t>IVOL_BID</t>
        </is>
      </c>
      <c r="BM3" s="5" t="inlineStr">
        <is>
          <t>IVOL_ASK</t>
        </is>
      </c>
      <c r="BN3" s="5" t="inlineStr">
        <is>
          <t>DELTA_MID</t>
        </is>
      </c>
      <c r="BO3" s="5" t="inlineStr">
        <is>
          <t>GAMMA_MID</t>
        </is>
      </c>
      <c r="BP3" s="5" t="inlineStr">
        <is>
          <t>VEGA_MID</t>
        </is>
      </c>
      <c r="BQ3" s="5" t="inlineStr">
        <is>
          <t>THETA_MID</t>
        </is>
      </c>
      <c r="BR3" s="5" t="inlineStr">
        <is>
          <t>OPT_UNDL_PX</t>
        </is>
      </c>
      <c r="BT3" s="5" t="inlineStr">
        <is>
          <t>Date</t>
        </is>
      </c>
      <c r="BU3" s="5" t="inlineStr">
        <is>
          <t>PX_BID</t>
        </is>
      </c>
      <c r="BV3" s="5" t="inlineStr">
        <is>
          <t>PX_ASK</t>
        </is>
      </c>
      <c r="BW3" s="5" t="inlineStr">
        <is>
          <t>PX_MID</t>
        </is>
      </c>
      <c r="BX3" s="5" t="inlineStr">
        <is>
          <t>PX_LAST</t>
        </is>
      </c>
      <c r="BY3" s="5" t="inlineStr">
        <is>
          <t>PX_SETTLE</t>
        </is>
      </c>
      <c r="BZ3" s="5" t="inlineStr">
        <is>
          <t>PX_VOLUME</t>
        </is>
      </c>
      <c r="CA3" s="5" t="inlineStr">
        <is>
          <t>OPEN_INT</t>
        </is>
      </c>
      <c r="CB3" s="5" t="inlineStr">
        <is>
          <t>IVOL_MID</t>
        </is>
      </c>
      <c r="CC3" s="5" t="inlineStr">
        <is>
          <t>IVOL_BID</t>
        </is>
      </c>
      <c r="CD3" s="5" t="inlineStr">
        <is>
          <t>IVOL_ASK</t>
        </is>
      </c>
      <c r="CE3" s="5" t="inlineStr">
        <is>
          <t>DELTA_MID</t>
        </is>
      </c>
      <c r="CF3" s="5" t="inlineStr">
        <is>
          <t>GAMMA_MID</t>
        </is>
      </c>
      <c r="CG3" s="5" t="inlineStr">
        <is>
          <t>VEGA_MID</t>
        </is>
      </c>
      <c r="CH3" s="5" t="inlineStr">
        <is>
          <t>THETA_MID</t>
        </is>
      </c>
      <c r="CI3" s="5" t="inlineStr">
        <is>
          <t>OPT_UNDL_PX</t>
        </is>
      </c>
      <c r="CK3" s="5" t="inlineStr">
        <is>
          <t>Date</t>
        </is>
      </c>
      <c r="CL3" s="5" t="inlineStr">
        <is>
          <t>PX_BID</t>
        </is>
      </c>
      <c r="CM3" s="5" t="inlineStr">
        <is>
          <t>PX_ASK</t>
        </is>
      </c>
      <c r="CN3" s="5" t="inlineStr">
        <is>
          <t>PX_MID</t>
        </is>
      </c>
      <c r="CO3" s="5" t="inlineStr">
        <is>
          <t>PX_LAST</t>
        </is>
      </c>
      <c r="CP3" s="5" t="inlineStr">
        <is>
          <t>PX_SETTLE</t>
        </is>
      </c>
      <c r="CQ3" s="5" t="inlineStr">
        <is>
          <t>PX_VOLUME</t>
        </is>
      </c>
      <c r="CR3" s="5" t="inlineStr">
        <is>
          <t>OPEN_INT</t>
        </is>
      </c>
      <c r="CS3" s="5" t="inlineStr">
        <is>
          <t>IVOL_MID</t>
        </is>
      </c>
      <c r="CT3" s="5" t="inlineStr">
        <is>
          <t>IVOL_BID</t>
        </is>
      </c>
      <c r="CU3" s="5" t="inlineStr">
        <is>
          <t>IVOL_ASK</t>
        </is>
      </c>
      <c r="CV3" s="5" t="inlineStr">
        <is>
          <t>DELTA_MID</t>
        </is>
      </c>
      <c r="CW3" s="5" t="inlineStr">
        <is>
          <t>GAMMA_MID</t>
        </is>
      </c>
      <c r="CX3" s="5" t="inlineStr">
        <is>
          <t>VEGA_MID</t>
        </is>
      </c>
      <c r="CY3" s="5" t="inlineStr">
        <is>
          <t>THETA_MID</t>
        </is>
      </c>
      <c r="CZ3" s="5" t="inlineStr">
        <is>
          <t>OPT_UNDL_PX</t>
        </is>
      </c>
      <c r="DB3" s="5" t="inlineStr">
        <is>
          <t>Date</t>
        </is>
      </c>
      <c r="DC3" s="5" t="inlineStr">
        <is>
          <t>PX_BID</t>
        </is>
      </c>
      <c r="DD3" s="5" t="inlineStr">
        <is>
          <t>PX_ASK</t>
        </is>
      </c>
      <c r="DE3" s="5" t="inlineStr">
        <is>
          <t>PX_MID</t>
        </is>
      </c>
      <c r="DF3" s="5" t="inlineStr">
        <is>
          <t>PX_LAST</t>
        </is>
      </c>
      <c r="DG3" s="5" t="inlineStr">
        <is>
          <t>PX_SETTLE</t>
        </is>
      </c>
      <c r="DH3" s="5" t="inlineStr">
        <is>
          <t>PX_VOLUME</t>
        </is>
      </c>
      <c r="DI3" s="5" t="inlineStr">
        <is>
          <t>OPEN_INT</t>
        </is>
      </c>
      <c r="DJ3" s="5" t="inlineStr">
        <is>
          <t>IVOL_MID</t>
        </is>
      </c>
      <c r="DK3" s="5" t="inlineStr">
        <is>
          <t>IVOL_BID</t>
        </is>
      </c>
      <c r="DL3" s="5" t="inlineStr">
        <is>
          <t>IVOL_ASK</t>
        </is>
      </c>
      <c r="DM3" s="5" t="inlineStr">
        <is>
          <t>DELTA_MID</t>
        </is>
      </c>
      <c r="DN3" s="5" t="inlineStr">
        <is>
          <t>GAMMA_MID</t>
        </is>
      </c>
      <c r="DO3" s="5" t="inlineStr">
        <is>
          <t>VEGA_MID</t>
        </is>
      </c>
      <c r="DP3" s="5" t="inlineStr">
        <is>
          <t>THETA_MID</t>
        </is>
      </c>
      <c r="DQ3" s="5" t="inlineStr">
        <is>
          <t>OPT_UNDL_PX</t>
        </is>
      </c>
      <c r="DS3" s="5" t="inlineStr">
        <is>
          <t>Date</t>
        </is>
      </c>
      <c r="DT3" s="5" t="inlineStr">
        <is>
          <t>PX_BID</t>
        </is>
      </c>
      <c r="DU3" s="5" t="inlineStr">
        <is>
          <t>PX_ASK</t>
        </is>
      </c>
      <c r="DV3" s="5" t="inlineStr">
        <is>
          <t>PX_MID</t>
        </is>
      </c>
      <c r="DW3" s="5" t="inlineStr">
        <is>
          <t>PX_LAST</t>
        </is>
      </c>
      <c r="DX3" s="5" t="inlineStr">
        <is>
          <t>PX_SETTLE</t>
        </is>
      </c>
      <c r="DY3" s="5" t="inlineStr">
        <is>
          <t>PX_VOLUME</t>
        </is>
      </c>
      <c r="DZ3" s="5" t="inlineStr">
        <is>
          <t>OPEN_INT</t>
        </is>
      </c>
      <c r="EA3" s="5" t="inlineStr">
        <is>
          <t>IVOL_MID</t>
        </is>
      </c>
      <c r="EB3" s="5" t="inlineStr">
        <is>
          <t>IVOL_BID</t>
        </is>
      </c>
      <c r="EC3" s="5" t="inlineStr">
        <is>
          <t>IVOL_ASK</t>
        </is>
      </c>
      <c r="ED3" s="5" t="inlineStr">
        <is>
          <t>DELTA_MID</t>
        </is>
      </c>
      <c r="EE3" s="5" t="inlineStr">
        <is>
          <t>GAMMA_MID</t>
        </is>
      </c>
      <c r="EF3" s="5" t="inlineStr">
        <is>
          <t>VEGA_MID</t>
        </is>
      </c>
      <c r="EG3" s="5" t="inlineStr">
        <is>
          <t>THETA_MID</t>
        </is>
      </c>
      <c r="EH3" s="5" t="inlineStr">
        <is>
          <t>OPT_UNDL_PX</t>
        </is>
      </c>
      <c r="EJ3" s="5" t="inlineStr">
        <is>
          <t>Date</t>
        </is>
      </c>
      <c r="EK3" s="5" t="inlineStr">
        <is>
          <t>PX_BID</t>
        </is>
      </c>
      <c r="EL3" s="5" t="inlineStr">
        <is>
          <t>PX_ASK</t>
        </is>
      </c>
      <c r="EM3" s="5" t="inlineStr">
        <is>
          <t>PX_MID</t>
        </is>
      </c>
      <c r="EN3" s="5" t="inlineStr">
        <is>
          <t>PX_LAST</t>
        </is>
      </c>
      <c r="EO3" s="5" t="inlineStr">
        <is>
          <t>PX_SETTLE</t>
        </is>
      </c>
      <c r="EP3" s="5" t="inlineStr">
        <is>
          <t>PX_VOLUME</t>
        </is>
      </c>
      <c r="EQ3" s="5" t="inlineStr">
        <is>
          <t>OPEN_INT</t>
        </is>
      </c>
      <c r="ER3" s="5" t="inlineStr">
        <is>
          <t>IVOL_MID</t>
        </is>
      </c>
      <c r="ES3" s="5" t="inlineStr">
        <is>
          <t>IVOL_BID</t>
        </is>
      </c>
      <c r="ET3" s="5" t="inlineStr">
        <is>
          <t>IVOL_ASK</t>
        </is>
      </c>
      <c r="EU3" s="5" t="inlineStr">
        <is>
          <t>DELTA_MID</t>
        </is>
      </c>
      <c r="EV3" s="5" t="inlineStr">
        <is>
          <t>GAMMA_MID</t>
        </is>
      </c>
      <c r="EW3" s="5" t="inlineStr">
        <is>
          <t>VEGA_MID</t>
        </is>
      </c>
      <c r="EX3" s="5" t="inlineStr">
        <is>
          <t>THETA_MID</t>
        </is>
      </c>
      <c r="EY3" s="5" t="inlineStr">
        <is>
          <t>OPT_UNDL_PX</t>
        </is>
      </c>
      <c r="FA3" s="5" t="inlineStr">
        <is>
          <t>Date</t>
        </is>
      </c>
      <c r="FB3" s="5" t="inlineStr">
        <is>
          <t>PX_BID</t>
        </is>
      </c>
      <c r="FC3" s="5" t="inlineStr">
        <is>
          <t>PX_ASK</t>
        </is>
      </c>
      <c r="FD3" s="5" t="inlineStr">
        <is>
          <t>PX_MID</t>
        </is>
      </c>
      <c r="FE3" s="5" t="inlineStr">
        <is>
          <t>PX_LAST</t>
        </is>
      </c>
      <c r="FF3" s="5" t="inlineStr">
        <is>
          <t>PX_SETTLE</t>
        </is>
      </c>
      <c r="FG3" s="5" t="inlineStr">
        <is>
          <t>PX_VOLUME</t>
        </is>
      </c>
      <c r="FH3" s="5" t="inlineStr">
        <is>
          <t>OPEN_INT</t>
        </is>
      </c>
      <c r="FI3" s="5" t="inlineStr">
        <is>
          <t>IVOL_MID</t>
        </is>
      </c>
      <c r="FJ3" s="5" t="inlineStr">
        <is>
          <t>IVOL_BID</t>
        </is>
      </c>
      <c r="FK3" s="5" t="inlineStr">
        <is>
          <t>IVOL_ASK</t>
        </is>
      </c>
      <c r="FL3" s="5" t="inlineStr">
        <is>
          <t>DELTA_MID</t>
        </is>
      </c>
      <c r="FM3" s="5" t="inlineStr">
        <is>
          <t>GAMMA_MID</t>
        </is>
      </c>
      <c r="FN3" s="5" t="inlineStr">
        <is>
          <t>VEGA_MID</t>
        </is>
      </c>
      <c r="FO3" s="5" t="inlineStr">
        <is>
          <t>THETA_MID</t>
        </is>
      </c>
      <c r="FP3" s="5" t="inlineStr">
        <is>
          <t>OPT_UNDL_PX</t>
        </is>
      </c>
      <c r="FR3" s="5" t="inlineStr">
        <is>
          <t>Date</t>
        </is>
      </c>
      <c r="FS3" s="5" t="inlineStr">
        <is>
          <t>PX_BID</t>
        </is>
      </c>
      <c r="FT3" s="5" t="inlineStr">
        <is>
          <t>PX_ASK</t>
        </is>
      </c>
      <c r="FU3" s="5" t="inlineStr">
        <is>
          <t>PX_MID</t>
        </is>
      </c>
      <c r="FV3" s="5" t="inlineStr">
        <is>
          <t>PX_LAST</t>
        </is>
      </c>
      <c r="FW3" s="5" t="inlineStr">
        <is>
          <t>PX_SETTLE</t>
        </is>
      </c>
      <c r="FX3" s="5" t="inlineStr">
        <is>
          <t>PX_VOLUME</t>
        </is>
      </c>
      <c r="FY3" s="5" t="inlineStr">
        <is>
          <t>OPEN_INT</t>
        </is>
      </c>
      <c r="FZ3" s="5" t="inlineStr">
        <is>
          <t>IVOL_MID</t>
        </is>
      </c>
      <c r="GA3" s="5" t="inlineStr">
        <is>
          <t>IVOL_BID</t>
        </is>
      </c>
      <c r="GB3" s="5" t="inlineStr">
        <is>
          <t>IVOL_ASK</t>
        </is>
      </c>
      <c r="GC3" s="5" t="inlineStr">
        <is>
          <t>DELTA_MID</t>
        </is>
      </c>
      <c r="GD3" s="5" t="inlineStr">
        <is>
          <t>GAMMA_MID</t>
        </is>
      </c>
      <c r="GE3" s="5" t="inlineStr">
        <is>
          <t>VEGA_MID</t>
        </is>
      </c>
      <c r="GF3" s="5" t="inlineStr">
        <is>
          <t>THETA_MID</t>
        </is>
      </c>
      <c r="GG3" s="5" t="inlineStr">
        <is>
          <t>OPT_UNDL_PX</t>
        </is>
      </c>
      <c r="GI3" s="5" t="inlineStr">
        <is>
          <t>Date</t>
        </is>
      </c>
      <c r="GJ3" s="5" t="inlineStr">
        <is>
          <t>PX_BID</t>
        </is>
      </c>
      <c r="GK3" s="5" t="inlineStr">
        <is>
          <t>PX_ASK</t>
        </is>
      </c>
      <c r="GL3" s="5" t="inlineStr">
        <is>
          <t>PX_MID</t>
        </is>
      </c>
      <c r="GM3" s="5" t="inlineStr">
        <is>
          <t>PX_LAST</t>
        </is>
      </c>
      <c r="GN3" s="5" t="inlineStr">
        <is>
          <t>PX_SETTLE</t>
        </is>
      </c>
      <c r="GO3" s="5" t="inlineStr">
        <is>
          <t>PX_VOLUME</t>
        </is>
      </c>
      <c r="GP3" s="5" t="inlineStr">
        <is>
          <t>OPEN_INT</t>
        </is>
      </c>
      <c r="GQ3" s="5" t="inlineStr">
        <is>
          <t>IVOL_MID</t>
        </is>
      </c>
      <c r="GR3" s="5" t="inlineStr">
        <is>
          <t>IVOL_BID</t>
        </is>
      </c>
      <c r="GS3" s="5" t="inlineStr">
        <is>
          <t>IVOL_ASK</t>
        </is>
      </c>
      <c r="GT3" s="5" t="inlineStr">
        <is>
          <t>DELTA_MID</t>
        </is>
      </c>
      <c r="GU3" s="5" t="inlineStr">
        <is>
          <t>GAMMA_MID</t>
        </is>
      </c>
      <c r="GV3" s="5" t="inlineStr">
        <is>
          <t>VEGA_MID</t>
        </is>
      </c>
      <c r="GW3" s="5" t="inlineStr">
        <is>
          <t>THETA_MID</t>
        </is>
      </c>
      <c r="GX3" s="5" t="inlineStr">
        <is>
          <t>OPT_UNDL_PX</t>
        </is>
      </c>
      <c r="GZ3" s="5" t="inlineStr">
        <is>
          <t>Date</t>
        </is>
      </c>
      <c r="HA3" s="5" t="inlineStr">
        <is>
          <t>PX_BID</t>
        </is>
      </c>
      <c r="HB3" s="5" t="inlineStr">
        <is>
          <t>PX_ASK</t>
        </is>
      </c>
      <c r="HC3" s="5" t="inlineStr">
        <is>
          <t>PX_MID</t>
        </is>
      </c>
      <c r="HD3" s="5" t="inlineStr">
        <is>
          <t>PX_LAST</t>
        </is>
      </c>
      <c r="HE3" s="5" t="inlineStr">
        <is>
          <t>PX_SETTLE</t>
        </is>
      </c>
      <c r="HF3" s="5" t="inlineStr">
        <is>
          <t>PX_VOLUME</t>
        </is>
      </c>
      <c r="HG3" s="5" t="inlineStr">
        <is>
          <t>OPEN_INT</t>
        </is>
      </c>
      <c r="HH3" s="5" t="inlineStr">
        <is>
          <t>IVOL_MID</t>
        </is>
      </c>
      <c r="HI3" s="5" t="inlineStr">
        <is>
          <t>IVOL_BID</t>
        </is>
      </c>
      <c r="HJ3" s="5" t="inlineStr">
        <is>
          <t>IVOL_ASK</t>
        </is>
      </c>
      <c r="HK3" s="5" t="inlineStr">
        <is>
          <t>DELTA_MID</t>
        </is>
      </c>
      <c r="HL3" s="5" t="inlineStr">
        <is>
          <t>GAMMA_MID</t>
        </is>
      </c>
      <c r="HM3" s="5" t="inlineStr">
        <is>
          <t>VEGA_MID</t>
        </is>
      </c>
      <c r="HN3" s="5" t="inlineStr">
        <is>
          <t>THETA_MID</t>
        </is>
      </c>
      <c r="HO3" s="5" t="inlineStr">
        <is>
          <t>OPT_UNDL_PX</t>
        </is>
      </c>
      <c r="HQ3" s="5" t="inlineStr">
        <is>
          <t>Date</t>
        </is>
      </c>
      <c r="HR3" s="5" t="inlineStr">
        <is>
          <t>PX_BID</t>
        </is>
      </c>
      <c r="HS3" s="5" t="inlineStr">
        <is>
          <t>PX_ASK</t>
        </is>
      </c>
      <c r="HT3" s="5" t="inlineStr">
        <is>
          <t>PX_MID</t>
        </is>
      </c>
      <c r="HU3" s="5" t="inlineStr">
        <is>
          <t>PX_LAST</t>
        </is>
      </c>
      <c r="HV3" s="5" t="inlineStr">
        <is>
          <t>PX_SETTLE</t>
        </is>
      </c>
      <c r="HW3" s="5" t="inlineStr">
        <is>
          <t>PX_VOLUME</t>
        </is>
      </c>
      <c r="HX3" s="5" t="inlineStr">
        <is>
          <t>OPEN_INT</t>
        </is>
      </c>
      <c r="HY3" s="5" t="inlineStr">
        <is>
          <t>IVOL_MID</t>
        </is>
      </c>
      <c r="HZ3" s="5" t="inlineStr">
        <is>
          <t>IVOL_BID</t>
        </is>
      </c>
      <c r="IA3" s="5" t="inlineStr">
        <is>
          <t>IVOL_ASK</t>
        </is>
      </c>
      <c r="IB3" s="5" t="inlineStr">
        <is>
          <t>DELTA_MID</t>
        </is>
      </c>
      <c r="IC3" s="5" t="inlineStr">
        <is>
          <t>GAMMA_MID</t>
        </is>
      </c>
      <c r="ID3" s="5" t="inlineStr">
        <is>
          <t>VEGA_MID</t>
        </is>
      </c>
      <c r="IE3" s="5" t="inlineStr">
        <is>
          <t>THETA_MID</t>
        </is>
      </c>
      <c r="IF3" s="5" t="inlineStr">
        <is>
          <t>OPT_UNDL_PX</t>
        </is>
      </c>
      <c r="IH3" s="5" t="inlineStr">
        <is>
          <t>Date</t>
        </is>
      </c>
      <c r="II3" s="5" t="inlineStr">
        <is>
          <t>PX_BID</t>
        </is>
      </c>
      <c r="IJ3" s="5" t="inlineStr">
        <is>
          <t>PX_ASK</t>
        </is>
      </c>
      <c r="IK3" s="5" t="inlineStr">
        <is>
          <t>PX_MID</t>
        </is>
      </c>
      <c r="IL3" s="5" t="inlineStr">
        <is>
          <t>PX_LAST</t>
        </is>
      </c>
      <c r="IM3" s="5" t="inlineStr">
        <is>
          <t>PX_SETTLE</t>
        </is>
      </c>
      <c r="IN3" s="5" t="inlineStr">
        <is>
          <t>PX_VOLUME</t>
        </is>
      </c>
      <c r="IO3" s="5" t="inlineStr">
        <is>
          <t>OPEN_INT</t>
        </is>
      </c>
      <c r="IP3" s="5" t="inlineStr">
        <is>
          <t>IVOL_MID</t>
        </is>
      </c>
      <c r="IQ3" s="5" t="inlineStr">
        <is>
          <t>IVOL_BID</t>
        </is>
      </c>
      <c r="IR3" s="5" t="inlineStr">
        <is>
          <t>IVOL_ASK</t>
        </is>
      </c>
      <c r="IS3" s="5" t="inlineStr">
        <is>
          <t>DELTA_MID</t>
        </is>
      </c>
      <c r="IT3" s="5" t="inlineStr">
        <is>
          <t>GAMMA_MID</t>
        </is>
      </c>
      <c r="IU3" s="5" t="inlineStr">
        <is>
          <t>VEGA_MID</t>
        </is>
      </c>
      <c r="IV3" s="5" t="inlineStr">
        <is>
          <t>THETA_MID</t>
        </is>
      </c>
      <c r="IW3" s="5" t="inlineStr">
        <is>
          <t>OPT_UNDL_PX</t>
        </is>
      </c>
      <c r="IY3" s="5" t="inlineStr">
        <is>
          <t>Date</t>
        </is>
      </c>
      <c r="IZ3" s="5" t="inlineStr">
        <is>
          <t>PX_BID</t>
        </is>
      </c>
      <c r="JA3" s="5" t="inlineStr">
        <is>
          <t>PX_ASK</t>
        </is>
      </c>
      <c r="JB3" s="5" t="inlineStr">
        <is>
          <t>PX_MID</t>
        </is>
      </c>
      <c r="JC3" s="5" t="inlineStr">
        <is>
          <t>PX_LAST</t>
        </is>
      </c>
      <c r="JD3" s="5" t="inlineStr">
        <is>
          <t>PX_SETTLE</t>
        </is>
      </c>
      <c r="JE3" s="5" t="inlineStr">
        <is>
          <t>PX_VOLUME</t>
        </is>
      </c>
      <c r="JF3" s="5" t="inlineStr">
        <is>
          <t>OPEN_INT</t>
        </is>
      </c>
      <c r="JG3" s="5" t="inlineStr">
        <is>
          <t>IVOL_MID</t>
        </is>
      </c>
      <c r="JH3" s="5" t="inlineStr">
        <is>
          <t>IVOL_BID</t>
        </is>
      </c>
      <c r="JI3" s="5" t="inlineStr">
        <is>
          <t>IVOL_ASK</t>
        </is>
      </c>
      <c r="JJ3" s="5" t="inlineStr">
        <is>
          <t>DELTA_MID</t>
        </is>
      </c>
      <c r="JK3" s="5" t="inlineStr">
        <is>
          <t>GAMMA_MID</t>
        </is>
      </c>
      <c r="JL3" s="5" t="inlineStr">
        <is>
          <t>VEGA_MID</t>
        </is>
      </c>
      <c r="JM3" s="5" t="inlineStr">
        <is>
          <t>THETA_MID</t>
        </is>
      </c>
      <c r="JN3" s="5" t="inlineStr">
        <is>
          <t>OPT_UNDL_PX</t>
        </is>
      </c>
      <c r="JP3" s="5" t="inlineStr">
        <is>
          <t>Date</t>
        </is>
      </c>
      <c r="JQ3" s="5" t="inlineStr">
        <is>
          <t>PX_BID</t>
        </is>
      </c>
      <c r="JR3" s="5" t="inlineStr">
        <is>
          <t>PX_ASK</t>
        </is>
      </c>
      <c r="JS3" s="5" t="inlineStr">
        <is>
          <t>PX_MID</t>
        </is>
      </c>
      <c r="JT3" s="5" t="inlineStr">
        <is>
          <t>PX_LAST</t>
        </is>
      </c>
      <c r="JU3" s="5" t="inlineStr">
        <is>
          <t>PX_SETTLE</t>
        </is>
      </c>
      <c r="JV3" s="5" t="inlineStr">
        <is>
          <t>PX_VOLUME</t>
        </is>
      </c>
      <c r="JW3" s="5" t="inlineStr">
        <is>
          <t>OPEN_INT</t>
        </is>
      </c>
      <c r="JX3" s="5" t="inlineStr">
        <is>
          <t>IVOL_MID</t>
        </is>
      </c>
      <c r="JY3" s="5" t="inlineStr">
        <is>
          <t>IVOL_BID</t>
        </is>
      </c>
      <c r="JZ3" s="5" t="inlineStr">
        <is>
          <t>IVOL_ASK</t>
        </is>
      </c>
      <c r="KA3" s="5" t="inlineStr">
        <is>
          <t>DELTA_MID</t>
        </is>
      </c>
      <c r="KB3" s="5" t="inlineStr">
        <is>
          <t>GAMMA_MID</t>
        </is>
      </c>
      <c r="KC3" s="5" t="inlineStr">
        <is>
          <t>VEGA_MID</t>
        </is>
      </c>
      <c r="KD3" s="5" t="inlineStr">
        <is>
          <t>THETA_MID</t>
        </is>
      </c>
      <c r="KE3" s="5" t="inlineStr">
        <is>
          <t>OPT_UNDL_PX</t>
        </is>
      </c>
      <c r="KG3" s="5" t="inlineStr">
        <is>
          <t>Date</t>
        </is>
      </c>
      <c r="KH3" s="5" t="inlineStr">
        <is>
          <t>PX_BID</t>
        </is>
      </c>
      <c r="KI3" s="5" t="inlineStr">
        <is>
          <t>PX_ASK</t>
        </is>
      </c>
      <c r="KJ3" s="5" t="inlineStr">
        <is>
          <t>PX_MID</t>
        </is>
      </c>
      <c r="KK3" s="5" t="inlineStr">
        <is>
          <t>PX_LAST</t>
        </is>
      </c>
      <c r="KL3" s="5" t="inlineStr">
        <is>
          <t>PX_SETTLE</t>
        </is>
      </c>
      <c r="KM3" s="5" t="inlineStr">
        <is>
          <t>PX_VOLUME</t>
        </is>
      </c>
      <c r="KN3" s="5" t="inlineStr">
        <is>
          <t>OPEN_INT</t>
        </is>
      </c>
      <c r="KO3" s="5" t="inlineStr">
        <is>
          <t>IVOL_MID</t>
        </is>
      </c>
      <c r="KP3" s="5" t="inlineStr">
        <is>
          <t>IVOL_BID</t>
        </is>
      </c>
      <c r="KQ3" s="5" t="inlineStr">
        <is>
          <t>IVOL_ASK</t>
        </is>
      </c>
      <c r="KR3" s="5" t="inlineStr">
        <is>
          <t>DELTA_MID</t>
        </is>
      </c>
      <c r="KS3" s="5" t="inlineStr">
        <is>
          <t>GAMMA_MID</t>
        </is>
      </c>
      <c r="KT3" s="5" t="inlineStr">
        <is>
          <t>VEGA_MID</t>
        </is>
      </c>
      <c r="KU3" s="5" t="inlineStr">
        <is>
          <t>THETA_MID</t>
        </is>
      </c>
      <c r="KV3" s="5" t="inlineStr">
        <is>
          <t>OPT_UNDL_PX</t>
        </is>
      </c>
      <c r="KX3" s="5" t="inlineStr">
        <is>
          <t>Date</t>
        </is>
      </c>
      <c r="KY3" s="5" t="inlineStr">
        <is>
          <t>PX_BID</t>
        </is>
      </c>
      <c r="KZ3" s="5" t="inlineStr">
        <is>
          <t>PX_ASK</t>
        </is>
      </c>
      <c r="LA3" s="5" t="inlineStr">
        <is>
          <t>PX_MID</t>
        </is>
      </c>
      <c r="LB3" s="5" t="inlineStr">
        <is>
          <t>PX_LAST</t>
        </is>
      </c>
      <c r="LC3" s="5" t="inlineStr">
        <is>
          <t>PX_SETTLE</t>
        </is>
      </c>
      <c r="LD3" s="5" t="inlineStr">
        <is>
          <t>PX_VOLUME</t>
        </is>
      </c>
      <c r="LE3" s="5" t="inlineStr">
        <is>
          <t>OPEN_INT</t>
        </is>
      </c>
      <c r="LF3" s="5" t="inlineStr">
        <is>
          <t>IVOL_MID</t>
        </is>
      </c>
      <c r="LG3" s="5" t="inlineStr">
        <is>
          <t>IVOL_BID</t>
        </is>
      </c>
      <c r="LH3" s="5" t="inlineStr">
        <is>
          <t>IVOL_ASK</t>
        </is>
      </c>
      <c r="LI3" s="5" t="inlineStr">
        <is>
          <t>DELTA_MID</t>
        </is>
      </c>
      <c r="LJ3" s="5" t="inlineStr">
        <is>
          <t>GAMMA_MID</t>
        </is>
      </c>
      <c r="LK3" s="5" t="inlineStr">
        <is>
          <t>VEGA_MID</t>
        </is>
      </c>
      <c r="LL3" s="5" t="inlineStr">
        <is>
          <t>THETA_MID</t>
        </is>
      </c>
      <c r="LM3" s="5" t="inlineStr">
        <is>
          <t>OPT_UNDL_PX</t>
        </is>
      </c>
      <c r="LO3" s="5" t="inlineStr">
        <is>
          <t>Date</t>
        </is>
      </c>
      <c r="LP3" s="5" t="inlineStr">
        <is>
          <t>PX_BID</t>
        </is>
      </c>
      <c r="LQ3" s="5" t="inlineStr">
        <is>
          <t>PX_ASK</t>
        </is>
      </c>
      <c r="LR3" s="5" t="inlineStr">
        <is>
          <t>PX_MID</t>
        </is>
      </c>
      <c r="LS3" s="5" t="inlineStr">
        <is>
          <t>PX_LAST</t>
        </is>
      </c>
      <c r="LT3" s="5" t="inlineStr">
        <is>
          <t>PX_SETTLE</t>
        </is>
      </c>
      <c r="LU3" s="5" t="inlineStr">
        <is>
          <t>PX_VOLUME</t>
        </is>
      </c>
      <c r="LV3" s="5" t="inlineStr">
        <is>
          <t>OPEN_INT</t>
        </is>
      </c>
      <c r="LW3" s="5" t="inlineStr">
        <is>
          <t>IVOL_MID</t>
        </is>
      </c>
      <c r="LX3" s="5" t="inlineStr">
        <is>
          <t>IVOL_BID</t>
        </is>
      </c>
      <c r="LY3" s="5" t="inlineStr">
        <is>
          <t>IVOL_ASK</t>
        </is>
      </c>
      <c r="LZ3" s="5" t="inlineStr">
        <is>
          <t>DELTA_MID</t>
        </is>
      </c>
      <c r="MA3" s="5" t="inlineStr">
        <is>
          <t>GAMMA_MID</t>
        </is>
      </c>
      <c r="MB3" s="5" t="inlineStr">
        <is>
          <t>VEGA_MID</t>
        </is>
      </c>
      <c r="MC3" s="5" t="inlineStr">
        <is>
          <t>THETA_MID</t>
        </is>
      </c>
      <c r="MD3" s="5" t="inlineStr">
        <is>
          <t>OPT_UNDL_PX</t>
        </is>
      </c>
      <c r="MF3" s="5" t="inlineStr">
        <is>
          <t>Date</t>
        </is>
      </c>
      <c r="MG3" s="5" t="inlineStr">
        <is>
          <t>PX_BID</t>
        </is>
      </c>
      <c r="MH3" s="5" t="inlineStr">
        <is>
          <t>PX_ASK</t>
        </is>
      </c>
      <c r="MI3" s="5" t="inlineStr">
        <is>
          <t>PX_MID</t>
        </is>
      </c>
      <c r="MJ3" s="5" t="inlineStr">
        <is>
          <t>PX_LAST</t>
        </is>
      </c>
      <c r="MK3" s="5" t="inlineStr">
        <is>
          <t>PX_SETTLE</t>
        </is>
      </c>
      <c r="ML3" s="5" t="inlineStr">
        <is>
          <t>PX_VOLUME</t>
        </is>
      </c>
      <c r="MM3" s="5" t="inlineStr">
        <is>
          <t>OPEN_INT</t>
        </is>
      </c>
      <c r="MN3" s="5" t="inlineStr">
        <is>
          <t>IVOL_MID</t>
        </is>
      </c>
      <c r="MO3" s="5" t="inlineStr">
        <is>
          <t>IVOL_BID</t>
        </is>
      </c>
      <c r="MP3" s="5" t="inlineStr">
        <is>
          <t>IVOL_ASK</t>
        </is>
      </c>
      <c r="MQ3" s="5" t="inlineStr">
        <is>
          <t>DELTA_MID</t>
        </is>
      </c>
      <c r="MR3" s="5" t="inlineStr">
        <is>
          <t>GAMMA_MID</t>
        </is>
      </c>
      <c r="MS3" s="5" t="inlineStr">
        <is>
          <t>VEGA_MID</t>
        </is>
      </c>
      <c r="MT3" s="5" t="inlineStr">
        <is>
          <t>THETA_MID</t>
        </is>
      </c>
      <c r="MU3" s="5" t="inlineStr">
        <is>
          <t>OPT_UNDL_PX</t>
        </is>
      </c>
      <c r="MW3" s="5" t="inlineStr">
        <is>
          <t>Date</t>
        </is>
      </c>
      <c r="MX3" s="5" t="inlineStr">
        <is>
          <t>PX_BID</t>
        </is>
      </c>
      <c r="MY3" s="5" t="inlineStr">
        <is>
          <t>PX_ASK</t>
        </is>
      </c>
      <c r="MZ3" s="5" t="inlineStr">
        <is>
          <t>PX_MID</t>
        </is>
      </c>
      <c r="NA3" s="5" t="inlineStr">
        <is>
          <t>PX_LAST</t>
        </is>
      </c>
      <c r="NB3" s="5" t="inlineStr">
        <is>
          <t>PX_SETTLE</t>
        </is>
      </c>
      <c r="NC3" s="5" t="inlineStr">
        <is>
          <t>PX_VOLUME</t>
        </is>
      </c>
      <c r="ND3" s="5" t="inlineStr">
        <is>
          <t>OPEN_INT</t>
        </is>
      </c>
      <c r="NE3" s="5" t="inlineStr">
        <is>
          <t>IVOL_MID</t>
        </is>
      </c>
      <c r="NF3" s="5" t="inlineStr">
        <is>
          <t>IVOL_BID</t>
        </is>
      </c>
      <c r="NG3" s="5" t="inlineStr">
        <is>
          <t>IVOL_ASK</t>
        </is>
      </c>
      <c r="NH3" s="5" t="inlineStr">
        <is>
          <t>DELTA_MID</t>
        </is>
      </c>
      <c r="NI3" s="5" t="inlineStr">
        <is>
          <t>GAMMA_MID</t>
        </is>
      </c>
      <c r="NJ3" s="5" t="inlineStr">
        <is>
          <t>VEGA_MID</t>
        </is>
      </c>
      <c r="NK3" s="5" t="inlineStr">
        <is>
          <t>THETA_MID</t>
        </is>
      </c>
      <c r="NL3" s="5" t="inlineStr">
        <is>
          <t>OPT_UNDL_PX</t>
        </is>
      </c>
    </row>
    <row r="4">
      <c r="A4" s="2" t="inlineStr">
        <is>
          <t>Strike reference date</t>
        </is>
      </c>
      <c r="B4" s="8">
        <f>B3-45</f>
        <v/>
      </c>
      <c r="D4" s="4">
        <f>BDH(D$1,E$3:S$3,$B$8,$B$9,"Dir=V","Dts=S","Sort=A","Days=T","Fill=B")</f>
        <v/>
      </c>
      <c r="U4" s="4">
        <f>BDH(U$1,V$3:AJ$3,$B$8,$B$9,"Dir=V","Dts=S","Sort=A","Days=T","Fill=B")</f>
        <v/>
      </c>
      <c r="AL4" s="4">
        <f>BDH(AL$1,AM$3:BA$3,$B$8,$B$9,"Dir=V","Dts=S","Sort=A","Days=T","Fill=B")</f>
        <v/>
      </c>
      <c r="BC4" s="4">
        <f>BDH(BC$1,BD$3:BR$3,$B$8,$B$9,"Dir=V","Dts=S","Sort=A","Days=T","Fill=B")</f>
        <v/>
      </c>
      <c r="BT4" s="4">
        <f>BDH(BT$1,BU$3:CI$3,$B$8,$B$9,"Dir=V","Dts=S","Sort=A","Days=T","Fill=B")</f>
        <v/>
      </c>
      <c r="CK4" s="4">
        <f>BDH(CK$1,CL$3:CZ$3,$B$8,$B$9,"Dir=V","Dts=S","Sort=A","Days=T","Fill=B")</f>
        <v/>
      </c>
      <c r="DB4" s="4">
        <f>BDH(DB$1,DC$3:DQ$3,$B$8,$B$9,"Dir=V","Dts=S","Sort=A","Days=T","Fill=B")</f>
        <v/>
      </c>
      <c r="DS4" s="4">
        <f>BDH(DS$1,DT$3:EH$3,$B$8,$B$9,"Dir=V","Dts=S","Sort=A","Days=T","Fill=B")</f>
        <v/>
      </c>
      <c r="EJ4" s="4">
        <f>BDH(EJ$1,EK$3:EY$3,$B$8,$B$9,"Dir=V","Dts=S","Sort=A","Days=T","Fill=B")</f>
        <v/>
      </c>
      <c r="FA4" s="4">
        <f>BDH(FA$1,FB$3:FP$3,$B$8,$B$9,"Dir=V","Dts=S","Sort=A","Days=T","Fill=B")</f>
        <v/>
      </c>
      <c r="FR4" s="4">
        <f>BDH(FR$1,FS$3:GG$3,$B$8,$B$9,"Dir=V","Dts=S","Sort=A","Days=T","Fill=B")</f>
        <v/>
      </c>
      <c r="GI4" s="4">
        <f>BDH(GI$1,GJ$3:GX$3,$B$8,$B$9,"Dir=V","Dts=S","Sort=A","Days=T","Fill=B")</f>
        <v/>
      </c>
      <c r="GZ4" s="4">
        <f>BDH(GZ$1,HA$3:HO$3,$B$8,$B$9,"Dir=V","Dts=S","Sort=A","Days=T","Fill=B")</f>
        <v/>
      </c>
      <c r="HQ4" s="4">
        <f>BDH(HQ$1,HR$3:IF$3,$B$8,$B$9,"Dir=V","Dts=S","Sort=A","Days=T","Fill=B")</f>
        <v/>
      </c>
      <c r="IH4" s="4">
        <f>BDH(IH$1,II$3:IW$3,$B$8,$B$9,"Dir=V","Dts=S","Sort=A","Days=T","Fill=B")</f>
        <v/>
      </c>
      <c r="IY4" s="4">
        <f>BDH(IY$1,IZ$3:JN$3,$B$8,$B$9,"Dir=V","Dts=S","Sort=A","Days=T","Fill=B")</f>
        <v/>
      </c>
      <c r="JP4" s="4">
        <f>BDH(JP$1,JQ$3:KE$3,$B$8,$B$9,"Dir=V","Dts=S","Sort=A","Days=T","Fill=B")</f>
        <v/>
      </c>
      <c r="KG4" s="4">
        <f>BDH(KG$1,KH$3:KV$3,$B$8,$B$9,"Dir=V","Dts=S","Sort=A","Days=T","Fill=B")</f>
        <v/>
      </c>
      <c r="KX4" s="4">
        <f>BDH(KX$1,KY$3:LM$3,$B$8,$B$9,"Dir=V","Dts=S","Sort=A","Days=T","Fill=B")</f>
        <v/>
      </c>
      <c r="LO4" s="4">
        <f>BDH(LO$1,LP$3:MD$3,$B$8,$B$9,"Dir=V","Dts=S","Sort=A","Days=T","Fill=B")</f>
        <v/>
      </c>
      <c r="MF4" s="4">
        <f>BDH(MF$1,MG$3:MU$3,$B$8,$B$9,"Dir=V","Dts=S","Sort=A","Days=T","Fill=B")</f>
        <v/>
      </c>
      <c r="MW4" s="4">
        <f>BDH(MW$1,MX$3:NL$3,$B$8,$B$9,"Dir=V","Dts=S","Sort=A","Days=T","Fill=B")</f>
        <v/>
      </c>
    </row>
    <row r="5">
      <c r="A5" s="2" t="inlineStr">
        <is>
          <t>Unadjusted close then</t>
        </is>
      </c>
      <c r="B5" s="10">
        <f>IF(B2="","",BDH(B2,"PX_LAST",B4,B4,"Days=A","Fill=P","Dts=H","CshAdjNormal=N","CshAdjAbnormal=N","CapChg=N"))</f>
        <v/>
      </c>
    </row>
    <row r="6">
      <c r="A6" s="2" t="inlineStr">
        <is>
          <t>Strike step</t>
        </is>
      </c>
      <c r="B6" s="11">
        <f>IF(ISNUMBER(B5),IF(B5&lt;25,0.5,IF(B5&lt;250,1,5)),"")</f>
        <v/>
      </c>
    </row>
    <row r="7">
      <c r="A7" s="2" t="inlineStr">
        <is>
          <t>ATM strike</t>
        </is>
      </c>
      <c r="B7" s="11">
        <f>IF(ISNUMBER(B5),ROUND(B5/B6,0)*B6,"")</f>
        <v/>
      </c>
    </row>
    <row r="8">
      <c r="A8" s="2" t="inlineStr">
        <is>
          <t>History start</t>
        </is>
      </c>
      <c r="B8" s="8">
        <f>B3-100</f>
        <v/>
      </c>
    </row>
    <row r="9">
      <c r="A9" s="2" t="inlineStr">
        <is>
          <t>History end</t>
        </is>
      </c>
      <c r="B9" s="8">
        <f>B3</f>
        <v/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NL9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2" customWidth="1" min="2" max="2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1" customWidth="1" min="15" max="15"/>
    <col width="11" customWidth="1" min="16" max="16"/>
    <col width="10" customWidth="1" min="17" max="17"/>
    <col width="11" customWidth="1" min="18" max="18"/>
    <col width="13" customWidth="1" min="19" max="19"/>
    <col width="12" customWidth="1" min="21" max="21"/>
    <col width="10" customWidth="1" min="22" max="22"/>
    <col width="10" customWidth="1" min="23" max="23"/>
    <col width="10" customWidth="1" min="24" max="24"/>
    <col width="10" customWidth="1" min="25" max="25"/>
    <col width="11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1" customWidth="1" min="32" max="32"/>
    <col width="11" customWidth="1" min="33" max="33"/>
    <col width="10" customWidth="1" min="34" max="34"/>
    <col width="11" customWidth="1" min="35" max="35"/>
    <col width="13" customWidth="1" min="36" max="36"/>
    <col width="12" customWidth="1" min="38" max="38"/>
    <col width="10" customWidth="1" min="39" max="39"/>
    <col width="10" customWidth="1" min="40" max="40"/>
    <col width="10" customWidth="1" min="41" max="41"/>
    <col width="10" customWidth="1" min="42" max="42"/>
    <col width="11" customWidth="1" min="43" max="43"/>
    <col width="11" customWidth="1" min="44" max="44"/>
    <col width="10" customWidth="1" min="45" max="45"/>
    <col width="10" customWidth="1" min="46" max="46"/>
    <col width="10" customWidth="1" min="47" max="47"/>
    <col width="10" customWidth="1" min="48" max="48"/>
    <col width="11" customWidth="1" min="49" max="49"/>
    <col width="11" customWidth="1" min="50" max="50"/>
    <col width="10" customWidth="1" min="51" max="51"/>
    <col width="11" customWidth="1" min="52" max="52"/>
    <col width="13" customWidth="1" min="53" max="53"/>
    <col width="12" customWidth="1" min="55" max="55"/>
    <col width="10" customWidth="1" min="56" max="56"/>
    <col width="10" customWidth="1" min="57" max="57"/>
    <col width="10" customWidth="1" min="58" max="58"/>
    <col width="10" customWidth="1" min="59" max="59"/>
    <col width="11" customWidth="1" min="60" max="60"/>
    <col width="11" customWidth="1" min="61" max="61"/>
    <col width="10" customWidth="1" min="62" max="62"/>
    <col width="10" customWidth="1" min="63" max="63"/>
    <col width="10" customWidth="1" min="64" max="64"/>
    <col width="10" customWidth="1" min="65" max="65"/>
    <col width="11" customWidth="1" min="66" max="66"/>
    <col width="11" customWidth="1" min="67" max="67"/>
    <col width="10" customWidth="1" min="68" max="68"/>
    <col width="11" customWidth="1" min="69" max="69"/>
    <col width="13" customWidth="1" min="70" max="70"/>
    <col width="12" customWidth="1" min="72" max="72"/>
    <col width="10" customWidth="1" min="73" max="73"/>
    <col width="10" customWidth="1" min="74" max="74"/>
    <col width="10" customWidth="1" min="75" max="75"/>
    <col width="10" customWidth="1" min="76" max="76"/>
    <col width="11" customWidth="1" min="77" max="77"/>
    <col width="11" customWidth="1" min="78" max="78"/>
    <col width="10" customWidth="1" min="79" max="79"/>
    <col width="10" customWidth="1" min="80" max="80"/>
    <col width="10" customWidth="1" min="81" max="81"/>
    <col width="10" customWidth="1" min="82" max="82"/>
    <col width="11" customWidth="1" min="83" max="83"/>
    <col width="11" customWidth="1" min="84" max="84"/>
    <col width="10" customWidth="1" min="85" max="85"/>
    <col width="11" customWidth="1" min="86" max="86"/>
    <col width="13" customWidth="1" min="87" max="87"/>
    <col width="12" customWidth="1" min="89" max="89"/>
    <col width="10" customWidth="1" min="90" max="90"/>
    <col width="10" customWidth="1" min="91" max="91"/>
    <col width="10" customWidth="1" min="92" max="92"/>
    <col width="10" customWidth="1" min="93" max="93"/>
    <col width="11" customWidth="1" min="94" max="94"/>
    <col width="11" customWidth="1" min="95" max="95"/>
    <col width="10" customWidth="1" min="96" max="96"/>
    <col width="10" customWidth="1" min="97" max="97"/>
    <col width="10" customWidth="1" min="98" max="98"/>
    <col width="10" customWidth="1" min="99" max="99"/>
    <col width="11" customWidth="1" min="100" max="100"/>
    <col width="11" customWidth="1" min="101" max="101"/>
    <col width="10" customWidth="1" min="102" max="102"/>
    <col width="11" customWidth="1" min="103" max="103"/>
    <col width="13" customWidth="1" min="104" max="104"/>
    <col width="12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1" customWidth="1" min="111" max="111"/>
    <col width="11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1" customWidth="1" min="117" max="117"/>
    <col width="11" customWidth="1" min="118" max="118"/>
    <col width="10" customWidth="1" min="119" max="119"/>
    <col width="11" customWidth="1" min="120" max="120"/>
    <col width="13" customWidth="1" min="121" max="121"/>
    <col width="12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1" customWidth="1" min="128" max="128"/>
    <col width="11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1" customWidth="1" min="134" max="134"/>
    <col width="11" customWidth="1" min="135" max="135"/>
    <col width="10" customWidth="1" min="136" max="136"/>
    <col width="11" customWidth="1" min="137" max="137"/>
    <col width="13" customWidth="1" min="138" max="138"/>
    <col width="12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1" customWidth="1" min="145" max="145"/>
    <col width="11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1" customWidth="1" min="151" max="151"/>
    <col width="11" customWidth="1" min="152" max="152"/>
    <col width="10" customWidth="1" min="153" max="153"/>
    <col width="11" customWidth="1" min="154" max="154"/>
    <col width="13" customWidth="1" min="155" max="155"/>
    <col width="12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1" customWidth="1" min="162" max="162"/>
    <col width="11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1" customWidth="1" min="168" max="168"/>
    <col width="11" customWidth="1" min="169" max="169"/>
    <col width="10" customWidth="1" min="170" max="170"/>
    <col width="11" customWidth="1" min="171" max="171"/>
    <col width="13" customWidth="1" min="172" max="172"/>
    <col width="12" customWidth="1" min="174" max="174"/>
    <col width="10" customWidth="1" min="175" max="175"/>
    <col width="10" customWidth="1" min="176" max="176"/>
    <col width="10" customWidth="1" min="177" max="177"/>
    <col width="10" customWidth="1" min="178" max="178"/>
    <col width="11" customWidth="1" min="179" max="179"/>
    <col width="11" customWidth="1" min="180" max="180"/>
    <col width="10" customWidth="1" min="181" max="181"/>
    <col width="10" customWidth="1" min="182" max="182"/>
    <col width="10" customWidth="1" min="183" max="183"/>
    <col width="10" customWidth="1" min="184" max="184"/>
    <col width="11" customWidth="1" min="185" max="185"/>
    <col width="11" customWidth="1" min="186" max="186"/>
    <col width="10" customWidth="1" min="187" max="187"/>
    <col width="11" customWidth="1" min="188" max="188"/>
    <col width="13" customWidth="1" min="189" max="189"/>
    <col width="12" customWidth="1" min="191" max="191"/>
    <col width="10" customWidth="1" min="192" max="192"/>
    <col width="10" customWidth="1" min="193" max="193"/>
    <col width="10" customWidth="1" min="194" max="194"/>
    <col width="10" customWidth="1" min="195" max="195"/>
    <col width="11" customWidth="1" min="196" max="196"/>
    <col width="11" customWidth="1" min="197" max="197"/>
    <col width="10" customWidth="1" min="198" max="198"/>
    <col width="10" customWidth="1" min="199" max="199"/>
    <col width="10" customWidth="1" min="200" max="200"/>
    <col width="10" customWidth="1" min="201" max="201"/>
    <col width="11" customWidth="1" min="202" max="202"/>
    <col width="11" customWidth="1" min="203" max="203"/>
    <col width="10" customWidth="1" min="204" max="204"/>
    <col width="11" customWidth="1" min="205" max="205"/>
    <col width="13" customWidth="1" min="206" max="206"/>
    <col width="12" customWidth="1" min="208" max="208"/>
    <col width="10" customWidth="1" min="209" max="209"/>
    <col width="10" customWidth="1" min="210" max="210"/>
    <col width="10" customWidth="1" min="211" max="211"/>
    <col width="10" customWidth="1" min="212" max="212"/>
    <col width="11" customWidth="1" min="213" max="213"/>
    <col width="11" customWidth="1" min="214" max="214"/>
    <col width="10" customWidth="1" min="215" max="215"/>
    <col width="10" customWidth="1" min="216" max="216"/>
    <col width="10" customWidth="1" min="217" max="217"/>
    <col width="10" customWidth="1" min="218" max="218"/>
    <col width="11" customWidth="1" min="219" max="219"/>
    <col width="11" customWidth="1" min="220" max="220"/>
    <col width="10" customWidth="1" min="221" max="221"/>
    <col width="11" customWidth="1" min="222" max="222"/>
    <col width="13" customWidth="1" min="223" max="223"/>
    <col width="12" customWidth="1" min="225" max="225"/>
    <col width="10" customWidth="1" min="226" max="226"/>
    <col width="10" customWidth="1" min="227" max="227"/>
    <col width="10" customWidth="1" min="228" max="228"/>
    <col width="10" customWidth="1" min="229" max="229"/>
    <col width="11" customWidth="1" min="230" max="230"/>
    <col width="11" customWidth="1" min="231" max="231"/>
    <col width="10" customWidth="1" min="232" max="232"/>
    <col width="10" customWidth="1" min="233" max="233"/>
    <col width="10" customWidth="1" min="234" max="234"/>
    <col width="10" customWidth="1" min="235" max="235"/>
    <col width="11" customWidth="1" min="236" max="236"/>
    <col width="11" customWidth="1" min="237" max="237"/>
    <col width="10" customWidth="1" min="238" max="238"/>
    <col width="11" customWidth="1" min="239" max="239"/>
    <col width="13" customWidth="1" min="240" max="240"/>
    <col width="12" customWidth="1" min="242" max="242"/>
    <col width="10" customWidth="1" min="243" max="243"/>
    <col width="10" customWidth="1" min="244" max="244"/>
    <col width="10" customWidth="1" min="245" max="245"/>
    <col width="10" customWidth="1" min="246" max="246"/>
    <col width="11" customWidth="1" min="247" max="247"/>
    <col width="11" customWidth="1" min="248" max="248"/>
    <col width="10" customWidth="1" min="249" max="249"/>
    <col width="10" customWidth="1" min="250" max="250"/>
    <col width="10" customWidth="1" min="251" max="251"/>
    <col width="10" customWidth="1" min="252" max="252"/>
    <col width="11" customWidth="1" min="253" max="253"/>
    <col width="11" customWidth="1" min="254" max="254"/>
    <col width="10" customWidth="1" min="255" max="255"/>
    <col width="11" customWidth="1" min="256" max="256"/>
    <col width="13" customWidth="1" min="257" max="257"/>
    <col width="12" customWidth="1" min="259" max="259"/>
    <col width="10" customWidth="1" min="260" max="260"/>
    <col width="10" customWidth="1" min="261" max="261"/>
    <col width="10" customWidth="1" min="262" max="262"/>
    <col width="10" customWidth="1" min="263" max="263"/>
    <col width="11" customWidth="1" min="264" max="264"/>
    <col width="11" customWidth="1" min="265" max="265"/>
    <col width="10" customWidth="1" min="266" max="266"/>
    <col width="10" customWidth="1" min="267" max="267"/>
    <col width="10" customWidth="1" min="268" max="268"/>
    <col width="10" customWidth="1" min="269" max="269"/>
    <col width="11" customWidth="1" min="270" max="270"/>
    <col width="11" customWidth="1" min="271" max="271"/>
    <col width="10" customWidth="1" min="272" max="272"/>
    <col width="11" customWidth="1" min="273" max="273"/>
    <col width="13" customWidth="1" min="274" max="274"/>
    <col width="12" customWidth="1" min="276" max="276"/>
    <col width="10" customWidth="1" min="277" max="277"/>
    <col width="10" customWidth="1" min="278" max="278"/>
    <col width="10" customWidth="1" min="279" max="279"/>
    <col width="10" customWidth="1" min="280" max="280"/>
    <col width="11" customWidth="1" min="281" max="281"/>
    <col width="11" customWidth="1" min="282" max="282"/>
    <col width="10" customWidth="1" min="283" max="283"/>
    <col width="10" customWidth="1" min="284" max="284"/>
    <col width="10" customWidth="1" min="285" max="285"/>
    <col width="10" customWidth="1" min="286" max="286"/>
    <col width="11" customWidth="1" min="287" max="287"/>
    <col width="11" customWidth="1" min="288" max="288"/>
    <col width="10" customWidth="1" min="289" max="289"/>
    <col width="11" customWidth="1" min="290" max="290"/>
    <col width="13" customWidth="1" min="291" max="291"/>
    <col width="12" customWidth="1" min="293" max="293"/>
    <col width="10" customWidth="1" min="294" max="294"/>
    <col width="10" customWidth="1" min="295" max="295"/>
    <col width="10" customWidth="1" min="296" max="296"/>
    <col width="10" customWidth="1" min="297" max="297"/>
    <col width="11" customWidth="1" min="298" max="298"/>
    <col width="11" customWidth="1" min="299" max="299"/>
    <col width="10" customWidth="1" min="300" max="300"/>
    <col width="10" customWidth="1" min="301" max="301"/>
    <col width="10" customWidth="1" min="302" max="302"/>
    <col width="10" customWidth="1" min="303" max="303"/>
    <col width="11" customWidth="1" min="304" max="304"/>
    <col width="11" customWidth="1" min="305" max="305"/>
    <col width="10" customWidth="1" min="306" max="306"/>
    <col width="11" customWidth="1" min="307" max="307"/>
    <col width="13" customWidth="1" min="308" max="308"/>
    <col width="12" customWidth="1" min="310" max="310"/>
    <col width="10" customWidth="1" min="311" max="311"/>
    <col width="10" customWidth="1" min="312" max="312"/>
    <col width="10" customWidth="1" min="313" max="313"/>
    <col width="10" customWidth="1" min="314" max="314"/>
    <col width="11" customWidth="1" min="315" max="315"/>
    <col width="11" customWidth="1" min="316" max="316"/>
    <col width="10" customWidth="1" min="317" max="317"/>
    <col width="10" customWidth="1" min="318" max="318"/>
    <col width="10" customWidth="1" min="319" max="319"/>
    <col width="10" customWidth="1" min="320" max="320"/>
    <col width="11" customWidth="1" min="321" max="321"/>
    <col width="11" customWidth="1" min="322" max="322"/>
    <col width="10" customWidth="1" min="323" max="323"/>
    <col width="11" customWidth="1" min="324" max="324"/>
    <col width="13" customWidth="1" min="325" max="325"/>
    <col width="12" customWidth="1" min="327" max="327"/>
    <col width="10" customWidth="1" min="328" max="328"/>
    <col width="10" customWidth="1" min="329" max="329"/>
    <col width="10" customWidth="1" min="330" max="330"/>
    <col width="10" customWidth="1" min="331" max="331"/>
    <col width="11" customWidth="1" min="332" max="332"/>
    <col width="11" customWidth="1" min="333" max="333"/>
    <col width="10" customWidth="1" min="334" max="334"/>
    <col width="10" customWidth="1" min="335" max="335"/>
    <col width="10" customWidth="1" min="336" max="336"/>
    <col width="10" customWidth="1" min="337" max="337"/>
    <col width="11" customWidth="1" min="338" max="338"/>
    <col width="11" customWidth="1" min="339" max="339"/>
    <col width="10" customWidth="1" min="340" max="340"/>
    <col width="11" customWidth="1" min="341" max="341"/>
    <col width="13" customWidth="1" min="342" max="342"/>
    <col width="12" customWidth="1" min="344" max="344"/>
    <col width="10" customWidth="1" min="345" max="345"/>
    <col width="10" customWidth="1" min="346" max="346"/>
    <col width="10" customWidth="1" min="347" max="347"/>
    <col width="10" customWidth="1" min="348" max="348"/>
    <col width="11" customWidth="1" min="349" max="349"/>
    <col width="11" customWidth="1" min="350" max="350"/>
    <col width="10" customWidth="1" min="351" max="351"/>
    <col width="10" customWidth="1" min="352" max="352"/>
    <col width="10" customWidth="1" min="353" max="353"/>
    <col width="10" customWidth="1" min="354" max="354"/>
    <col width="11" customWidth="1" min="355" max="355"/>
    <col width="11" customWidth="1" min="356" max="356"/>
    <col width="10" customWidth="1" min="357" max="357"/>
    <col width="11" customWidth="1" min="358" max="358"/>
    <col width="13" customWidth="1" min="359" max="359"/>
    <col width="12" customWidth="1" min="361" max="361"/>
    <col width="10" customWidth="1" min="362" max="362"/>
    <col width="10" customWidth="1" min="363" max="363"/>
    <col width="10" customWidth="1" min="364" max="364"/>
    <col width="10" customWidth="1" min="365" max="365"/>
    <col width="11" customWidth="1" min="366" max="366"/>
    <col width="11" customWidth="1" min="367" max="367"/>
    <col width="10" customWidth="1" min="368" max="368"/>
    <col width="10" customWidth="1" min="369" max="369"/>
    <col width="10" customWidth="1" min="370" max="370"/>
    <col width="10" customWidth="1" min="371" max="371"/>
    <col width="11" customWidth="1" min="372" max="372"/>
    <col width="11" customWidth="1" min="373" max="373"/>
    <col width="10" customWidth="1" min="374" max="374"/>
    <col width="11" customWidth="1" min="375" max="375"/>
    <col width="13" customWidth="1" min="376" max="376"/>
  </cols>
  <sheetData>
    <row r="1">
      <c r="A1" s="2" t="inlineStr">
        <is>
          <t>Month</t>
        </is>
      </c>
      <c r="B1" s="9" t="n">
        <v>6</v>
      </c>
      <c r="D1" s="2">
        <f>IF(ISNUMBER(B$7),"USO US "&amp;TEXT(B$3,"mm/dd/yy")&amp;" C"&amp;(B$7-5*B$6)&amp;" Equity","")</f>
        <v/>
      </c>
      <c r="U1" s="2">
        <f>IF(ISNUMBER(B$7),"USO US "&amp;TEXT(B$3,"mm/dd/yy")&amp;" P"&amp;(B$7-5*B$6)&amp;" Equity","")</f>
        <v/>
      </c>
      <c r="AL1" s="2">
        <f>IF(ISNUMBER(B$7),"USO US "&amp;TEXT(B$3,"mm/dd/yy")&amp;" C"&amp;(B$7-4*B$6)&amp;" Equity","")</f>
        <v/>
      </c>
      <c r="BC1" s="2">
        <f>IF(ISNUMBER(B$7),"USO US "&amp;TEXT(B$3,"mm/dd/yy")&amp;" P"&amp;(B$7-4*B$6)&amp;" Equity","")</f>
        <v/>
      </c>
      <c r="BT1" s="2">
        <f>IF(ISNUMBER(B$7),"USO US "&amp;TEXT(B$3,"mm/dd/yy")&amp;" C"&amp;(B$7-3*B$6)&amp;" Equity","")</f>
        <v/>
      </c>
      <c r="CK1" s="2">
        <f>IF(ISNUMBER(B$7),"USO US "&amp;TEXT(B$3,"mm/dd/yy")&amp;" P"&amp;(B$7-3*B$6)&amp;" Equity","")</f>
        <v/>
      </c>
      <c r="DB1" s="2">
        <f>IF(ISNUMBER(B$7),"USO US "&amp;TEXT(B$3,"mm/dd/yy")&amp;" C"&amp;(B$7-2*B$6)&amp;" Equity","")</f>
        <v/>
      </c>
      <c r="DS1" s="2">
        <f>IF(ISNUMBER(B$7),"USO US "&amp;TEXT(B$3,"mm/dd/yy")&amp;" P"&amp;(B$7-2*B$6)&amp;" Equity","")</f>
        <v/>
      </c>
      <c r="EJ1" s="2">
        <f>IF(ISNUMBER(B$7),"USO US "&amp;TEXT(B$3,"mm/dd/yy")&amp;" C"&amp;(B$7-1*B$6)&amp;" Equity","")</f>
        <v/>
      </c>
      <c r="FA1" s="2">
        <f>IF(ISNUMBER(B$7),"USO US "&amp;TEXT(B$3,"mm/dd/yy")&amp;" P"&amp;(B$7-1*B$6)&amp;" Equity","")</f>
        <v/>
      </c>
      <c r="FR1" s="2">
        <f>IF(ISNUMBER(B$7),"USO US "&amp;TEXT(B$3,"mm/dd/yy")&amp;" C"&amp;B$7&amp;" Equity","")</f>
        <v/>
      </c>
      <c r="GI1" s="2">
        <f>IF(ISNUMBER(B$7),"USO US "&amp;TEXT(B$3,"mm/dd/yy")&amp;" P"&amp;B$7&amp;" Equity","")</f>
        <v/>
      </c>
      <c r="GZ1" s="2">
        <f>IF(ISNUMBER(B$7),"USO US "&amp;TEXT(B$3,"mm/dd/yy")&amp;" C"&amp;(B$7+1*B$6)&amp;" Equity","")</f>
        <v/>
      </c>
      <c r="HQ1" s="2">
        <f>IF(ISNUMBER(B$7),"USO US "&amp;TEXT(B$3,"mm/dd/yy")&amp;" P"&amp;(B$7+1*B$6)&amp;" Equity","")</f>
        <v/>
      </c>
      <c r="IH1" s="2">
        <f>IF(ISNUMBER(B$7),"USO US "&amp;TEXT(B$3,"mm/dd/yy")&amp;" C"&amp;(B$7+2*B$6)&amp;" Equity","")</f>
        <v/>
      </c>
      <c r="IY1" s="2">
        <f>IF(ISNUMBER(B$7),"USO US "&amp;TEXT(B$3,"mm/dd/yy")&amp;" P"&amp;(B$7+2*B$6)&amp;" Equity","")</f>
        <v/>
      </c>
      <c r="JP1" s="2">
        <f>IF(ISNUMBER(B$7),"USO US "&amp;TEXT(B$3,"mm/dd/yy")&amp;" C"&amp;(B$7+3*B$6)&amp;" Equity","")</f>
        <v/>
      </c>
      <c r="KG1" s="2">
        <f>IF(ISNUMBER(B$7),"USO US "&amp;TEXT(B$3,"mm/dd/yy")&amp;" P"&amp;(B$7+3*B$6)&amp;" Equity","")</f>
        <v/>
      </c>
      <c r="KX1" s="2">
        <f>IF(ISNUMBER(B$7),"USO US "&amp;TEXT(B$3,"mm/dd/yy")&amp;" C"&amp;(B$7+4*B$6)&amp;" Equity","")</f>
        <v/>
      </c>
      <c r="LO1" s="2">
        <f>IF(ISNUMBER(B$7),"USO US "&amp;TEXT(B$3,"mm/dd/yy")&amp;" P"&amp;(B$7+4*B$6)&amp;" Equity","")</f>
        <v/>
      </c>
      <c r="MF1" s="2">
        <f>IF(ISNUMBER(B$7),"USO US "&amp;TEXT(B$3,"mm/dd/yy")&amp;" C"&amp;(B$7+5*B$6)&amp;" Equity","")</f>
        <v/>
      </c>
      <c r="MW1" s="2">
        <f>IF(ISNUMBER(B$7),"USO US "&amp;TEXT(B$3,"mm/dd/yy")&amp;" P"&amp;(B$7+5*B$6)&amp;" Equity","")</f>
        <v/>
      </c>
    </row>
    <row r="2">
      <c r="A2" s="2" t="inlineStr">
        <is>
          <t>Underlying</t>
        </is>
      </c>
      <c r="B2" s="4">
        <f>IF(Settings!$B$15="Y","USO US Equity","")</f>
        <v/>
      </c>
      <c r="D2" s="4" t="inlineStr">
        <is>
          <t>call -5 from ATM</t>
        </is>
      </c>
      <c r="U2" s="4" t="inlineStr">
        <is>
          <t>put -5 from ATM</t>
        </is>
      </c>
      <c r="AL2" s="4" t="inlineStr">
        <is>
          <t>call -4 from ATM</t>
        </is>
      </c>
      <c r="BC2" s="4" t="inlineStr">
        <is>
          <t>put -4 from ATM</t>
        </is>
      </c>
      <c r="BT2" s="4" t="inlineStr">
        <is>
          <t>call -3 from ATM</t>
        </is>
      </c>
      <c r="CK2" s="4" t="inlineStr">
        <is>
          <t>put -3 from ATM</t>
        </is>
      </c>
      <c r="DB2" s="4" t="inlineStr">
        <is>
          <t>call -2 from ATM</t>
        </is>
      </c>
      <c r="DS2" s="4" t="inlineStr">
        <is>
          <t>put -2 from ATM</t>
        </is>
      </c>
      <c r="EJ2" s="4" t="inlineStr">
        <is>
          <t>call -1 from ATM</t>
        </is>
      </c>
      <c r="FA2" s="4" t="inlineStr">
        <is>
          <t>put -1 from ATM</t>
        </is>
      </c>
      <c r="FR2" s="4" t="inlineStr">
        <is>
          <t>call +0 from ATM</t>
        </is>
      </c>
      <c r="GI2" s="4" t="inlineStr">
        <is>
          <t>put +0 from ATM</t>
        </is>
      </c>
      <c r="GZ2" s="4" t="inlineStr">
        <is>
          <t>call +1 from ATM</t>
        </is>
      </c>
      <c r="HQ2" s="4" t="inlineStr">
        <is>
          <t>put +1 from ATM</t>
        </is>
      </c>
      <c r="IH2" s="4" t="inlineStr">
        <is>
          <t>call +2 from ATM</t>
        </is>
      </c>
      <c r="IY2" s="4" t="inlineStr">
        <is>
          <t>put +2 from ATM</t>
        </is>
      </c>
      <c r="JP2" s="4" t="inlineStr">
        <is>
          <t>call +3 from ATM</t>
        </is>
      </c>
      <c r="KG2" s="4" t="inlineStr">
        <is>
          <t>put +3 from ATM</t>
        </is>
      </c>
      <c r="KX2" s="4" t="inlineStr">
        <is>
          <t>call +4 from ATM</t>
        </is>
      </c>
      <c r="LO2" s="4" t="inlineStr">
        <is>
          <t>put +4 from ATM</t>
        </is>
      </c>
      <c r="MF2" s="4" t="inlineStr">
        <is>
          <t>call +5 from ATM</t>
        </is>
      </c>
      <c r="MW2" s="4" t="inlineStr">
        <is>
          <t>put +5 from ATM</t>
        </is>
      </c>
    </row>
    <row r="3">
      <c r="A3" s="2" t="inlineStr">
        <is>
          <t>Expiry (3rd Friday)</t>
        </is>
      </c>
      <c r="B3" s="3">
        <f>DATE(Settings!$E$15,B1,15)+MOD(6-WEEKDAY(DATE(Settings!$E$15,B1,15)),7)</f>
        <v/>
      </c>
      <c r="D3" s="5" t="inlineStr">
        <is>
          <t>Date</t>
        </is>
      </c>
      <c r="E3" s="5" t="inlineStr">
        <is>
          <t>PX_BID</t>
        </is>
      </c>
      <c r="F3" s="5" t="inlineStr">
        <is>
          <t>PX_ASK</t>
        </is>
      </c>
      <c r="G3" s="5" t="inlineStr">
        <is>
          <t>PX_MID</t>
        </is>
      </c>
      <c r="H3" s="5" t="inlineStr">
        <is>
          <t>PX_LAST</t>
        </is>
      </c>
      <c r="I3" s="5" t="inlineStr">
        <is>
          <t>PX_SETTLE</t>
        </is>
      </c>
      <c r="J3" s="5" t="inlineStr">
        <is>
          <t>PX_VOLUME</t>
        </is>
      </c>
      <c r="K3" s="5" t="inlineStr">
        <is>
          <t>OPEN_INT</t>
        </is>
      </c>
      <c r="L3" s="5" t="inlineStr">
        <is>
          <t>IVOL_MID</t>
        </is>
      </c>
      <c r="M3" s="5" t="inlineStr">
        <is>
          <t>IVOL_BID</t>
        </is>
      </c>
      <c r="N3" s="5" t="inlineStr">
        <is>
          <t>IVOL_ASK</t>
        </is>
      </c>
      <c r="O3" s="5" t="inlineStr">
        <is>
          <t>DELTA_MID</t>
        </is>
      </c>
      <c r="P3" s="5" t="inlineStr">
        <is>
          <t>GAMMA_MID</t>
        </is>
      </c>
      <c r="Q3" s="5" t="inlineStr">
        <is>
          <t>VEGA_MID</t>
        </is>
      </c>
      <c r="R3" s="5" t="inlineStr">
        <is>
          <t>THETA_MID</t>
        </is>
      </c>
      <c r="S3" s="5" t="inlineStr">
        <is>
          <t>OPT_UNDL_PX</t>
        </is>
      </c>
      <c r="U3" s="5" t="inlineStr">
        <is>
          <t>Date</t>
        </is>
      </c>
      <c r="V3" s="5" t="inlineStr">
        <is>
          <t>PX_BID</t>
        </is>
      </c>
      <c r="W3" s="5" t="inlineStr">
        <is>
          <t>PX_ASK</t>
        </is>
      </c>
      <c r="X3" s="5" t="inlineStr">
        <is>
          <t>PX_MID</t>
        </is>
      </c>
      <c r="Y3" s="5" t="inlineStr">
        <is>
          <t>PX_LAST</t>
        </is>
      </c>
      <c r="Z3" s="5" t="inlineStr">
        <is>
          <t>PX_SETTLE</t>
        </is>
      </c>
      <c r="AA3" s="5" t="inlineStr">
        <is>
          <t>PX_VOLUME</t>
        </is>
      </c>
      <c r="AB3" s="5" t="inlineStr">
        <is>
          <t>OPEN_INT</t>
        </is>
      </c>
      <c r="AC3" s="5" t="inlineStr">
        <is>
          <t>IVOL_MID</t>
        </is>
      </c>
      <c r="AD3" s="5" t="inlineStr">
        <is>
          <t>IVOL_BID</t>
        </is>
      </c>
      <c r="AE3" s="5" t="inlineStr">
        <is>
          <t>IVOL_ASK</t>
        </is>
      </c>
      <c r="AF3" s="5" t="inlineStr">
        <is>
          <t>DELTA_MID</t>
        </is>
      </c>
      <c r="AG3" s="5" t="inlineStr">
        <is>
          <t>GAMMA_MID</t>
        </is>
      </c>
      <c r="AH3" s="5" t="inlineStr">
        <is>
          <t>VEGA_MID</t>
        </is>
      </c>
      <c r="AI3" s="5" t="inlineStr">
        <is>
          <t>THETA_MID</t>
        </is>
      </c>
      <c r="AJ3" s="5" t="inlineStr">
        <is>
          <t>OPT_UNDL_PX</t>
        </is>
      </c>
      <c r="AL3" s="5" t="inlineStr">
        <is>
          <t>Date</t>
        </is>
      </c>
      <c r="AM3" s="5" t="inlineStr">
        <is>
          <t>PX_BID</t>
        </is>
      </c>
      <c r="AN3" s="5" t="inlineStr">
        <is>
          <t>PX_ASK</t>
        </is>
      </c>
      <c r="AO3" s="5" t="inlineStr">
        <is>
          <t>PX_MID</t>
        </is>
      </c>
      <c r="AP3" s="5" t="inlineStr">
        <is>
          <t>PX_LAST</t>
        </is>
      </c>
      <c r="AQ3" s="5" t="inlineStr">
        <is>
          <t>PX_SETTLE</t>
        </is>
      </c>
      <c r="AR3" s="5" t="inlineStr">
        <is>
          <t>PX_VOLUME</t>
        </is>
      </c>
      <c r="AS3" s="5" t="inlineStr">
        <is>
          <t>OPEN_INT</t>
        </is>
      </c>
      <c r="AT3" s="5" t="inlineStr">
        <is>
          <t>IVOL_MID</t>
        </is>
      </c>
      <c r="AU3" s="5" t="inlineStr">
        <is>
          <t>IVOL_BID</t>
        </is>
      </c>
      <c r="AV3" s="5" t="inlineStr">
        <is>
          <t>IVOL_ASK</t>
        </is>
      </c>
      <c r="AW3" s="5" t="inlineStr">
        <is>
          <t>DELTA_MID</t>
        </is>
      </c>
      <c r="AX3" s="5" t="inlineStr">
        <is>
          <t>GAMMA_MID</t>
        </is>
      </c>
      <c r="AY3" s="5" t="inlineStr">
        <is>
          <t>VEGA_MID</t>
        </is>
      </c>
      <c r="AZ3" s="5" t="inlineStr">
        <is>
          <t>THETA_MID</t>
        </is>
      </c>
      <c r="BA3" s="5" t="inlineStr">
        <is>
          <t>OPT_UNDL_PX</t>
        </is>
      </c>
      <c r="BC3" s="5" t="inlineStr">
        <is>
          <t>Date</t>
        </is>
      </c>
      <c r="BD3" s="5" t="inlineStr">
        <is>
          <t>PX_BID</t>
        </is>
      </c>
      <c r="BE3" s="5" t="inlineStr">
        <is>
          <t>PX_ASK</t>
        </is>
      </c>
      <c r="BF3" s="5" t="inlineStr">
        <is>
          <t>PX_MID</t>
        </is>
      </c>
      <c r="BG3" s="5" t="inlineStr">
        <is>
          <t>PX_LAST</t>
        </is>
      </c>
      <c r="BH3" s="5" t="inlineStr">
        <is>
          <t>PX_SETTLE</t>
        </is>
      </c>
      <c r="BI3" s="5" t="inlineStr">
        <is>
          <t>PX_VOLUME</t>
        </is>
      </c>
      <c r="BJ3" s="5" t="inlineStr">
        <is>
          <t>OPEN_INT</t>
        </is>
      </c>
      <c r="BK3" s="5" t="inlineStr">
        <is>
          <t>IVOL_MID</t>
        </is>
      </c>
      <c r="BL3" s="5" t="inlineStr">
        <is>
          <t>IVOL_BID</t>
        </is>
      </c>
      <c r="BM3" s="5" t="inlineStr">
        <is>
          <t>IVOL_ASK</t>
        </is>
      </c>
      <c r="BN3" s="5" t="inlineStr">
        <is>
          <t>DELTA_MID</t>
        </is>
      </c>
      <c r="BO3" s="5" t="inlineStr">
        <is>
          <t>GAMMA_MID</t>
        </is>
      </c>
      <c r="BP3" s="5" t="inlineStr">
        <is>
          <t>VEGA_MID</t>
        </is>
      </c>
      <c r="BQ3" s="5" t="inlineStr">
        <is>
          <t>THETA_MID</t>
        </is>
      </c>
      <c r="BR3" s="5" t="inlineStr">
        <is>
          <t>OPT_UNDL_PX</t>
        </is>
      </c>
      <c r="BT3" s="5" t="inlineStr">
        <is>
          <t>Date</t>
        </is>
      </c>
      <c r="BU3" s="5" t="inlineStr">
        <is>
          <t>PX_BID</t>
        </is>
      </c>
      <c r="BV3" s="5" t="inlineStr">
        <is>
          <t>PX_ASK</t>
        </is>
      </c>
      <c r="BW3" s="5" t="inlineStr">
        <is>
          <t>PX_MID</t>
        </is>
      </c>
      <c r="BX3" s="5" t="inlineStr">
        <is>
          <t>PX_LAST</t>
        </is>
      </c>
      <c r="BY3" s="5" t="inlineStr">
        <is>
          <t>PX_SETTLE</t>
        </is>
      </c>
      <c r="BZ3" s="5" t="inlineStr">
        <is>
          <t>PX_VOLUME</t>
        </is>
      </c>
      <c r="CA3" s="5" t="inlineStr">
        <is>
          <t>OPEN_INT</t>
        </is>
      </c>
      <c r="CB3" s="5" t="inlineStr">
        <is>
          <t>IVOL_MID</t>
        </is>
      </c>
      <c r="CC3" s="5" t="inlineStr">
        <is>
          <t>IVOL_BID</t>
        </is>
      </c>
      <c r="CD3" s="5" t="inlineStr">
        <is>
          <t>IVOL_ASK</t>
        </is>
      </c>
      <c r="CE3" s="5" t="inlineStr">
        <is>
          <t>DELTA_MID</t>
        </is>
      </c>
      <c r="CF3" s="5" t="inlineStr">
        <is>
          <t>GAMMA_MID</t>
        </is>
      </c>
      <c r="CG3" s="5" t="inlineStr">
        <is>
          <t>VEGA_MID</t>
        </is>
      </c>
      <c r="CH3" s="5" t="inlineStr">
        <is>
          <t>THETA_MID</t>
        </is>
      </c>
      <c r="CI3" s="5" t="inlineStr">
        <is>
          <t>OPT_UNDL_PX</t>
        </is>
      </c>
      <c r="CK3" s="5" t="inlineStr">
        <is>
          <t>Date</t>
        </is>
      </c>
      <c r="CL3" s="5" t="inlineStr">
        <is>
          <t>PX_BID</t>
        </is>
      </c>
      <c r="CM3" s="5" t="inlineStr">
        <is>
          <t>PX_ASK</t>
        </is>
      </c>
      <c r="CN3" s="5" t="inlineStr">
        <is>
          <t>PX_MID</t>
        </is>
      </c>
      <c r="CO3" s="5" t="inlineStr">
        <is>
          <t>PX_LAST</t>
        </is>
      </c>
      <c r="CP3" s="5" t="inlineStr">
        <is>
          <t>PX_SETTLE</t>
        </is>
      </c>
      <c r="CQ3" s="5" t="inlineStr">
        <is>
          <t>PX_VOLUME</t>
        </is>
      </c>
      <c r="CR3" s="5" t="inlineStr">
        <is>
          <t>OPEN_INT</t>
        </is>
      </c>
      <c r="CS3" s="5" t="inlineStr">
        <is>
          <t>IVOL_MID</t>
        </is>
      </c>
      <c r="CT3" s="5" t="inlineStr">
        <is>
          <t>IVOL_BID</t>
        </is>
      </c>
      <c r="CU3" s="5" t="inlineStr">
        <is>
          <t>IVOL_ASK</t>
        </is>
      </c>
      <c r="CV3" s="5" t="inlineStr">
        <is>
          <t>DELTA_MID</t>
        </is>
      </c>
      <c r="CW3" s="5" t="inlineStr">
        <is>
          <t>GAMMA_MID</t>
        </is>
      </c>
      <c r="CX3" s="5" t="inlineStr">
        <is>
          <t>VEGA_MID</t>
        </is>
      </c>
      <c r="CY3" s="5" t="inlineStr">
        <is>
          <t>THETA_MID</t>
        </is>
      </c>
      <c r="CZ3" s="5" t="inlineStr">
        <is>
          <t>OPT_UNDL_PX</t>
        </is>
      </c>
      <c r="DB3" s="5" t="inlineStr">
        <is>
          <t>Date</t>
        </is>
      </c>
      <c r="DC3" s="5" t="inlineStr">
        <is>
          <t>PX_BID</t>
        </is>
      </c>
      <c r="DD3" s="5" t="inlineStr">
        <is>
          <t>PX_ASK</t>
        </is>
      </c>
      <c r="DE3" s="5" t="inlineStr">
        <is>
          <t>PX_MID</t>
        </is>
      </c>
      <c r="DF3" s="5" t="inlineStr">
        <is>
          <t>PX_LAST</t>
        </is>
      </c>
      <c r="DG3" s="5" t="inlineStr">
        <is>
          <t>PX_SETTLE</t>
        </is>
      </c>
      <c r="DH3" s="5" t="inlineStr">
        <is>
          <t>PX_VOLUME</t>
        </is>
      </c>
      <c r="DI3" s="5" t="inlineStr">
        <is>
          <t>OPEN_INT</t>
        </is>
      </c>
      <c r="DJ3" s="5" t="inlineStr">
        <is>
          <t>IVOL_MID</t>
        </is>
      </c>
      <c r="DK3" s="5" t="inlineStr">
        <is>
          <t>IVOL_BID</t>
        </is>
      </c>
      <c r="DL3" s="5" t="inlineStr">
        <is>
          <t>IVOL_ASK</t>
        </is>
      </c>
      <c r="DM3" s="5" t="inlineStr">
        <is>
          <t>DELTA_MID</t>
        </is>
      </c>
      <c r="DN3" s="5" t="inlineStr">
        <is>
          <t>GAMMA_MID</t>
        </is>
      </c>
      <c r="DO3" s="5" t="inlineStr">
        <is>
          <t>VEGA_MID</t>
        </is>
      </c>
      <c r="DP3" s="5" t="inlineStr">
        <is>
          <t>THETA_MID</t>
        </is>
      </c>
      <c r="DQ3" s="5" t="inlineStr">
        <is>
          <t>OPT_UNDL_PX</t>
        </is>
      </c>
      <c r="DS3" s="5" t="inlineStr">
        <is>
          <t>Date</t>
        </is>
      </c>
      <c r="DT3" s="5" t="inlineStr">
        <is>
          <t>PX_BID</t>
        </is>
      </c>
      <c r="DU3" s="5" t="inlineStr">
        <is>
          <t>PX_ASK</t>
        </is>
      </c>
      <c r="DV3" s="5" t="inlineStr">
        <is>
          <t>PX_MID</t>
        </is>
      </c>
      <c r="DW3" s="5" t="inlineStr">
        <is>
          <t>PX_LAST</t>
        </is>
      </c>
      <c r="DX3" s="5" t="inlineStr">
        <is>
          <t>PX_SETTLE</t>
        </is>
      </c>
      <c r="DY3" s="5" t="inlineStr">
        <is>
          <t>PX_VOLUME</t>
        </is>
      </c>
      <c r="DZ3" s="5" t="inlineStr">
        <is>
          <t>OPEN_INT</t>
        </is>
      </c>
      <c r="EA3" s="5" t="inlineStr">
        <is>
          <t>IVOL_MID</t>
        </is>
      </c>
      <c r="EB3" s="5" t="inlineStr">
        <is>
          <t>IVOL_BID</t>
        </is>
      </c>
      <c r="EC3" s="5" t="inlineStr">
        <is>
          <t>IVOL_ASK</t>
        </is>
      </c>
      <c r="ED3" s="5" t="inlineStr">
        <is>
          <t>DELTA_MID</t>
        </is>
      </c>
      <c r="EE3" s="5" t="inlineStr">
        <is>
          <t>GAMMA_MID</t>
        </is>
      </c>
      <c r="EF3" s="5" t="inlineStr">
        <is>
          <t>VEGA_MID</t>
        </is>
      </c>
      <c r="EG3" s="5" t="inlineStr">
        <is>
          <t>THETA_MID</t>
        </is>
      </c>
      <c r="EH3" s="5" t="inlineStr">
        <is>
          <t>OPT_UNDL_PX</t>
        </is>
      </c>
      <c r="EJ3" s="5" t="inlineStr">
        <is>
          <t>Date</t>
        </is>
      </c>
      <c r="EK3" s="5" t="inlineStr">
        <is>
          <t>PX_BID</t>
        </is>
      </c>
      <c r="EL3" s="5" t="inlineStr">
        <is>
          <t>PX_ASK</t>
        </is>
      </c>
      <c r="EM3" s="5" t="inlineStr">
        <is>
          <t>PX_MID</t>
        </is>
      </c>
      <c r="EN3" s="5" t="inlineStr">
        <is>
          <t>PX_LAST</t>
        </is>
      </c>
      <c r="EO3" s="5" t="inlineStr">
        <is>
          <t>PX_SETTLE</t>
        </is>
      </c>
      <c r="EP3" s="5" t="inlineStr">
        <is>
          <t>PX_VOLUME</t>
        </is>
      </c>
      <c r="EQ3" s="5" t="inlineStr">
        <is>
          <t>OPEN_INT</t>
        </is>
      </c>
      <c r="ER3" s="5" t="inlineStr">
        <is>
          <t>IVOL_MID</t>
        </is>
      </c>
      <c r="ES3" s="5" t="inlineStr">
        <is>
          <t>IVOL_BID</t>
        </is>
      </c>
      <c r="ET3" s="5" t="inlineStr">
        <is>
          <t>IVOL_ASK</t>
        </is>
      </c>
      <c r="EU3" s="5" t="inlineStr">
        <is>
          <t>DELTA_MID</t>
        </is>
      </c>
      <c r="EV3" s="5" t="inlineStr">
        <is>
          <t>GAMMA_MID</t>
        </is>
      </c>
      <c r="EW3" s="5" t="inlineStr">
        <is>
          <t>VEGA_MID</t>
        </is>
      </c>
      <c r="EX3" s="5" t="inlineStr">
        <is>
          <t>THETA_MID</t>
        </is>
      </c>
      <c r="EY3" s="5" t="inlineStr">
        <is>
          <t>OPT_UNDL_PX</t>
        </is>
      </c>
      <c r="FA3" s="5" t="inlineStr">
        <is>
          <t>Date</t>
        </is>
      </c>
      <c r="FB3" s="5" t="inlineStr">
        <is>
          <t>PX_BID</t>
        </is>
      </c>
      <c r="FC3" s="5" t="inlineStr">
        <is>
          <t>PX_ASK</t>
        </is>
      </c>
      <c r="FD3" s="5" t="inlineStr">
        <is>
          <t>PX_MID</t>
        </is>
      </c>
      <c r="FE3" s="5" t="inlineStr">
        <is>
          <t>PX_LAST</t>
        </is>
      </c>
      <c r="FF3" s="5" t="inlineStr">
        <is>
          <t>PX_SETTLE</t>
        </is>
      </c>
      <c r="FG3" s="5" t="inlineStr">
        <is>
          <t>PX_VOLUME</t>
        </is>
      </c>
      <c r="FH3" s="5" t="inlineStr">
        <is>
          <t>OPEN_INT</t>
        </is>
      </c>
      <c r="FI3" s="5" t="inlineStr">
        <is>
          <t>IVOL_MID</t>
        </is>
      </c>
      <c r="FJ3" s="5" t="inlineStr">
        <is>
          <t>IVOL_BID</t>
        </is>
      </c>
      <c r="FK3" s="5" t="inlineStr">
        <is>
          <t>IVOL_ASK</t>
        </is>
      </c>
      <c r="FL3" s="5" t="inlineStr">
        <is>
          <t>DELTA_MID</t>
        </is>
      </c>
      <c r="FM3" s="5" t="inlineStr">
        <is>
          <t>GAMMA_MID</t>
        </is>
      </c>
      <c r="FN3" s="5" t="inlineStr">
        <is>
          <t>VEGA_MID</t>
        </is>
      </c>
      <c r="FO3" s="5" t="inlineStr">
        <is>
          <t>THETA_MID</t>
        </is>
      </c>
      <c r="FP3" s="5" t="inlineStr">
        <is>
          <t>OPT_UNDL_PX</t>
        </is>
      </c>
      <c r="FR3" s="5" t="inlineStr">
        <is>
          <t>Date</t>
        </is>
      </c>
      <c r="FS3" s="5" t="inlineStr">
        <is>
          <t>PX_BID</t>
        </is>
      </c>
      <c r="FT3" s="5" t="inlineStr">
        <is>
          <t>PX_ASK</t>
        </is>
      </c>
      <c r="FU3" s="5" t="inlineStr">
        <is>
          <t>PX_MID</t>
        </is>
      </c>
      <c r="FV3" s="5" t="inlineStr">
        <is>
          <t>PX_LAST</t>
        </is>
      </c>
      <c r="FW3" s="5" t="inlineStr">
        <is>
          <t>PX_SETTLE</t>
        </is>
      </c>
      <c r="FX3" s="5" t="inlineStr">
        <is>
          <t>PX_VOLUME</t>
        </is>
      </c>
      <c r="FY3" s="5" t="inlineStr">
        <is>
          <t>OPEN_INT</t>
        </is>
      </c>
      <c r="FZ3" s="5" t="inlineStr">
        <is>
          <t>IVOL_MID</t>
        </is>
      </c>
      <c r="GA3" s="5" t="inlineStr">
        <is>
          <t>IVOL_BID</t>
        </is>
      </c>
      <c r="GB3" s="5" t="inlineStr">
        <is>
          <t>IVOL_ASK</t>
        </is>
      </c>
      <c r="GC3" s="5" t="inlineStr">
        <is>
          <t>DELTA_MID</t>
        </is>
      </c>
      <c r="GD3" s="5" t="inlineStr">
        <is>
          <t>GAMMA_MID</t>
        </is>
      </c>
      <c r="GE3" s="5" t="inlineStr">
        <is>
          <t>VEGA_MID</t>
        </is>
      </c>
      <c r="GF3" s="5" t="inlineStr">
        <is>
          <t>THETA_MID</t>
        </is>
      </c>
      <c r="GG3" s="5" t="inlineStr">
        <is>
          <t>OPT_UNDL_PX</t>
        </is>
      </c>
      <c r="GI3" s="5" t="inlineStr">
        <is>
          <t>Date</t>
        </is>
      </c>
      <c r="GJ3" s="5" t="inlineStr">
        <is>
          <t>PX_BID</t>
        </is>
      </c>
      <c r="GK3" s="5" t="inlineStr">
        <is>
          <t>PX_ASK</t>
        </is>
      </c>
      <c r="GL3" s="5" t="inlineStr">
        <is>
          <t>PX_MID</t>
        </is>
      </c>
      <c r="GM3" s="5" t="inlineStr">
        <is>
          <t>PX_LAST</t>
        </is>
      </c>
      <c r="GN3" s="5" t="inlineStr">
        <is>
          <t>PX_SETTLE</t>
        </is>
      </c>
      <c r="GO3" s="5" t="inlineStr">
        <is>
          <t>PX_VOLUME</t>
        </is>
      </c>
      <c r="GP3" s="5" t="inlineStr">
        <is>
          <t>OPEN_INT</t>
        </is>
      </c>
      <c r="GQ3" s="5" t="inlineStr">
        <is>
          <t>IVOL_MID</t>
        </is>
      </c>
      <c r="GR3" s="5" t="inlineStr">
        <is>
          <t>IVOL_BID</t>
        </is>
      </c>
      <c r="GS3" s="5" t="inlineStr">
        <is>
          <t>IVOL_ASK</t>
        </is>
      </c>
      <c r="GT3" s="5" t="inlineStr">
        <is>
          <t>DELTA_MID</t>
        </is>
      </c>
      <c r="GU3" s="5" t="inlineStr">
        <is>
          <t>GAMMA_MID</t>
        </is>
      </c>
      <c r="GV3" s="5" t="inlineStr">
        <is>
          <t>VEGA_MID</t>
        </is>
      </c>
      <c r="GW3" s="5" t="inlineStr">
        <is>
          <t>THETA_MID</t>
        </is>
      </c>
      <c r="GX3" s="5" t="inlineStr">
        <is>
          <t>OPT_UNDL_PX</t>
        </is>
      </c>
      <c r="GZ3" s="5" t="inlineStr">
        <is>
          <t>Date</t>
        </is>
      </c>
      <c r="HA3" s="5" t="inlineStr">
        <is>
          <t>PX_BID</t>
        </is>
      </c>
      <c r="HB3" s="5" t="inlineStr">
        <is>
          <t>PX_ASK</t>
        </is>
      </c>
      <c r="HC3" s="5" t="inlineStr">
        <is>
          <t>PX_MID</t>
        </is>
      </c>
      <c r="HD3" s="5" t="inlineStr">
        <is>
          <t>PX_LAST</t>
        </is>
      </c>
      <c r="HE3" s="5" t="inlineStr">
        <is>
          <t>PX_SETTLE</t>
        </is>
      </c>
      <c r="HF3" s="5" t="inlineStr">
        <is>
          <t>PX_VOLUME</t>
        </is>
      </c>
      <c r="HG3" s="5" t="inlineStr">
        <is>
          <t>OPEN_INT</t>
        </is>
      </c>
      <c r="HH3" s="5" t="inlineStr">
        <is>
          <t>IVOL_MID</t>
        </is>
      </c>
      <c r="HI3" s="5" t="inlineStr">
        <is>
          <t>IVOL_BID</t>
        </is>
      </c>
      <c r="HJ3" s="5" t="inlineStr">
        <is>
          <t>IVOL_ASK</t>
        </is>
      </c>
      <c r="HK3" s="5" t="inlineStr">
        <is>
          <t>DELTA_MID</t>
        </is>
      </c>
      <c r="HL3" s="5" t="inlineStr">
        <is>
          <t>GAMMA_MID</t>
        </is>
      </c>
      <c r="HM3" s="5" t="inlineStr">
        <is>
          <t>VEGA_MID</t>
        </is>
      </c>
      <c r="HN3" s="5" t="inlineStr">
        <is>
          <t>THETA_MID</t>
        </is>
      </c>
      <c r="HO3" s="5" t="inlineStr">
        <is>
          <t>OPT_UNDL_PX</t>
        </is>
      </c>
      <c r="HQ3" s="5" t="inlineStr">
        <is>
          <t>Date</t>
        </is>
      </c>
      <c r="HR3" s="5" t="inlineStr">
        <is>
          <t>PX_BID</t>
        </is>
      </c>
      <c r="HS3" s="5" t="inlineStr">
        <is>
          <t>PX_ASK</t>
        </is>
      </c>
      <c r="HT3" s="5" t="inlineStr">
        <is>
          <t>PX_MID</t>
        </is>
      </c>
      <c r="HU3" s="5" t="inlineStr">
        <is>
          <t>PX_LAST</t>
        </is>
      </c>
      <c r="HV3" s="5" t="inlineStr">
        <is>
          <t>PX_SETTLE</t>
        </is>
      </c>
      <c r="HW3" s="5" t="inlineStr">
        <is>
          <t>PX_VOLUME</t>
        </is>
      </c>
      <c r="HX3" s="5" t="inlineStr">
        <is>
          <t>OPEN_INT</t>
        </is>
      </c>
      <c r="HY3" s="5" t="inlineStr">
        <is>
          <t>IVOL_MID</t>
        </is>
      </c>
      <c r="HZ3" s="5" t="inlineStr">
        <is>
          <t>IVOL_BID</t>
        </is>
      </c>
      <c r="IA3" s="5" t="inlineStr">
        <is>
          <t>IVOL_ASK</t>
        </is>
      </c>
      <c r="IB3" s="5" t="inlineStr">
        <is>
          <t>DELTA_MID</t>
        </is>
      </c>
      <c r="IC3" s="5" t="inlineStr">
        <is>
          <t>GAMMA_MID</t>
        </is>
      </c>
      <c r="ID3" s="5" t="inlineStr">
        <is>
          <t>VEGA_MID</t>
        </is>
      </c>
      <c r="IE3" s="5" t="inlineStr">
        <is>
          <t>THETA_MID</t>
        </is>
      </c>
      <c r="IF3" s="5" t="inlineStr">
        <is>
          <t>OPT_UNDL_PX</t>
        </is>
      </c>
      <c r="IH3" s="5" t="inlineStr">
        <is>
          <t>Date</t>
        </is>
      </c>
      <c r="II3" s="5" t="inlineStr">
        <is>
          <t>PX_BID</t>
        </is>
      </c>
      <c r="IJ3" s="5" t="inlineStr">
        <is>
          <t>PX_ASK</t>
        </is>
      </c>
      <c r="IK3" s="5" t="inlineStr">
        <is>
          <t>PX_MID</t>
        </is>
      </c>
      <c r="IL3" s="5" t="inlineStr">
        <is>
          <t>PX_LAST</t>
        </is>
      </c>
      <c r="IM3" s="5" t="inlineStr">
        <is>
          <t>PX_SETTLE</t>
        </is>
      </c>
      <c r="IN3" s="5" t="inlineStr">
        <is>
          <t>PX_VOLUME</t>
        </is>
      </c>
      <c r="IO3" s="5" t="inlineStr">
        <is>
          <t>OPEN_INT</t>
        </is>
      </c>
      <c r="IP3" s="5" t="inlineStr">
        <is>
          <t>IVOL_MID</t>
        </is>
      </c>
      <c r="IQ3" s="5" t="inlineStr">
        <is>
          <t>IVOL_BID</t>
        </is>
      </c>
      <c r="IR3" s="5" t="inlineStr">
        <is>
          <t>IVOL_ASK</t>
        </is>
      </c>
      <c r="IS3" s="5" t="inlineStr">
        <is>
          <t>DELTA_MID</t>
        </is>
      </c>
      <c r="IT3" s="5" t="inlineStr">
        <is>
          <t>GAMMA_MID</t>
        </is>
      </c>
      <c r="IU3" s="5" t="inlineStr">
        <is>
          <t>VEGA_MID</t>
        </is>
      </c>
      <c r="IV3" s="5" t="inlineStr">
        <is>
          <t>THETA_MID</t>
        </is>
      </c>
      <c r="IW3" s="5" t="inlineStr">
        <is>
          <t>OPT_UNDL_PX</t>
        </is>
      </c>
      <c r="IY3" s="5" t="inlineStr">
        <is>
          <t>Date</t>
        </is>
      </c>
      <c r="IZ3" s="5" t="inlineStr">
        <is>
          <t>PX_BID</t>
        </is>
      </c>
      <c r="JA3" s="5" t="inlineStr">
        <is>
          <t>PX_ASK</t>
        </is>
      </c>
      <c r="JB3" s="5" t="inlineStr">
        <is>
          <t>PX_MID</t>
        </is>
      </c>
      <c r="JC3" s="5" t="inlineStr">
        <is>
          <t>PX_LAST</t>
        </is>
      </c>
      <c r="JD3" s="5" t="inlineStr">
        <is>
          <t>PX_SETTLE</t>
        </is>
      </c>
      <c r="JE3" s="5" t="inlineStr">
        <is>
          <t>PX_VOLUME</t>
        </is>
      </c>
      <c r="JF3" s="5" t="inlineStr">
        <is>
          <t>OPEN_INT</t>
        </is>
      </c>
      <c r="JG3" s="5" t="inlineStr">
        <is>
          <t>IVOL_MID</t>
        </is>
      </c>
      <c r="JH3" s="5" t="inlineStr">
        <is>
          <t>IVOL_BID</t>
        </is>
      </c>
      <c r="JI3" s="5" t="inlineStr">
        <is>
          <t>IVOL_ASK</t>
        </is>
      </c>
      <c r="JJ3" s="5" t="inlineStr">
        <is>
          <t>DELTA_MID</t>
        </is>
      </c>
      <c r="JK3" s="5" t="inlineStr">
        <is>
          <t>GAMMA_MID</t>
        </is>
      </c>
      <c r="JL3" s="5" t="inlineStr">
        <is>
          <t>VEGA_MID</t>
        </is>
      </c>
      <c r="JM3" s="5" t="inlineStr">
        <is>
          <t>THETA_MID</t>
        </is>
      </c>
      <c r="JN3" s="5" t="inlineStr">
        <is>
          <t>OPT_UNDL_PX</t>
        </is>
      </c>
      <c r="JP3" s="5" t="inlineStr">
        <is>
          <t>Date</t>
        </is>
      </c>
      <c r="JQ3" s="5" t="inlineStr">
        <is>
          <t>PX_BID</t>
        </is>
      </c>
      <c r="JR3" s="5" t="inlineStr">
        <is>
          <t>PX_ASK</t>
        </is>
      </c>
      <c r="JS3" s="5" t="inlineStr">
        <is>
          <t>PX_MID</t>
        </is>
      </c>
      <c r="JT3" s="5" t="inlineStr">
        <is>
          <t>PX_LAST</t>
        </is>
      </c>
      <c r="JU3" s="5" t="inlineStr">
        <is>
          <t>PX_SETTLE</t>
        </is>
      </c>
      <c r="JV3" s="5" t="inlineStr">
        <is>
          <t>PX_VOLUME</t>
        </is>
      </c>
      <c r="JW3" s="5" t="inlineStr">
        <is>
          <t>OPEN_INT</t>
        </is>
      </c>
      <c r="JX3" s="5" t="inlineStr">
        <is>
          <t>IVOL_MID</t>
        </is>
      </c>
      <c r="JY3" s="5" t="inlineStr">
        <is>
          <t>IVOL_BID</t>
        </is>
      </c>
      <c r="JZ3" s="5" t="inlineStr">
        <is>
          <t>IVOL_ASK</t>
        </is>
      </c>
      <c r="KA3" s="5" t="inlineStr">
        <is>
          <t>DELTA_MID</t>
        </is>
      </c>
      <c r="KB3" s="5" t="inlineStr">
        <is>
          <t>GAMMA_MID</t>
        </is>
      </c>
      <c r="KC3" s="5" t="inlineStr">
        <is>
          <t>VEGA_MID</t>
        </is>
      </c>
      <c r="KD3" s="5" t="inlineStr">
        <is>
          <t>THETA_MID</t>
        </is>
      </c>
      <c r="KE3" s="5" t="inlineStr">
        <is>
          <t>OPT_UNDL_PX</t>
        </is>
      </c>
      <c r="KG3" s="5" t="inlineStr">
        <is>
          <t>Date</t>
        </is>
      </c>
      <c r="KH3" s="5" t="inlineStr">
        <is>
          <t>PX_BID</t>
        </is>
      </c>
      <c r="KI3" s="5" t="inlineStr">
        <is>
          <t>PX_ASK</t>
        </is>
      </c>
      <c r="KJ3" s="5" t="inlineStr">
        <is>
          <t>PX_MID</t>
        </is>
      </c>
      <c r="KK3" s="5" t="inlineStr">
        <is>
          <t>PX_LAST</t>
        </is>
      </c>
      <c r="KL3" s="5" t="inlineStr">
        <is>
          <t>PX_SETTLE</t>
        </is>
      </c>
      <c r="KM3" s="5" t="inlineStr">
        <is>
          <t>PX_VOLUME</t>
        </is>
      </c>
      <c r="KN3" s="5" t="inlineStr">
        <is>
          <t>OPEN_INT</t>
        </is>
      </c>
      <c r="KO3" s="5" t="inlineStr">
        <is>
          <t>IVOL_MID</t>
        </is>
      </c>
      <c r="KP3" s="5" t="inlineStr">
        <is>
          <t>IVOL_BID</t>
        </is>
      </c>
      <c r="KQ3" s="5" t="inlineStr">
        <is>
          <t>IVOL_ASK</t>
        </is>
      </c>
      <c r="KR3" s="5" t="inlineStr">
        <is>
          <t>DELTA_MID</t>
        </is>
      </c>
      <c r="KS3" s="5" t="inlineStr">
        <is>
          <t>GAMMA_MID</t>
        </is>
      </c>
      <c r="KT3" s="5" t="inlineStr">
        <is>
          <t>VEGA_MID</t>
        </is>
      </c>
      <c r="KU3" s="5" t="inlineStr">
        <is>
          <t>THETA_MID</t>
        </is>
      </c>
      <c r="KV3" s="5" t="inlineStr">
        <is>
          <t>OPT_UNDL_PX</t>
        </is>
      </c>
      <c r="KX3" s="5" t="inlineStr">
        <is>
          <t>Date</t>
        </is>
      </c>
      <c r="KY3" s="5" t="inlineStr">
        <is>
          <t>PX_BID</t>
        </is>
      </c>
      <c r="KZ3" s="5" t="inlineStr">
        <is>
          <t>PX_ASK</t>
        </is>
      </c>
      <c r="LA3" s="5" t="inlineStr">
        <is>
          <t>PX_MID</t>
        </is>
      </c>
      <c r="LB3" s="5" t="inlineStr">
        <is>
          <t>PX_LAST</t>
        </is>
      </c>
      <c r="LC3" s="5" t="inlineStr">
        <is>
          <t>PX_SETTLE</t>
        </is>
      </c>
      <c r="LD3" s="5" t="inlineStr">
        <is>
          <t>PX_VOLUME</t>
        </is>
      </c>
      <c r="LE3" s="5" t="inlineStr">
        <is>
          <t>OPEN_INT</t>
        </is>
      </c>
      <c r="LF3" s="5" t="inlineStr">
        <is>
          <t>IVOL_MID</t>
        </is>
      </c>
      <c r="LG3" s="5" t="inlineStr">
        <is>
          <t>IVOL_BID</t>
        </is>
      </c>
      <c r="LH3" s="5" t="inlineStr">
        <is>
          <t>IVOL_ASK</t>
        </is>
      </c>
      <c r="LI3" s="5" t="inlineStr">
        <is>
          <t>DELTA_MID</t>
        </is>
      </c>
      <c r="LJ3" s="5" t="inlineStr">
        <is>
          <t>GAMMA_MID</t>
        </is>
      </c>
      <c r="LK3" s="5" t="inlineStr">
        <is>
          <t>VEGA_MID</t>
        </is>
      </c>
      <c r="LL3" s="5" t="inlineStr">
        <is>
          <t>THETA_MID</t>
        </is>
      </c>
      <c r="LM3" s="5" t="inlineStr">
        <is>
          <t>OPT_UNDL_PX</t>
        </is>
      </c>
      <c r="LO3" s="5" t="inlineStr">
        <is>
          <t>Date</t>
        </is>
      </c>
      <c r="LP3" s="5" t="inlineStr">
        <is>
          <t>PX_BID</t>
        </is>
      </c>
      <c r="LQ3" s="5" t="inlineStr">
        <is>
          <t>PX_ASK</t>
        </is>
      </c>
      <c r="LR3" s="5" t="inlineStr">
        <is>
          <t>PX_MID</t>
        </is>
      </c>
      <c r="LS3" s="5" t="inlineStr">
        <is>
          <t>PX_LAST</t>
        </is>
      </c>
      <c r="LT3" s="5" t="inlineStr">
        <is>
          <t>PX_SETTLE</t>
        </is>
      </c>
      <c r="LU3" s="5" t="inlineStr">
        <is>
          <t>PX_VOLUME</t>
        </is>
      </c>
      <c r="LV3" s="5" t="inlineStr">
        <is>
          <t>OPEN_INT</t>
        </is>
      </c>
      <c r="LW3" s="5" t="inlineStr">
        <is>
          <t>IVOL_MID</t>
        </is>
      </c>
      <c r="LX3" s="5" t="inlineStr">
        <is>
          <t>IVOL_BID</t>
        </is>
      </c>
      <c r="LY3" s="5" t="inlineStr">
        <is>
          <t>IVOL_ASK</t>
        </is>
      </c>
      <c r="LZ3" s="5" t="inlineStr">
        <is>
          <t>DELTA_MID</t>
        </is>
      </c>
      <c r="MA3" s="5" t="inlineStr">
        <is>
          <t>GAMMA_MID</t>
        </is>
      </c>
      <c r="MB3" s="5" t="inlineStr">
        <is>
          <t>VEGA_MID</t>
        </is>
      </c>
      <c r="MC3" s="5" t="inlineStr">
        <is>
          <t>THETA_MID</t>
        </is>
      </c>
      <c r="MD3" s="5" t="inlineStr">
        <is>
          <t>OPT_UNDL_PX</t>
        </is>
      </c>
      <c r="MF3" s="5" t="inlineStr">
        <is>
          <t>Date</t>
        </is>
      </c>
      <c r="MG3" s="5" t="inlineStr">
        <is>
          <t>PX_BID</t>
        </is>
      </c>
      <c r="MH3" s="5" t="inlineStr">
        <is>
          <t>PX_ASK</t>
        </is>
      </c>
      <c r="MI3" s="5" t="inlineStr">
        <is>
          <t>PX_MID</t>
        </is>
      </c>
      <c r="MJ3" s="5" t="inlineStr">
        <is>
          <t>PX_LAST</t>
        </is>
      </c>
      <c r="MK3" s="5" t="inlineStr">
        <is>
          <t>PX_SETTLE</t>
        </is>
      </c>
      <c r="ML3" s="5" t="inlineStr">
        <is>
          <t>PX_VOLUME</t>
        </is>
      </c>
      <c r="MM3" s="5" t="inlineStr">
        <is>
          <t>OPEN_INT</t>
        </is>
      </c>
      <c r="MN3" s="5" t="inlineStr">
        <is>
          <t>IVOL_MID</t>
        </is>
      </c>
      <c r="MO3" s="5" t="inlineStr">
        <is>
          <t>IVOL_BID</t>
        </is>
      </c>
      <c r="MP3" s="5" t="inlineStr">
        <is>
          <t>IVOL_ASK</t>
        </is>
      </c>
      <c r="MQ3" s="5" t="inlineStr">
        <is>
          <t>DELTA_MID</t>
        </is>
      </c>
      <c r="MR3" s="5" t="inlineStr">
        <is>
          <t>GAMMA_MID</t>
        </is>
      </c>
      <c r="MS3" s="5" t="inlineStr">
        <is>
          <t>VEGA_MID</t>
        </is>
      </c>
      <c r="MT3" s="5" t="inlineStr">
        <is>
          <t>THETA_MID</t>
        </is>
      </c>
      <c r="MU3" s="5" t="inlineStr">
        <is>
          <t>OPT_UNDL_PX</t>
        </is>
      </c>
      <c r="MW3" s="5" t="inlineStr">
        <is>
          <t>Date</t>
        </is>
      </c>
      <c r="MX3" s="5" t="inlineStr">
        <is>
          <t>PX_BID</t>
        </is>
      </c>
      <c r="MY3" s="5" t="inlineStr">
        <is>
          <t>PX_ASK</t>
        </is>
      </c>
      <c r="MZ3" s="5" t="inlineStr">
        <is>
          <t>PX_MID</t>
        </is>
      </c>
      <c r="NA3" s="5" t="inlineStr">
        <is>
          <t>PX_LAST</t>
        </is>
      </c>
      <c r="NB3" s="5" t="inlineStr">
        <is>
          <t>PX_SETTLE</t>
        </is>
      </c>
      <c r="NC3" s="5" t="inlineStr">
        <is>
          <t>PX_VOLUME</t>
        </is>
      </c>
      <c r="ND3" s="5" t="inlineStr">
        <is>
          <t>OPEN_INT</t>
        </is>
      </c>
      <c r="NE3" s="5" t="inlineStr">
        <is>
          <t>IVOL_MID</t>
        </is>
      </c>
      <c r="NF3" s="5" t="inlineStr">
        <is>
          <t>IVOL_BID</t>
        </is>
      </c>
      <c r="NG3" s="5" t="inlineStr">
        <is>
          <t>IVOL_ASK</t>
        </is>
      </c>
      <c r="NH3" s="5" t="inlineStr">
        <is>
          <t>DELTA_MID</t>
        </is>
      </c>
      <c r="NI3" s="5" t="inlineStr">
        <is>
          <t>GAMMA_MID</t>
        </is>
      </c>
      <c r="NJ3" s="5" t="inlineStr">
        <is>
          <t>VEGA_MID</t>
        </is>
      </c>
      <c r="NK3" s="5" t="inlineStr">
        <is>
          <t>THETA_MID</t>
        </is>
      </c>
      <c r="NL3" s="5" t="inlineStr">
        <is>
          <t>OPT_UNDL_PX</t>
        </is>
      </c>
    </row>
    <row r="4">
      <c r="A4" s="2" t="inlineStr">
        <is>
          <t>Strike reference date</t>
        </is>
      </c>
      <c r="B4" s="8">
        <f>B3-45</f>
        <v/>
      </c>
      <c r="D4" s="4">
        <f>BDH(D$1,E$3:S$3,$B$8,$B$9,"Dir=V","Dts=S","Sort=A","Days=T","Fill=B")</f>
        <v/>
      </c>
      <c r="U4" s="4">
        <f>BDH(U$1,V$3:AJ$3,$B$8,$B$9,"Dir=V","Dts=S","Sort=A","Days=T","Fill=B")</f>
        <v/>
      </c>
      <c r="AL4" s="4">
        <f>BDH(AL$1,AM$3:BA$3,$B$8,$B$9,"Dir=V","Dts=S","Sort=A","Days=T","Fill=B")</f>
        <v/>
      </c>
      <c r="BC4" s="4">
        <f>BDH(BC$1,BD$3:BR$3,$B$8,$B$9,"Dir=V","Dts=S","Sort=A","Days=T","Fill=B")</f>
        <v/>
      </c>
      <c r="BT4" s="4">
        <f>BDH(BT$1,BU$3:CI$3,$B$8,$B$9,"Dir=V","Dts=S","Sort=A","Days=T","Fill=B")</f>
        <v/>
      </c>
      <c r="CK4" s="4">
        <f>BDH(CK$1,CL$3:CZ$3,$B$8,$B$9,"Dir=V","Dts=S","Sort=A","Days=T","Fill=B")</f>
        <v/>
      </c>
      <c r="DB4" s="4">
        <f>BDH(DB$1,DC$3:DQ$3,$B$8,$B$9,"Dir=V","Dts=S","Sort=A","Days=T","Fill=B")</f>
        <v/>
      </c>
      <c r="DS4" s="4">
        <f>BDH(DS$1,DT$3:EH$3,$B$8,$B$9,"Dir=V","Dts=S","Sort=A","Days=T","Fill=B")</f>
        <v/>
      </c>
      <c r="EJ4" s="4">
        <f>BDH(EJ$1,EK$3:EY$3,$B$8,$B$9,"Dir=V","Dts=S","Sort=A","Days=T","Fill=B")</f>
        <v/>
      </c>
      <c r="FA4" s="4">
        <f>BDH(FA$1,FB$3:FP$3,$B$8,$B$9,"Dir=V","Dts=S","Sort=A","Days=T","Fill=B")</f>
        <v/>
      </c>
      <c r="FR4" s="4">
        <f>BDH(FR$1,FS$3:GG$3,$B$8,$B$9,"Dir=V","Dts=S","Sort=A","Days=T","Fill=B")</f>
        <v/>
      </c>
      <c r="GI4" s="4">
        <f>BDH(GI$1,GJ$3:GX$3,$B$8,$B$9,"Dir=V","Dts=S","Sort=A","Days=T","Fill=B")</f>
        <v/>
      </c>
      <c r="GZ4" s="4">
        <f>BDH(GZ$1,HA$3:HO$3,$B$8,$B$9,"Dir=V","Dts=S","Sort=A","Days=T","Fill=B")</f>
        <v/>
      </c>
      <c r="HQ4" s="4">
        <f>BDH(HQ$1,HR$3:IF$3,$B$8,$B$9,"Dir=V","Dts=S","Sort=A","Days=T","Fill=B")</f>
        <v/>
      </c>
      <c r="IH4" s="4">
        <f>BDH(IH$1,II$3:IW$3,$B$8,$B$9,"Dir=V","Dts=S","Sort=A","Days=T","Fill=B")</f>
        <v/>
      </c>
      <c r="IY4" s="4">
        <f>BDH(IY$1,IZ$3:JN$3,$B$8,$B$9,"Dir=V","Dts=S","Sort=A","Days=T","Fill=B")</f>
        <v/>
      </c>
      <c r="JP4" s="4">
        <f>BDH(JP$1,JQ$3:KE$3,$B$8,$B$9,"Dir=V","Dts=S","Sort=A","Days=T","Fill=B")</f>
        <v/>
      </c>
      <c r="KG4" s="4">
        <f>BDH(KG$1,KH$3:KV$3,$B$8,$B$9,"Dir=V","Dts=S","Sort=A","Days=T","Fill=B")</f>
        <v/>
      </c>
      <c r="KX4" s="4">
        <f>BDH(KX$1,KY$3:LM$3,$B$8,$B$9,"Dir=V","Dts=S","Sort=A","Days=T","Fill=B")</f>
        <v/>
      </c>
      <c r="LO4" s="4">
        <f>BDH(LO$1,LP$3:MD$3,$B$8,$B$9,"Dir=V","Dts=S","Sort=A","Days=T","Fill=B")</f>
        <v/>
      </c>
      <c r="MF4" s="4">
        <f>BDH(MF$1,MG$3:MU$3,$B$8,$B$9,"Dir=V","Dts=S","Sort=A","Days=T","Fill=B")</f>
        <v/>
      </c>
      <c r="MW4" s="4">
        <f>BDH(MW$1,MX$3:NL$3,$B$8,$B$9,"Dir=V","Dts=S","Sort=A","Days=T","Fill=B")</f>
        <v/>
      </c>
    </row>
    <row r="5">
      <c r="A5" s="2" t="inlineStr">
        <is>
          <t>Unadjusted close then</t>
        </is>
      </c>
      <c r="B5" s="10">
        <f>IF(B2="","",BDH(B2,"PX_LAST",B4,B4,"Days=A","Fill=P","Dts=H","CshAdjNormal=N","CshAdjAbnormal=N","CapChg=N"))</f>
        <v/>
      </c>
    </row>
    <row r="6">
      <c r="A6" s="2" t="inlineStr">
        <is>
          <t>Strike step</t>
        </is>
      </c>
      <c r="B6" s="11">
        <f>IF(ISNUMBER(B5),IF(B5&lt;25,0.5,IF(B5&lt;250,1,5)),"")</f>
        <v/>
      </c>
    </row>
    <row r="7">
      <c r="A7" s="2" t="inlineStr">
        <is>
          <t>ATM strike</t>
        </is>
      </c>
      <c r="B7" s="11">
        <f>IF(ISNUMBER(B5),ROUND(B5/B6,0)*B6,"")</f>
        <v/>
      </c>
    </row>
    <row r="8">
      <c r="A8" s="2" t="inlineStr">
        <is>
          <t>History start</t>
        </is>
      </c>
      <c r="B8" s="8">
        <f>B3-100</f>
        <v/>
      </c>
    </row>
    <row r="9">
      <c r="A9" s="2" t="inlineStr">
        <is>
          <t>History end</t>
        </is>
      </c>
      <c r="B9" s="8">
        <f>B3</f>
        <v/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NL9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2" customWidth="1" min="2" max="2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1" customWidth="1" min="15" max="15"/>
    <col width="11" customWidth="1" min="16" max="16"/>
    <col width="10" customWidth="1" min="17" max="17"/>
    <col width="11" customWidth="1" min="18" max="18"/>
    <col width="13" customWidth="1" min="19" max="19"/>
    <col width="12" customWidth="1" min="21" max="21"/>
    <col width="10" customWidth="1" min="22" max="22"/>
    <col width="10" customWidth="1" min="23" max="23"/>
    <col width="10" customWidth="1" min="24" max="24"/>
    <col width="10" customWidth="1" min="25" max="25"/>
    <col width="11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1" customWidth="1" min="32" max="32"/>
    <col width="11" customWidth="1" min="33" max="33"/>
    <col width="10" customWidth="1" min="34" max="34"/>
    <col width="11" customWidth="1" min="35" max="35"/>
    <col width="13" customWidth="1" min="36" max="36"/>
    <col width="12" customWidth="1" min="38" max="38"/>
    <col width="10" customWidth="1" min="39" max="39"/>
    <col width="10" customWidth="1" min="40" max="40"/>
    <col width="10" customWidth="1" min="41" max="41"/>
    <col width="10" customWidth="1" min="42" max="42"/>
    <col width="11" customWidth="1" min="43" max="43"/>
    <col width="11" customWidth="1" min="44" max="44"/>
    <col width="10" customWidth="1" min="45" max="45"/>
    <col width="10" customWidth="1" min="46" max="46"/>
    <col width="10" customWidth="1" min="47" max="47"/>
    <col width="10" customWidth="1" min="48" max="48"/>
    <col width="11" customWidth="1" min="49" max="49"/>
    <col width="11" customWidth="1" min="50" max="50"/>
    <col width="10" customWidth="1" min="51" max="51"/>
    <col width="11" customWidth="1" min="52" max="52"/>
    <col width="13" customWidth="1" min="53" max="53"/>
    <col width="12" customWidth="1" min="55" max="55"/>
    <col width="10" customWidth="1" min="56" max="56"/>
    <col width="10" customWidth="1" min="57" max="57"/>
    <col width="10" customWidth="1" min="58" max="58"/>
    <col width="10" customWidth="1" min="59" max="59"/>
    <col width="11" customWidth="1" min="60" max="60"/>
    <col width="11" customWidth="1" min="61" max="61"/>
    <col width="10" customWidth="1" min="62" max="62"/>
    <col width="10" customWidth="1" min="63" max="63"/>
    <col width="10" customWidth="1" min="64" max="64"/>
    <col width="10" customWidth="1" min="65" max="65"/>
    <col width="11" customWidth="1" min="66" max="66"/>
    <col width="11" customWidth="1" min="67" max="67"/>
    <col width="10" customWidth="1" min="68" max="68"/>
    <col width="11" customWidth="1" min="69" max="69"/>
    <col width="13" customWidth="1" min="70" max="70"/>
    <col width="12" customWidth="1" min="72" max="72"/>
    <col width="10" customWidth="1" min="73" max="73"/>
    <col width="10" customWidth="1" min="74" max="74"/>
    <col width="10" customWidth="1" min="75" max="75"/>
    <col width="10" customWidth="1" min="76" max="76"/>
    <col width="11" customWidth="1" min="77" max="77"/>
    <col width="11" customWidth="1" min="78" max="78"/>
    <col width="10" customWidth="1" min="79" max="79"/>
    <col width="10" customWidth="1" min="80" max="80"/>
    <col width="10" customWidth="1" min="81" max="81"/>
    <col width="10" customWidth="1" min="82" max="82"/>
    <col width="11" customWidth="1" min="83" max="83"/>
    <col width="11" customWidth="1" min="84" max="84"/>
    <col width="10" customWidth="1" min="85" max="85"/>
    <col width="11" customWidth="1" min="86" max="86"/>
    <col width="13" customWidth="1" min="87" max="87"/>
    <col width="12" customWidth="1" min="89" max="89"/>
    <col width="10" customWidth="1" min="90" max="90"/>
    <col width="10" customWidth="1" min="91" max="91"/>
    <col width="10" customWidth="1" min="92" max="92"/>
    <col width="10" customWidth="1" min="93" max="93"/>
    <col width="11" customWidth="1" min="94" max="94"/>
    <col width="11" customWidth="1" min="95" max="95"/>
    <col width="10" customWidth="1" min="96" max="96"/>
    <col width="10" customWidth="1" min="97" max="97"/>
    <col width="10" customWidth="1" min="98" max="98"/>
    <col width="10" customWidth="1" min="99" max="99"/>
    <col width="11" customWidth="1" min="100" max="100"/>
    <col width="11" customWidth="1" min="101" max="101"/>
    <col width="10" customWidth="1" min="102" max="102"/>
    <col width="11" customWidth="1" min="103" max="103"/>
    <col width="13" customWidth="1" min="104" max="104"/>
    <col width="12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1" customWidth="1" min="111" max="111"/>
    <col width="11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1" customWidth="1" min="117" max="117"/>
    <col width="11" customWidth="1" min="118" max="118"/>
    <col width="10" customWidth="1" min="119" max="119"/>
    <col width="11" customWidth="1" min="120" max="120"/>
    <col width="13" customWidth="1" min="121" max="121"/>
    <col width="12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1" customWidth="1" min="128" max="128"/>
    <col width="11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1" customWidth="1" min="134" max="134"/>
    <col width="11" customWidth="1" min="135" max="135"/>
    <col width="10" customWidth="1" min="136" max="136"/>
    <col width="11" customWidth="1" min="137" max="137"/>
    <col width="13" customWidth="1" min="138" max="138"/>
    <col width="12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1" customWidth="1" min="145" max="145"/>
    <col width="11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1" customWidth="1" min="151" max="151"/>
    <col width="11" customWidth="1" min="152" max="152"/>
    <col width="10" customWidth="1" min="153" max="153"/>
    <col width="11" customWidth="1" min="154" max="154"/>
    <col width="13" customWidth="1" min="155" max="155"/>
    <col width="12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1" customWidth="1" min="162" max="162"/>
    <col width="11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1" customWidth="1" min="168" max="168"/>
    <col width="11" customWidth="1" min="169" max="169"/>
    <col width="10" customWidth="1" min="170" max="170"/>
    <col width="11" customWidth="1" min="171" max="171"/>
    <col width="13" customWidth="1" min="172" max="172"/>
    <col width="12" customWidth="1" min="174" max="174"/>
    <col width="10" customWidth="1" min="175" max="175"/>
    <col width="10" customWidth="1" min="176" max="176"/>
    <col width="10" customWidth="1" min="177" max="177"/>
    <col width="10" customWidth="1" min="178" max="178"/>
    <col width="11" customWidth="1" min="179" max="179"/>
    <col width="11" customWidth="1" min="180" max="180"/>
    <col width="10" customWidth="1" min="181" max="181"/>
    <col width="10" customWidth="1" min="182" max="182"/>
    <col width="10" customWidth="1" min="183" max="183"/>
    <col width="10" customWidth="1" min="184" max="184"/>
    <col width="11" customWidth="1" min="185" max="185"/>
    <col width="11" customWidth="1" min="186" max="186"/>
    <col width="10" customWidth="1" min="187" max="187"/>
    <col width="11" customWidth="1" min="188" max="188"/>
    <col width="13" customWidth="1" min="189" max="189"/>
    <col width="12" customWidth="1" min="191" max="191"/>
    <col width="10" customWidth="1" min="192" max="192"/>
    <col width="10" customWidth="1" min="193" max="193"/>
    <col width="10" customWidth="1" min="194" max="194"/>
    <col width="10" customWidth="1" min="195" max="195"/>
    <col width="11" customWidth="1" min="196" max="196"/>
    <col width="11" customWidth="1" min="197" max="197"/>
    <col width="10" customWidth="1" min="198" max="198"/>
    <col width="10" customWidth="1" min="199" max="199"/>
    <col width="10" customWidth="1" min="200" max="200"/>
    <col width="10" customWidth="1" min="201" max="201"/>
    <col width="11" customWidth="1" min="202" max="202"/>
    <col width="11" customWidth="1" min="203" max="203"/>
    <col width="10" customWidth="1" min="204" max="204"/>
    <col width="11" customWidth="1" min="205" max="205"/>
    <col width="13" customWidth="1" min="206" max="206"/>
    <col width="12" customWidth="1" min="208" max="208"/>
    <col width="10" customWidth="1" min="209" max="209"/>
    <col width="10" customWidth="1" min="210" max="210"/>
    <col width="10" customWidth="1" min="211" max="211"/>
    <col width="10" customWidth="1" min="212" max="212"/>
    <col width="11" customWidth="1" min="213" max="213"/>
    <col width="11" customWidth="1" min="214" max="214"/>
    <col width="10" customWidth="1" min="215" max="215"/>
    <col width="10" customWidth="1" min="216" max="216"/>
    <col width="10" customWidth="1" min="217" max="217"/>
    <col width="10" customWidth="1" min="218" max="218"/>
    <col width="11" customWidth="1" min="219" max="219"/>
    <col width="11" customWidth="1" min="220" max="220"/>
    <col width="10" customWidth="1" min="221" max="221"/>
    <col width="11" customWidth="1" min="222" max="222"/>
    <col width="13" customWidth="1" min="223" max="223"/>
    <col width="12" customWidth="1" min="225" max="225"/>
    <col width="10" customWidth="1" min="226" max="226"/>
    <col width="10" customWidth="1" min="227" max="227"/>
    <col width="10" customWidth="1" min="228" max="228"/>
    <col width="10" customWidth="1" min="229" max="229"/>
    <col width="11" customWidth="1" min="230" max="230"/>
    <col width="11" customWidth="1" min="231" max="231"/>
    <col width="10" customWidth="1" min="232" max="232"/>
    <col width="10" customWidth="1" min="233" max="233"/>
    <col width="10" customWidth="1" min="234" max="234"/>
    <col width="10" customWidth="1" min="235" max="235"/>
    <col width="11" customWidth="1" min="236" max="236"/>
    <col width="11" customWidth="1" min="237" max="237"/>
    <col width="10" customWidth="1" min="238" max="238"/>
    <col width="11" customWidth="1" min="239" max="239"/>
    <col width="13" customWidth="1" min="240" max="240"/>
    <col width="12" customWidth="1" min="242" max="242"/>
    <col width="10" customWidth="1" min="243" max="243"/>
    <col width="10" customWidth="1" min="244" max="244"/>
    <col width="10" customWidth="1" min="245" max="245"/>
    <col width="10" customWidth="1" min="246" max="246"/>
    <col width="11" customWidth="1" min="247" max="247"/>
    <col width="11" customWidth="1" min="248" max="248"/>
    <col width="10" customWidth="1" min="249" max="249"/>
    <col width="10" customWidth="1" min="250" max="250"/>
    <col width="10" customWidth="1" min="251" max="251"/>
    <col width="10" customWidth="1" min="252" max="252"/>
    <col width="11" customWidth="1" min="253" max="253"/>
    <col width="11" customWidth="1" min="254" max="254"/>
    <col width="10" customWidth="1" min="255" max="255"/>
    <col width="11" customWidth="1" min="256" max="256"/>
    <col width="13" customWidth="1" min="257" max="257"/>
    <col width="12" customWidth="1" min="259" max="259"/>
    <col width="10" customWidth="1" min="260" max="260"/>
    <col width="10" customWidth="1" min="261" max="261"/>
    <col width="10" customWidth="1" min="262" max="262"/>
    <col width="10" customWidth="1" min="263" max="263"/>
    <col width="11" customWidth="1" min="264" max="264"/>
    <col width="11" customWidth="1" min="265" max="265"/>
    <col width="10" customWidth="1" min="266" max="266"/>
    <col width="10" customWidth="1" min="267" max="267"/>
    <col width="10" customWidth="1" min="268" max="268"/>
    <col width="10" customWidth="1" min="269" max="269"/>
    <col width="11" customWidth="1" min="270" max="270"/>
    <col width="11" customWidth="1" min="271" max="271"/>
    <col width="10" customWidth="1" min="272" max="272"/>
    <col width="11" customWidth="1" min="273" max="273"/>
    <col width="13" customWidth="1" min="274" max="274"/>
    <col width="12" customWidth="1" min="276" max="276"/>
    <col width="10" customWidth="1" min="277" max="277"/>
    <col width="10" customWidth="1" min="278" max="278"/>
    <col width="10" customWidth="1" min="279" max="279"/>
    <col width="10" customWidth="1" min="280" max="280"/>
    <col width="11" customWidth="1" min="281" max="281"/>
    <col width="11" customWidth="1" min="282" max="282"/>
    <col width="10" customWidth="1" min="283" max="283"/>
    <col width="10" customWidth="1" min="284" max="284"/>
    <col width="10" customWidth="1" min="285" max="285"/>
    <col width="10" customWidth="1" min="286" max="286"/>
    <col width="11" customWidth="1" min="287" max="287"/>
    <col width="11" customWidth="1" min="288" max="288"/>
    <col width="10" customWidth="1" min="289" max="289"/>
    <col width="11" customWidth="1" min="290" max="290"/>
    <col width="13" customWidth="1" min="291" max="291"/>
    <col width="12" customWidth="1" min="293" max="293"/>
    <col width="10" customWidth="1" min="294" max="294"/>
    <col width="10" customWidth="1" min="295" max="295"/>
    <col width="10" customWidth="1" min="296" max="296"/>
    <col width="10" customWidth="1" min="297" max="297"/>
    <col width="11" customWidth="1" min="298" max="298"/>
    <col width="11" customWidth="1" min="299" max="299"/>
    <col width="10" customWidth="1" min="300" max="300"/>
    <col width="10" customWidth="1" min="301" max="301"/>
    <col width="10" customWidth="1" min="302" max="302"/>
    <col width="10" customWidth="1" min="303" max="303"/>
    <col width="11" customWidth="1" min="304" max="304"/>
    <col width="11" customWidth="1" min="305" max="305"/>
    <col width="10" customWidth="1" min="306" max="306"/>
    <col width="11" customWidth="1" min="307" max="307"/>
    <col width="13" customWidth="1" min="308" max="308"/>
    <col width="12" customWidth="1" min="310" max="310"/>
    <col width="10" customWidth="1" min="311" max="311"/>
    <col width="10" customWidth="1" min="312" max="312"/>
    <col width="10" customWidth="1" min="313" max="313"/>
    <col width="10" customWidth="1" min="314" max="314"/>
    <col width="11" customWidth="1" min="315" max="315"/>
    <col width="11" customWidth="1" min="316" max="316"/>
    <col width="10" customWidth="1" min="317" max="317"/>
    <col width="10" customWidth="1" min="318" max="318"/>
    <col width="10" customWidth="1" min="319" max="319"/>
    <col width="10" customWidth="1" min="320" max="320"/>
    <col width="11" customWidth="1" min="321" max="321"/>
    <col width="11" customWidth="1" min="322" max="322"/>
    <col width="10" customWidth="1" min="323" max="323"/>
    <col width="11" customWidth="1" min="324" max="324"/>
    <col width="13" customWidth="1" min="325" max="325"/>
    <col width="12" customWidth="1" min="327" max="327"/>
    <col width="10" customWidth="1" min="328" max="328"/>
    <col width="10" customWidth="1" min="329" max="329"/>
    <col width="10" customWidth="1" min="330" max="330"/>
    <col width="10" customWidth="1" min="331" max="331"/>
    <col width="11" customWidth="1" min="332" max="332"/>
    <col width="11" customWidth="1" min="333" max="333"/>
    <col width="10" customWidth="1" min="334" max="334"/>
    <col width="10" customWidth="1" min="335" max="335"/>
    <col width="10" customWidth="1" min="336" max="336"/>
    <col width="10" customWidth="1" min="337" max="337"/>
    <col width="11" customWidth="1" min="338" max="338"/>
    <col width="11" customWidth="1" min="339" max="339"/>
    <col width="10" customWidth="1" min="340" max="340"/>
    <col width="11" customWidth="1" min="341" max="341"/>
    <col width="13" customWidth="1" min="342" max="342"/>
    <col width="12" customWidth="1" min="344" max="344"/>
    <col width="10" customWidth="1" min="345" max="345"/>
    <col width="10" customWidth="1" min="346" max="346"/>
    <col width="10" customWidth="1" min="347" max="347"/>
    <col width="10" customWidth="1" min="348" max="348"/>
    <col width="11" customWidth="1" min="349" max="349"/>
    <col width="11" customWidth="1" min="350" max="350"/>
    <col width="10" customWidth="1" min="351" max="351"/>
    <col width="10" customWidth="1" min="352" max="352"/>
    <col width="10" customWidth="1" min="353" max="353"/>
    <col width="10" customWidth="1" min="354" max="354"/>
    <col width="11" customWidth="1" min="355" max="355"/>
    <col width="11" customWidth="1" min="356" max="356"/>
    <col width="10" customWidth="1" min="357" max="357"/>
    <col width="11" customWidth="1" min="358" max="358"/>
    <col width="13" customWidth="1" min="359" max="359"/>
    <col width="12" customWidth="1" min="361" max="361"/>
    <col width="10" customWidth="1" min="362" max="362"/>
    <col width="10" customWidth="1" min="363" max="363"/>
    <col width="10" customWidth="1" min="364" max="364"/>
    <col width="10" customWidth="1" min="365" max="365"/>
    <col width="11" customWidth="1" min="366" max="366"/>
    <col width="11" customWidth="1" min="367" max="367"/>
    <col width="10" customWidth="1" min="368" max="368"/>
    <col width="10" customWidth="1" min="369" max="369"/>
    <col width="10" customWidth="1" min="370" max="370"/>
    <col width="10" customWidth="1" min="371" max="371"/>
    <col width="11" customWidth="1" min="372" max="372"/>
    <col width="11" customWidth="1" min="373" max="373"/>
    <col width="10" customWidth="1" min="374" max="374"/>
    <col width="11" customWidth="1" min="375" max="375"/>
    <col width="13" customWidth="1" min="376" max="376"/>
  </cols>
  <sheetData>
    <row r="1">
      <c r="A1" s="2" t="inlineStr">
        <is>
          <t>Month</t>
        </is>
      </c>
      <c r="B1" s="9" t="n">
        <v>7</v>
      </c>
      <c r="D1" s="2">
        <f>IF(ISNUMBER(B$7),"USO US "&amp;TEXT(B$3,"mm/dd/yy")&amp;" C"&amp;(B$7-5*B$6)&amp;" Equity","")</f>
        <v/>
      </c>
      <c r="U1" s="2">
        <f>IF(ISNUMBER(B$7),"USO US "&amp;TEXT(B$3,"mm/dd/yy")&amp;" P"&amp;(B$7-5*B$6)&amp;" Equity","")</f>
        <v/>
      </c>
      <c r="AL1" s="2">
        <f>IF(ISNUMBER(B$7),"USO US "&amp;TEXT(B$3,"mm/dd/yy")&amp;" C"&amp;(B$7-4*B$6)&amp;" Equity","")</f>
        <v/>
      </c>
      <c r="BC1" s="2">
        <f>IF(ISNUMBER(B$7),"USO US "&amp;TEXT(B$3,"mm/dd/yy")&amp;" P"&amp;(B$7-4*B$6)&amp;" Equity","")</f>
        <v/>
      </c>
      <c r="BT1" s="2">
        <f>IF(ISNUMBER(B$7),"USO US "&amp;TEXT(B$3,"mm/dd/yy")&amp;" C"&amp;(B$7-3*B$6)&amp;" Equity","")</f>
        <v/>
      </c>
      <c r="CK1" s="2">
        <f>IF(ISNUMBER(B$7),"USO US "&amp;TEXT(B$3,"mm/dd/yy")&amp;" P"&amp;(B$7-3*B$6)&amp;" Equity","")</f>
        <v/>
      </c>
      <c r="DB1" s="2">
        <f>IF(ISNUMBER(B$7),"USO US "&amp;TEXT(B$3,"mm/dd/yy")&amp;" C"&amp;(B$7-2*B$6)&amp;" Equity","")</f>
        <v/>
      </c>
      <c r="DS1" s="2">
        <f>IF(ISNUMBER(B$7),"USO US "&amp;TEXT(B$3,"mm/dd/yy")&amp;" P"&amp;(B$7-2*B$6)&amp;" Equity","")</f>
        <v/>
      </c>
      <c r="EJ1" s="2">
        <f>IF(ISNUMBER(B$7),"USO US "&amp;TEXT(B$3,"mm/dd/yy")&amp;" C"&amp;(B$7-1*B$6)&amp;" Equity","")</f>
        <v/>
      </c>
      <c r="FA1" s="2">
        <f>IF(ISNUMBER(B$7),"USO US "&amp;TEXT(B$3,"mm/dd/yy")&amp;" P"&amp;(B$7-1*B$6)&amp;" Equity","")</f>
        <v/>
      </c>
      <c r="FR1" s="2">
        <f>IF(ISNUMBER(B$7),"USO US "&amp;TEXT(B$3,"mm/dd/yy")&amp;" C"&amp;B$7&amp;" Equity","")</f>
        <v/>
      </c>
      <c r="GI1" s="2">
        <f>IF(ISNUMBER(B$7),"USO US "&amp;TEXT(B$3,"mm/dd/yy")&amp;" P"&amp;B$7&amp;" Equity","")</f>
        <v/>
      </c>
      <c r="GZ1" s="2">
        <f>IF(ISNUMBER(B$7),"USO US "&amp;TEXT(B$3,"mm/dd/yy")&amp;" C"&amp;(B$7+1*B$6)&amp;" Equity","")</f>
        <v/>
      </c>
      <c r="HQ1" s="2">
        <f>IF(ISNUMBER(B$7),"USO US "&amp;TEXT(B$3,"mm/dd/yy")&amp;" P"&amp;(B$7+1*B$6)&amp;" Equity","")</f>
        <v/>
      </c>
      <c r="IH1" s="2">
        <f>IF(ISNUMBER(B$7),"USO US "&amp;TEXT(B$3,"mm/dd/yy")&amp;" C"&amp;(B$7+2*B$6)&amp;" Equity","")</f>
        <v/>
      </c>
      <c r="IY1" s="2">
        <f>IF(ISNUMBER(B$7),"USO US "&amp;TEXT(B$3,"mm/dd/yy")&amp;" P"&amp;(B$7+2*B$6)&amp;" Equity","")</f>
        <v/>
      </c>
      <c r="JP1" s="2">
        <f>IF(ISNUMBER(B$7),"USO US "&amp;TEXT(B$3,"mm/dd/yy")&amp;" C"&amp;(B$7+3*B$6)&amp;" Equity","")</f>
        <v/>
      </c>
      <c r="KG1" s="2">
        <f>IF(ISNUMBER(B$7),"USO US "&amp;TEXT(B$3,"mm/dd/yy")&amp;" P"&amp;(B$7+3*B$6)&amp;" Equity","")</f>
        <v/>
      </c>
      <c r="KX1" s="2">
        <f>IF(ISNUMBER(B$7),"USO US "&amp;TEXT(B$3,"mm/dd/yy")&amp;" C"&amp;(B$7+4*B$6)&amp;" Equity","")</f>
        <v/>
      </c>
      <c r="LO1" s="2">
        <f>IF(ISNUMBER(B$7),"USO US "&amp;TEXT(B$3,"mm/dd/yy")&amp;" P"&amp;(B$7+4*B$6)&amp;" Equity","")</f>
        <v/>
      </c>
      <c r="MF1" s="2">
        <f>IF(ISNUMBER(B$7),"USO US "&amp;TEXT(B$3,"mm/dd/yy")&amp;" C"&amp;(B$7+5*B$6)&amp;" Equity","")</f>
        <v/>
      </c>
      <c r="MW1" s="2">
        <f>IF(ISNUMBER(B$7),"USO US "&amp;TEXT(B$3,"mm/dd/yy")&amp;" P"&amp;(B$7+5*B$6)&amp;" Equity","")</f>
        <v/>
      </c>
    </row>
    <row r="2">
      <c r="A2" s="2" t="inlineStr">
        <is>
          <t>Underlying</t>
        </is>
      </c>
      <c r="B2" s="4">
        <f>IF(Settings!$B$15="Y","USO US Equity","")</f>
        <v/>
      </c>
      <c r="D2" s="4" t="inlineStr">
        <is>
          <t>call -5 from ATM</t>
        </is>
      </c>
      <c r="U2" s="4" t="inlineStr">
        <is>
          <t>put -5 from ATM</t>
        </is>
      </c>
      <c r="AL2" s="4" t="inlineStr">
        <is>
          <t>call -4 from ATM</t>
        </is>
      </c>
      <c r="BC2" s="4" t="inlineStr">
        <is>
          <t>put -4 from ATM</t>
        </is>
      </c>
      <c r="BT2" s="4" t="inlineStr">
        <is>
          <t>call -3 from ATM</t>
        </is>
      </c>
      <c r="CK2" s="4" t="inlineStr">
        <is>
          <t>put -3 from ATM</t>
        </is>
      </c>
      <c r="DB2" s="4" t="inlineStr">
        <is>
          <t>call -2 from ATM</t>
        </is>
      </c>
      <c r="DS2" s="4" t="inlineStr">
        <is>
          <t>put -2 from ATM</t>
        </is>
      </c>
      <c r="EJ2" s="4" t="inlineStr">
        <is>
          <t>call -1 from ATM</t>
        </is>
      </c>
      <c r="FA2" s="4" t="inlineStr">
        <is>
          <t>put -1 from ATM</t>
        </is>
      </c>
      <c r="FR2" s="4" t="inlineStr">
        <is>
          <t>call +0 from ATM</t>
        </is>
      </c>
      <c r="GI2" s="4" t="inlineStr">
        <is>
          <t>put +0 from ATM</t>
        </is>
      </c>
      <c r="GZ2" s="4" t="inlineStr">
        <is>
          <t>call +1 from ATM</t>
        </is>
      </c>
      <c r="HQ2" s="4" t="inlineStr">
        <is>
          <t>put +1 from ATM</t>
        </is>
      </c>
      <c r="IH2" s="4" t="inlineStr">
        <is>
          <t>call +2 from ATM</t>
        </is>
      </c>
      <c r="IY2" s="4" t="inlineStr">
        <is>
          <t>put +2 from ATM</t>
        </is>
      </c>
      <c r="JP2" s="4" t="inlineStr">
        <is>
          <t>call +3 from ATM</t>
        </is>
      </c>
      <c r="KG2" s="4" t="inlineStr">
        <is>
          <t>put +3 from ATM</t>
        </is>
      </c>
      <c r="KX2" s="4" t="inlineStr">
        <is>
          <t>call +4 from ATM</t>
        </is>
      </c>
      <c r="LO2" s="4" t="inlineStr">
        <is>
          <t>put +4 from ATM</t>
        </is>
      </c>
      <c r="MF2" s="4" t="inlineStr">
        <is>
          <t>call +5 from ATM</t>
        </is>
      </c>
      <c r="MW2" s="4" t="inlineStr">
        <is>
          <t>put +5 from ATM</t>
        </is>
      </c>
    </row>
    <row r="3">
      <c r="A3" s="2" t="inlineStr">
        <is>
          <t>Expiry (3rd Friday)</t>
        </is>
      </c>
      <c r="B3" s="3">
        <f>DATE(Settings!$E$15,B1,15)+MOD(6-WEEKDAY(DATE(Settings!$E$15,B1,15)),7)</f>
        <v/>
      </c>
      <c r="D3" s="5" t="inlineStr">
        <is>
          <t>Date</t>
        </is>
      </c>
      <c r="E3" s="5" t="inlineStr">
        <is>
          <t>PX_BID</t>
        </is>
      </c>
      <c r="F3" s="5" t="inlineStr">
        <is>
          <t>PX_ASK</t>
        </is>
      </c>
      <c r="G3" s="5" t="inlineStr">
        <is>
          <t>PX_MID</t>
        </is>
      </c>
      <c r="H3" s="5" t="inlineStr">
        <is>
          <t>PX_LAST</t>
        </is>
      </c>
      <c r="I3" s="5" t="inlineStr">
        <is>
          <t>PX_SETTLE</t>
        </is>
      </c>
      <c r="J3" s="5" t="inlineStr">
        <is>
          <t>PX_VOLUME</t>
        </is>
      </c>
      <c r="K3" s="5" t="inlineStr">
        <is>
          <t>OPEN_INT</t>
        </is>
      </c>
      <c r="L3" s="5" t="inlineStr">
        <is>
          <t>IVOL_MID</t>
        </is>
      </c>
      <c r="M3" s="5" t="inlineStr">
        <is>
          <t>IVOL_BID</t>
        </is>
      </c>
      <c r="N3" s="5" t="inlineStr">
        <is>
          <t>IVOL_ASK</t>
        </is>
      </c>
      <c r="O3" s="5" t="inlineStr">
        <is>
          <t>DELTA_MID</t>
        </is>
      </c>
      <c r="P3" s="5" t="inlineStr">
        <is>
          <t>GAMMA_MID</t>
        </is>
      </c>
      <c r="Q3" s="5" t="inlineStr">
        <is>
          <t>VEGA_MID</t>
        </is>
      </c>
      <c r="R3" s="5" t="inlineStr">
        <is>
          <t>THETA_MID</t>
        </is>
      </c>
      <c r="S3" s="5" t="inlineStr">
        <is>
          <t>OPT_UNDL_PX</t>
        </is>
      </c>
      <c r="U3" s="5" t="inlineStr">
        <is>
          <t>Date</t>
        </is>
      </c>
      <c r="V3" s="5" t="inlineStr">
        <is>
          <t>PX_BID</t>
        </is>
      </c>
      <c r="W3" s="5" t="inlineStr">
        <is>
          <t>PX_ASK</t>
        </is>
      </c>
      <c r="X3" s="5" t="inlineStr">
        <is>
          <t>PX_MID</t>
        </is>
      </c>
      <c r="Y3" s="5" t="inlineStr">
        <is>
          <t>PX_LAST</t>
        </is>
      </c>
      <c r="Z3" s="5" t="inlineStr">
        <is>
          <t>PX_SETTLE</t>
        </is>
      </c>
      <c r="AA3" s="5" t="inlineStr">
        <is>
          <t>PX_VOLUME</t>
        </is>
      </c>
      <c r="AB3" s="5" t="inlineStr">
        <is>
          <t>OPEN_INT</t>
        </is>
      </c>
      <c r="AC3" s="5" t="inlineStr">
        <is>
          <t>IVOL_MID</t>
        </is>
      </c>
      <c r="AD3" s="5" t="inlineStr">
        <is>
          <t>IVOL_BID</t>
        </is>
      </c>
      <c r="AE3" s="5" t="inlineStr">
        <is>
          <t>IVOL_ASK</t>
        </is>
      </c>
      <c r="AF3" s="5" t="inlineStr">
        <is>
          <t>DELTA_MID</t>
        </is>
      </c>
      <c r="AG3" s="5" t="inlineStr">
        <is>
          <t>GAMMA_MID</t>
        </is>
      </c>
      <c r="AH3" s="5" t="inlineStr">
        <is>
          <t>VEGA_MID</t>
        </is>
      </c>
      <c r="AI3" s="5" t="inlineStr">
        <is>
          <t>THETA_MID</t>
        </is>
      </c>
      <c r="AJ3" s="5" t="inlineStr">
        <is>
          <t>OPT_UNDL_PX</t>
        </is>
      </c>
      <c r="AL3" s="5" t="inlineStr">
        <is>
          <t>Date</t>
        </is>
      </c>
      <c r="AM3" s="5" t="inlineStr">
        <is>
          <t>PX_BID</t>
        </is>
      </c>
      <c r="AN3" s="5" t="inlineStr">
        <is>
          <t>PX_ASK</t>
        </is>
      </c>
      <c r="AO3" s="5" t="inlineStr">
        <is>
          <t>PX_MID</t>
        </is>
      </c>
      <c r="AP3" s="5" t="inlineStr">
        <is>
          <t>PX_LAST</t>
        </is>
      </c>
      <c r="AQ3" s="5" t="inlineStr">
        <is>
          <t>PX_SETTLE</t>
        </is>
      </c>
      <c r="AR3" s="5" t="inlineStr">
        <is>
          <t>PX_VOLUME</t>
        </is>
      </c>
      <c r="AS3" s="5" t="inlineStr">
        <is>
          <t>OPEN_INT</t>
        </is>
      </c>
      <c r="AT3" s="5" t="inlineStr">
        <is>
          <t>IVOL_MID</t>
        </is>
      </c>
      <c r="AU3" s="5" t="inlineStr">
        <is>
          <t>IVOL_BID</t>
        </is>
      </c>
      <c r="AV3" s="5" t="inlineStr">
        <is>
          <t>IVOL_ASK</t>
        </is>
      </c>
      <c r="AW3" s="5" t="inlineStr">
        <is>
          <t>DELTA_MID</t>
        </is>
      </c>
      <c r="AX3" s="5" t="inlineStr">
        <is>
          <t>GAMMA_MID</t>
        </is>
      </c>
      <c r="AY3" s="5" t="inlineStr">
        <is>
          <t>VEGA_MID</t>
        </is>
      </c>
      <c r="AZ3" s="5" t="inlineStr">
        <is>
          <t>THETA_MID</t>
        </is>
      </c>
      <c r="BA3" s="5" t="inlineStr">
        <is>
          <t>OPT_UNDL_PX</t>
        </is>
      </c>
      <c r="BC3" s="5" t="inlineStr">
        <is>
          <t>Date</t>
        </is>
      </c>
      <c r="BD3" s="5" t="inlineStr">
        <is>
          <t>PX_BID</t>
        </is>
      </c>
      <c r="BE3" s="5" t="inlineStr">
        <is>
          <t>PX_ASK</t>
        </is>
      </c>
      <c r="BF3" s="5" t="inlineStr">
        <is>
          <t>PX_MID</t>
        </is>
      </c>
      <c r="BG3" s="5" t="inlineStr">
        <is>
          <t>PX_LAST</t>
        </is>
      </c>
      <c r="BH3" s="5" t="inlineStr">
        <is>
          <t>PX_SETTLE</t>
        </is>
      </c>
      <c r="BI3" s="5" t="inlineStr">
        <is>
          <t>PX_VOLUME</t>
        </is>
      </c>
      <c r="BJ3" s="5" t="inlineStr">
        <is>
          <t>OPEN_INT</t>
        </is>
      </c>
      <c r="BK3" s="5" t="inlineStr">
        <is>
          <t>IVOL_MID</t>
        </is>
      </c>
      <c r="BL3" s="5" t="inlineStr">
        <is>
          <t>IVOL_BID</t>
        </is>
      </c>
      <c r="BM3" s="5" t="inlineStr">
        <is>
          <t>IVOL_ASK</t>
        </is>
      </c>
      <c r="BN3" s="5" t="inlineStr">
        <is>
          <t>DELTA_MID</t>
        </is>
      </c>
      <c r="BO3" s="5" t="inlineStr">
        <is>
          <t>GAMMA_MID</t>
        </is>
      </c>
      <c r="BP3" s="5" t="inlineStr">
        <is>
          <t>VEGA_MID</t>
        </is>
      </c>
      <c r="BQ3" s="5" t="inlineStr">
        <is>
          <t>THETA_MID</t>
        </is>
      </c>
      <c r="BR3" s="5" t="inlineStr">
        <is>
          <t>OPT_UNDL_PX</t>
        </is>
      </c>
      <c r="BT3" s="5" t="inlineStr">
        <is>
          <t>Date</t>
        </is>
      </c>
      <c r="BU3" s="5" t="inlineStr">
        <is>
          <t>PX_BID</t>
        </is>
      </c>
      <c r="BV3" s="5" t="inlineStr">
        <is>
          <t>PX_ASK</t>
        </is>
      </c>
      <c r="BW3" s="5" t="inlineStr">
        <is>
          <t>PX_MID</t>
        </is>
      </c>
      <c r="BX3" s="5" t="inlineStr">
        <is>
          <t>PX_LAST</t>
        </is>
      </c>
      <c r="BY3" s="5" t="inlineStr">
        <is>
          <t>PX_SETTLE</t>
        </is>
      </c>
      <c r="BZ3" s="5" t="inlineStr">
        <is>
          <t>PX_VOLUME</t>
        </is>
      </c>
      <c r="CA3" s="5" t="inlineStr">
        <is>
          <t>OPEN_INT</t>
        </is>
      </c>
      <c r="CB3" s="5" t="inlineStr">
        <is>
          <t>IVOL_MID</t>
        </is>
      </c>
      <c r="CC3" s="5" t="inlineStr">
        <is>
          <t>IVOL_BID</t>
        </is>
      </c>
      <c r="CD3" s="5" t="inlineStr">
        <is>
          <t>IVOL_ASK</t>
        </is>
      </c>
      <c r="CE3" s="5" t="inlineStr">
        <is>
          <t>DELTA_MID</t>
        </is>
      </c>
      <c r="CF3" s="5" t="inlineStr">
        <is>
          <t>GAMMA_MID</t>
        </is>
      </c>
      <c r="CG3" s="5" t="inlineStr">
        <is>
          <t>VEGA_MID</t>
        </is>
      </c>
      <c r="CH3" s="5" t="inlineStr">
        <is>
          <t>THETA_MID</t>
        </is>
      </c>
      <c r="CI3" s="5" t="inlineStr">
        <is>
          <t>OPT_UNDL_PX</t>
        </is>
      </c>
      <c r="CK3" s="5" t="inlineStr">
        <is>
          <t>Date</t>
        </is>
      </c>
      <c r="CL3" s="5" t="inlineStr">
        <is>
          <t>PX_BID</t>
        </is>
      </c>
      <c r="CM3" s="5" t="inlineStr">
        <is>
          <t>PX_ASK</t>
        </is>
      </c>
      <c r="CN3" s="5" t="inlineStr">
        <is>
          <t>PX_MID</t>
        </is>
      </c>
      <c r="CO3" s="5" t="inlineStr">
        <is>
          <t>PX_LAST</t>
        </is>
      </c>
      <c r="CP3" s="5" t="inlineStr">
        <is>
          <t>PX_SETTLE</t>
        </is>
      </c>
      <c r="CQ3" s="5" t="inlineStr">
        <is>
          <t>PX_VOLUME</t>
        </is>
      </c>
      <c r="CR3" s="5" t="inlineStr">
        <is>
          <t>OPEN_INT</t>
        </is>
      </c>
      <c r="CS3" s="5" t="inlineStr">
        <is>
          <t>IVOL_MID</t>
        </is>
      </c>
      <c r="CT3" s="5" t="inlineStr">
        <is>
          <t>IVOL_BID</t>
        </is>
      </c>
      <c r="CU3" s="5" t="inlineStr">
        <is>
          <t>IVOL_ASK</t>
        </is>
      </c>
      <c r="CV3" s="5" t="inlineStr">
        <is>
          <t>DELTA_MID</t>
        </is>
      </c>
      <c r="CW3" s="5" t="inlineStr">
        <is>
          <t>GAMMA_MID</t>
        </is>
      </c>
      <c r="CX3" s="5" t="inlineStr">
        <is>
          <t>VEGA_MID</t>
        </is>
      </c>
      <c r="CY3" s="5" t="inlineStr">
        <is>
          <t>THETA_MID</t>
        </is>
      </c>
      <c r="CZ3" s="5" t="inlineStr">
        <is>
          <t>OPT_UNDL_PX</t>
        </is>
      </c>
      <c r="DB3" s="5" t="inlineStr">
        <is>
          <t>Date</t>
        </is>
      </c>
      <c r="DC3" s="5" t="inlineStr">
        <is>
          <t>PX_BID</t>
        </is>
      </c>
      <c r="DD3" s="5" t="inlineStr">
        <is>
          <t>PX_ASK</t>
        </is>
      </c>
      <c r="DE3" s="5" t="inlineStr">
        <is>
          <t>PX_MID</t>
        </is>
      </c>
      <c r="DF3" s="5" t="inlineStr">
        <is>
          <t>PX_LAST</t>
        </is>
      </c>
      <c r="DG3" s="5" t="inlineStr">
        <is>
          <t>PX_SETTLE</t>
        </is>
      </c>
      <c r="DH3" s="5" t="inlineStr">
        <is>
          <t>PX_VOLUME</t>
        </is>
      </c>
      <c r="DI3" s="5" t="inlineStr">
        <is>
          <t>OPEN_INT</t>
        </is>
      </c>
      <c r="DJ3" s="5" t="inlineStr">
        <is>
          <t>IVOL_MID</t>
        </is>
      </c>
      <c r="DK3" s="5" t="inlineStr">
        <is>
          <t>IVOL_BID</t>
        </is>
      </c>
      <c r="DL3" s="5" t="inlineStr">
        <is>
          <t>IVOL_ASK</t>
        </is>
      </c>
      <c r="DM3" s="5" t="inlineStr">
        <is>
          <t>DELTA_MID</t>
        </is>
      </c>
      <c r="DN3" s="5" t="inlineStr">
        <is>
          <t>GAMMA_MID</t>
        </is>
      </c>
      <c r="DO3" s="5" t="inlineStr">
        <is>
          <t>VEGA_MID</t>
        </is>
      </c>
      <c r="DP3" s="5" t="inlineStr">
        <is>
          <t>THETA_MID</t>
        </is>
      </c>
      <c r="DQ3" s="5" t="inlineStr">
        <is>
          <t>OPT_UNDL_PX</t>
        </is>
      </c>
      <c r="DS3" s="5" t="inlineStr">
        <is>
          <t>Date</t>
        </is>
      </c>
      <c r="DT3" s="5" t="inlineStr">
        <is>
          <t>PX_BID</t>
        </is>
      </c>
      <c r="DU3" s="5" t="inlineStr">
        <is>
          <t>PX_ASK</t>
        </is>
      </c>
      <c r="DV3" s="5" t="inlineStr">
        <is>
          <t>PX_MID</t>
        </is>
      </c>
      <c r="DW3" s="5" t="inlineStr">
        <is>
          <t>PX_LAST</t>
        </is>
      </c>
      <c r="DX3" s="5" t="inlineStr">
        <is>
          <t>PX_SETTLE</t>
        </is>
      </c>
      <c r="DY3" s="5" t="inlineStr">
        <is>
          <t>PX_VOLUME</t>
        </is>
      </c>
      <c r="DZ3" s="5" t="inlineStr">
        <is>
          <t>OPEN_INT</t>
        </is>
      </c>
      <c r="EA3" s="5" t="inlineStr">
        <is>
          <t>IVOL_MID</t>
        </is>
      </c>
      <c r="EB3" s="5" t="inlineStr">
        <is>
          <t>IVOL_BID</t>
        </is>
      </c>
      <c r="EC3" s="5" t="inlineStr">
        <is>
          <t>IVOL_ASK</t>
        </is>
      </c>
      <c r="ED3" s="5" t="inlineStr">
        <is>
          <t>DELTA_MID</t>
        </is>
      </c>
      <c r="EE3" s="5" t="inlineStr">
        <is>
          <t>GAMMA_MID</t>
        </is>
      </c>
      <c r="EF3" s="5" t="inlineStr">
        <is>
          <t>VEGA_MID</t>
        </is>
      </c>
      <c r="EG3" s="5" t="inlineStr">
        <is>
          <t>THETA_MID</t>
        </is>
      </c>
      <c r="EH3" s="5" t="inlineStr">
        <is>
          <t>OPT_UNDL_PX</t>
        </is>
      </c>
      <c r="EJ3" s="5" t="inlineStr">
        <is>
          <t>Date</t>
        </is>
      </c>
      <c r="EK3" s="5" t="inlineStr">
        <is>
          <t>PX_BID</t>
        </is>
      </c>
      <c r="EL3" s="5" t="inlineStr">
        <is>
          <t>PX_ASK</t>
        </is>
      </c>
      <c r="EM3" s="5" t="inlineStr">
        <is>
          <t>PX_MID</t>
        </is>
      </c>
      <c r="EN3" s="5" t="inlineStr">
        <is>
          <t>PX_LAST</t>
        </is>
      </c>
      <c r="EO3" s="5" t="inlineStr">
        <is>
          <t>PX_SETTLE</t>
        </is>
      </c>
      <c r="EP3" s="5" t="inlineStr">
        <is>
          <t>PX_VOLUME</t>
        </is>
      </c>
      <c r="EQ3" s="5" t="inlineStr">
        <is>
          <t>OPEN_INT</t>
        </is>
      </c>
      <c r="ER3" s="5" t="inlineStr">
        <is>
          <t>IVOL_MID</t>
        </is>
      </c>
      <c r="ES3" s="5" t="inlineStr">
        <is>
          <t>IVOL_BID</t>
        </is>
      </c>
      <c r="ET3" s="5" t="inlineStr">
        <is>
          <t>IVOL_ASK</t>
        </is>
      </c>
      <c r="EU3" s="5" t="inlineStr">
        <is>
          <t>DELTA_MID</t>
        </is>
      </c>
      <c r="EV3" s="5" t="inlineStr">
        <is>
          <t>GAMMA_MID</t>
        </is>
      </c>
      <c r="EW3" s="5" t="inlineStr">
        <is>
          <t>VEGA_MID</t>
        </is>
      </c>
      <c r="EX3" s="5" t="inlineStr">
        <is>
          <t>THETA_MID</t>
        </is>
      </c>
      <c r="EY3" s="5" t="inlineStr">
        <is>
          <t>OPT_UNDL_PX</t>
        </is>
      </c>
      <c r="FA3" s="5" t="inlineStr">
        <is>
          <t>Date</t>
        </is>
      </c>
      <c r="FB3" s="5" t="inlineStr">
        <is>
          <t>PX_BID</t>
        </is>
      </c>
      <c r="FC3" s="5" t="inlineStr">
        <is>
          <t>PX_ASK</t>
        </is>
      </c>
      <c r="FD3" s="5" t="inlineStr">
        <is>
          <t>PX_MID</t>
        </is>
      </c>
      <c r="FE3" s="5" t="inlineStr">
        <is>
          <t>PX_LAST</t>
        </is>
      </c>
      <c r="FF3" s="5" t="inlineStr">
        <is>
          <t>PX_SETTLE</t>
        </is>
      </c>
      <c r="FG3" s="5" t="inlineStr">
        <is>
          <t>PX_VOLUME</t>
        </is>
      </c>
      <c r="FH3" s="5" t="inlineStr">
        <is>
          <t>OPEN_INT</t>
        </is>
      </c>
      <c r="FI3" s="5" t="inlineStr">
        <is>
          <t>IVOL_MID</t>
        </is>
      </c>
      <c r="FJ3" s="5" t="inlineStr">
        <is>
          <t>IVOL_BID</t>
        </is>
      </c>
      <c r="FK3" s="5" t="inlineStr">
        <is>
          <t>IVOL_ASK</t>
        </is>
      </c>
      <c r="FL3" s="5" t="inlineStr">
        <is>
          <t>DELTA_MID</t>
        </is>
      </c>
      <c r="FM3" s="5" t="inlineStr">
        <is>
          <t>GAMMA_MID</t>
        </is>
      </c>
      <c r="FN3" s="5" t="inlineStr">
        <is>
          <t>VEGA_MID</t>
        </is>
      </c>
      <c r="FO3" s="5" t="inlineStr">
        <is>
          <t>THETA_MID</t>
        </is>
      </c>
      <c r="FP3" s="5" t="inlineStr">
        <is>
          <t>OPT_UNDL_PX</t>
        </is>
      </c>
      <c r="FR3" s="5" t="inlineStr">
        <is>
          <t>Date</t>
        </is>
      </c>
      <c r="FS3" s="5" t="inlineStr">
        <is>
          <t>PX_BID</t>
        </is>
      </c>
      <c r="FT3" s="5" t="inlineStr">
        <is>
          <t>PX_ASK</t>
        </is>
      </c>
      <c r="FU3" s="5" t="inlineStr">
        <is>
          <t>PX_MID</t>
        </is>
      </c>
      <c r="FV3" s="5" t="inlineStr">
        <is>
          <t>PX_LAST</t>
        </is>
      </c>
      <c r="FW3" s="5" t="inlineStr">
        <is>
          <t>PX_SETTLE</t>
        </is>
      </c>
      <c r="FX3" s="5" t="inlineStr">
        <is>
          <t>PX_VOLUME</t>
        </is>
      </c>
      <c r="FY3" s="5" t="inlineStr">
        <is>
          <t>OPEN_INT</t>
        </is>
      </c>
      <c r="FZ3" s="5" t="inlineStr">
        <is>
          <t>IVOL_MID</t>
        </is>
      </c>
      <c r="GA3" s="5" t="inlineStr">
        <is>
          <t>IVOL_BID</t>
        </is>
      </c>
      <c r="GB3" s="5" t="inlineStr">
        <is>
          <t>IVOL_ASK</t>
        </is>
      </c>
      <c r="GC3" s="5" t="inlineStr">
        <is>
          <t>DELTA_MID</t>
        </is>
      </c>
      <c r="GD3" s="5" t="inlineStr">
        <is>
          <t>GAMMA_MID</t>
        </is>
      </c>
      <c r="GE3" s="5" t="inlineStr">
        <is>
          <t>VEGA_MID</t>
        </is>
      </c>
      <c r="GF3" s="5" t="inlineStr">
        <is>
          <t>THETA_MID</t>
        </is>
      </c>
      <c r="GG3" s="5" t="inlineStr">
        <is>
          <t>OPT_UNDL_PX</t>
        </is>
      </c>
      <c r="GI3" s="5" t="inlineStr">
        <is>
          <t>Date</t>
        </is>
      </c>
      <c r="GJ3" s="5" t="inlineStr">
        <is>
          <t>PX_BID</t>
        </is>
      </c>
      <c r="GK3" s="5" t="inlineStr">
        <is>
          <t>PX_ASK</t>
        </is>
      </c>
      <c r="GL3" s="5" t="inlineStr">
        <is>
          <t>PX_MID</t>
        </is>
      </c>
      <c r="GM3" s="5" t="inlineStr">
        <is>
          <t>PX_LAST</t>
        </is>
      </c>
      <c r="GN3" s="5" t="inlineStr">
        <is>
          <t>PX_SETTLE</t>
        </is>
      </c>
      <c r="GO3" s="5" t="inlineStr">
        <is>
          <t>PX_VOLUME</t>
        </is>
      </c>
      <c r="GP3" s="5" t="inlineStr">
        <is>
          <t>OPEN_INT</t>
        </is>
      </c>
      <c r="GQ3" s="5" t="inlineStr">
        <is>
          <t>IVOL_MID</t>
        </is>
      </c>
      <c r="GR3" s="5" t="inlineStr">
        <is>
          <t>IVOL_BID</t>
        </is>
      </c>
      <c r="GS3" s="5" t="inlineStr">
        <is>
          <t>IVOL_ASK</t>
        </is>
      </c>
      <c r="GT3" s="5" t="inlineStr">
        <is>
          <t>DELTA_MID</t>
        </is>
      </c>
      <c r="GU3" s="5" t="inlineStr">
        <is>
          <t>GAMMA_MID</t>
        </is>
      </c>
      <c r="GV3" s="5" t="inlineStr">
        <is>
          <t>VEGA_MID</t>
        </is>
      </c>
      <c r="GW3" s="5" t="inlineStr">
        <is>
          <t>THETA_MID</t>
        </is>
      </c>
      <c r="GX3" s="5" t="inlineStr">
        <is>
          <t>OPT_UNDL_PX</t>
        </is>
      </c>
      <c r="GZ3" s="5" t="inlineStr">
        <is>
          <t>Date</t>
        </is>
      </c>
      <c r="HA3" s="5" t="inlineStr">
        <is>
          <t>PX_BID</t>
        </is>
      </c>
      <c r="HB3" s="5" t="inlineStr">
        <is>
          <t>PX_ASK</t>
        </is>
      </c>
      <c r="HC3" s="5" t="inlineStr">
        <is>
          <t>PX_MID</t>
        </is>
      </c>
      <c r="HD3" s="5" t="inlineStr">
        <is>
          <t>PX_LAST</t>
        </is>
      </c>
      <c r="HE3" s="5" t="inlineStr">
        <is>
          <t>PX_SETTLE</t>
        </is>
      </c>
      <c r="HF3" s="5" t="inlineStr">
        <is>
          <t>PX_VOLUME</t>
        </is>
      </c>
      <c r="HG3" s="5" t="inlineStr">
        <is>
          <t>OPEN_INT</t>
        </is>
      </c>
      <c r="HH3" s="5" t="inlineStr">
        <is>
          <t>IVOL_MID</t>
        </is>
      </c>
      <c r="HI3" s="5" t="inlineStr">
        <is>
          <t>IVOL_BID</t>
        </is>
      </c>
      <c r="HJ3" s="5" t="inlineStr">
        <is>
          <t>IVOL_ASK</t>
        </is>
      </c>
      <c r="HK3" s="5" t="inlineStr">
        <is>
          <t>DELTA_MID</t>
        </is>
      </c>
      <c r="HL3" s="5" t="inlineStr">
        <is>
          <t>GAMMA_MID</t>
        </is>
      </c>
      <c r="HM3" s="5" t="inlineStr">
        <is>
          <t>VEGA_MID</t>
        </is>
      </c>
      <c r="HN3" s="5" t="inlineStr">
        <is>
          <t>THETA_MID</t>
        </is>
      </c>
      <c r="HO3" s="5" t="inlineStr">
        <is>
          <t>OPT_UNDL_PX</t>
        </is>
      </c>
      <c r="HQ3" s="5" t="inlineStr">
        <is>
          <t>Date</t>
        </is>
      </c>
      <c r="HR3" s="5" t="inlineStr">
        <is>
          <t>PX_BID</t>
        </is>
      </c>
      <c r="HS3" s="5" t="inlineStr">
        <is>
          <t>PX_ASK</t>
        </is>
      </c>
      <c r="HT3" s="5" t="inlineStr">
        <is>
          <t>PX_MID</t>
        </is>
      </c>
      <c r="HU3" s="5" t="inlineStr">
        <is>
          <t>PX_LAST</t>
        </is>
      </c>
      <c r="HV3" s="5" t="inlineStr">
        <is>
          <t>PX_SETTLE</t>
        </is>
      </c>
      <c r="HW3" s="5" t="inlineStr">
        <is>
          <t>PX_VOLUME</t>
        </is>
      </c>
      <c r="HX3" s="5" t="inlineStr">
        <is>
          <t>OPEN_INT</t>
        </is>
      </c>
      <c r="HY3" s="5" t="inlineStr">
        <is>
          <t>IVOL_MID</t>
        </is>
      </c>
      <c r="HZ3" s="5" t="inlineStr">
        <is>
          <t>IVOL_BID</t>
        </is>
      </c>
      <c r="IA3" s="5" t="inlineStr">
        <is>
          <t>IVOL_ASK</t>
        </is>
      </c>
      <c r="IB3" s="5" t="inlineStr">
        <is>
          <t>DELTA_MID</t>
        </is>
      </c>
      <c r="IC3" s="5" t="inlineStr">
        <is>
          <t>GAMMA_MID</t>
        </is>
      </c>
      <c r="ID3" s="5" t="inlineStr">
        <is>
          <t>VEGA_MID</t>
        </is>
      </c>
      <c r="IE3" s="5" t="inlineStr">
        <is>
          <t>THETA_MID</t>
        </is>
      </c>
      <c r="IF3" s="5" t="inlineStr">
        <is>
          <t>OPT_UNDL_PX</t>
        </is>
      </c>
      <c r="IH3" s="5" t="inlineStr">
        <is>
          <t>Date</t>
        </is>
      </c>
      <c r="II3" s="5" t="inlineStr">
        <is>
          <t>PX_BID</t>
        </is>
      </c>
      <c r="IJ3" s="5" t="inlineStr">
        <is>
          <t>PX_ASK</t>
        </is>
      </c>
      <c r="IK3" s="5" t="inlineStr">
        <is>
          <t>PX_MID</t>
        </is>
      </c>
      <c r="IL3" s="5" t="inlineStr">
        <is>
          <t>PX_LAST</t>
        </is>
      </c>
      <c r="IM3" s="5" t="inlineStr">
        <is>
          <t>PX_SETTLE</t>
        </is>
      </c>
      <c r="IN3" s="5" t="inlineStr">
        <is>
          <t>PX_VOLUME</t>
        </is>
      </c>
      <c r="IO3" s="5" t="inlineStr">
        <is>
          <t>OPEN_INT</t>
        </is>
      </c>
      <c r="IP3" s="5" t="inlineStr">
        <is>
          <t>IVOL_MID</t>
        </is>
      </c>
      <c r="IQ3" s="5" t="inlineStr">
        <is>
          <t>IVOL_BID</t>
        </is>
      </c>
      <c r="IR3" s="5" t="inlineStr">
        <is>
          <t>IVOL_ASK</t>
        </is>
      </c>
      <c r="IS3" s="5" t="inlineStr">
        <is>
          <t>DELTA_MID</t>
        </is>
      </c>
      <c r="IT3" s="5" t="inlineStr">
        <is>
          <t>GAMMA_MID</t>
        </is>
      </c>
      <c r="IU3" s="5" t="inlineStr">
        <is>
          <t>VEGA_MID</t>
        </is>
      </c>
      <c r="IV3" s="5" t="inlineStr">
        <is>
          <t>THETA_MID</t>
        </is>
      </c>
      <c r="IW3" s="5" t="inlineStr">
        <is>
          <t>OPT_UNDL_PX</t>
        </is>
      </c>
      <c r="IY3" s="5" t="inlineStr">
        <is>
          <t>Date</t>
        </is>
      </c>
      <c r="IZ3" s="5" t="inlineStr">
        <is>
          <t>PX_BID</t>
        </is>
      </c>
      <c r="JA3" s="5" t="inlineStr">
        <is>
          <t>PX_ASK</t>
        </is>
      </c>
      <c r="JB3" s="5" t="inlineStr">
        <is>
          <t>PX_MID</t>
        </is>
      </c>
      <c r="JC3" s="5" t="inlineStr">
        <is>
          <t>PX_LAST</t>
        </is>
      </c>
      <c r="JD3" s="5" t="inlineStr">
        <is>
          <t>PX_SETTLE</t>
        </is>
      </c>
      <c r="JE3" s="5" t="inlineStr">
        <is>
          <t>PX_VOLUME</t>
        </is>
      </c>
      <c r="JF3" s="5" t="inlineStr">
        <is>
          <t>OPEN_INT</t>
        </is>
      </c>
      <c r="JG3" s="5" t="inlineStr">
        <is>
          <t>IVOL_MID</t>
        </is>
      </c>
      <c r="JH3" s="5" t="inlineStr">
        <is>
          <t>IVOL_BID</t>
        </is>
      </c>
      <c r="JI3" s="5" t="inlineStr">
        <is>
          <t>IVOL_ASK</t>
        </is>
      </c>
      <c r="JJ3" s="5" t="inlineStr">
        <is>
          <t>DELTA_MID</t>
        </is>
      </c>
      <c r="JK3" s="5" t="inlineStr">
        <is>
          <t>GAMMA_MID</t>
        </is>
      </c>
      <c r="JL3" s="5" t="inlineStr">
        <is>
          <t>VEGA_MID</t>
        </is>
      </c>
      <c r="JM3" s="5" t="inlineStr">
        <is>
          <t>THETA_MID</t>
        </is>
      </c>
      <c r="JN3" s="5" t="inlineStr">
        <is>
          <t>OPT_UNDL_PX</t>
        </is>
      </c>
      <c r="JP3" s="5" t="inlineStr">
        <is>
          <t>Date</t>
        </is>
      </c>
      <c r="JQ3" s="5" t="inlineStr">
        <is>
          <t>PX_BID</t>
        </is>
      </c>
      <c r="JR3" s="5" t="inlineStr">
        <is>
          <t>PX_ASK</t>
        </is>
      </c>
      <c r="JS3" s="5" t="inlineStr">
        <is>
          <t>PX_MID</t>
        </is>
      </c>
      <c r="JT3" s="5" t="inlineStr">
        <is>
          <t>PX_LAST</t>
        </is>
      </c>
      <c r="JU3" s="5" t="inlineStr">
        <is>
          <t>PX_SETTLE</t>
        </is>
      </c>
      <c r="JV3" s="5" t="inlineStr">
        <is>
          <t>PX_VOLUME</t>
        </is>
      </c>
      <c r="JW3" s="5" t="inlineStr">
        <is>
          <t>OPEN_INT</t>
        </is>
      </c>
      <c r="JX3" s="5" t="inlineStr">
        <is>
          <t>IVOL_MID</t>
        </is>
      </c>
      <c r="JY3" s="5" t="inlineStr">
        <is>
          <t>IVOL_BID</t>
        </is>
      </c>
      <c r="JZ3" s="5" t="inlineStr">
        <is>
          <t>IVOL_ASK</t>
        </is>
      </c>
      <c r="KA3" s="5" t="inlineStr">
        <is>
          <t>DELTA_MID</t>
        </is>
      </c>
      <c r="KB3" s="5" t="inlineStr">
        <is>
          <t>GAMMA_MID</t>
        </is>
      </c>
      <c r="KC3" s="5" t="inlineStr">
        <is>
          <t>VEGA_MID</t>
        </is>
      </c>
      <c r="KD3" s="5" t="inlineStr">
        <is>
          <t>THETA_MID</t>
        </is>
      </c>
      <c r="KE3" s="5" t="inlineStr">
        <is>
          <t>OPT_UNDL_PX</t>
        </is>
      </c>
      <c r="KG3" s="5" t="inlineStr">
        <is>
          <t>Date</t>
        </is>
      </c>
      <c r="KH3" s="5" t="inlineStr">
        <is>
          <t>PX_BID</t>
        </is>
      </c>
      <c r="KI3" s="5" t="inlineStr">
        <is>
          <t>PX_ASK</t>
        </is>
      </c>
      <c r="KJ3" s="5" t="inlineStr">
        <is>
          <t>PX_MID</t>
        </is>
      </c>
      <c r="KK3" s="5" t="inlineStr">
        <is>
          <t>PX_LAST</t>
        </is>
      </c>
      <c r="KL3" s="5" t="inlineStr">
        <is>
          <t>PX_SETTLE</t>
        </is>
      </c>
      <c r="KM3" s="5" t="inlineStr">
        <is>
          <t>PX_VOLUME</t>
        </is>
      </c>
      <c r="KN3" s="5" t="inlineStr">
        <is>
          <t>OPEN_INT</t>
        </is>
      </c>
      <c r="KO3" s="5" t="inlineStr">
        <is>
          <t>IVOL_MID</t>
        </is>
      </c>
      <c r="KP3" s="5" t="inlineStr">
        <is>
          <t>IVOL_BID</t>
        </is>
      </c>
      <c r="KQ3" s="5" t="inlineStr">
        <is>
          <t>IVOL_ASK</t>
        </is>
      </c>
      <c r="KR3" s="5" t="inlineStr">
        <is>
          <t>DELTA_MID</t>
        </is>
      </c>
      <c r="KS3" s="5" t="inlineStr">
        <is>
          <t>GAMMA_MID</t>
        </is>
      </c>
      <c r="KT3" s="5" t="inlineStr">
        <is>
          <t>VEGA_MID</t>
        </is>
      </c>
      <c r="KU3" s="5" t="inlineStr">
        <is>
          <t>THETA_MID</t>
        </is>
      </c>
      <c r="KV3" s="5" t="inlineStr">
        <is>
          <t>OPT_UNDL_PX</t>
        </is>
      </c>
      <c r="KX3" s="5" t="inlineStr">
        <is>
          <t>Date</t>
        </is>
      </c>
      <c r="KY3" s="5" t="inlineStr">
        <is>
          <t>PX_BID</t>
        </is>
      </c>
      <c r="KZ3" s="5" t="inlineStr">
        <is>
          <t>PX_ASK</t>
        </is>
      </c>
      <c r="LA3" s="5" t="inlineStr">
        <is>
          <t>PX_MID</t>
        </is>
      </c>
      <c r="LB3" s="5" t="inlineStr">
        <is>
          <t>PX_LAST</t>
        </is>
      </c>
      <c r="LC3" s="5" t="inlineStr">
        <is>
          <t>PX_SETTLE</t>
        </is>
      </c>
      <c r="LD3" s="5" t="inlineStr">
        <is>
          <t>PX_VOLUME</t>
        </is>
      </c>
      <c r="LE3" s="5" t="inlineStr">
        <is>
          <t>OPEN_INT</t>
        </is>
      </c>
      <c r="LF3" s="5" t="inlineStr">
        <is>
          <t>IVOL_MID</t>
        </is>
      </c>
      <c r="LG3" s="5" t="inlineStr">
        <is>
          <t>IVOL_BID</t>
        </is>
      </c>
      <c r="LH3" s="5" t="inlineStr">
        <is>
          <t>IVOL_ASK</t>
        </is>
      </c>
      <c r="LI3" s="5" t="inlineStr">
        <is>
          <t>DELTA_MID</t>
        </is>
      </c>
      <c r="LJ3" s="5" t="inlineStr">
        <is>
          <t>GAMMA_MID</t>
        </is>
      </c>
      <c r="LK3" s="5" t="inlineStr">
        <is>
          <t>VEGA_MID</t>
        </is>
      </c>
      <c r="LL3" s="5" t="inlineStr">
        <is>
          <t>THETA_MID</t>
        </is>
      </c>
      <c r="LM3" s="5" t="inlineStr">
        <is>
          <t>OPT_UNDL_PX</t>
        </is>
      </c>
      <c r="LO3" s="5" t="inlineStr">
        <is>
          <t>Date</t>
        </is>
      </c>
      <c r="LP3" s="5" t="inlineStr">
        <is>
          <t>PX_BID</t>
        </is>
      </c>
      <c r="LQ3" s="5" t="inlineStr">
        <is>
          <t>PX_ASK</t>
        </is>
      </c>
      <c r="LR3" s="5" t="inlineStr">
        <is>
          <t>PX_MID</t>
        </is>
      </c>
      <c r="LS3" s="5" t="inlineStr">
        <is>
          <t>PX_LAST</t>
        </is>
      </c>
      <c r="LT3" s="5" t="inlineStr">
        <is>
          <t>PX_SETTLE</t>
        </is>
      </c>
      <c r="LU3" s="5" t="inlineStr">
        <is>
          <t>PX_VOLUME</t>
        </is>
      </c>
      <c r="LV3" s="5" t="inlineStr">
        <is>
          <t>OPEN_INT</t>
        </is>
      </c>
      <c r="LW3" s="5" t="inlineStr">
        <is>
          <t>IVOL_MID</t>
        </is>
      </c>
      <c r="LX3" s="5" t="inlineStr">
        <is>
          <t>IVOL_BID</t>
        </is>
      </c>
      <c r="LY3" s="5" t="inlineStr">
        <is>
          <t>IVOL_ASK</t>
        </is>
      </c>
      <c r="LZ3" s="5" t="inlineStr">
        <is>
          <t>DELTA_MID</t>
        </is>
      </c>
      <c r="MA3" s="5" t="inlineStr">
        <is>
          <t>GAMMA_MID</t>
        </is>
      </c>
      <c r="MB3" s="5" t="inlineStr">
        <is>
          <t>VEGA_MID</t>
        </is>
      </c>
      <c r="MC3" s="5" t="inlineStr">
        <is>
          <t>THETA_MID</t>
        </is>
      </c>
      <c r="MD3" s="5" t="inlineStr">
        <is>
          <t>OPT_UNDL_PX</t>
        </is>
      </c>
      <c r="MF3" s="5" t="inlineStr">
        <is>
          <t>Date</t>
        </is>
      </c>
      <c r="MG3" s="5" t="inlineStr">
        <is>
          <t>PX_BID</t>
        </is>
      </c>
      <c r="MH3" s="5" t="inlineStr">
        <is>
          <t>PX_ASK</t>
        </is>
      </c>
      <c r="MI3" s="5" t="inlineStr">
        <is>
          <t>PX_MID</t>
        </is>
      </c>
      <c r="MJ3" s="5" t="inlineStr">
        <is>
          <t>PX_LAST</t>
        </is>
      </c>
      <c r="MK3" s="5" t="inlineStr">
        <is>
          <t>PX_SETTLE</t>
        </is>
      </c>
      <c r="ML3" s="5" t="inlineStr">
        <is>
          <t>PX_VOLUME</t>
        </is>
      </c>
      <c r="MM3" s="5" t="inlineStr">
        <is>
          <t>OPEN_INT</t>
        </is>
      </c>
      <c r="MN3" s="5" t="inlineStr">
        <is>
          <t>IVOL_MID</t>
        </is>
      </c>
      <c r="MO3" s="5" t="inlineStr">
        <is>
          <t>IVOL_BID</t>
        </is>
      </c>
      <c r="MP3" s="5" t="inlineStr">
        <is>
          <t>IVOL_ASK</t>
        </is>
      </c>
      <c r="MQ3" s="5" t="inlineStr">
        <is>
          <t>DELTA_MID</t>
        </is>
      </c>
      <c r="MR3" s="5" t="inlineStr">
        <is>
          <t>GAMMA_MID</t>
        </is>
      </c>
      <c r="MS3" s="5" t="inlineStr">
        <is>
          <t>VEGA_MID</t>
        </is>
      </c>
      <c r="MT3" s="5" t="inlineStr">
        <is>
          <t>THETA_MID</t>
        </is>
      </c>
      <c r="MU3" s="5" t="inlineStr">
        <is>
          <t>OPT_UNDL_PX</t>
        </is>
      </c>
      <c r="MW3" s="5" t="inlineStr">
        <is>
          <t>Date</t>
        </is>
      </c>
      <c r="MX3" s="5" t="inlineStr">
        <is>
          <t>PX_BID</t>
        </is>
      </c>
      <c r="MY3" s="5" t="inlineStr">
        <is>
          <t>PX_ASK</t>
        </is>
      </c>
      <c r="MZ3" s="5" t="inlineStr">
        <is>
          <t>PX_MID</t>
        </is>
      </c>
      <c r="NA3" s="5" t="inlineStr">
        <is>
          <t>PX_LAST</t>
        </is>
      </c>
      <c r="NB3" s="5" t="inlineStr">
        <is>
          <t>PX_SETTLE</t>
        </is>
      </c>
      <c r="NC3" s="5" t="inlineStr">
        <is>
          <t>PX_VOLUME</t>
        </is>
      </c>
      <c r="ND3" s="5" t="inlineStr">
        <is>
          <t>OPEN_INT</t>
        </is>
      </c>
      <c r="NE3" s="5" t="inlineStr">
        <is>
          <t>IVOL_MID</t>
        </is>
      </c>
      <c r="NF3" s="5" t="inlineStr">
        <is>
          <t>IVOL_BID</t>
        </is>
      </c>
      <c r="NG3" s="5" t="inlineStr">
        <is>
          <t>IVOL_ASK</t>
        </is>
      </c>
      <c r="NH3" s="5" t="inlineStr">
        <is>
          <t>DELTA_MID</t>
        </is>
      </c>
      <c r="NI3" s="5" t="inlineStr">
        <is>
          <t>GAMMA_MID</t>
        </is>
      </c>
      <c r="NJ3" s="5" t="inlineStr">
        <is>
          <t>VEGA_MID</t>
        </is>
      </c>
      <c r="NK3" s="5" t="inlineStr">
        <is>
          <t>THETA_MID</t>
        </is>
      </c>
      <c r="NL3" s="5" t="inlineStr">
        <is>
          <t>OPT_UNDL_PX</t>
        </is>
      </c>
    </row>
    <row r="4">
      <c r="A4" s="2" t="inlineStr">
        <is>
          <t>Strike reference date</t>
        </is>
      </c>
      <c r="B4" s="8">
        <f>B3-45</f>
        <v/>
      </c>
      <c r="D4" s="4">
        <f>BDH(D$1,E$3:S$3,$B$8,$B$9,"Dir=V","Dts=S","Sort=A","Days=T","Fill=B")</f>
        <v/>
      </c>
      <c r="U4" s="4">
        <f>BDH(U$1,V$3:AJ$3,$B$8,$B$9,"Dir=V","Dts=S","Sort=A","Days=T","Fill=B")</f>
        <v/>
      </c>
      <c r="AL4" s="4">
        <f>BDH(AL$1,AM$3:BA$3,$B$8,$B$9,"Dir=V","Dts=S","Sort=A","Days=T","Fill=B")</f>
        <v/>
      </c>
      <c r="BC4" s="4">
        <f>BDH(BC$1,BD$3:BR$3,$B$8,$B$9,"Dir=V","Dts=S","Sort=A","Days=T","Fill=B")</f>
        <v/>
      </c>
      <c r="BT4" s="4">
        <f>BDH(BT$1,BU$3:CI$3,$B$8,$B$9,"Dir=V","Dts=S","Sort=A","Days=T","Fill=B")</f>
        <v/>
      </c>
      <c r="CK4" s="4">
        <f>BDH(CK$1,CL$3:CZ$3,$B$8,$B$9,"Dir=V","Dts=S","Sort=A","Days=T","Fill=B")</f>
        <v/>
      </c>
      <c r="DB4" s="4">
        <f>BDH(DB$1,DC$3:DQ$3,$B$8,$B$9,"Dir=V","Dts=S","Sort=A","Days=T","Fill=B")</f>
        <v/>
      </c>
      <c r="DS4" s="4">
        <f>BDH(DS$1,DT$3:EH$3,$B$8,$B$9,"Dir=V","Dts=S","Sort=A","Days=T","Fill=B")</f>
        <v/>
      </c>
      <c r="EJ4" s="4">
        <f>BDH(EJ$1,EK$3:EY$3,$B$8,$B$9,"Dir=V","Dts=S","Sort=A","Days=T","Fill=B")</f>
        <v/>
      </c>
      <c r="FA4" s="4">
        <f>BDH(FA$1,FB$3:FP$3,$B$8,$B$9,"Dir=V","Dts=S","Sort=A","Days=T","Fill=B")</f>
        <v/>
      </c>
      <c r="FR4" s="4">
        <f>BDH(FR$1,FS$3:GG$3,$B$8,$B$9,"Dir=V","Dts=S","Sort=A","Days=T","Fill=B")</f>
        <v/>
      </c>
      <c r="GI4" s="4">
        <f>BDH(GI$1,GJ$3:GX$3,$B$8,$B$9,"Dir=V","Dts=S","Sort=A","Days=T","Fill=B")</f>
        <v/>
      </c>
      <c r="GZ4" s="4">
        <f>BDH(GZ$1,HA$3:HO$3,$B$8,$B$9,"Dir=V","Dts=S","Sort=A","Days=T","Fill=B")</f>
        <v/>
      </c>
      <c r="HQ4" s="4">
        <f>BDH(HQ$1,HR$3:IF$3,$B$8,$B$9,"Dir=V","Dts=S","Sort=A","Days=T","Fill=B")</f>
        <v/>
      </c>
      <c r="IH4" s="4">
        <f>BDH(IH$1,II$3:IW$3,$B$8,$B$9,"Dir=V","Dts=S","Sort=A","Days=T","Fill=B")</f>
        <v/>
      </c>
      <c r="IY4" s="4">
        <f>BDH(IY$1,IZ$3:JN$3,$B$8,$B$9,"Dir=V","Dts=S","Sort=A","Days=T","Fill=B")</f>
        <v/>
      </c>
      <c r="JP4" s="4">
        <f>BDH(JP$1,JQ$3:KE$3,$B$8,$B$9,"Dir=V","Dts=S","Sort=A","Days=T","Fill=B")</f>
        <v/>
      </c>
      <c r="KG4" s="4">
        <f>BDH(KG$1,KH$3:KV$3,$B$8,$B$9,"Dir=V","Dts=S","Sort=A","Days=T","Fill=B")</f>
        <v/>
      </c>
      <c r="KX4" s="4">
        <f>BDH(KX$1,KY$3:LM$3,$B$8,$B$9,"Dir=V","Dts=S","Sort=A","Days=T","Fill=B")</f>
        <v/>
      </c>
      <c r="LO4" s="4">
        <f>BDH(LO$1,LP$3:MD$3,$B$8,$B$9,"Dir=V","Dts=S","Sort=A","Days=T","Fill=B")</f>
        <v/>
      </c>
      <c r="MF4" s="4">
        <f>BDH(MF$1,MG$3:MU$3,$B$8,$B$9,"Dir=V","Dts=S","Sort=A","Days=T","Fill=B")</f>
        <v/>
      </c>
      <c r="MW4" s="4">
        <f>BDH(MW$1,MX$3:NL$3,$B$8,$B$9,"Dir=V","Dts=S","Sort=A","Days=T","Fill=B")</f>
        <v/>
      </c>
    </row>
    <row r="5">
      <c r="A5" s="2" t="inlineStr">
        <is>
          <t>Unadjusted close then</t>
        </is>
      </c>
      <c r="B5" s="10">
        <f>IF(B2="","",BDH(B2,"PX_LAST",B4,B4,"Days=A","Fill=P","Dts=H","CshAdjNormal=N","CshAdjAbnormal=N","CapChg=N"))</f>
        <v/>
      </c>
    </row>
    <row r="6">
      <c r="A6" s="2" t="inlineStr">
        <is>
          <t>Strike step</t>
        </is>
      </c>
      <c r="B6" s="11">
        <f>IF(ISNUMBER(B5),IF(B5&lt;25,0.5,IF(B5&lt;250,1,5)),"")</f>
        <v/>
      </c>
    </row>
    <row r="7">
      <c r="A7" s="2" t="inlineStr">
        <is>
          <t>ATM strike</t>
        </is>
      </c>
      <c r="B7" s="11">
        <f>IF(ISNUMBER(B5),ROUND(B5/B6,0)*B6,"")</f>
        <v/>
      </c>
    </row>
    <row r="8">
      <c r="A8" s="2" t="inlineStr">
        <is>
          <t>History start</t>
        </is>
      </c>
      <c r="B8" s="8">
        <f>B3-100</f>
        <v/>
      </c>
    </row>
    <row r="9">
      <c r="A9" s="2" t="inlineStr">
        <is>
          <t>History end</t>
        </is>
      </c>
      <c r="B9" s="8">
        <f>B3</f>
        <v/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NL9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2" customWidth="1" min="2" max="2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1" customWidth="1" min="15" max="15"/>
    <col width="11" customWidth="1" min="16" max="16"/>
    <col width="10" customWidth="1" min="17" max="17"/>
    <col width="11" customWidth="1" min="18" max="18"/>
    <col width="13" customWidth="1" min="19" max="19"/>
    <col width="12" customWidth="1" min="21" max="21"/>
    <col width="10" customWidth="1" min="22" max="22"/>
    <col width="10" customWidth="1" min="23" max="23"/>
    <col width="10" customWidth="1" min="24" max="24"/>
    <col width="10" customWidth="1" min="25" max="25"/>
    <col width="11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1" customWidth="1" min="32" max="32"/>
    <col width="11" customWidth="1" min="33" max="33"/>
    <col width="10" customWidth="1" min="34" max="34"/>
    <col width="11" customWidth="1" min="35" max="35"/>
    <col width="13" customWidth="1" min="36" max="36"/>
    <col width="12" customWidth="1" min="38" max="38"/>
    <col width="10" customWidth="1" min="39" max="39"/>
    <col width="10" customWidth="1" min="40" max="40"/>
    <col width="10" customWidth="1" min="41" max="41"/>
    <col width="10" customWidth="1" min="42" max="42"/>
    <col width="11" customWidth="1" min="43" max="43"/>
    <col width="11" customWidth="1" min="44" max="44"/>
    <col width="10" customWidth="1" min="45" max="45"/>
    <col width="10" customWidth="1" min="46" max="46"/>
    <col width="10" customWidth="1" min="47" max="47"/>
    <col width="10" customWidth="1" min="48" max="48"/>
    <col width="11" customWidth="1" min="49" max="49"/>
    <col width="11" customWidth="1" min="50" max="50"/>
    <col width="10" customWidth="1" min="51" max="51"/>
    <col width="11" customWidth="1" min="52" max="52"/>
    <col width="13" customWidth="1" min="53" max="53"/>
    <col width="12" customWidth="1" min="55" max="55"/>
    <col width="10" customWidth="1" min="56" max="56"/>
    <col width="10" customWidth="1" min="57" max="57"/>
    <col width="10" customWidth="1" min="58" max="58"/>
    <col width="10" customWidth="1" min="59" max="59"/>
    <col width="11" customWidth="1" min="60" max="60"/>
    <col width="11" customWidth="1" min="61" max="61"/>
    <col width="10" customWidth="1" min="62" max="62"/>
    <col width="10" customWidth="1" min="63" max="63"/>
    <col width="10" customWidth="1" min="64" max="64"/>
    <col width="10" customWidth="1" min="65" max="65"/>
    <col width="11" customWidth="1" min="66" max="66"/>
    <col width="11" customWidth="1" min="67" max="67"/>
    <col width="10" customWidth="1" min="68" max="68"/>
    <col width="11" customWidth="1" min="69" max="69"/>
    <col width="13" customWidth="1" min="70" max="70"/>
    <col width="12" customWidth="1" min="72" max="72"/>
    <col width="10" customWidth="1" min="73" max="73"/>
    <col width="10" customWidth="1" min="74" max="74"/>
    <col width="10" customWidth="1" min="75" max="75"/>
    <col width="10" customWidth="1" min="76" max="76"/>
    <col width="11" customWidth="1" min="77" max="77"/>
    <col width="11" customWidth="1" min="78" max="78"/>
    <col width="10" customWidth="1" min="79" max="79"/>
    <col width="10" customWidth="1" min="80" max="80"/>
    <col width="10" customWidth="1" min="81" max="81"/>
    <col width="10" customWidth="1" min="82" max="82"/>
    <col width="11" customWidth="1" min="83" max="83"/>
    <col width="11" customWidth="1" min="84" max="84"/>
    <col width="10" customWidth="1" min="85" max="85"/>
    <col width="11" customWidth="1" min="86" max="86"/>
    <col width="13" customWidth="1" min="87" max="87"/>
    <col width="12" customWidth="1" min="89" max="89"/>
    <col width="10" customWidth="1" min="90" max="90"/>
    <col width="10" customWidth="1" min="91" max="91"/>
    <col width="10" customWidth="1" min="92" max="92"/>
    <col width="10" customWidth="1" min="93" max="93"/>
    <col width="11" customWidth="1" min="94" max="94"/>
    <col width="11" customWidth="1" min="95" max="95"/>
    <col width="10" customWidth="1" min="96" max="96"/>
    <col width="10" customWidth="1" min="97" max="97"/>
    <col width="10" customWidth="1" min="98" max="98"/>
    <col width="10" customWidth="1" min="99" max="99"/>
    <col width="11" customWidth="1" min="100" max="100"/>
    <col width="11" customWidth="1" min="101" max="101"/>
    <col width="10" customWidth="1" min="102" max="102"/>
    <col width="11" customWidth="1" min="103" max="103"/>
    <col width="13" customWidth="1" min="104" max="104"/>
    <col width="12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1" customWidth="1" min="111" max="111"/>
    <col width="11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1" customWidth="1" min="117" max="117"/>
    <col width="11" customWidth="1" min="118" max="118"/>
    <col width="10" customWidth="1" min="119" max="119"/>
    <col width="11" customWidth="1" min="120" max="120"/>
    <col width="13" customWidth="1" min="121" max="121"/>
    <col width="12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1" customWidth="1" min="128" max="128"/>
    <col width="11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1" customWidth="1" min="134" max="134"/>
    <col width="11" customWidth="1" min="135" max="135"/>
    <col width="10" customWidth="1" min="136" max="136"/>
    <col width="11" customWidth="1" min="137" max="137"/>
    <col width="13" customWidth="1" min="138" max="138"/>
    <col width="12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1" customWidth="1" min="145" max="145"/>
    <col width="11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1" customWidth="1" min="151" max="151"/>
    <col width="11" customWidth="1" min="152" max="152"/>
    <col width="10" customWidth="1" min="153" max="153"/>
    <col width="11" customWidth="1" min="154" max="154"/>
    <col width="13" customWidth="1" min="155" max="155"/>
    <col width="12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1" customWidth="1" min="162" max="162"/>
    <col width="11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1" customWidth="1" min="168" max="168"/>
    <col width="11" customWidth="1" min="169" max="169"/>
    <col width="10" customWidth="1" min="170" max="170"/>
    <col width="11" customWidth="1" min="171" max="171"/>
    <col width="13" customWidth="1" min="172" max="172"/>
    <col width="12" customWidth="1" min="174" max="174"/>
    <col width="10" customWidth="1" min="175" max="175"/>
    <col width="10" customWidth="1" min="176" max="176"/>
    <col width="10" customWidth="1" min="177" max="177"/>
    <col width="10" customWidth="1" min="178" max="178"/>
    <col width="11" customWidth="1" min="179" max="179"/>
    <col width="11" customWidth="1" min="180" max="180"/>
    <col width="10" customWidth="1" min="181" max="181"/>
    <col width="10" customWidth="1" min="182" max="182"/>
    <col width="10" customWidth="1" min="183" max="183"/>
    <col width="10" customWidth="1" min="184" max="184"/>
    <col width="11" customWidth="1" min="185" max="185"/>
    <col width="11" customWidth="1" min="186" max="186"/>
    <col width="10" customWidth="1" min="187" max="187"/>
    <col width="11" customWidth="1" min="188" max="188"/>
    <col width="13" customWidth="1" min="189" max="189"/>
    <col width="12" customWidth="1" min="191" max="191"/>
    <col width="10" customWidth="1" min="192" max="192"/>
    <col width="10" customWidth="1" min="193" max="193"/>
    <col width="10" customWidth="1" min="194" max="194"/>
    <col width="10" customWidth="1" min="195" max="195"/>
    <col width="11" customWidth="1" min="196" max="196"/>
    <col width="11" customWidth="1" min="197" max="197"/>
    <col width="10" customWidth="1" min="198" max="198"/>
    <col width="10" customWidth="1" min="199" max="199"/>
    <col width="10" customWidth="1" min="200" max="200"/>
    <col width="10" customWidth="1" min="201" max="201"/>
    <col width="11" customWidth="1" min="202" max="202"/>
    <col width="11" customWidth="1" min="203" max="203"/>
    <col width="10" customWidth="1" min="204" max="204"/>
    <col width="11" customWidth="1" min="205" max="205"/>
    <col width="13" customWidth="1" min="206" max="206"/>
    <col width="12" customWidth="1" min="208" max="208"/>
    <col width="10" customWidth="1" min="209" max="209"/>
    <col width="10" customWidth="1" min="210" max="210"/>
    <col width="10" customWidth="1" min="211" max="211"/>
    <col width="10" customWidth="1" min="212" max="212"/>
    <col width="11" customWidth="1" min="213" max="213"/>
    <col width="11" customWidth="1" min="214" max="214"/>
    <col width="10" customWidth="1" min="215" max="215"/>
    <col width="10" customWidth="1" min="216" max="216"/>
    <col width="10" customWidth="1" min="217" max="217"/>
    <col width="10" customWidth="1" min="218" max="218"/>
    <col width="11" customWidth="1" min="219" max="219"/>
    <col width="11" customWidth="1" min="220" max="220"/>
    <col width="10" customWidth="1" min="221" max="221"/>
    <col width="11" customWidth="1" min="222" max="222"/>
    <col width="13" customWidth="1" min="223" max="223"/>
    <col width="12" customWidth="1" min="225" max="225"/>
    <col width="10" customWidth="1" min="226" max="226"/>
    <col width="10" customWidth="1" min="227" max="227"/>
    <col width="10" customWidth="1" min="228" max="228"/>
    <col width="10" customWidth="1" min="229" max="229"/>
    <col width="11" customWidth="1" min="230" max="230"/>
    <col width="11" customWidth="1" min="231" max="231"/>
    <col width="10" customWidth="1" min="232" max="232"/>
    <col width="10" customWidth="1" min="233" max="233"/>
    <col width="10" customWidth="1" min="234" max="234"/>
    <col width="10" customWidth="1" min="235" max="235"/>
    <col width="11" customWidth="1" min="236" max="236"/>
    <col width="11" customWidth="1" min="237" max="237"/>
    <col width="10" customWidth="1" min="238" max="238"/>
    <col width="11" customWidth="1" min="239" max="239"/>
    <col width="13" customWidth="1" min="240" max="240"/>
    <col width="12" customWidth="1" min="242" max="242"/>
    <col width="10" customWidth="1" min="243" max="243"/>
    <col width="10" customWidth="1" min="244" max="244"/>
    <col width="10" customWidth="1" min="245" max="245"/>
    <col width="10" customWidth="1" min="246" max="246"/>
    <col width="11" customWidth="1" min="247" max="247"/>
    <col width="11" customWidth="1" min="248" max="248"/>
    <col width="10" customWidth="1" min="249" max="249"/>
    <col width="10" customWidth="1" min="250" max="250"/>
    <col width="10" customWidth="1" min="251" max="251"/>
    <col width="10" customWidth="1" min="252" max="252"/>
    <col width="11" customWidth="1" min="253" max="253"/>
    <col width="11" customWidth="1" min="254" max="254"/>
    <col width="10" customWidth="1" min="255" max="255"/>
    <col width="11" customWidth="1" min="256" max="256"/>
    <col width="13" customWidth="1" min="257" max="257"/>
    <col width="12" customWidth="1" min="259" max="259"/>
    <col width="10" customWidth="1" min="260" max="260"/>
    <col width="10" customWidth="1" min="261" max="261"/>
    <col width="10" customWidth="1" min="262" max="262"/>
    <col width="10" customWidth="1" min="263" max="263"/>
    <col width="11" customWidth="1" min="264" max="264"/>
    <col width="11" customWidth="1" min="265" max="265"/>
    <col width="10" customWidth="1" min="266" max="266"/>
    <col width="10" customWidth="1" min="267" max="267"/>
    <col width="10" customWidth="1" min="268" max="268"/>
    <col width="10" customWidth="1" min="269" max="269"/>
    <col width="11" customWidth="1" min="270" max="270"/>
    <col width="11" customWidth="1" min="271" max="271"/>
    <col width="10" customWidth="1" min="272" max="272"/>
    <col width="11" customWidth="1" min="273" max="273"/>
    <col width="13" customWidth="1" min="274" max="274"/>
    <col width="12" customWidth="1" min="276" max="276"/>
    <col width="10" customWidth="1" min="277" max="277"/>
    <col width="10" customWidth="1" min="278" max="278"/>
    <col width="10" customWidth="1" min="279" max="279"/>
    <col width="10" customWidth="1" min="280" max="280"/>
    <col width="11" customWidth="1" min="281" max="281"/>
    <col width="11" customWidth="1" min="282" max="282"/>
    <col width="10" customWidth="1" min="283" max="283"/>
    <col width="10" customWidth="1" min="284" max="284"/>
    <col width="10" customWidth="1" min="285" max="285"/>
    <col width="10" customWidth="1" min="286" max="286"/>
    <col width="11" customWidth="1" min="287" max="287"/>
    <col width="11" customWidth="1" min="288" max="288"/>
    <col width="10" customWidth="1" min="289" max="289"/>
    <col width="11" customWidth="1" min="290" max="290"/>
    <col width="13" customWidth="1" min="291" max="291"/>
    <col width="12" customWidth="1" min="293" max="293"/>
    <col width="10" customWidth="1" min="294" max="294"/>
    <col width="10" customWidth="1" min="295" max="295"/>
    <col width="10" customWidth="1" min="296" max="296"/>
    <col width="10" customWidth="1" min="297" max="297"/>
    <col width="11" customWidth="1" min="298" max="298"/>
    <col width="11" customWidth="1" min="299" max="299"/>
    <col width="10" customWidth="1" min="300" max="300"/>
    <col width="10" customWidth="1" min="301" max="301"/>
    <col width="10" customWidth="1" min="302" max="302"/>
    <col width="10" customWidth="1" min="303" max="303"/>
    <col width="11" customWidth="1" min="304" max="304"/>
    <col width="11" customWidth="1" min="305" max="305"/>
    <col width="10" customWidth="1" min="306" max="306"/>
    <col width="11" customWidth="1" min="307" max="307"/>
    <col width="13" customWidth="1" min="308" max="308"/>
    <col width="12" customWidth="1" min="310" max="310"/>
    <col width="10" customWidth="1" min="311" max="311"/>
    <col width="10" customWidth="1" min="312" max="312"/>
    <col width="10" customWidth="1" min="313" max="313"/>
    <col width="10" customWidth="1" min="314" max="314"/>
    <col width="11" customWidth="1" min="315" max="315"/>
    <col width="11" customWidth="1" min="316" max="316"/>
    <col width="10" customWidth="1" min="317" max="317"/>
    <col width="10" customWidth="1" min="318" max="318"/>
    <col width="10" customWidth="1" min="319" max="319"/>
    <col width="10" customWidth="1" min="320" max="320"/>
    <col width="11" customWidth="1" min="321" max="321"/>
    <col width="11" customWidth="1" min="322" max="322"/>
    <col width="10" customWidth="1" min="323" max="323"/>
    <col width="11" customWidth="1" min="324" max="324"/>
    <col width="13" customWidth="1" min="325" max="325"/>
    <col width="12" customWidth="1" min="327" max="327"/>
    <col width="10" customWidth="1" min="328" max="328"/>
    <col width="10" customWidth="1" min="329" max="329"/>
    <col width="10" customWidth="1" min="330" max="330"/>
    <col width="10" customWidth="1" min="331" max="331"/>
    <col width="11" customWidth="1" min="332" max="332"/>
    <col width="11" customWidth="1" min="333" max="333"/>
    <col width="10" customWidth="1" min="334" max="334"/>
    <col width="10" customWidth="1" min="335" max="335"/>
    <col width="10" customWidth="1" min="336" max="336"/>
    <col width="10" customWidth="1" min="337" max="337"/>
    <col width="11" customWidth="1" min="338" max="338"/>
    <col width="11" customWidth="1" min="339" max="339"/>
    <col width="10" customWidth="1" min="340" max="340"/>
    <col width="11" customWidth="1" min="341" max="341"/>
    <col width="13" customWidth="1" min="342" max="342"/>
    <col width="12" customWidth="1" min="344" max="344"/>
    <col width="10" customWidth="1" min="345" max="345"/>
    <col width="10" customWidth="1" min="346" max="346"/>
    <col width="10" customWidth="1" min="347" max="347"/>
    <col width="10" customWidth="1" min="348" max="348"/>
    <col width="11" customWidth="1" min="349" max="349"/>
    <col width="11" customWidth="1" min="350" max="350"/>
    <col width="10" customWidth="1" min="351" max="351"/>
    <col width="10" customWidth="1" min="352" max="352"/>
    <col width="10" customWidth="1" min="353" max="353"/>
    <col width="10" customWidth="1" min="354" max="354"/>
    <col width="11" customWidth="1" min="355" max="355"/>
    <col width="11" customWidth="1" min="356" max="356"/>
    <col width="10" customWidth="1" min="357" max="357"/>
    <col width="11" customWidth="1" min="358" max="358"/>
    <col width="13" customWidth="1" min="359" max="359"/>
    <col width="12" customWidth="1" min="361" max="361"/>
    <col width="10" customWidth="1" min="362" max="362"/>
    <col width="10" customWidth="1" min="363" max="363"/>
    <col width="10" customWidth="1" min="364" max="364"/>
    <col width="10" customWidth="1" min="365" max="365"/>
    <col width="11" customWidth="1" min="366" max="366"/>
    <col width="11" customWidth="1" min="367" max="367"/>
    <col width="10" customWidth="1" min="368" max="368"/>
    <col width="10" customWidth="1" min="369" max="369"/>
    <col width="10" customWidth="1" min="370" max="370"/>
    <col width="10" customWidth="1" min="371" max="371"/>
    <col width="11" customWidth="1" min="372" max="372"/>
    <col width="11" customWidth="1" min="373" max="373"/>
    <col width="10" customWidth="1" min="374" max="374"/>
    <col width="11" customWidth="1" min="375" max="375"/>
    <col width="13" customWidth="1" min="376" max="376"/>
  </cols>
  <sheetData>
    <row r="1">
      <c r="A1" s="2" t="inlineStr">
        <is>
          <t>Month</t>
        </is>
      </c>
      <c r="B1" s="9" t="n">
        <v>8</v>
      </c>
      <c r="D1" s="2">
        <f>IF(ISNUMBER(B$7),"USO US "&amp;TEXT(B$3,"mm/dd/yy")&amp;" C"&amp;(B$7-5*B$6)&amp;" Equity","")</f>
        <v/>
      </c>
      <c r="U1" s="2">
        <f>IF(ISNUMBER(B$7),"USO US "&amp;TEXT(B$3,"mm/dd/yy")&amp;" P"&amp;(B$7-5*B$6)&amp;" Equity","")</f>
        <v/>
      </c>
      <c r="AL1" s="2">
        <f>IF(ISNUMBER(B$7),"USO US "&amp;TEXT(B$3,"mm/dd/yy")&amp;" C"&amp;(B$7-4*B$6)&amp;" Equity","")</f>
        <v/>
      </c>
      <c r="BC1" s="2">
        <f>IF(ISNUMBER(B$7),"USO US "&amp;TEXT(B$3,"mm/dd/yy")&amp;" P"&amp;(B$7-4*B$6)&amp;" Equity","")</f>
        <v/>
      </c>
      <c r="BT1" s="2">
        <f>IF(ISNUMBER(B$7),"USO US "&amp;TEXT(B$3,"mm/dd/yy")&amp;" C"&amp;(B$7-3*B$6)&amp;" Equity","")</f>
        <v/>
      </c>
      <c r="CK1" s="2">
        <f>IF(ISNUMBER(B$7),"USO US "&amp;TEXT(B$3,"mm/dd/yy")&amp;" P"&amp;(B$7-3*B$6)&amp;" Equity","")</f>
        <v/>
      </c>
      <c r="DB1" s="2">
        <f>IF(ISNUMBER(B$7),"USO US "&amp;TEXT(B$3,"mm/dd/yy")&amp;" C"&amp;(B$7-2*B$6)&amp;" Equity","")</f>
        <v/>
      </c>
      <c r="DS1" s="2">
        <f>IF(ISNUMBER(B$7),"USO US "&amp;TEXT(B$3,"mm/dd/yy")&amp;" P"&amp;(B$7-2*B$6)&amp;" Equity","")</f>
        <v/>
      </c>
      <c r="EJ1" s="2">
        <f>IF(ISNUMBER(B$7),"USO US "&amp;TEXT(B$3,"mm/dd/yy")&amp;" C"&amp;(B$7-1*B$6)&amp;" Equity","")</f>
        <v/>
      </c>
      <c r="FA1" s="2">
        <f>IF(ISNUMBER(B$7),"USO US "&amp;TEXT(B$3,"mm/dd/yy")&amp;" P"&amp;(B$7-1*B$6)&amp;" Equity","")</f>
        <v/>
      </c>
      <c r="FR1" s="2">
        <f>IF(ISNUMBER(B$7),"USO US "&amp;TEXT(B$3,"mm/dd/yy")&amp;" C"&amp;B$7&amp;" Equity","")</f>
        <v/>
      </c>
      <c r="GI1" s="2">
        <f>IF(ISNUMBER(B$7),"USO US "&amp;TEXT(B$3,"mm/dd/yy")&amp;" P"&amp;B$7&amp;" Equity","")</f>
        <v/>
      </c>
      <c r="GZ1" s="2">
        <f>IF(ISNUMBER(B$7),"USO US "&amp;TEXT(B$3,"mm/dd/yy")&amp;" C"&amp;(B$7+1*B$6)&amp;" Equity","")</f>
        <v/>
      </c>
      <c r="HQ1" s="2">
        <f>IF(ISNUMBER(B$7),"USO US "&amp;TEXT(B$3,"mm/dd/yy")&amp;" P"&amp;(B$7+1*B$6)&amp;" Equity","")</f>
        <v/>
      </c>
      <c r="IH1" s="2">
        <f>IF(ISNUMBER(B$7),"USO US "&amp;TEXT(B$3,"mm/dd/yy")&amp;" C"&amp;(B$7+2*B$6)&amp;" Equity","")</f>
        <v/>
      </c>
      <c r="IY1" s="2">
        <f>IF(ISNUMBER(B$7),"USO US "&amp;TEXT(B$3,"mm/dd/yy")&amp;" P"&amp;(B$7+2*B$6)&amp;" Equity","")</f>
        <v/>
      </c>
      <c r="JP1" s="2">
        <f>IF(ISNUMBER(B$7),"USO US "&amp;TEXT(B$3,"mm/dd/yy")&amp;" C"&amp;(B$7+3*B$6)&amp;" Equity","")</f>
        <v/>
      </c>
      <c r="KG1" s="2">
        <f>IF(ISNUMBER(B$7),"USO US "&amp;TEXT(B$3,"mm/dd/yy")&amp;" P"&amp;(B$7+3*B$6)&amp;" Equity","")</f>
        <v/>
      </c>
      <c r="KX1" s="2">
        <f>IF(ISNUMBER(B$7),"USO US "&amp;TEXT(B$3,"mm/dd/yy")&amp;" C"&amp;(B$7+4*B$6)&amp;" Equity","")</f>
        <v/>
      </c>
      <c r="LO1" s="2">
        <f>IF(ISNUMBER(B$7),"USO US "&amp;TEXT(B$3,"mm/dd/yy")&amp;" P"&amp;(B$7+4*B$6)&amp;" Equity","")</f>
        <v/>
      </c>
      <c r="MF1" s="2">
        <f>IF(ISNUMBER(B$7),"USO US "&amp;TEXT(B$3,"mm/dd/yy")&amp;" C"&amp;(B$7+5*B$6)&amp;" Equity","")</f>
        <v/>
      </c>
      <c r="MW1" s="2">
        <f>IF(ISNUMBER(B$7),"USO US "&amp;TEXT(B$3,"mm/dd/yy")&amp;" P"&amp;(B$7+5*B$6)&amp;" Equity","")</f>
        <v/>
      </c>
    </row>
    <row r="2">
      <c r="A2" s="2" t="inlineStr">
        <is>
          <t>Underlying</t>
        </is>
      </c>
      <c r="B2" s="4">
        <f>IF(Settings!$B$15="Y","USO US Equity","")</f>
        <v/>
      </c>
      <c r="D2" s="4" t="inlineStr">
        <is>
          <t>call -5 from ATM</t>
        </is>
      </c>
      <c r="U2" s="4" t="inlineStr">
        <is>
          <t>put -5 from ATM</t>
        </is>
      </c>
      <c r="AL2" s="4" t="inlineStr">
        <is>
          <t>call -4 from ATM</t>
        </is>
      </c>
      <c r="BC2" s="4" t="inlineStr">
        <is>
          <t>put -4 from ATM</t>
        </is>
      </c>
      <c r="BT2" s="4" t="inlineStr">
        <is>
          <t>call -3 from ATM</t>
        </is>
      </c>
      <c r="CK2" s="4" t="inlineStr">
        <is>
          <t>put -3 from ATM</t>
        </is>
      </c>
      <c r="DB2" s="4" t="inlineStr">
        <is>
          <t>call -2 from ATM</t>
        </is>
      </c>
      <c r="DS2" s="4" t="inlineStr">
        <is>
          <t>put -2 from ATM</t>
        </is>
      </c>
      <c r="EJ2" s="4" t="inlineStr">
        <is>
          <t>call -1 from ATM</t>
        </is>
      </c>
      <c r="FA2" s="4" t="inlineStr">
        <is>
          <t>put -1 from ATM</t>
        </is>
      </c>
      <c r="FR2" s="4" t="inlineStr">
        <is>
          <t>call +0 from ATM</t>
        </is>
      </c>
      <c r="GI2" s="4" t="inlineStr">
        <is>
          <t>put +0 from ATM</t>
        </is>
      </c>
      <c r="GZ2" s="4" t="inlineStr">
        <is>
          <t>call +1 from ATM</t>
        </is>
      </c>
      <c r="HQ2" s="4" t="inlineStr">
        <is>
          <t>put +1 from ATM</t>
        </is>
      </c>
      <c r="IH2" s="4" t="inlineStr">
        <is>
          <t>call +2 from ATM</t>
        </is>
      </c>
      <c r="IY2" s="4" t="inlineStr">
        <is>
          <t>put +2 from ATM</t>
        </is>
      </c>
      <c r="JP2" s="4" t="inlineStr">
        <is>
          <t>call +3 from ATM</t>
        </is>
      </c>
      <c r="KG2" s="4" t="inlineStr">
        <is>
          <t>put +3 from ATM</t>
        </is>
      </c>
      <c r="KX2" s="4" t="inlineStr">
        <is>
          <t>call +4 from ATM</t>
        </is>
      </c>
      <c r="LO2" s="4" t="inlineStr">
        <is>
          <t>put +4 from ATM</t>
        </is>
      </c>
      <c r="MF2" s="4" t="inlineStr">
        <is>
          <t>call +5 from ATM</t>
        </is>
      </c>
      <c r="MW2" s="4" t="inlineStr">
        <is>
          <t>put +5 from ATM</t>
        </is>
      </c>
    </row>
    <row r="3">
      <c r="A3" s="2" t="inlineStr">
        <is>
          <t>Expiry (3rd Friday)</t>
        </is>
      </c>
      <c r="B3" s="3">
        <f>DATE(Settings!$E$15,B1,15)+MOD(6-WEEKDAY(DATE(Settings!$E$15,B1,15)),7)</f>
        <v/>
      </c>
      <c r="D3" s="5" t="inlineStr">
        <is>
          <t>Date</t>
        </is>
      </c>
      <c r="E3" s="5" t="inlineStr">
        <is>
          <t>PX_BID</t>
        </is>
      </c>
      <c r="F3" s="5" t="inlineStr">
        <is>
          <t>PX_ASK</t>
        </is>
      </c>
      <c r="G3" s="5" t="inlineStr">
        <is>
          <t>PX_MID</t>
        </is>
      </c>
      <c r="H3" s="5" t="inlineStr">
        <is>
          <t>PX_LAST</t>
        </is>
      </c>
      <c r="I3" s="5" t="inlineStr">
        <is>
          <t>PX_SETTLE</t>
        </is>
      </c>
      <c r="J3" s="5" t="inlineStr">
        <is>
          <t>PX_VOLUME</t>
        </is>
      </c>
      <c r="K3" s="5" t="inlineStr">
        <is>
          <t>OPEN_INT</t>
        </is>
      </c>
      <c r="L3" s="5" t="inlineStr">
        <is>
          <t>IVOL_MID</t>
        </is>
      </c>
      <c r="M3" s="5" t="inlineStr">
        <is>
          <t>IVOL_BID</t>
        </is>
      </c>
      <c r="N3" s="5" t="inlineStr">
        <is>
          <t>IVOL_ASK</t>
        </is>
      </c>
      <c r="O3" s="5" t="inlineStr">
        <is>
          <t>DELTA_MID</t>
        </is>
      </c>
      <c r="P3" s="5" t="inlineStr">
        <is>
          <t>GAMMA_MID</t>
        </is>
      </c>
      <c r="Q3" s="5" t="inlineStr">
        <is>
          <t>VEGA_MID</t>
        </is>
      </c>
      <c r="R3" s="5" t="inlineStr">
        <is>
          <t>THETA_MID</t>
        </is>
      </c>
      <c r="S3" s="5" t="inlineStr">
        <is>
          <t>OPT_UNDL_PX</t>
        </is>
      </c>
      <c r="U3" s="5" t="inlineStr">
        <is>
          <t>Date</t>
        </is>
      </c>
      <c r="V3" s="5" t="inlineStr">
        <is>
          <t>PX_BID</t>
        </is>
      </c>
      <c r="W3" s="5" t="inlineStr">
        <is>
          <t>PX_ASK</t>
        </is>
      </c>
      <c r="X3" s="5" t="inlineStr">
        <is>
          <t>PX_MID</t>
        </is>
      </c>
      <c r="Y3" s="5" t="inlineStr">
        <is>
          <t>PX_LAST</t>
        </is>
      </c>
      <c r="Z3" s="5" t="inlineStr">
        <is>
          <t>PX_SETTLE</t>
        </is>
      </c>
      <c r="AA3" s="5" t="inlineStr">
        <is>
          <t>PX_VOLUME</t>
        </is>
      </c>
      <c r="AB3" s="5" t="inlineStr">
        <is>
          <t>OPEN_INT</t>
        </is>
      </c>
      <c r="AC3" s="5" t="inlineStr">
        <is>
          <t>IVOL_MID</t>
        </is>
      </c>
      <c r="AD3" s="5" t="inlineStr">
        <is>
          <t>IVOL_BID</t>
        </is>
      </c>
      <c r="AE3" s="5" t="inlineStr">
        <is>
          <t>IVOL_ASK</t>
        </is>
      </c>
      <c r="AF3" s="5" t="inlineStr">
        <is>
          <t>DELTA_MID</t>
        </is>
      </c>
      <c r="AG3" s="5" t="inlineStr">
        <is>
          <t>GAMMA_MID</t>
        </is>
      </c>
      <c r="AH3" s="5" t="inlineStr">
        <is>
          <t>VEGA_MID</t>
        </is>
      </c>
      <c r="AI3" s="5" t="inlineStr">
        <is>
          <t>THETA_MID</t>
        </is>
      </c>
      <c r="AJ3" s="5" t="inlineStr">
        <is>
          <t>OPT_UNDL_PX</t>
        </is>
      </c>
      <c r="AL3" s="5" t="inlineStr">
        <is>
          <t>Date</t>
        </is>
      </c>
      <c r="AM3" s="5" t="inlineStr">
        <is>
          <t>PX_BID</t>
        </is>
      </c>
      <c r="AN3" s="5" t="inlineStr">
        <is>
          <t>PX_ASK</t>
        </is>
      </c>
      <c r="AO3" s="5" t="inlineStr">
        <is>
          <t>PX_MID</t>
        </is>
      </c>
      <c r="AP3" s="5" t="inlineStr">
        <is>
          <t>PX_LAST</t>
        </is>
      </c>
      <c r="AQ3" s="5" t="inlineStr">
        <is>
          <t>PX_SETTLE</t>
        </is>
      </c>
      <c r="AR3" s="5" t="inlineStr">
        <is>
          <t>PX_VOLUME</t>
        </is>
      </c>
      <c r="AS3" s="5" t="inlineStr">
        <is>
          <t>OPEN_INT</t>
        </is>
      </c>
      <c r="AT3" s="5" t="inlineStr">
        <is>
          <t>IVOL_MID</t>
        </is>
      </c>
      <c r="AU3" s="5" t="inlineStr">
        <is>
          <t>IVOL_BID</t>
        </is>
      </c>
      <c r="AV3" s="5" t="inlineStr">
        <is>
          <t>IVOL_ASK</t>
        </is>
      </c>
      <c r="AW3" s="5" t="inlineStr">
        <is>
          <t>DELTA_MID</t>
        </is>
      </c>
      <c r="AX3" s="5" t="inlineStr">
        <is>
          <t>GAMMA_MID</t>
        </is>
      </c>
      <c r="AY3" s="5" t="inlineStr">
        <is>
          <t>VEGA_MID</t>
        </is>
      </c>
      <c r="AZ3" s="5" t="inlineStr">
        <is>
          <t>THETA_MID</t>
        </is>
      </c>
      <c r="BA3" s="5" t="inlineStr">
        <is>
          <t>OPT_UNDL_PX</t>
        </is>
      </c>
      <c r="BC3" s="5" t="inlineStr">
        <is>
          <t>Date</t>
        </is>
      </c>
      <c r="BD3" s="5" t="inlineStr">
        <is>
          <t>PX_BID</t>
        </is>
      </c>
      <c r="BE3" s="5" t="inlineStr">
        <is>
          <t>PX_ASK</t>
        </is>
      </c>
      <c r="BF3" s="5" t="inlineStr">
        <is>
          <t>PX_MID</t>
        </is>
      </c>
      <c r="BG3" s="5" t="inlineStr">
        <is>
          <t>PX_LAST</t>
        </is>
      </c>
      <c r="BH3" s="5" t="inlineStr">
        <is>
          <t>PX_SETTLE</t>
        </is>
      </c>
      <c r="BI3" s="5" t="inlineStr">
        <is>
          <t>PX_VOLUME</t>
        </is>
      </c>
      <c r="BJ3" s="5" t="inlineStr">
        <is>
          <t>OPEN_INT</t>
        </is>
      </c>
      <c r="BK3" s="5" t="inlineStr">
        <is>
          <t>IVOL_MID</t>
        </is>
      </c>
      <c r="BL3" s="5" t="inlineStr">
        <is>
          <t>IVOL_BID</t>
        </is>
      </c>
      <c r="BM3" s="5" t="inlineStr">
        <is>
          <t>IVOL_ASK</t>
        </is>
      </c>
      <c r="BN3" s="5" t="inlineStr">
        <is>
          <t>DELTA_MID</t>
        </is>
      </c>
      <c r="BO3" s="5" t="inlineStr">
        <is>
          <t>GAMMA_MID</t>
        </is>
      </c>
      <c r="BP3" s="5" t="inlineStr">
        <is>
          <t>VEGA_MID</t>
        </is>
      </c>
      <c r="BQ3" s="5" t="inlineStr">
        <is>
          <t>THETA_MID</t>
        </is>
      </c>
      <c r="BR3" s="5" t="inlineStr">
        <is>
          <t>OPT_UNDL_PX</t>
        </is>
      </c>
      <c r="BT3" s="5" t="inlineStr">
        <is>
          <t>Date</t>
        </is>
      </c>
      <c r="BU3" s="5" t="inlineStr">
        <is>
          <t>PX_BID</t>
        </is>
      </c>
      <c r="BV3" s="5" t="inlineStr">
        <is>
          <t>PX_ASK</t>
        </is>
      </c>
      <c r="BW3" s="5" t="inlineStr">
        <is>
          <t>PX_MID</t>
        </is>
      </c>
      <c r="BX3" s="5" t="inlineStr">
        <is>
          <t>PX_LAST</t>
        </is>
      </c>
      <c r="BY3" s="5" t="inlineStr">
        <is>
          <t>PX_SETTLE</t>
        </is>
      </c>
      <c r="BZ3" s="5" t="inlineStr">
        <is>
          <t>PX_VOLUME</t>
        </is>
      </c>
      <c r="CA3" s="5" t="inlineStr">
        <is>
          <t>OPEN_INT</t>
        </is>
      </c>
      <c r="CB3" s="5" t="inlineStr">
        <is>
          <t>IVOL_MID</t>
        </is>
      </c>
      <c r="CC3" s="5" t="inlineStr">
        <is>
          <t>IVOL_BID</t>
        </is>
      </c>
      <c r="CD3" s="5" t="inlineStr">
        <is>
          <t>IVOL_ASK</t>
        </is>
      </c>
      <c r="CE3" s="5" t="inlineStr">
        <is>
          <t>DELTA_MID</t>
        </is>
      </c>
      <c r="CF3" s="5" t="inlineStr">
        <is>
          <t>GAMMA_MID</t>
        </is>
      </c>
      <c r="CG3" s="5" t="inlineStr">
        <is>
          <t>VEGA_MID</t>
        </is>
      </c>
      <c r="CH3" s="5" t="inlineStr">
        <is>
          <t>THETA_MID</t>
        </is>
      </c>
      <c r="CI3" s="5" t="inlineStr">
        <is>
          <t>OPT_UNDL_PX</t>
        </is>
      </c>
      <c r="CK3" s="5" t="inlineStr">
        <is>
          <t>Date</t>
        </is>
      </c>
      <c r="CL3" s="5" t="inlineStr">
        <is>
          <t>PX_BID</t>
        </is>
      </c>
      <c r="CM3" s="5" t="inlineStr">
        <is>
          <t>PX_ASK</t>
        </is>
      </c>
      <c r="CN3" s="5" t="inlineStr">
        <is>
          <t>PX_MID</t>
        </is>
      </c>
      <c r="CO3" s="5" t="inlineStr">
        <is>
          <t>PX_LAST</t>
        </is>
      </c>
      <c r="CP3" s="5" t="inlineStr">
        <is>
          <t>PX_SETTLE</t>
        </is>
      </c>
      <c r="CQ3" s="5" t="inlineStr">
        <is>
          <t>PX_VOLUME</t>
        </is>
      </c>
      <c r="CR3" s="5" t="inlineStr">
        <is>
          <t>OPEN_INT</t>
        </is>
      </c>
      <c r="CS3" s="5" t="inlineStr">
        <is>
          <t>IVOL_MID</t>
        </is>
      </c>
      <c r="CT3" s="5" t="inlineStr">
        <is>
          <t>IVOL_BID</t>
        </is>
      </c>
      <c r="CU3" s="5" t="inlineStr">
        <is>
          <t>IVOL_ASK</t>
        </is>
      </c>
      <c r="CV3" s="5" t="inlineStr">
        <is>
          <t>DELTA_MID</t>
        </is>
      </c>
      <c r="CW3" s="5" t="inlineStr">
        <is>
          <t>GAMMA_MID</t>
        </is>
      </c>
      <c r="CX3" s="5" t="inlineStr">
        <is>
          <t>VEGA_MID</t>
        </is>
      </c>
      <c r="CY3" s="5" t="inlineStr">
        <is>
          <t>THETA_MID</t>
        </is>
      </c>
      <c r="CZ3" s="5" t="inlineStr">
        <is>
          <t>OPT_UNDL_PX</t>
        </is>
      </c>
      <c r="DB3" s="5" t="inlineStr">
        <is>
          <t>Date</t>
        </is>
      </c>
      <c r="DC3" s="5" t="inlineStr">
        <is>
          <t>PX_BID</t>
        </is>
      </c>
      <c r="DD3" s="5" t="inlineStr">
        <is>
          <t>PX_ASK</t>
        </is>
      </c>
      <c r="DE3" s="5" t="inlineStr">
        <is>
          <t>PX_MID</t>
        </is>
      </c>
      <c r="DF3" s="5" t="inlineStr">
        <is>
          <t>PX_LAST</t>
        </is>
      </c>
      <c r="DG3" s="5" t="inlineStr">
        <is>
          <t>PX_SETTLE</t>
        </is>
      </c>
      <c r="DH3" s="5" t="inlineStr">
        <is>
          <t>PX_VOLUME</t>
        </is>
      </c>
      <c r="DI3" s="5" t="inlineStr">
        <is>
          <t>OPEN_INT</t>
        </is>
      </c>
      <c r="DJ3" s="5" t="inlineStr">
        <is>
          <t>IVOL_MID</t>
        </is>
      </c>
      <c r="DK3" s="5" t="inlineStr">
        <is>
          <t>IVOL_BID</t>
        </is>
      </c>
      <c r="DL3" s="5" t="inlineStr">
        <is>
          <t>IVOL_ASK</t>
        </is>
      </c>
      <c r="DM3" s="5" t="inlineStr">
        <is>
          <t>DELTA_MID</t>
        </is>
      </c>
      <c r="DN3" s="5" t="inlineStr">
        <is>
          <t>GAMMA_MID</t>
        </is>
      </c>
      <c r="DO3" s="5" t="inlineStr">
        <is>
          <t>VEGA_MID</t>
        </is>
      </c>
      <c r="DP3" s="5" t="inlineStr">
        <is>
          <t>THETA_MID</t>
        </is>
      </c>
      <c r="DQ3" s="5" t="inlineStr">
        <is>
          <t>OPT_UNDL_PX</t>
        </is>
      </c>
      <c r="DS3" s="5" t="inlineStr">
        <is>
          <t>Date</t>
        </is>
      </c>
      <c r="DT3" s="5" t="inlineStr">
        <is>
          <t>PX_BID</t>
        </is>
      </c>
      <c r="DU3" s="5" t="inlineStr">
        <is>
          <t>PX_ASK</t>
        </is>
      </c>
      <c r="DV3" s="5" t="inlineStr">
        <is>
          <t>PX_MID</t>
        </is>
      </c>
      <c r="DW3" s="5" t="inlineStr">
        <is>
          <t>PX_LAST</t>
        </is>
      </c>
      <c r="DX3" s="5" t="inlineStr">
        <is>
          <t>PX_SETTLE</t>
        </is>
      </c>
      <c r="DY3" s="5" t="inlineStr">
        <is>
          <t>PX_VOLUME</t>
        </is>
      </c>
      <c r="DZ3" s="5" t="inlineStr">
        <is>
          <t>OPEN_INT</t>
        </is>
      </c>
      <c r="EA3" s="5" t="inlineStr">
        <is>
          <t>IVOL_MID</t>
        </is>
      </c>
      <c r="EB3" s="5" t="inlineStr">
        <is>
          <t>IVOL_BID</t>
        </is>
      </c>
      <c r="EC3" s="5" t="inlineStr">
        <is>
          <t>IVOL_ASK</t>
        </is>
      </c>
      <c r="ED3" s="5" t="inlineStr">
        <is>
          <t>DELTA_MID</t>
        </is>
      </c>
      <c r="EE3" s="5" t="inlineStr">
        <is>
          <t>GAMMA_MID</t>
        </is>
      </c>
      <c r="EF3" s="5" t="inlineStr">
        <is>
          <t>VEGA_MID</t>
        </is>
      </c>
      <c r="EG3" s="5" t="inlineStr">
        <is>
          <t>THETA_MID</t>
        </is>
      </c>
      <c r="EH3" s="5" t="inlineStr">
        <is>
          <t>OPT_UNDL_PX</t>
        </is>
      </c>
      <c r="EJ3" s="5" t="inlineStr">
        <is>
          <t>Date</t>
        </is>
      </c>
      <c r="EK3" s="5" t="inlineStr">
        <is>
          <t>PX_BID</t>
        </is>
      </c>
      <c r="EL3" s="5" t="inlineStr">
        <is>
          <t>PX_ASK</t>
        </is>
      </c>
      <c r="EM3" s="5" t="inlineStr">
        <is>
          <t>PX_MID</t>
        </is>
      </c>
      <c r="EN3" s="5" t="inlineStr">
        <is>
          <t>PX_LAST</t>
        </is>
      </c>
      <c r="EO3" s="5" t="inlineStr">
        <is>
          <t>PX_SETTLE</t>
        </is>
      </c>
      <c r="EP3" s="5" t="inlineStr">
        <is>
          <t>PX_VOLUME</t>
        </is>
      </c>
      <c r="EQ3" s="5" t="inlineStr">
        <is>
          <t>OPEN_INT</t>
        </is>
      </c>
      <c r="ER3" s="5" t="inlineStr">
        <is>
          <t>IVOL_MID</t>
        </is>
      </c>
      <c r="ES3" s="5" t="inlineStr">
        <is>
          <t>IVOL_BID</t>
        </is>
      </c>
      <c r="ET3" s="5" t="inlineStr">
        <is>
          <t>IVOL_ASK</t>
        </is>
      </c>
      <c r="EU3" s="5" t="inlineStr">
        <is>
          <t>DELTA_MID</t>
        </is>
      </c>
      <c r="EV3" s="5" t="inlineStr">
        <is>
          <t>GAMMA_MID</t>
        </is>
      </c>
      <c r="EW3" s="5" t="inlineStr">
        <is>
          <t>VEGA_MID</t>
        </is>
      </c>
      <c r="EX3" s="5" t="inlineStr">
        <is>
          <t>THETA_MID</t>
        </is>
      </c>
      <c r="EY3" s="5" t="inlineStr">
        <is>
          <t>OPT_UNDL_PX</t>
        </is>
      </c>
      <c r="FA3" s="5" t="inlineStr">
        <is>
          <t>Date</t>
        </is>
      </c>
      <c r="FB3" s="5" t="inlineStr">
        <is>
          <t>PX_BID</t>
        </is>
      </c>
      <c r="FC3" s="5" t="inlineStr">
        <is>
          <t>PX_ASK</t>
        </is>
      </c>
      <c r="FD3" s="5" t="inlineStr">
        <is>
          <t>PX_MID</t>
        </is>
      </c>
      <c r="FE3" s="5" t="inlineStr">
        <is>
          <t>PX_LAST</t>
        </is>
      </c>
      <c r="FF3" s="5" t="inlineStr">
        <is>
          <t>PX_SETTLE</t>
        </is>
      </c>
      <c r="FG3" s="5" t="inlineStr">
        <is>
          <t>PX_VOLUME</t>
        </is>
      </c>
      <c r="FH3" s="5" t="inlineStr">
        <is>
          <t>OPEN_INT</t>
        </is>
      </c>
      <c r="FI3" s="5" t="inlineStr">
        <is>
          <t>IVOL_MID</t>
        </is>
      </c>
      <c r="FJ3" s="5" t="inlineStr">
        <is>
          <t>IVOL_BID</t>
        </is>
      </c>
      <c r="FK3" s="5" t="inlineStr">
        <is>
          <t>IVOL_ASK</t>
        </is>
      </c>
      <c r="FL3" s="5" t="inlineStr">
        <is>
          <t>DELTA_MID</t>
        </is>
      </c>
      <c r="FM3" s="5" t="inlineStr">
        <is>
          <t>GAMMA_MID</t>
        </is>
      </c>
      <c r="FN3" s="5" t="inlineStr">
        <is>
          <t>VEGA_MID</t>
        </is>
      </c>
      <c r="FO3" s="5" t="inlineStr">
        <is>
          <t>THETA_MID</t>
        </is>
      </c>
      <c r="FP3" s="5" t="inlineStr">
        <is>
          <t>OPT_UNDL_PX</t>
        </is>
      </c>
      <c r="FR3" s="5" t="inlineStr">
        <is>
          <t>Date</t>
        </is>
      </c>
      <c r="FS3" s="5" t="inlineStr">
        <is>
          <t>PX_BID</t>
        </is>
      </c>
      <c r="FT3" s="5" t="inlineStr">
        <is>
          <t>PX_ASK</t>
        </is>
      </c>
      <c r="FU3" s="5" t="inlineStr">
        <is>
          <t>PX_MID</t>
        </is>
      </c>
      <c r="FV3" s="5" t="inlineStr">
        <is>
          <t>PX_LAST</t>
        </is>
      </c>
      <c r="FW3" s="5" t="inlineStr">
        <is>
          <t>PX_SETTLE</t>
        </is>
      </c>
      <c r="FX3" s="5" t="inlineStr">
        <is>
          <t>PX_VOLUME</t>
        </is>
      </c>
      <c r="FY3" s="5" t="inlineStr">
        <is>
          <t>OPEN_INT</t>
        </is>
      </c>
      <c r="FZ3" s="5" t="inlineStr">
        <is>
          <t>IVOL_MID</t>
        </is>
      </c>
      <c r="GA3" s="5" t="inlineStr">
        <is>
          <t>IVOL_BID</t>
        </is>
      </c>
      <c r="GB3" s="5" t="inlineStr">
        <is>
          <t>IVOL_ASK</t>
        </is>
      </c>
      <c r="GC3" s="5" t="inlineStr">
        <is>
          <t>DELTA_MID</t>
        </is>
      </c>
      <c r="GD3" s="5" t="inlineStr">
        <is>
          <t>GAMMA_MID</t>
        </is>
      </c>
      <c r="GE3" s="5" t="inlineStr">
        <is>
          <t>VEGA_MID</t>
        </is>
      </c>
      <c r="GF3" s="5" t="inlineStr">
        <is>
          <t>THETA_MID</t>
        </is>
      </c>
      <c r="GG3" s="5" t="inlineStr">
        <is>
          <t>OPT_UNDL_PX</t>
        </is>
      </c>
      <c r="GI3" s="5" t="inlineStr">
        <is>
          <t>Date</t>
        </is>
      </c>
      <c r="GJ3" s="5" t="inlineStr">
        <is>
          <t>PX_BID</t>
        </is>
      </c>
      <c r="GK3" s="5" t="inlineStr">
        <is>
          <t>PX_ASK</t>
        </is>
      </c>
      <c r="GL3" s="5" t="inlineStr">
        <is>
          <t>PX_MID</t>
        </is>
      </c>
      <c r="GM3" s="5" t="inlineStr">
        <is>
          <t>PX_LAST</t>
        </is>
      </c>
      <c r="GN3" s="5" t="inlineStr">
        <is>
          <t>PX_SETTLE</t>
        </is>
      </c>
      <c r="GO3" s="5" t="inlineStr">
        <is>
          <t>PX_VOLUME</t>
        </is>
      </c>
      <c r="GP3" s="5" t="inlineStr">
        <is>
          <t>OPEN_INT</t>
        </is>
      </c>
      <c r="GQ3" s="5" t="inlineStr">
        <is>
          <t>IVOL_MID</t>
        </is>
      </c>
      <c r="GR3" s="5" t="inlineStr">
        <is>
          <t>IVOL_BID</t>
        </is>
      </c>
      <c r="GS3" s="5" t="inlineStr">
        <is>
          <t>IVOL_ASK</t>
        </is>
      </c>
      <c r="GT3" s="5" t="inlineStr">
        <is>
          <t>DELTA_MID</t>
        </is>
      </c>
      <c r="GU3" s="5" t="inlineStr">
        <is>
          <t>GAMMA_MID</t>
        </is>
      </c>
      <c r="GV3" s="5" t="inlineStr">
        <is>
          <t>VEGA_MID</t>
        </is>
      </c>
      <c r="GW3" s="5" t="inlineStr">
        <is>
          <t>THETA_MID</t>
        </is>
      </c>
      <c r="GX3" s="5" t="inlineStr">
        <is>
          <t>OPT_UNDL_PX</t>
        </is>
      </c>
      <c r="GZ3" s="5" t="inlineStr">
        <is>
          <t>Date</t>
        </is>
      </c>
      <c r="HA3" s="5" t="inlineStr">
        <is>
          <t>PX_BID</t>
        </is>
      </c>
      <c r="HB3" s="5" t="inlineStr">
        <is>
          <t>PX_ASK</t>
        </is>
      </c>
      <c r="HC3" s="5" t="inlineStr">
        <is>
          <t>PX_MID</t>
        </is>
      </c>
      <c r="HD3" s="5" t="inlineStr">
        <is>
          <t>PX_LAST</t>
        </is>
      </c>
      <c r="HE3" s="5" t="inlineStr">
        <is>
          <t>PX_SETTLE</t>
        </is>
      </c>
      <c r="HF3" s="5" t="inlineStr">
        <is>
          <t>PX_VOLUME</t>
        </is>
      </c>
      <c r="HG3" s="5" t="inlineStr">
        <is>
          <t>OPEN_INT</t>
        </is>
      </c>
      <c r="HH3" s="5" t="inlineStr">
        <is>
          <t>IVOL_MID</t>
        </is>
      </c>
      <c r="HI3" s="5" t="inlineStr">
        <is>
          <t>IVOL_BID</t>
        </is>
      </c>
      <c r="HJ3" s="5" t="inlineStr">
        <is>
          <t>IVOL_ASK</t>
        </is>
      </c>
      <c r="HK3" s="5" t="inlineStr">
        <is>
          <t>DELTA_MID</t>
        </is>
      </c>
      <c r="HL3" s="5" t="inlineStr">
        <is>
          <t>GAMMA_MID</t>
        </is>
      </c>
      <c r="HM3" s="5" t="inlineStr">
        <is>
          <t>VEGA_MID</t>
        </is>
      </c>
      <c r="HN3" s="5" t="inlineStr">
        <is>
          <t>THETA_MID</t>
        </is>
      </c>
      <c r="HO3" s="5" t="inlineStr">
        <is>
          <t>OPT_UNDL_PX</t>
        </is>
      </c>
      <c r="HQ3" s="5" t="inlineStr">
        <is>
          <t>Date</t>
        </is>
      </c>
      <c r="HR3" s="5" t="inlineStr">
        <is>
          <t>PX_BID</t>
        </is>
      </c>
      <c r="HS3" s="5" t="inlineStr">
        <is>
          <t>PX_ASK</t>
        </is>
      </c>
      <c r="HT3" s="5" t="inlineStr">
        <is>
          <t>PX_MID</t>
        </is>
      </c>
      <c r="HU3" s="5" t="inlineStr">
        <is>
          <t>PX_LAST</t>
        </is>
      </c>
      <c r="HV3" s="5" t="inlineStr">
        <is>
          <t>PX_SETTLE</t>
        </is>
      </c>
      <c r="HW3" s="5" t="inlineStr">
        <is>
          <t>PX_VOLUME</t>
        </is>
      </c>
      <c r="HX3" s="5" t="inlineStr">
        <is>
          <t>OPEN_INT</t>
        </is>
      </c>
      <c r="HY3" s="5" t="inlineStr">
        <is>
          <t>IVOL_MID</t>
        </is>
      </c>
      <c r="HZ3" s="5" t="inlineStr">
        <is>
          <t>IVOL_BID</t>
        </is>
      </c>
      <c r="IA3" s="5" t="inlineStr">
        <is>
          <t>IVOL_ASK</t>
        </is>
      </c>
      <c r="IB3" s="5" t="inlineStr">
        <is>
          <t>DELTA_MID</t>
        </is>
      </c>
      <c r="IC3" s="5" t="inlineStr">
        <is>
          <t>GAMMA_MID</t>
        </is>
      </c>
      <c r="ID3" s="5" t="inlineStr">
        <is>
          <t>VEGA_MID</t>
        </is>
      </c>
      <c r="IE3" s="5" t="inlineStr">
        <is>
          <t>THETA_MID</t>
        </is>
      </c>
      <c r="IF3" s="5" t="inlineStr">
        <is>
          <t>OPT_UNDL_PX</t>
        </is>
      </c>
      <c r="IH3" s="5" t="inlineStr">
        <is>
          <t>Date</t>
        </is>
      </c>
      <c r="II3" s="5" t="inlineStr">
        <is>
          <t>PX_BID</t>
        </is>
      </c>
      <c r="IJ3" s="5" t="inlineStr">
        <is>
          <t>PX_ASK</t>
        </is>
      </c>
      <c r="IK3" s="5" t="inlineStr">
        <is>
          <t>PX_MID</t>
        </is>
      </c>
      <c r="IL3" s="5" t="inlineStr">
        <is>
          <t>PX_LAST</t>
        </is>
      </c>
      <c r="IM3" s="5" t="inlineStr">
        <is>
          <t>PX_SETTLE</t>
        </is>
      </c>
      <c r="IN3" s="5" t="inlineStr">
        <is>
          <t>PX_VOLUME</t>
        </is>
      </c>
      <c r="IO3" s="5" t="inlineStr">
        <is>
          <t>OPEN_INT</t>
        </is>
      </c>
      <c r="IP3" s="5" t="inlineStr">
        <is>
          <t>IVOL_MID</t>
        </is>
      </c>
      <c r="IQ3" s="5" t="inlineStr">
        <is>
          <t>IVOL_BID</t>
        </is>
      </c>
      <c r="IR3" s="5" t="inlineStr">
        <is>
          <t>IVOL_ASK</t>
        </is>
      </c>
      <c r="IS3" s="5" t="inlineStr">
        <is>
          <t>DELTA_MID</t>
        </is>
      </c>
      <c r="IT3" s="5" t="inlineStr">
        <is>
          <t>GAMMA_MID</t>
        </is>
      </c>
      <c r="IU3" s="5" t="inlineStr">
        <is>
          <t>VEGA_MID</t>
        </is>
      </c>
      <c r="IV3" s="5" t="inlineStr">
        <is>
          <t>THETA_MID</t>
        </is>
      </c>
      <c r="IW3" s="5" t="inlineStr">
        <is>
          <t>OPT_UNDL_PX</t>
        </is>
      </c>
      <c r="IY3" s="5" t="inlineStr">
        <is>
          <t>Date</t>
        </is>
      </c>
      <c r="IZ3" s="5" t="inlineStr">
        <is>
          <t>PX_BID</t>
        </is>
      </c>
      <c r="JA3" s="5" t="inlineStr">
        <is>
          <t>PX_ASK</t>
        </is>
      </c>
      <c r="JB3" s="5" t="inlineStr">
        <is>
          <t>PX_MID</t>
        </is>
      </c>
      <c r="JC3" s="5" t="inlineStr">
        <is>
          <t>PX_LAST</t>
        </is>
      </c>
      <c r="JD3" s="5" t="inlineStr">
        <is>
          <t>PX_SETTLE</t>
        </is>
      </c>
      <c r="JE3" s="5" t="inlineStr">
        <is>
          <t>PX_VOLUME</t>
        </is>
      </c>
      <c r="JF3" s="5" t="inlineStr">
        <is>
          <t>OPEN_INT</t>
        </is>
      </c>
      <c r="JG3" s="5" t="inlineStr">
        <is>
          <t>IVOL_MID</t>
        </is>
      </c>
      <c r="JH3" s="5" t="inlineStr">
        <is>
          <t>IVOL_BID</t>
        </is>
      </c>
      <c r="JI3" s="5" t="inlineStr">
        <is>
          <t>IVOL_ASK</t>
        </is>
      </c>
      <c r="JJ3" s="5" t="inlineStr">
        <is>
          <t>DELTA_MID</t>
        </is>
      </c>
      <c r="JK3" s="5" t="inlineStr">
        <is>
          <t>GAMMA_MID</t>
        </is>
      </c>
      <c r="JL3" s="5" t="inlineStr">
        <is>
          <t>VEGA_MID</t>
        </is>
      </c>
      <c r="JM3" s="5" t="inlineStr">
        <is>
          <t>THETA_MID</t>
        </is>
      </c>
      <c r="JN3" s="5" t="inlineStr">
        <is>
          <t>OPT_UNDL_PX</t>
        </is>
      </c>
      <c r="JP3" s="5" t="inlineStr">
        <is>
          <t>Date</t>
        </is>
      </c>
      <c r="JQ3" s="5" t="inlineStr">
        <is>
          <t>PX_BID</t>
        </is>
      </c>
      <c r="JR3" s="5" t="inlineStr">
        <is>
          <t>PX_ASK</t>
        </is>
      </c>
      <c r="JS3" s="5" t="inlineStr">
        <is>
          <t>PX_MID</t>
        </is>
      </c>
      <c r="JT3" s="5" t="inlineStr">
        <is>
          <t>PX_LAST</t>
        </is>
      </c>
      <c r="JU3" s="5" t="inlineStr">
        <is>
          <t>PX_SETTLE</t>
        </is>
      </c>
      <c r="JV3" s="5" t="inlineStr">
        <is>
          <t>PX_VOLUME</t>
        </is>
      </c>
      <c r="JW3" s="5" t="inlineStr">
        <is>
          <t>OPEN_INT</t>
        </is>
      </c>
      <c r="JX3" s="5" t="inlineStr">
        <is>
          <t>IVOL_MID</t>
        </is>
      </c>
      <c r="JY3" s="5" t="inlineStr">
        <is>
          <t>IVOL_BID</t>
        </is>
      </c>
      <c r="JZ3" s="5" t="inlineStr">
        <is>
          <t>IVOL_ASK</t>
        </is>
      </c>
      <c r="KA3" s="5" t="inlineStr">
        <is>
          <t>DELTA_MID</t>
        </is>
      </c>
      <c r="KB3" s="5" t="inlineStr">
        <is>
          <t>GAMMA_MID</t>
        </is>
      </c>
      <c r="KC3" s="5" t="inlineStr">
        <is>
          <t>VEGA_MID</t>
        </is>
      </c>
      <c r="KD3" s="5" t="inlineStr">
        <is>
          <t>THETA_MID</t>
        </is>
      </c>
      <c r="KE3" s="5" t="inlineStr">
        <is>
          <t>OPT_UNDL_PX</t>
        </is>
      </c>
      <c r="KG3" s="5" t="inlineStr">
        <is>
          <t>Date</t>
        </is>
      </c>
      <c r="KH3" s="5" t="inlineStr">
        <is>
          <t>PX_BID</t>
        </is>
      </c>
      <c r="KI3" s="5" t="inlineStr">
        <is>
          <t>PX_ASK</t>
        </is>
      </c>
      <c r="KJ3" s="5" t="inlineStr">
        <is>
          <t>PX_MID</t>
        </is>
      </c>
      <c r="KK3" s="5" t="inlineStr">
        <is>
          <t>PX_LAST</t>
        </is>
      </c>
      <c r="KL3" s="5" t="inlineStr">
        <is>
          <t>PX_SETTLE</t>
        </is>
      </c>
      <c r="KM3" s="5" t="inlineStr">
        <is>
          <t>PX_VOLUME</t>
        </is>
      </c>
      <c r="KN3" s="5" t="inlineStr">
        <is>
          <t>OPEN_INT</t>
        </is>
      </c>
      <c r="KO3" s="5" t="inlineStr">
        <is>
          <t>IVOL_MID</t>
        </is>
      </c>
      <c r="KP3" s="5" t="inlineStr">
        <is>
          <t>IVOL_BID</t>
        </is>
      </c>
      <c r="KQ3" s="5" t="inlineStr">
        <is>
          <t>IVOL_ASK</t>
        </is>
      </c>
      <c r="KR3" s="5" t="inlineStr">
        <is>
          <t>DELTA_MID</t>
        </is>
      </c>
      <c r="KS3" s="5" t="inlineStr">
        <is>
          <t>GAMMA_MID</t>
        </is>
      </c>
      <c r="KT3" s="5" t="inlineStr">
        <is>
          <t>VEGA_MID</t>
        </is>
      </c>
      <c r="KU3" s="5" t="inlineStr">
        <is>
          <t>THETA_MID</t>
        </is>
      </c>
      <c r="KV3" s="5" t="inlineStr">
        <is>
          <t>OPT_UNDL_PX</t>
        </is>
      </c>
      <c r="KX3" s="5" t="inlineStr">
        <is>
          <t>Date</t>
        </is>
      </c>
      <c r="KY3" s="5" t="inlineStr">
        <is>
          <t>PX_BID</t>
        </is>
      </c>
      <c r="KZ3" s="5" t="inlineStr">
        <is>
          <t>PX_ASK</t>
        </is>
      </c>
      <c r="LA3" s="5" t="inlineStr">
        <is>
          <t>PX_MID</t>
        </is>
      </c>
      <c r="LB3" s="5" t="inlineStr">
        <is>
          <t>PX_LAST</t>
        </is>
      </c>
      <c r="LC3" s="5" t="inlineStr">
        <is>
          <t>PX_SETTLE</t>
        </is>
      </c>
      <c r="LD3" s="5" t="inlineStr">
        <is>
          <t>PX_VOLUME</t>
        </is>
      </c>
      <c r="LE3" s="5" t="inlineStr">
        <is>
          <t>OPEN_INT</t>
        </is>
      </c>
      <c r="LF3" s="5" t="inlineStr">
        <is>
          <t>IVOL_MID</t>
        </is>
      </c>
      <c r="LG3" s="5" t="inlineStr">
        <is>
          <t>IVOL_BID</t>
        </is>
      </c>
      <c r="LH3" s="5" t="inlineStr">
        <is>
          <t>IVOL_ASK</t>
        </is>
      </c>
      <c r="LI3" s="5" t="inlineStr">
        <is>
          <t>DELTA_MID</t>
        </is>
      </c>
      <c r="LJ3" s="5" t="inlineStr">
        <is>
          <t>GAMMA_MID</t>
        </is>
      </c>
      <c r="LK3" s="5" t="inlineStr">
        <is>
          <t>VEGA_MID</t>
        </is>
      </c>
      <c r="LL3" s="5" t="inlineStr">
        <is>
          <t>THETA_MID</t>
        </is>
      </c>
      <c r="LM3" s="5" t="inlineStr">
        <is>
          <t>OPT_UNDL_PX</t>
        </is>
      </c>
      <c r="LO3" s="5" t="inlineStr">
        <is>
          <t>Date</t>
        </is>
      </c>
      <c r="LP3" s="5" t="inlineStr">
        <is>
          <t>PX_BID</t>
        </is>
      </c>
      <c r="LQ3" s="5" t="inlineStr">
        <is>
          <t>PX_ASK</t>
        </is>
      </c>
      <c r="LR3" s="5" t="inlineStr">
        <is>
          <t>PX_MID</t>
        </is>
      </c>
      <c r="LS3" s="5" t="inlineStr">
        <is>
          <t>PX_LAST</t>
        </is>
      </c>
      <c r="LT3" s="5" t="inlineStr">
        <is>
          <t>PX_SETTLE</t>
        </is>
      </c>
      <c r="LU3" s="5" t="inlineStr">
        <is>
          <t>PX_VOLUME</t>
        </is>
      </c>
      <c r="LV3" s="5" t="inlineStr">
        <is>
          <t>OPEN_INT</t>
        </is>
      </c>
      <c r="LW3" s="5" t="inlineStr">
        <is>
          <t>IVOL_MID</t>
        </is>
      </c>
      <c r="LX3" s="5" t="inlineStr">
        <is>
          <t>IVOL_BID</t>
        </is>
      </c>
      <c r="LY3" s="5" t="inlineStr">
        <is>
          <t>IVOL_ASK</t>
        </is>
      </c>
      <c r="LZ3" s="5" t="inlineStr">
        <is>
          <t>DELTA_MID</t>
        </is>
      </c>
      <c r="MA3" s="5" t="inlineStr">
        <is>
          <t>GAMMA_MID</t>
        </is>
      </c>
      <c r="MB3" s="5" t="inlineStr">
        <is>
          <t>VEGA_MID</t>
        </is>
      </c>
      <c r="MC3" s="5" t="inlineStr">
        <is>
          <t>THETA_MID</t>
        </is>
      </c>
      <c r="MD3" s="5" t="inlineStr">
        <is>
          <t>OPT_UNDL_PX</t>
        </is>
      </c>
      <c r="MF3" s="5" t="inlineStr">
        <is>
          <t>Date</t>
        </is>
      </c>
      <c r="MG3" s="5" t="inlineStr">
        <is>
          <t>PX_BID</t>
        </is>
      </c>
      <c r="MH3" s="5" t="inlineStr">
        <is>
          <t>PX_ASK</t>
        </is>
      </c>
      <c r="MI3" s="5" t="inlineStr">
        <is>
          <t>PX_MID</t>
        </is>
      </c>
      <c r="MJ3" s="5" t="inlineStr">
        <is>
          <t>PX_LAST</t>
        </is>
      </c>
      <c r="MK3" s="5" t="inlineStr">
        <is>
          <t>PX_SETTLE</t>
        </is>
      </c>
      <c r="ML3" s="5" t="inlineStr">
        <is>
          <t>PX_VOLUME</t>
        </is>
      </c>
      <c r="MM3" s="5" t="inlineStr">
        <is>
          <t>OPEN_INT</t>
        </is>
      </c>
      <c r="MN3" s="5" t="inlineStr">
        <is>
          <t>IVOL_MID</t>
        </is>
      </c>
      <c r="MO3" s="5" t="inlineStr">
        <is>
          <t>IVOL_BID</t>
        </is>
      </c>
      <c r="MP3" s="5" t="inlineStr">
        <is>
          <t>IVOL_ASK</t>
        </is>
      </c>
      <c r="MQ3" s="5" t="inlineStr">
        <is>
          <t>DELTA_MID</t>
        </is>
      </c>
      <c r="MR3" s="5" t="inlineStr">
        <is>
          <t>GAMMA_MID</t>
        </is>
      </c>
      <c r="MS3" s="5" t="inlineStr">
        <is>
          <t>VEGA_MID</t>
        </is>
      </c>
      <c r="MT3" s="5" t="inlineStr">
        <is>
          <t>THETA_MID</t>
        </is>
      </c>
      <c r="MU3" s="5" t="inlineStr">
        <is>
          <t>OPT_UNDL_PX</t>
        </is>
      </c>
      <c r="MW3" s="5" t="inlineStr">
        <is>
          <t>Date</t>
        </is>
      </c>
      <c r="MX3" s="5" t="inlineStr">
        <is>
          <t>PX_BID</t>
        </is>
      </c>
      <c r="MY3" s="5" t="inlineStr">
        <is>
          <t>PX_ASK</t>
        </is>
      </c>
      <c r="MZ3" s="5" t="inlineStr">
        <is>
          <t>PX_MID</t>
        </is>
      </c>
      <c r="NA3" s="5" t="inlineStr">
        <is>
          <t>PX_LAST</t>
        </is>
      </c>
      <c r="NB3" s="5" t="inlineStr">
        <is>
          <t>PX_SETTLE</t>
        </is>
      </c>
      <c r="NC3" s="5" t="inlineStr">
        <is>
          <t>PX_VOLUME</t>
        </is>
      </c>
      <c r="ND3" s="5" t="inlineStr">
        <is>
          <t>OPEN_INT</t>
        </is>
      </c>
      <c r="NE3" s="5" t="inlineStr">
        <is>
          <t>IVOL_MID</t>
        </is>
      </c>
      <c r="NF3" s="5" t="inlineStr">
        <is>
          <t>IVOL_BID</t>
        </is>
      </c>
      <c r="NG3" s="5" t="inlineStr">
        <is>
          <t>IVOL_ASK</t>
        </is>
      </c>
      <c r="NH3" s="5" t="inlineStr">
        <is>
          <t>DELTA_MID</t>
        </is>
      </c>
      <c r="NI3" s="5" t="inlineStr">
        <is>
          <t>GAMMA_MID</t>
        </is>
      </c>
      <c r="NJ3" s="5" t="inlineStr">
        <is>
          <t>VEGA_MID</t>
        </is>
      </c>
      <c r="NK3" s="5" t="inlineStr">
        <is>
          <t>THETA_MID</t>
        </is>
      </c>
      <c r="NL3" s="5" t="inlineStr">
        <is>
          <t>OPT_UNDL_PX</t>
        </is>
      </c>
    </row>
    <row r="4">
      <c r="A4" s="2" t="inlineStr">
        <is>
          <t>Strike reference date</t>
        </is>
      </c>
      <c r="B4" s="8">
        <f>B3-45</f>
        <v/>
      </c>
      <c r="D4" s="4">
        <f>BDH(D$1,E$3:S$3,$B$8,$B$9,"Dir=V","Dts=S","Sort=A","Days=T","Fill=B")</f>
        <v/>
      </c>
      <c r="U4" s="4">
        <f>BDH(U$1,V$3:AJ$3,$B$8,$B$9,"Dir=V","Dts=S","Sort=A","Days=T","Fill=B")</f>
        <v/>
      </c>
      <c r="AL4" s="4">
        <f>BDH(AL$1,AM$3:BA$3,$B$8,$B$9,"Dir=V","Dts=S","Sort=A","Days=T","Fill=B")</f>
        <v/>
      </c>
      <c r="BC4" s="4">
        <f>BDH(BC$1,BD$3:BR$3,$B$8,$B$9,"Dir=V","Dts=S","Sort=A","Days=T","Fill=B")</f>
        <v/>
      </c>
      <c r="BT4" s="4">
        <f>BDH(BT$1,BU$3:CI$3,$B$8,$B$9,"Dir=V","Dts=S","Sort=A","Days=T","Fill=B")</f>
        <v/>
      </c>
      <c r="CK4" s="4">
        <f>BDH(CK$1,CL$3:CZ$3,$B$8,$B$9,"Dir=V","Dts=S","Sort=A","Days=T","Fill=B")</f>
        <v/>
      </c>
      <c r="DB4" s="4">
        <f>BDH(DB$1,DC$3:DQ$3,$B$8,$B$9,"Dir=V","Dts=S","Sort=A","Days=T","Fill=B")</f>
        <v/>
      </c>
      <c r="DS4" s="4">
        <f>BDH(DS$1,DT$3:EH$3,$B$8,$B$9,"Dir=V","Dts=S","Sort=A","Days=T","Fill=B")</f>
        <v/>
      </c>
      <c r="EJ4" s="4">
        <f>BDH(EJ$1,EK$3:EY$3,$B$8,$B$9,"Dir=V","Dts=S","Sort=A","Days=T","Fill=B")</f>
        <v/>
      </c>
      <c r="FA4" s="4">
        <f>BDH(FA$1,FB$3:FP$3,$B$8,$B$9,"Dir=V","Dts=S","Sort=A","Days=T","Fill=B")</f>
        <v/>
      </c>
      <c r="FR4" s="4">
        <f>BDH(FR$1,FS$3:GG$3,$B$8,$B$9,"Dir=V","Dts=S","Sort=A","Days=T","Fill=B")</f>
        <v/>
      </c>
      <c r="GI4" s="4">
        <f>BDH(GI$1,GJ$3:GX$3,$B$8,$B$9,"Dir=V","Dts=S","Sort=A","Days=T","Fill=B")</f>
        <v/>
      </c>
      <c r="GZ4" s="4">
        <f>BDH(GZ$1,HA$3:HO$3,$B$8,$B$9,"Dir=V","Dts=S","Sort=A","Days=T","Fill=B")</f>
        <v/>
      </c>
      <c r="HQ4" s="4">
        <f>BDH(HQ$1,HR$3:IF$3,$B$8,$B$9,"Dir=V","Dts=S","Sort=A","Days=T","Fill=B")</f>
        <v/>
      </c>
      <c r="IH4" s="4">
        <f>BDH(IH$1,II$3:IW$3,$B$8,$B$9,"Dir=V","Dts=S","Sort=A","Days=T","Fill=B")</f>
        <v/>
      </c>
      <c r="IY4" s="4">
        <f>BDH(IY$1,IZ$3:JN$3,$B$8,$B$9,"Dir=V","Dts=S","Sort=A","Days=T","Fill=B")</f>
        <v/>
      </c>
      <c r="JP4" s="4">
        <f>BDH(JP$1,JQ$3:KE$3,$B$8,$B$9,"Dir=V","Dts=S","Sort=A","Days=T","Fill=B")</f>
        <v/>
      </c>
      <c r="KG4" s="4">
        <f>BDH(KG$1,KH$3:KV$3,$B$8,$B$9,"Dir=V","Dts=S","Sort=A","Days=T","Fill=B")</f>
        <v/>
      </c>
      <c r="KX4" s="4">
        <f>BDH(KX$1,KY$3:LM$3,$B$8,$B$9,"Dir=V","Dts=S","Sort=A","Days=T","Fill=B")</f>
        <v/>
      </c>
      <c r="LO4" s="4">
        <f>BDH(LO$1,LP$3:MD$3,$B$8,$B$9,"Dir=V","Dts=S","Sort=A","Days=T","Fill=B")</f>
        <v/>
      </c>
      <c r="MF4" s="4">
        <f>BDH(MF$1,MG$3:MU$3,$B$8,$B$9,"Dir=V","Dts=S","Sort=A","Days=T","Fill=B")</f>
        <v/>
      </c>
      <c r="MW4" s="4">
        <f>BDH(MW$1,MX$3:NL$3,$B$8,$B$9,"Dir=V","Dts=S","Sort=A","Days=T","Fill=B")</f>
        <v/>
      </c>
    </row>
    <row r="5">
      <c r="A5" s="2" t="inlineStr">
        <is>
          <t>Unadjusted close then</t>
        </is>
      </c>
      <c r="B5" s="10">
        <f>IF(B2="","",BDH(B2,"PX_LAST",B4,B4,"Days=A","Fill=P","Dts=H","CshAdjNormal=N","CshAdjAbnormal=N","CapChg=N"))</f>
        <v/>
      </c>
    </row>
    <row r="6">
      <c r="A6" s="2" t="inlineStr">
        <is>
          <t>Strike step</t>
        </is>
      </c>
      <c r="B6" s="11">
        <f>IF(ISNUMBER(B5),IF(B5&lt;25,0.5,IF(B5&lt;250,1,5)),"")</f>
        <v/>
      </c>
    </row>
    <row r="7">
      <c r="A7" s="2" t="inlineStr">
        <is>
          <t>ATM strike</t>
        </is>
      </c>
      <c r="B7" s="11">
        <f>IF(ISNUMBER(B5),ROUND(B5/B6,0)*B6,"")</f>
        <v/>
      </c>
    </row>
    <row r="8">
      <c r="A8" s="2" t="inlineStr">
        <is>
          <t>History start</t>
        </is>
      </c>
      <c r="B8" s="8">
        <f>B3-100</f>
        <v/>
      </c>
    </row>
    <row r="9">
      <c r="A9" s="2" t="inlineStr">
        <is>
          <t>History end</t>
        </is>
      </c>
      <c r="B9" s="8">
        <f>B3</f>
        <v/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NL9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2" customWidth="1" min="2" max="2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1" customWidth="1" min="15" max="15"/>
    <col width="11" customWidth="1" min="16" max="16"/>
    <col width="10" customWidth="1" min="17" max="17"/>
    <col width="11" customWidth="1" min="18" max="18"/>
    <col width="13" customWidth="1" min="19" max="19"/>
    <col width="12" customWidth="1" min="21" max="21"/>
    <col width="10" customWidth="1" min="22" max="22"/>
    <col width="10" customWidth="1" min="23" max="23"/>
    <col width="10" customWidth="1" min="24" max="24"/>
    <col width="10" customWidth="1" min="25" max="25"/>
    <col width="11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1" customWidth="1" min="32" max="32"/>
    <col width="11" customWidth="1" min="33" max="33"/>
    <col width="10" customWidth="1" min="34" max="34"/>
    <col width="11" customWidth="1" min="35" max="35"/>
    <col width="13" customWidth="1" min="36" max="36"/>
    <col width="12" customWidth="1" min="38" max="38"/>
    <col width="10" customWidth="1" min="39" max="39"/>
    <col width="10" customWidth="1" min="40" max="40"/>
    <col width="10" customWidth="1" min="41" max="41"/>
    <col width="10" customWidth="1" min="42" max="42"/>
    <col width="11" customWidth="1" min="43" max="43"/>
    <col width="11" customWidth="1" min="44" max="44"/>
    <col width="10" customWidth="1" min="45" max="45"/>
    <col width="10" customWidth="1" min="46" max="46"/>
    <col width="10" customWidth="1" min="47" max="47"/>
    <col width="10" customWidth="1" min="48" max="48"/>
    <col width="11" customWidth="1" min="49" max="49"/>
    <col width="11" customWidth="1" min="50" max="50"/>
    <col width="10" customWidth="1" min="51" max="51"/>
    <col width="11" customWidth="1" min="52" max="52"/>
    <col width="13" customWidth="1" min="53" max="53"/>
    <col width="12" customWidth="1" min="55" max="55"/>
    <col width="10" customWidth="1" min="56" max="56"/>
    <col width="10" customWidth="1" min="57" max="57"/>
    <col width="10" customWidth="1" min="58" max="58"/>
    <col width="10" customWidth="1" min="59" max="59"/>
    <col width="11" customWidth="1" min="60" max="60"/>
    <col width="11" customWidth="1" min="61" max="61"/>
    <col width="10" customWidth="1" min="62" max="62"/>
    <col width="10" customWidth="1" min="63" max="63"/>
    <col width="10" customWidth="1" min="64" max="64"/>
    <col width="10" customWidth="1" min="65" max="65"/>
    <col width="11" customWidth="1" min="66" max="66"/>
    <col width="11" customWidth="1" min="67" max="67"/>
    <col width="10" customWidth="1" min="68" max="68"/>
    <col width="11" customWidth="1" min="69" max="69"/>
    <col width="13" customWidth="1" min="70" max="70"/>
    <col width="12" customWidth="1" min="72" max="72"/>
    <col width="10" customWidth="1" min="73" max="73"/>
    <col width="10" customWidth="1" min="74" max="74"/>
    <col width="10" customWidth="1" min="75" max="75"/>
    <col width="10" customWidth="1" min="76" max="76"/>
    <col width="11" customWidth="1" min="77" max="77"/>
    <col width="11" customWidth="1" min="78" max="78"/>
    <col width="10" customWidth="1" min="79" max="79"/>
    <col width="10" customWidth="1" min="80" max="80"/>
    <col width="10" customWidth="1" min="81" max="81"/>
    <col width="10" customWidth="1" min="82" max="82"/>
    <col width="11" customWidth="1" min="83" max="83"/>
    <col width="11" customWidth="1" min="84" max="84"/>
    <col width="10" customWidth="1" min="85" max="85"/>
    <col width="11" customWidth="1" min="86" max="86"/>
    <col width="13" customWidth="1" min="87" max="87"/>
    <col width="12" customWidth="1" min="89" max="89"/>
    <col width="10" customWidth="1" min="90" max="90"/>
    <col width="10" customWidth="1" min="91" max="91"/>
    <col width="10" customWidth="1" min="92" max="92"/>
    <col width="10" customWidth="1" min="93" max="93"/>
    <col width="11" customWidth="1" min="94" max="94"/>
    <col width="11" customWidth="1" min="95" max="95"/>
    <col width="10" customWidth="1" min="96" max="96"/>
    <col width="10" customWidth="1" min="97" max="97"/>
    <col width="10" customWidth="1" min="98" max="98"/>
    <col width="10" customWidth="1" min="99" max="99"/>
    <col width="11" customWidth="1" min="100" max="100"/>
    <col width="11" customWidth="1" min="101" max="101"/>
    <col width="10" customWidth="1" min="102" max="102"/>
    <col width="11" customWidth="1" min="103" max="103"/>
    <col width="13" customWidth="1" min="104" max="104"/>
    <col width="12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1" customWidth="1" min="111" max="111"/>
    <col width="11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1" customWidth="1" min="117" max="117"/>
    <col width="11" customWidth="1" min="118" max="118"/>
    <col width="10" customWidth="1" min="119" max="119"/>
    <col width="11" customWidth="1" min="120" max="120"/>
    <col width="13" customWidth="1" min="121" max="121"/>
    <col width="12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1" customWidth="1" min="128" max="128"/>
    <col width="11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1" customWidth="1" min="134" max="134"/>
    <col width="11" customWidth="1" min="135" max="135"/>
    <col width="10" customWidth="1" min="136" max="136"/>
    <col width="11" customWidth="1" min="137" max="137"/>
    <col width="13" customWidth="1" min="138" max="138"/>
    <col width="12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1" customWidth="1" min="145" max="145"/>
    <col width="11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1" customWidth="1" min="151" max="151"/>
    <col width="11" customWidth="1" min="152" max="152"/>
    <col width="10" customWidth="1" min="153" max="153"/>
    <col width="11" customWidth="1" min="154" max="154"/>
    <col width="13" customWidth="1" min="155" max="155"/>
    <col width="12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1" customWidth="1" min="162" max="162"/>
    <col width="11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1" customWidth="1" min="168" max="168"/>
    <col width="11" customWidth="1" min="169" max="169"/>
    <col width="10" customWidth="1" min="170" max="170"/>
    <col width="11" customWidth="1" min="171" max="171"/>
    <col width="13" customWidth="1" min="172" max="172"/>
    <col width="12" customWidth="1" min="174" max="174"/>
    <col width="10" customWidth="1" min="175" max="175"/>
    <col width="10" customWidth="1" min="176" max="176"/>
    <col width="10" customWidth="1" min="177" max="177"/>
    <col width="10" customWidth="1" min="178" max="178"/>
    <col width="11" customWidth="1" min="179" max="179"/>
    <col width="11" customWidth="1" min="180" max="180"/>
    <col width="10" customWidth="1" min="181" max="181"/>
    <col width="10" customWidth="1" min="182" max="182"/>
    <col width="10" customWidth="1" min="183" max="183"/>
    <col width="10" customWidth="1" min="184" max="184"/>
    <col width="11" customWidth="1" min="185" max="185"/>
    <col width="11" customWidth="1" min="186" max="186"/>
    <col width="10" customWidth="1" min="187" max="187"/>
    <col width="11" customWidth="1" min="188" max="188"/>
    <col width="13" customWidth="1" min="189" max="189"/>
    <col width="12" customWidth="1" min="191" max="191"/>
    <col width="10" customWidth="1" min="192" max="192"/>
    <col width="10" customWidth="1" min="193" max="193"/>
    <col width="10" customWidth="1" min="194" max="194"/>
    <col width="10" customWidth="1" min="195" max="195"/>
    <col width="11" customWidth="1" min="196" max="196"/>
    <col width="11" customWidth="1" min="197" max="197"/>
    <col width="10" customWidth="1" min="198" max="198"/>
    <col width="10" customWidth="1" min="199" max="199"/>
    <col width="10" customWidth="1" min="200" max="200"/>
    <col width="10" customWidth="1" min="201" max="201"/>
    <col width="11" customWidth="1" min="202" max="202"/>
    <col width="11" customWidth="1" min="203" max="203"/>
    <col width="10" customWidth="1" min="204" max="204"/>
    <col width="11" customWidth="1" min="205" max="205"/>
    <col width="13" customWidth="1" min="206" max="206"/>
    <col width="12" customWidth="1" min="208" max="208"/>
    <col width="10" customWidth="1" min="209" max="209"/>
    <col width="10" customWidth="1" min="210" max="210"/>
    <col width="10" customWidth="1" min="211" max="211"/>
    <col width="10" customWidth="1" min="212" max="212"/>
    <col width="11" customWidth="1" min="213" max="213"/>
    <col width="11" customWidth="1" min="214" max="214"/>
    <col width="10" customWidth="1" min="215" max="215"/>
    <col width="10" customWidth="1" min="216" max="216"/>
    <col width="10" customWidth="1" min="217" max="217"/>
    <col width="10" customWidth="1" min="218" max="218"/>
    <col width="11" customWidth="1" min="219" max="219"/>
    <col width="11" customWidth="1" min="220" max="220"/>
    <col width="10" customWidth="1" min="221" max="221"/>
    <col width="11" customWidth="1" min="222" max="222"/>
    <col width="13" customWidth="1" min="223" max="223"/>
    <col width="12" customWidth="1" min="225" max="225"/>
    <col width="10" customWidth="1" min="226" max="226"/>
    <col width="10" customWidth="1" min="227" max="227"/>
    <col width="10" customWidth="1" min="228" max="228"/>
    <col width="10" customWidth="1" min="229" max="229"/>
    <col width="11" customWidth="1" min="230" max="230"/>
    <col width="11" customWidth="1" min="231" max="231"/>
    <col width="10" customWidth="1" min="232" max="232"/>
    <col width="10" customWidth="1" min="233" max="233"/>
    <col width="10" customWidth="1" min="234" max="234"/>
    <col width="10" customWidth="1" min="235" max="235"/>
    <col width="11" customWidth="1" min="236" max="236"/>
    <col width="11" customWidth="1" min="237" max="237"/>
    <col width="10" customWidth="1" min="238" max="238"/>
    <col width="11" customWidth="1" min="239" max="239"/>
    <col width="13" customWidth="1" min="240" max="240"/>
    <col width="12" customWidth="1" min="242" max="242"/>
    <col width="10" customWidth="1" min="243" max="243"/>
    <col width="10" customWidth="1" min="244" max="244"/>
    <col width="10" customWidth="1" min="245" max="245"/>
    <col width="10" customWidth="1" min="246" max="246"/>
    <col width="11" customWidth="1" min="247" max="247"/>
    <col width="11" customWidth="1" min="248" max="248"/>
    <col width="10" customWidth="1" min="249" max="249"/>
    <col width="10" customWidth="1" min="250" max="250"/>
    <col width="10" customWidth="1" min="251" max="251"/>
    <col width="10" customWidth="1" min="252" max="252"/>
    <col width="11" customWidth="1" min="253" max="253"/>
    <col width="11" customWidth="1" min="254" max="254"/>
    <col width="10" customWidth="1" min="255" max="255"/>
    <col width="11" customWidth="1" min="256" max="256"/>
    <col width="13" customWidth="1" min="257" max="257"/>
    <col width="12" customWidth="1" min="259" max="259"/>
    <col width="10" customWidth="1" min="260" max="260"/>
    <col width="10" customWidth="1" min="261" max="261"/>
    <col width="10" customWidth="1" min="262" max="262"/>
    <col width="10" customWidth="1" min="263" max="263"/>
    <col width="11" customWidth="1" min="264" max="264"/>
    <col width="11" customWidth="1" min="265" max="265"/>
    <col width="10" customWidth="1" min="266" max="266"/>
    <col width="10" customWidth="1" min="267" max="267"/>
    <col width="10" customWidth="1" min="268" max="268"/>
    <col width="10" customWidth="1" min="269" max="269"/>
    <col width="11" customWidth="1" min="270" max="270"/>
    <col width="11" customWidth="1" min="271" max="271"/>
    <col width="10" customWidth="1" min="272" max="272"/>
    <col width="11" customWidth="1" min="273" max="273"/>
    <col width="13" customWidth="1" min="274" max="274"/>
    <col width="12" customWidth="1" min="276" max="276"/>
    <col width="10" customWidth="1" min="277" max="277"/>
    <col width="10" customWidth="1" min="278" max="278"/>
    <col width="10" customWidth="1" min="279" max="279"/>
    <col width="10" customWidth="1" min="280" max="280"/>
    <col width="11" customWidth="1" min="281" max="281"/>
    <col width="11" customWidth="1" min="282" max="282"/>
    <col width="10" customWidth="1" min="283" max="283"/>
    <col width="10" customWidth="1" min="284" max="284"/>
    <col width="10" customWidth="1" min="285" max="285"/>
    <col width="10" customWidth="1" min="286" max="286"/>
    <col width="11" customWidth="1" min="287" max="287"/>
    <col width="11" customWidth="1" min="288" max="288"/>
    <col width="10" customWidth="1" min="289" max="289"/>
    <col width="11" customWidth="1" min="290" max="290"/>
    <col width="13" customWidth="1" min="291" max="291"/>
    <col width="12" customWidth="1" min="293" max="293"/>
    <col width="10" customWidth="1" min="294" max="294"/>
    <col width="10" customWidth="1" min="295" max="295"/>
    <col width="10" customWidth="1" min="296" max="296"/>
    <col width="10" customWidth="1" min="297" max="297"/>
    <col width="11" customWidth="1" min="298" max="298"/>
    <col width="11" customWidth="1" min="299" max="299"/>
    <col width="10" customWidth="1" min="300" max="300"/>
    <col width="10" customWidth="1" min="301" max="301"/>
    <col width="10" customWidth="1" min="302" max="302"/>
    <col width="10" customWidth="1" min="303" max="303"/>
    <col width="11" customWidth="1" min="304" max="304"/>
    <col width="11" customWidth="1" min="305" max="305"/>
    <col width="10" customWidth="1" min="306" max="306"/>
    <col width="11" customWidth="1" min="307" max="307"/>
    <col width="13" customWidth="1" min="308" max="308"/>
    <col width="12" customWidth="1" min="310" max="310"/>
    <col width="10" customWidth="1" min="311" max="311"/>
    <col width="10" customWidth="1" min="312" max="312"/>
    <col width="10" customWidth="1" min="313" max="313"/>
    <col width="10" customWidth="1" min="314" max="314"/>
    <col width="11" customWidth="1" min="315" max="315"/>
    <col width="11" customWidth="1" min="316" max="316"/>
    <col width="10" customWidth="1" min="317" max="317"/>
    <col width="10" customWidth="1" min="318" max="318"/>
    <col width="10" customWidth="1" min="319" max="319"/>
    <col width="10" customWidth="1" min="320" max="320"/>
    <col width="11" customWidth="1" min="321" max="321"/>
    <col width="11" customWidth="1" min="322" max="322"/>
    <col width="10" customWidth="1" min="323" max="323"/>
    <col width="11" customWidth="1" min="324" max="324"/>
    <col width="13" customWidth="1" min="325" max="325"/>
    <col width="12" customWidth="1" min="327" max="327"/>
    <col width="10" customWidth="1" min="328" max="328"/>
    <col width="10" customWidth="1" min="329" max="329"/>
    <col width="10" customWidth="1" min="330" max="330"/>
    <col width="10" customWidth="1" min="331" max="331"/>
    <col width="11" customWidth="1" min="332" max="332"/>
    <col width="11" customWidth="1" min="333" max="333"/>
    <col width="10" customWidth="1" min="334" max="334"/>
    <col width="10" customWidth="1" min="335" max="335"/>
    <col width="10" customWidth="1" min="336" max="336"/>
    <col width="10" customWidth="1" min="337" max="337"/>
    <col width="11" customWidth="1" min="338" max="338"/>
    <col width="11" customWidth="1" min="339" max="339"/>
    <col width="10" customWidth="1" min="340" max="340"/>
    <col width="11" customWidth="1" min="341" max="341"/>
    <col width="13" customWidth="1" min="342" max="342"/>
    <col width="12" customWidth="1" min="344" max="344"/>
    <col width="10" customWidth="1" min="345" max="345"/>
    <col width="10" customWidth="1" min="346" max="346"/>
    <col width="10" customWidth="1" min="347" max="347"/>
    <col width="10" customWidth="1" min="348" max="348"/>
    <col width="11" customWidth="1" min="349" max="349"/>
    <col width="11" customWidth="1" min="350" max="350"/>
    <col width="10" customWidth="1" min="351" max="351"/>
    <col width="10" customWidth="1" min="352" max="352"/>
    <col width="10" customWidth="1" min="353" max="353"/>
    <col width="10" customWidth="1" min="354" max="354"/>
    <col width="11" customWidth="1" min="355" max="355"/>
    <col width="11" customWidth="1" min="356" max="356"/>
    <col width="10" customWidth="1" min="357" max="357"/>
    <col width="11" customWidth="1" min="358" max="358"/>
    <col width="13" customWidth="1" min="359" max="359"/>
    <col width="12" customWidth="1" min="361" max="361"/>
    <col width="10" customWidth="1" min="362" max="362"/>
    <col width="10" customWidth="1" min="363" max="363"/>
    <col width="10" customWidth="1" min="364" max="364"/>
    <col width="10" customWidth="1" min="365" max="365"/>
    <col width="11" customWidth="1" min="366" max="366"/>
    <col width="11" customWidth="1" min="367" max="367"/>
    <col width="10" customWidth="1" min="368" max="368"/>
    <col width="10" customWidth="1" min="369" max="369"/>
    <col width="10" customWidth="1" min="370" max="370"/>
    <col width="10" customWidth="1" min="371" max="371"/>
    <col width="11" customWidth="1" min="372" max="372"/>
    <col width="11" customWidth="1" min="373" max="373"/>
    <col width="10" customWidth="1" min="374" max="374"/>
    <col width="11" customWidth="1" min="375" max="375"/>
    <col width="13" customWidth="1" min="376" max="376"/>
  </cols>
  <sheetData>
    <row r="1">
      <c r="A1" s="2" t="inlineStr">
        <is>
          <t>Month</t>
        </is>
      </c>
      <c r="B1" s="9" t="n">
        <v>9</v>
      </c>
      <c r="D1" s="2">
        <f>IF(ISNUMBER(B$7),"USO US "&amp;TEXT(B$3,"mm/dd/yy")&amp;" C"&amp;(B$7-5*B$6)&amp;" Equity","")</f>
        <v/>
      </c>
      <c r="U1" s="2">
        <f>IF(ISNUMBER(B$7),"USO US "&amp;TEXT(B$3,"mm/dd/yy")&amp;" P"&amp;(B$7-5*B$6)&amp;" Equity","")</f>
        <v/>
      </c>
      <c r="AL1" s="2">
        <f>IF(ISNUMBER(B$7),"USO US "&amp;TEXT(B$3,"mm/dd/yy")&amp;" C"&amp;(B$7-4*B$6)&amp;" Equity","")</f>
        <v/>
      </c>
      <c r="BC1" s="2">
        <f>IF(ISNUMBER(B$7),"USO US "&amp;TEXT(B$3,"mm/dd/yy")&amp;" P"&amp;(B$7-4*B$6)&amp;" Equity","")</f>
        <v/>
      </c>
      <c r="BT1" s="2">
        <f>IF(ISNUMBER(B$7),"USO US "&amp;TEXT(B$3,"mm/dd/yy")&amp;" C"&amp;(B$7-3*B$6)&amp;" Equity","")</f>
        <v/>
      </c>
      <c r="CK1" s="2">
        <f>IF(ISNUMBER(B$7),"USO US "&amp;TEXT(B$3,"mm/dd/yy")&amp;" P"&amp;(B$7-3*B$6)&amp;" Equity","")</f>
        <v/>
      </c>
      <c r="DB1" s="2">
        <f>IF(ISNUMBER(B$7),"USO US "&amp;TEXT(B$3,"mm/dd/yy")&amp;" C"&amp;(B$7-2*B$6)&amp;" Equity","")</f>
        <v/>
      </c>
      <c r="DS1" s="2">
        <f>IF(ISNUMBER(B$7),"USO US "&amp;TEXT(B$3,"mm/dd/yy")&amp;" P"&amp;(B$7-2*B$6)&amp;" Equity","")</f>
        <v/>
      </c>
      <c r="EJ1" s="2">
        <f>IF(ISNUMBER(B$7),"USO US "&amp;TEXT(B$3,"mm/dd/yy")&amp;" C"&amp;(B$7-1*B$6)&amp;" Equity","")</f>
        <v/>
      </c>
      <c r="FA1" s="2">
        <f>IF(ISNUMBER(B$7),"USO US "&amp;TEXT(B$3,"mm/dd/yy")&amp;" P"&amp;(B$7-1*B$6)&amp;" Equity","")</f>
        <v/>
      </c>
      <c r="FR1" s="2">
        <f>IF(ISNUMBER(B$7),"USO US "&amp;TEXT(B$3,"mm/dd/yy")&amp;" C"&amp;B$7&amp;" Equity","")</f>
        <v/>
      </c>
      <c r="GI1" s="2">
        <f>IF(ISNUMBER(B$7),"USO US "&amp;TEXT(B$3,"mm/dd/yy")&amp;" P"&amp;B$7&amp;" Equity","")</f>
        <v/>
      </c>
      <c r="GZ1" s="2">
        <f>IF(ISNUMBER(B$7),"USO US "&amp;TEXT(B$3,"mm/dd/yy")&amp;" C"&amp;(B$7+1*B$6)&amp;" Equity","")</f>
        <v/>
      </c>
      <c r="HQ1" s="2">
        <f>IF(ISNUMBER(B$7),"USO US "&amp;TEXT(B$3,"mm/dd/yy")&amp;" P"&amp;(B$7+1*B$6)&amp;" Equity","")</f>
        <v/>
      </c>
      <c r="IH1" s="2">
        <f>IF(ISNUMBER(B$7),"USO US "&amp;TEXT(B$3,"mm/dd/yy")&amp;" C"&amp;(B$7+2*B$6)&amp;" Equity","")</f>
        <v/>
      </c>
      <c r="IY1" s="2">
        <f>IF(ISNUMBER(B$7),"USO US "&amp;TEXT(B$3,"mm/dd/yy")&amp;" P"&amp;(B$7+2*B$6)&amp;" Equity","")</f>
        <v/>
      </c>
      <c r="JP1" s="2">
        <f>IF(ISNUMBER(B$7),"USO US "&amp;TEXT(B$3,"mm/dd/yy")&amp;" C"&amp;(B$7+3*B$6)&amp;" Equity","")</f>
        <v/>
      </c>
      <c r="KG1" s="2">
        <f>IF(ISNUMBER(B$7),"USO US "&amp;TEXT(B$3,"mm/dd/yy")&amp;" P"&amp;(B$7+3*B$6)&amp;" Equity","")</f>
        <v/>
      </c>
      <c r="KX1" s="2">
        <f>IF(ISNUMBER(B$7),"USO US "&amp;TEXT(B$3,"mm/dd/yy")&amp;" C"&amp;(B$7+4*B$6)&amp;" Equity","")</f>
        <v/>
      </c>
      <c r="LO1" s="2">
        <f>IF(ISNUMBER(B$7),"USO US "&amp;TEXT(B$3,"mm/dd/yy")&amp;" P"&amp;(B$7+4*B$6)&amp;" Equity","")</f>
        <v/>
      </c>
      <c r="MF1" s="2">
        <f>IF(ISNUMBER(B$7),"USO US "&amp;TEXT(B$3,"mm/dd/yy")&amp;" C"&amp;(B$7+5*B$6)&amp;" Equity","")</f>
        <v/>
      </c>
      <c r="MW1" s="2">
        <f>IF(ISNUMBER(B$7),"USO US "&amp;TEXT(B$3,"mm/dd/yy")&amp;" P"&amp;(B$7+5*B$6)&amp;" Equity","")</f>
        <v/>
      </c>
    </row>
    <row r="2">
      <c r="A2" s="2" t="inlineStr">
        <is>
          <t>Underlying</t>
        </is>
      </c>
      <c r="B2" s="4">
        <f>IF(Settings!$B$15="Y","USO US Equity","")</f>
        <v/>
      </c>
      <c r="D2" s="4" t="inlineStr">
        <is>
          <t>call -5 from ATM</t>
        </is>
      </c>
      <c r="U2" s="4" t="inlineStr">
        <is>
          <t>put -5 from ATM</t>
        </is>
      </c>
      <c r="AL2" s="4" t="inlineStr">
        <is>
          <t>call -4 from ATM</t>
        </is>
      </c>
      <c r="BC2" s="4" t="inlineStr">
        <is>
          <t>put -4 from ATM</t>
        </is>
      </c>
      <c r="BT2" s="4" t="inlineStr">
        <is>
          <t>call -3 from ATM</t>
        </is>
      </c>
      <c r="CK2" s="4" t="inlineStr">
        <is>
          <t>put -3 from ATM</t>
        </is>
      </c>
      <c r="DB2" s="4" t="inlineStr">
        <is>
          <t>call -2 from ATM</t>
        </is>
      </c>
      <c r="DS2" s="4" t="inlineStr">
        <is>
          <t>put -2 from ATM</t>
        </is>
      </c>
      <c r="EJ2" s="4" t="inlineStr">
        <is>
          <t>call -1 from ATM</t>
        </is>
      </c>
      <c r="FA2" s="4" t="inlineStr">
        <is>
          <t>put -1 from ATM</t>
        </is>
      </c>
      <c r="FR2" s="4" t="inlineStr">
        <is>
          <t>call +0 from ATM</t>
        </is>
      </c>
      <c r="GI2" s="4" t="inlineStr">
        <is>
          <t>put +0 from ATM</t>
        </is>
      </c>
      <c r="GZ2" s="4" t="inlineStr">
        <is>
          <t>call +1 from ATM</t>
        </is>
      </c>
      <c r="HQ2" s="4" t="inlineStr">
        <is>
          <t>put +1 from ATM</t>
        </is>
      </c>
      <c r="IH2" s="4" t="inlineStr">
        <is>
          <t>call +2 from ATM</t>
        </is>
      </c>
      <c r="IY2" s="4" t="inlineStr">
        <is>
          <t>put +2 from ATM</t>
        </is>
      </c>
      <c r="JP2" s="4" t="inlineStr">
        <is>
          <t>call +3 from ATM</t>
        </is>
      </c>
      <c r="KG2" s="4" t="inlineStr">
        <is>
          <t>put +3 from ATM</t>
        </is>
      </c>
      <c r="KX2" s="4" t="inlineStr">
        <is>
          <t>call +4 from ATM</t>
        </is>
      </c>
      <c r="LO2" s="4" t="inlineStr">
        <is>
          <t>put +4 from ATM</t>
        </is>
      </c>
      <c r="MF2" s="4" t="inlineStr">
        <is>
          <t>call +5 from ATM</t>
        </is>
      </c>
      <c r="MW2" s="4" t="inlineStr">
        <is>
          <t>put +5 from ATM</t>
        </is>
      </c>
    </row>
    <row r="3">
      <c r="A3" s="2" t="inlineStr">
        <is>
          <t>Expiry (3rd Friday)</t>
        </is>
      </c>
      <c r="B3" s="3">
        <f>DATE(Settings!$E$15,B1,15)+MOD(6-WEEKDAY(DATE(Settings!$E$15,B1,15)),7)</f>
        <v/>
      </c>
      <c r="D3" s="5" t="inlineStr">
        <is>
          <t>Date</t>
        </is>
      </c>
      <c r="E3" s="5" t="inlineStr">
        <is>
          <t>PX_BID</t>
        </is>
      </c>
      <c r="F3" s="5" t="inlineStr">
        <is>
          <t>PX_ASK</t>
        </is>
      </c>
      <c r="G3" s="5" t="inlineStr">
        <is>
          <t>PX_MID</t>
        </is>
      </c>
      <c r="H3" s="5" t="inlineStr">
        <is>
          <t>PX_LAST</t>
        </is>
      </c>
      <c r="I3" s="5" t="inlineStr">
        <is>
          <t>PX_SETTLE</t>
        </is>
      </c>
      <c r="J3" s="5" t="inlineStr">
        <is>
          <t>PX_VOLUME</t>
        </is>
      </c>
      <c r="K3" s="5" t="inlineStr">
        <is>
          <t>OPEN_INT</t>
        </is>
      </c>
      <c r="L3" s="5" t="inlineStr">
        <is>
          <t>IVOL_MID</t>
        </is>
      </c>
      <c r="M3" s="5" t="inlineStr">
        <is>
          <t>IVOL_BID</t>
        </is>
      </c>
      <c r="N3" s="5" t="inlineStr">
        <is>
          <t>IVOL_ASK</t>
        </is>
      </c>
      <c r="O3" s="5" t="inlineStr">
        <is>
          <t>DELTA_MID</t>
        </is>
      </c>
      <c r="P3" s="5" t="inlineStr">
        <is>
          <t>GAMMA_MID</t>
        </is>
      </c>
      <c r="Q3" s="5" t="inlineStr">
        <is>
          <t>VEGA_MID</t>
        </is>
      </c>
      <c r="R3" s="5" t="inlineStr">
        <is>
          <t>THETA_MID</t>
        </is>
      </c>
      <c r="S3" s="5" t="inlineStr">
        <is>
          <t>OPT_UNDL_PX</t>
        </is>
      </c>
      <c r="U3" s="5" t="inlineStr">
        <is>
          <t>Date</t>
        </is>
      </c>
      <c r="V3" s="5" t="inlineStr">
        <is>
          <t>PX_BID</t>
        </is>
      </c>
      <c r="W3" s="5" t="inlineStr">
        <is>
          <t>PX_ASK</t>
        </is>
      </c>
      <c r="X3" s="5" t="inlineStr">
        <is>
          <t>PX_MID</t>
        </is>
      </c>
      <c r="Y3" s="5" t="inlineStr">
        <is>
          <t>PX_LAST</t>
        </is>
      </c>
      <c r="Z3" s="5" t="inlineStr">
        <is>
          <t>PX_SETTLE</t>
        </is>
      </c>
      <c r="AA3" s="5" t="inlineStr">
        <is>
          <t>PX_VOLUME</t>
        </is>
      </c>
      <c r="AB3" s="5" t="inlineStr">
        <is>
          <t>OPEN_INT</t>
        </is>
      </c>
      <c r="AC3" s="5" t="inlineStr">
        <is>
          <t>IVOL_MID</t>
        </is>
      </c>
      <c r="AD3" s="5" t="inlineStr">
        <is>
          <t>IVOL_BID</t>
        </is>
      </c>
      <c r="AE3" s="5" t="inlineStr">
        <is>
          <t>IVOL_ASK</t>
        </is>
      </c>
      <c r="AF3" s="5" t="inlineStr">
        <is>
          <t>DELTA_MID</t>
        </is>
      </c>
      <c r="AG3" s="5" t="inlineStr">
        <is>
          <t>GAMMA_MID</t>
        </is>
      </c>
      <c r="AH3" s="5" t="inlineStr">
        <is>
          <t>VEGA_MID</t>
        </is>
      </c>
      <c r="AI3" s="5" t="inlineStr">
        <is>
          <t>THETA_MID</t>
        </is>
      </c>
      <c r="AJ3" s="5" t="inlineStr">
        <is>
          <t>OPT_UNDL_PX</t>
        </is>
      </c>
      <c r="AL3" s="5" t="inlineStr">
        <is>
          <t>Date</t>
        </is>
      </c>
      <c r="AM3" s="5" t="inlineStr">
        <is>
          <t>PX_BID</t>
        </is>
      </c>
      <c r="AN3" s="5" t="inlineStr">
        <is>
          <t>PX_ASK</t>
        </is>
      </c>
      <c r="AO3" s="5" t="inlineStr">
        <is>
          <t>PX_MID</t>
        </is>
      </c>
      <c r="AP3" s="5" t="inlineStr">
        <is>
          <t>PX_LAST</t>
        </is>
      </c>
      <c r="AQ3" s="5" t="inlineStr">
        <is>
          <t>PX_SETTLE</t>
        </is>
      </c>
      <c r="AR3" s="5" t="inlineStr">
        <is>
          <t>PX_VOLUME</t>
        </is>
      </c>
      <c r="AS3" s="5" t="inlineStr">
        <is>
          <t>OPEN_INT</t>
        </is>
      </c>
      <c r="AT3" s="5" t="inlineStr">
        <is>
          <t>IVOL_MID</t>
        </is>
      </c>
      <c r="AU3" s="5" t="inlineStr">
        <is>
          <t>IVOL_BID</t>
        </is>
      </c>
      <c r="AV3" s="5" t="inlineStr">
        <is>
          <t>IVOL_ASK</t>
        </is>
      </c>
      <c r="AW3" s="5" t="inlineStr">
        <is>
          <t>DELTA_MID</t>
        </is>
      </c>
      <c r="AX3" s="5" t="inlineStr">
        <is>
          <t>GAMMA_MID</t>
        </is>
      </c>
      <c r="AY3" s="5" t="inlineStr">
        <is>
          <t>VEGA_MID</t>
        </is>
      </c>
      <c r="AZ3" s="5" t="inlineStr">
        <is>
          <t>THETA_MID</t>
        </is>
      </c>
      <c r="BA3" s="5" t="inlineStr">
        <is>
          <t>OPT_UNDL_PX</t>
        </is>
      </c>
      <c r="BC3" s="5" t="inlineStr">
        <is>
          <t>Date</t>
        </is>
      </c>
      <c r="BD3" s="5" t="inlineStr">
        <is>
          <t>PX_BID</t>
        </is>
      </c>
      <c r="BE3" s="5" t="inlineStr">
        <is>
          <t>PX_ASK</t>
        </is>
      </c>
      <c r="BF3" s="5" t="inlineStr">
        <is>
          <t>PX_MID</t>
        </is>
      </c>
      <c r="BG3" s="5" t="inlineStr">
        <is>
          <t>PX_LAST</t>
        </is>
      </c>
      <c r="BH3" s="5" t="inlineStr">
        <is>
          <t>PX_SETTLE</t>
        </is>
      </c>
      <c r="BI3" s="5" t="inlineStr">
        <is>
          <t>PX_VOLUME</t>
        </is>
      </c>
      <c r="BJ3" s="5" t="inlineStr">
        <is>
          <t>OPEN_INT</t>
        </is>
      </c>
      <c r="BK3" s="5" t="inlineStr">
        <is>
          <t>IVOL_MID</t>
        </is>
      </c>
      <c r="BL3" s="5" t="inlineStr">
        <is>
          <t>IVOL_BID</t>
        </is>
      </c>
      <c r="BM3" s="5" t="inlineStr">
        <is>
          <t>IVOL_ASK</t>
        </is>
      </c>
      <c r="BN3" s="5" t="inlineStr">
        <is>
          <t>DELTA_MID</t>
        </is>
      </c>
      <c r="BO3" s="5" t="inlineStr">
        <is>
          <t>GAMMA_MID</t>
        </is>
      </c>
      <c r="BP3" s="5" t="inlineStr">
        <is>
          <t>VEGA_MID</t>
        </is>
      </c>
      <c r="BQ3" s="5" t="inlineStr">
        <is>
          <t>THETA_MID</t>
        </is>
      </c>
      <c r="BR3" s="5" t="inlineStr">
        <is>
          <t>OPT_UNDL_PX</t>
        </is>
      </c>
      <c r="BT3" s="5" t="inlineStr">
        <is>
          <t>Date</t>
        </is>
      </c>
      <c r="BU3" s="5" t="inlineStr">
        <is>
          <t>PX_BID</t>
        </is>
      </c>
      <c r="BV3" s="5" t="inlineStr">
        <is>
          <t>PX_ASK</t>
        </is>
      </c>
      <c r="BW3" s="5" t="inlineStr">
        <is>
          <t>PX_MID</t>
        </is>
      </c>
      <c r="BX3" s="5" t="inlineStr">
        <is>
          <t>PX_LAST</t>
        </is>
      </c>
      <c r="BY3" s="5" t="inlineStr">
        <is>
          <t>PX_SETTLE</t>
        </is>
      </c>
      <c r="BZ3" s="5" t="inlineStr">
        <is>
          <t>PX_VOLUME</t>
        </is>
      </c>
      <c r="CA3" s="5" t="inlineStr">
        <is>
          <t>OPEN_INT</t>
        </is>
      </c>
      <c r="CB3" s="5" t="inlineStr">
        <is>
          <t>IVOL_MID</t>
        </is>
      </c>
      <c r="CC3" s="5" t="inlineStr">
        <is>
          <t>IVOL_BID</t>
        </is>
      </c>
      <c r="CD3" s="5" t="inlineStr">
        <is>
          <t>IVOL_ASK</t>
        </is>
      </c>
      <c r="CE3" s="5" t="inlineStr">
        <is>
          <t>DELTA_MID</t>
        </is>
      </c>
      <c r="CF3" s="5" t="inlineStr">
        <is>
          <t>GAMMA_MID</t>
        </is>
      </c>
      <c r="CG3" s="5" t="inlineStr">
        <is>
          <t>VEGA_MID</t>
        </is>
      </c>
      <c r="CH3" s="5" t="inlineStr">
        <is>
          <t>THETA_MID</t>
        </is>
      </c>
      <c r="CI3" s="5" t="inlineStr">
        <is>
          <t>OPT_UNDL_PX</t>
        </is>
      </c>
      <c r="CK3" s="5" t="inlineStr">
        <is>
          <t>Date</t>
        </is>
      </c>
      <c r="CL3" s="5" t="inlineStr">
        <is>
          <t>PX_BID</t>
        </is>
      </c>
      <c r="CM3" s="5" t="inlineStr">
        <is>
          <t>PX_ASK</t>
        </is>
      </c>
      <c r="CN3" s="5" t="inlineStr">
        <is>
          <t>PX_MID</t>
        </is>
      </c>
      <c r="CO3" s="5" t="inlineStr">
        <is>
          <t>PX_LAST</t>
        </is>
      </c>
      <c r="CP3" s="5" t="inlineStr">
        <is>
          <t>PX_SETTLE</t>
        </is>
      </c>
      <c r="CQ3" s="5" t="inlineStr">
        <is>
          <t>PX_VOLUME</t>
        </is>
      </c>
      <c r="CR3" s="5" t="inlineStr">
        <is>
          <t>OPEN_INT</t>
        </is>
      </c>
      <c r="CS3" s="5" t="inlineStr">
        <is>
          <t>IVOL_MID</t>
        </is>
      </c>
      <c r="CT3" s="5" t="inlineStr">
        <is>
          <t>IVOL_BID</t>
        </is>
      </c>
      <c r="CU3" s="5" t="inlineStr">
        <is>
          <t>IVOL_ASK</t>
        </is>
      </c>
      <c r="CV3" s="5" t="inlineStr">
        <is>
          <t>DELTA_MID</t>
        </is>
      </c>
      <c r="CW3" s="5" t="inlineStr">
        <is>
          <t>GAMMA_MID</t>
        </is>
      </c>
      <c r="CX3" s="5" t="inlineStr">
        <is>
          <t>VEGA_MID</t>
        </is>
      </c>
      <c r="CY3" s="5" t="inlineStr">
        <is>
          <t>THETA_MID</t>
        </is>
      </c>
      <c r="CZ3" s="5" t="inlineStr">
        <is>
          <t>OPT_UNDL_PX</t>
        </is>
      </c>
      <c r="DB3" s="5" t="inlineStr">
        <is>
          <t>Date</t>
        </is>
      </c>
      <c r="DC3" s="5" t="inlineStr">
        <is>
          <t>PX_BID</t>
        </is>
      </c>
      <c r="DD3" s="5" t="inlineStr">
        <is>
          <t>PX_ASK</t>
        </is>
      </c>
      <c r="DE3" s="5" t="inlineStr">
        <is>
          <t>PX_MID</t>
        </is>
      </c>
      <c r="DF3" s="5" t="inlineStr">
        <is>
          <t>PX_LAST</t>
        </is>
      </c>
      <c r="DG3" s="5" t="inlineStr">
        <is>
          <t>PX_SETTLE</t>
        </is>
      </c>
      <c r="DH3" s="5" t="inlineStr">
        <is>
          <t>PX_VOLUME</t>
        </is>
      </c>
      <c r="DI3" s="5" t="inlineStr">
        <is>
          <t>OPEN_INT</t>
        </is>
      </c>
      <c r="DJ3" s="5" t="inlineStr">
        <is>
          <t>IVOL_MID</t>
        </is>
      </c>
      <c r="DK3" s="5" t="inlineStr">
        <is>
          <t>IVOL_BID</t>
        </is>
      </c>
      <c r="DL3" s="5" t="inlineStr">
        <is>
          <t>IVOL_ASK</t>
        </is>
      </c>
      <c r="DM3" s="5" t="inlineStr">
        <is>
          <t>DELTA_MID</t>
        </is>
      </c>
      <c r="DN3" s="5" t="inlineStr">
        <is>
          <t>GAMMA_MID</t>
        </is>
      </c>
      <c r="DO3" s="5" t="inlineStr">
        <is>
          <t>VEGA_MID</t>
        </is>
      </c>
      <c r="DP3" s="5" t="inlineStr">
        <is>
          <t>THETA_MID</t>
        </is>
      </c>
      <c r="DQ3" s="5" t="inlineStr">
        <is>
          <t>OPT_UNDL_PX</t>
        </is>
      </c>
      <c r="DS3" s="5" t="inlineStr">
        <is>
          <t>Date</t>
        </is>
      </c>
      <c r="DT3" s="5" t="inlineStr">
        <is>
          <t>PX_BID</t>
        </is>
      </c>
      <c r="DU3" s="5" t="inlineStr">
        <is>
          <t>PX_ASK</t>
        </is>
      </c>
      <c r="DV3" s="5" t="inlineStr">
        <is>
          <t>PX_MID</t>
        </is>
      </c>
      <c r="DW3" s="5" t="inlineStr">
        <is>
          <t>PX_LAST</t>
        </is>
      </c>
      <c r="DX3" s="5" t="inlineStr">
        <is>
          <t>PX_SETTLE</t>
        </is>
      </c>
      <c r="DY3" s="5" t="inlineStr">
        <is>
          <t>PX_VOLUME</t>
        </is>
      </c>
      <c r="DZ3" s="5" t="inlineStr">
        <is>
          <t>OPEN_INT</t>
        </is>
      </c>
      <c r="EA3" s="5" t="inlineStr">
        <is>
          <t>IVOL_MID</t>
        </is>
      </c>
      <c r="EB3" s="5" t="inlineStr">
        <is>
          <t>IVOL_BID</t>
        </is>
      </c>
      <c r="EC3" s="5" t="inlineStr">
        <is>
          <t>IVOL_ASK</t>
        </is>
      </c>
      <c r="ED3" s="5" t="inlineStr">
        <is>
          <t>DELTA_MID</t>
        </is>
      </c>
      <c r="EE3" s="5" t="inlineStr">
        <is>
          <t>GAMMA_MID</t>
        </is>
      </c>
      <c r="EF3" s="5" t="inlineStr">
        <is>
          <t>VEGA_MID</t>
        </is>
      </c>
      <c r="EG3" s="5" t="inlineStr">
        <is>
          <t>THETA_MID</t>
        </is>
      </c>
      <c r="EH3" s="5" t="inlineStr">
        <is>
          <t>OPT_UNDL_PX</t>
        </is>
      </c>
      <c r="EJ3" s="5" t="inlineStr">
        <is>
          <t>Date</t>
        </is>
      </c>
      <c r="EK3" s="5" t="inlineStr">
        <is>
          <t>PX_BID</t>
        </is>
      </c>
      <c r="EL3" s="5" t="inlineStr">
        <is>
          <t>PX_ASK</t>
        </is>
      </c>
      <c r="EM3" s="5" t="inlineStr">
        <is>
          <t>PX_MID</t>
        </is>
      </c>
      <c r="EN3" s="5" t="inlineStr">
        <is>
          <t>PX_LAST</t>
        </is>
      </c>
      <c r="EO3" s="5" t="inlineStr">
        <is>
          <t>PX_SETTLE</t>
        </is>
      </c>
      <c r="EP3" s="5" t="inlineStr">
        <is>
          <t>PX_VOLUME</t>
        </is>
      </c>
      <c r="EQ3" s="5" t="inlineStr">
        <is>
          <t>OPEN_INT</t>
        </is>
      </c>
      <c r="ER3" s="5" t="inlineStr">
        <is>
          <t>IVOL_MID</t>
        </is>
      </c>
      <c r="ES3" s="5" t="inlineStr">
        <is>
          <t>IVOL_BID</t>
        </is>
      </c>
      <c r="ET3" s="5" t="inlineStr">
        <is>
          <t>IVOL_ASK</t>
        </is>
      </c>
      <c r="EU3" s="5" t="inlineStr">
        <is>
          <t>DELTA_MID</t>
        </is>
      </c>
      <c r="EV3" s="5" t="inlineStr">
        <is>
          <t>GAMMA_MID</t>
        </is>
      </c>
      <c r="EW3" s="5" t="inlineStr">
        <is>
          <t>VEGA_MID</t>
        </is>
      </c>
      <c r="EX3" s="5" t="inlineStr">
        <is>
          <t>THETA_MID</t>
        </is>
      </c>
      <c r="EY3" s="5" t="inlineStr">
        <is>
          <t>OPT_UNDL_PX</t>
        </is>
      </c>
      <c r="FA3" s="5" t="inlineStr">
        <is>
          <t>Date</t>
        </is>
      </c>
      <c r="FB3" s="5" t="inlineStr">
        <is>
          <t>PX_BID</t>
        </is>
      </c>
      <c r="FC3" s="5" t="inlineStr">
        <is>
          <t>PX_ASK</t>
        </is>
      </c>
      <c r="FD3" s="5" t="inlineStr">
        <is>
          <t>PX_MID</t>
        </is>
      </c>
      <c r="FE3" s="5" t="inlineStr">
        <is>
          <t>PX_LAST</t>
        </is>
      </c>
      <c r="FF3" s="5" t="inlineStr">
        <is>
          <t>PX_SETTLE</t>
        </is>
      </c>
      <c r="FG3" s="5" t="inlineStr">
        <is>
          <t>PX_VOLUME</t>
        </is>
      </c>
      <c r="FH3" s="5" t="inlineStr">
        <is>
          <t>OPEN_INT</t>
        </is>
      </c>
      <c r="FI3" s="5" t="inlineStr">
        <is>
          <t>IVOL_MID</t>
        </is>
      </c>
      <c r="FJ3" s="5" t="inlineStr">
        <is>
          <t>IVOL_BID</t>
        </is>
      </c>
      <c r="FK3" s="5" t="inlineStr">
        <is>
          <t>IVOL_ASK</t>
        </is>
      </c>
      <c r="FL3" s="5" t="inlineStr">
        <is>
          <t>DELTA_MID</t>
        </is>
      </c>
      <c r="FM3" s="5" t="inlineStr">
        <is>
          <t>GAMMA_MID</t>
        </is>
      </c>
      <c r="FN3" s="5" t="inlineStr">
        <is>
          <t>VEGA_MID</t>
        </is>
      </c>
      <c r="FO3" s="5" t="inlineStr">
        <is>
          <t>THETA_MID</t>
        </is>
      </c>
      <c r="FP3" s="5" t="inlineStr">
        <is>
          <t>OPT_UNDL_PX</t>
        </is>
      </c>
      <c r="FR3" s="5" t="inlineStr">
        <is>
          <t>Date</t>
        </is>
      </c>
      <c r="FS3" s="5" t="inlineStr">
        <is>
          <t>PX_BID</t>
        </is>
      </c>
      <c r="FT3" s="5" t="inlineStr">
        <is>
          <t>PX_ASK</t>
        </is>
      </c>
      <c r="FU3" s="5" t="inlineStr">
        <is>
          <t>PX_MID</t>
        </is>
      </c>
      <c r="FV3" s="5" t="inlineStr">
        <is>
          <t>PX_LAST</t>
        </is>
      </c>
      <c r="FW3" s="5" t="inlineStr">
        <is>
          <t>PX_SETTLE</t>
        </is>
      </c>
      <c r="FX3" s="5" t="inlineStr">
        <is>
          <t>PX_VOLUME</t>
        </is>
      </c>
      <c r="FY3" s="5" t="inlineStr">
        <is>
          <t>OPEN_INT</t>
        </is>
      </c>
      <c r="FZ3" s="5" t="inlineStr">
        <is>
          <t>IVOL_MID</t>
        </is>
      </c>
      <c r="GA3" s="5" t="inlineStr">
        <is>
          <t>IVOL_BID</t>
        </is>
      </c>
      <c r="GB3" s="5" t="inlineStr">
        <is>
          <t>IVOL_ASK</t>
        </is>
      </c>
      <c r="GC3" s="5" t="inlineStr">
        <is>
          <t>DELTA_MID</t>
        </is>
      </c>
      <c r="GD3" s="5" t="inlineStr">
        <is>
          <t>GAMMA_MID</t>
        </is>
      </c>
      <c r="GE3" s="5" t="inlineStr">
        <is>
          <t>VEGA_MID</t>
        </is>
      </c>
      <c r="GF3" s="5" t="inlineStr">
        <is>
          <t>THETA_MID</t>
        </is>
      </c>
      <c r="GG3" s="5" t="inlineStr">
        <is>
          <t>OPT_UNDL_PX</t>
        </is>
      </c>
      <c r="GI3" s="5" t="inlineStr">
        <is>
          <t>Date</t>
        </is>
      </c>
      <c r="GJ3" s="5" t="inlineStr">
        <is>
          <t>PX_BID</t>
        </is>
      </c>
      <c r="GK3" s="5" t="inlineStr">
        <is>
          <t>PX_ASK</t>
        </is>
      </c>
      <c r="GL3" s="5" t="inlineStr">
        <is>
          <t>PX_MID</t>
        </is>
      </c>
      <c r="GM3" s="5" t="inlineStr">
        <is>
          <t>PX_LAST</t>
        </is>
      </c>
      <c r="GN3" s="5" t="inlineStr">
        <is>
          <t>PX_SETTLE</t>
        </is>
      </c>
      <c r="GO3" s="5" t="inlineStr">
        <is>
          <t>PX_VOLUME</t>
        </is>
      </c>
      <c r="GP3" s="5" t="inlineStr">
        <is>
          <t>OPEN_INT</t>
        </is>
      </c>
      <c r="GQ3" s="5" t="inlineStr">
        <is>
          <t>IVOL_MID</t>
        </is>
      </c>
      <c r="GR3" s="5" t="inlineStr">
        <is>
          <t>IVOL_BID</t>
        </is>
      </c>
      <c r="GS3" s="5" t="inlineStr">
        <is>
          <t>IVOL_ASK</t>
        </is>
      </c>
      <c r="GT3" s="5" t="inlineStr">
        <is>
          <t>DELTA_MID</t>
        </is>
      </c>
      <c r="GU3" s="5" t="inlineStr">
        <is>
          <t>GAMMA_MID</t>
        </is>
      </c>
      <c r="GV3" s="5" t="inlineStr">
        <is>
          <t>VEGA_MID</t>
        </is>
      </c>
      <c r="GW3" s="5" t="inlineStr">
        <is>
          <t>THETA_MID</t>
        </is>
      </c>
      <c r="GX3" s="5" t="inlineStr">
        <is>
          <t>OPT_UNDL_PX</t>
        </is>
      </c>
      <c r="GZ3" s="5" t="inlineStr">
        <is>
          <t>Date</t>
        </is>
      </c>
      <c r="HA3" s="5" t="inlineStr">
        <is>
          <t>PX_BID</t>
        </is>
      </c>
      <c r="HB3" s="5" t="inlineStr">
        <is>
          <t>PX_ASK</t>
        </is>
      </c>
      <c r="HC3" s="5" t="inlineStr">
        <is>
          <t>PX_MID</t>
        </is>
      </c>
      <c r="HD3" s="5" t="inlineStr">
        <is>
          <t>PX_LAST</t>
        </is>
      </c>
      <c r="HE3" s="5" t="inlineStr">
        <is>
          <t>PX_SETTLE</t>
        </is>
      </c>
      <c r="HF3" s="5" t="inlineStr">
        <is>
          <t>PX_VOLUME</t>
        </is>
      </c>
      <c r="HG3" s="5" t="inlineStr">
        <is>
          <t>OPEN_INT</t>
        </is>
      </c>
      <c r="HH3" s="5" t="inlineStr">
        <is>
          <t>IVOL_MID</t>
        </is>
      </c>
      <c r="HI3" s="5" t="inlineStr">
        <is>
          <t>IVOL_BID</t>
        </is>
      </c>
      <c r="HJ3" s="5" t="inlineStr">
        <is>
          <t>IVOL_ASK</t>
        </is>
      </c>
      <c r="HK3" s="5" t="inlineStr">
        <is>
          <t>DELTA_MID</t>
        </is>
      </c>
      <c r="HL3" s="5" t="inlineStr">
        <is>
          <t>GAMMA_MID</t>
        </is>
      </c>
      <c r="HM3" s="5" t="inlineStr">
        <is>
          <t>VEGA_MID</t>
        </is>
      </c>
      <c r="HN3" s="5" t="inlineStr">
        <is>
          <t>THETA_MID</t>
        </is>
      </c>
      <c r="HO3" s="5" t="inlineStr">
        <is>
          <t>OPT_UNDL_PX</t>
        </is>
      </c>
      <c r="HQ3" s="5" t="inlineStr">
        <is>
          <t>Date</t>
        </is>
      </c>
      <c r="HR3" s="5" t="inlineStr">
        <is>
          <t>PX_BID</t>
        </is>
      </c>
      <c r="HS3" s="5" t="inlineStr">
        <is>
          <t>PX_ASK</t>
        </is>
      </c>
      <c r="HT3" s="5" t="inlineStr">
        <is>
          <t>PX_MID</t>
        </is>
      </c>
      <c r="HU3" s="5" t="inlineStr">
        <is>
          <t>PX_LAST</t>
        </is>
      </c>
      <c r="HV3" s="5" t="inlineStr">
        <is>
          <t>PX_SETTLE</t>
        </is>
      </c>
      <c r="HW3" s="5" t="inlineStr">
        <is>
          <t>PX_VOLUME</t>
        </is>
      </c>
      <c r="HX3" s="5" t="inlineStr">
        <is>
          <t>OPEN_INT</t>
        </is>
      </c>
      <c r="HY3" s="5" t="inlineStr">
        <is>
          <t>IVOL_MID</t>
        </is>
      </c>
      <c r="HZ3" s="5" t="inlineStr">
        <is>
          <t>IVOL_BID</t>
        </is>
      </c>
      <c r="IA3" s="5" t="inlineStr">
        <is>
          <t>IVOL_ASK</t>
        </is>
      </c>
      <c r="IB3" s="5" t="inlineStr">
        <is>
          <t>DELTA_MID</t>
        </is>
      </c>
      <c r="IC3" s="5" t="inlineStr">
        <is>
          <t>GAMMA_MID</t>
        </is>
      </c>
      <c r="ID3" s="5" t="inlineStr">
        <is>
          <t>VEGA_MID</t>
        </is>
      </c>
      <c r="IE3" s="5" t="inlineStr">
        <is>
          <t>THETA_MID</t>
        </is>
      </c>
      <c r="IF3" s="5" t="inlineStr">
        <is>
          <t>OPT_UNDL_PX</t>
        </is>
      </c>
      <c r="IH3" s="5" t="inlineStr">
        <is>
          <t>Date</t>
        </is>
      </c>
      <c r="II3" s="5" t="inlineStr">
        <is>
          <t>PX_BID</t>
        </is>
      </c>
      <c r="IJ3" s="5" t="inlineStr">
        <is>
          <t>PX_ASK</t>
        </is>
      </c>
      <c r="IK3" s="5" t="inlineStr">
        <is>
          <t>PX_MID</t>
        </is>
      </c>
      <c r="IL3" s="5" t="inlineStr">
        <is>
          <t>PX_LAST</t>
        </is>
      </c>
      <c r="IM3" s="5" t="inlineStr">
        <is>
          <t>PX_SETTLE</t>
        </is>
      </c>
      <c r="IN3" s="5" t="inlineStr">
        <is>
          <t>PX_VOLUME</t>
        </is>
      </c>
      <c r="IO3" s="5" t="inlineStr">
        <is>
          <t>OPEN_INT</t>
        </is>
      </c>
      <c r="IP3" s="5" t="inlineStr">
        <is>
          <t>IVOL_MID</t>
        </is>
      </c>
      <c r="IQ3" s="5" t="inlineStr">
        <is>
          <t>IVOL_BID</t>
        </is>
      </c>
      <c r="IR3" s="5" t="inlineStr">
        <is>
          <t>IVOL_ASK</t>
        </is>
      </c>
      <c r="IS3" s="5" t="inlineStr">
        <is>
          <t>DELTA_MID</t>
        </is>
      </c>
      <c r="IT3" s="5" t="inlineStr">
        <is>
          <t>GAMMA_MID</t>
        </is>
      </c>
      <c r="IU3" s="5" t="inlineStr">
        <is>
          <t>VEGA_MID</t>
        </is>
      </c>
      <c r="IV3" s="5" t="inlineStr">
        <is>
          <t>THETA_MID</t>
        </is>
      </c>
      <c r="IW3" s="5" t="inlineStr">
        <is>
          <t>OPT_UNDL_PX</t>
        </is>
      </c>
      <c r="IY3" s="5" t="inlineStr">
        <is>
          <t>Date</t>
        </is>
      </c>
      <c r="IZ3" s="5" t="inlineStr">
        <is>
          <t>PX_BID</t>
        </is>
      </c>
      <c r="JA3" s="5" t="inlineStr">
        <is>
          <t>PX_ASK</t>
        </is>
      </c>
      <c r="JB3" s="5" t="inlineStr">
        <is>
          <t>PX_MID</t>
        </is>
      </c>
      <c r="JC3" s="5" t="inlineStr">
        <is>
          <t>PX_LAST</t>
        </is>
      </c>
      <c r="JD3" s="5" t="inlineStr">
        <is>
          <t>PX_SETTLE</t>
        </is>
      </c>
      <c r="JE3" s="5" t="inlineStr">
        <is>
          <t>PX_VOLUME</t>
        </is>
      </c>
      <c r="JF3" s="5" t="inlineStr">
        <is>
          <t>OPEN_INT</t>
        </is>
      </c>
      <c r="JG3" s="5" t="inlineStr">
        <is>
          <t>IVOL_MID</t>
        </is>
      </c>
      <c r="JH3" s="5" t="inlineStr">
        <is>
          <t>IVOL_BID</t>
        </is>
      </c>
      <c r="JI3" s="5" t="inlineStr">
        <is>
          <t>IVOL_ASK</t>
        </is>
      </c>
      <c r="JJ3" s="5" t="inlineStr">
        <is>
          <t>DELTA_MID</t>
        </is>
      </c>
      <c r="JK3" s="5" t="inlineStr">
        <is>
          <t>GAMMA_MID</t>
        </is>
      </c>
      <c r="JL3" s="5" t="inlineStr">
        <is>
          <t>VEGA_MID</t>
        </is>
      </c>
      <c r="JM3" s="5" t="inlineStr">
        <is>
          <t>THETA_MID</t>
        </is>
      </c>
      <c r="JN3" s="5" t="inlineStr">
        <is>
          <t>OPT_UNDL_PX</t>
        </is>
      </c>
      <c r="JP3" s="5" t="inlineStr">
        <is>
          <t>Date</t>
        </is>
      </c>
      <c r="JQ3" s="5" t="inlineStr">
        <is>
          <t>PX_BID</t>
        </is>
      </c>
      <c r="JR3" s="5" t="inlineStr">
        <is>
          <t>PX_ASK</t>
        </is>
      </c>
      <c r="JS3" s="5" t="inlineStr">
        <is>
          <t>PX_MID</t>
        </is>
      </c>
      <c r="JT3" s="5" t="inlineStr">
        <is>
          <t>PX_LAST</t>
        </is>
      </c>
      <c r="JU3" s="5" t="inlineStr">
        <is>
          <t>PX_SETTLE</t>
        </is>
      </c>
      <c r="JV3" s="5" t="inlineStr">
        <is>
          <t>PX_VOLUME</t>
        </is>
      </c>
      <c r="JW3" s="5" t="inlineStr">
        <is>
          <t>OPEN_INT</t>
        </is>
      </c>
      <c r="JX3" s="5" t="inlineStr">
        <is>
          <t>IVOL_MID</t>
        </is>
      </c>
      <c r="JY3" s="5" t="inlineStr">
        <is>
          <t>IVOL_BID</t>
        </is>
      </c>
      <c r="JZ3" s="5" t="inlineStr">
        <is>
          <t>IVOL_ASK</t>
        </is>
      </c>
      <c r="KA3" s="5" t="inlineStr">
        <is>
          <t>DELTA_MID</t>
        </is>
      </c>
      <c r="KB3" s="5" t="inlineStr">
        <is>
          <t>GAMMA_MID</t>
        </is>
      </c>
      <c r="KC3" s="5" t="inlineStr">
        <is>
          <t>VEGA_MID</t>
        </is>
      </c>
      <c r="KD3" s="5" t="inlineStr">
        <is>
          <t>THETA_MID</t>
        </is>
      </c>
      <c r="KE3" s="5" t="inlineStr">
        <is>
          <t>OPT_UNDL_PX</t>
        </is>
      </c>
      <c r="KG3" s="5" t="inlineStr">
        <is>
          <t>Date</t>
        </is>
      </c>
      <c r="KH3" s="5" t="inlineStr">
        <is>
          <t>PX_BID</t>
        </is>
      </c>
      <c r="KI3" s="5" t="inlineStr">
        <is>
          <t>PX_ASK</t>
        </is>
      </c>
      <c r="KJ3" s="5" t="inlineStr">
        <is>
          <t>PX_MID</t>
        </is>
      </c>
      <c r="KK3" s="5" t="inlineStr">
        <is>
          <t>PX_LAST</t>
        </is>
      </c>
      <c r="KL3" s="5" t="inlineStr">
        <is>
          <t>PX_SETTLE</t>
        </is>
      </c>
      <c r="KM3" s="5" t="inlineStr">
        <is>
          <t>PX_VOLUME</t>
        </is>
      </c>
      <c r="KN3" s="5" t="inlineStr">
        <is>
          <t>OPEN_INT</t>
        </is>
      </c>
      <c r="KO3" s="5" t="inlineStr">
        <is>
          <t>IVOL_MID</t>
        </is>
      </c>
      <c r="KP3" s="5" t="inlineStr">
        <is>
          <t>IVOL_BID</t>
        </is>
      </c>
      <c r="KQ3" s="5" t="inlineStr">
        <is>
          <t>IVOL_ASK</t>
        </is>
      </c>
      <c r="KR3" s="5" t="inlineStr">
        <is>
          <t>DELTA_MID</t>
        </is>
      </c>
      <c r="KS3" s="5" t="inlineStr">
        <is>
          <t>GAMMA_MID</t>
        </is>
      </c>
      <c r="KT3" s="5" t="inlineStr">
        <is>
          <t>VEGA_MID</t>
        </is>
      </c>
      <c r="KU3" s="5" t="inlineStr">
        <is>
          <t>THETA_MID</t>
        </is>
      </c>
      <c r="KV3" s="5" t="inlineStr">
        <is>
          <t>OPT_UNDL_PX</t>
        </is>
      </c>
      <c r="KX3" s="5" t="inlineStr">
        <is>
          <t>Date</t>
        </is>
      </c>
      <c r="KY3" s="5" t="inlineStr">
        <is>
          <t>PX_BID</t>
        </is>
      </c>
      <c r="KZ3" s="5" t="inlineStr">
        <is>
          <t>PX_ASK</t>
        </is>
      </c>
      <c r="LA3" s="5" t="inlineStr">
        <is>
          <t>PX_MID</t>
        </is>
      </c>
      <c r="LB3" s="5" t="inlineStr">
        <is>
          <t>PX_LAST</t>
        </is>
      </c>
      <c r="LC3" s="5" t="inlineStr">
        <is>
          <t>PX_SETTLE</t>
        </is>
      </c>
      <c r="LD3" s="5" t="inlineStr">
        <is>
          <t>PX_VOLUME</t>
        </is>
      </c>
      <c r="LE3" s="5" t="inlineStr">
        <is>
          <t>OPEN_INT</t>
        </is>
      </c>
      <c r="LF3" s="5" t="inlineStr">
        <is>
          <t>IVOL_MID</t>
        </is>
      </c>
      <c r="LG3" s="5" t="inlineStr">
        <is>
          <t>IVOL_BID</t>
        </is>
      </c>
      <c r="LH3" s="5" t="inlineStr">
        <is>
          <t>IVOL_ASK</t>
        </is>
      </c>
      <c r="LI3" s="5" t="inlineStr">
        <is>
          <t>DELTA_MID</t>
        </is>
      </c>
      <c r="LJ3" s="5" t="inlineStr">
        <is>
          <t>GAMMA_MID</t>
        </is>
      </c>
      <c r="LK3" s="5" t="inlineStr">
        <is>
          <t>VEGA_MID</t>
        </is>
      </c>
      <c r="LL3" s="5" t="inlineStr">
        <is>
          <t>THETA_MID</t>
        </is>
      </c>
      <c r="LM3" s="5" t="inlineStr">
        <is>
          <t>OPT_UNDL_PX</t>
        </is>
      </c>
      <c r="LO3" s="5" t="inlineStr">
        <is>
          <t>Date</t>
        </is>
      </c>
      <c r="LP3" s="5" t="inlineStr">
        <is>
          <t>PX_BID</t>
        </is>
      </c>
      <c r="LQ3" s="5" t="inlineStr">
        <is>
          <t>PX_ASK</t>
        </is>
      </c>
      <c r="LR3" s="5" t="inlineStr">
        <is>
          <t>PX_MID</t>
        </is>
      </c>
      <c r="LS3" s="5" t="inlineStr">
        <is>
          <t>PX_LAST</t>
        </is>
      </c>
      <c r="LT3" s="5" t="inlineStr">
        <is>
          <t>PX_SETTLE</t>
        </is>
      </c>
      <c r="LU3" s="5" t="inlineStr">
        <is>
          <t>PX_VOLUME</t>
        </is>
      </c>
      <c r="LV3" s="5" t="inlineStr">
        <is>
          <t>OPEN_INT</t>
        </is>
      </c>
      <c r="LW3" s="5" t="inlineStr">
        <is>
          <t>IVOL_MID</t>
        </is>
      </c>
      <c r="LX3" s="5" t="inlineStr">
        <is>
          <t>IVOL_BID</t>
        </is>
      </c>
      <c r="LY3" s="5" t="inlineStr">
        <is>
          <t>IVOL_ASK</t>
        </is>
      </c>
      <c r="LZ3" s="5" t="inlineStr">
        <is>
          <t>DELTA_MID</t>
        </is>
      </c>
      <c r="MA3" s="5" t="inlineStr">
        <is>
          <t>GAMMA_MID</t>
        </is>
      </c>
      <c r="MB3" s="5" t="inlineStr">
        <is>
          <t>VEGA_MID</t>
        </is>
      </c>
      <c r="MC3" s="5" t="inlineStr">
        <is>
          <t>THETA_MID</t>
        </is>
      </c>
      <c r="MD3" s="5" t="inlineStr">
        <is>
          <t>OPT_UNDL_PX</t>
        </is>
      </c>
      <c r="MF3" s="5" t="inlineStr">
        <is>
          <t>Date</t>
        </is>
      </c>
      <c r="MG3" s="5" t="inlineStr">
        <is>
          <t>PX_BID</t>
        </is>
      </c>
      <c r="MH3" s="5" t="inlineStr">
        <is>
          <t>PX_ASK</t>
        </is>
      </c>
      <c r="MI3" s="5" t="inlineStr">
        <is>
          <t>PX_MID</t>
        </is>
      </c>
      <c r="MJ3" s="5" t="inlineStr">
        <is>
          <t>PX_LAST</t>
        </is>
      </c>
      <c r="MK3" s="5" t="inlineStr">
        <is>
          <t>PX_SETTLE</t>
        </is>
      </c>
      <c r="ML3" s="5" t="inlineStr">
        <is>
          <t>PX_VOLUME</t>
        </is>
      </c>
      <c r="MM3" s="5" t="inlineStr">
        <is>
          <t>OPEN_INT</t>
        </is>
      </c>
      <c r="MN3" s="5" t="inlineStr">
        <is>
          <t>IVOL_MID</t>
        </is>
      </c>
      <c r="MO3" s="5" t="inlineStr">
        <is>
          <t>IVOL_BID</t>
        </is>
      </c>
      <c r="MP3" s="5" t="inlineStr">
        <is>
          <t>IVOL_ASK</t>
        </is>
      </c>
      <c r="MQ3" s="5" t="inlineStr">
        <is>
          <t>DELTA_MID</t>
        </is>
      </c>
      <c r="MR3" s="5" t="inlineStr">
        <is>
          <t>GAMMA_MID</t>
        </is>
      </c>
      <c r="MS3" s="5" t="inlineStr">
        <is>
          <t>VEGA_MID</t>
        </is>
      </c>
      <c r="MT3" s="5" t="inlineStr">
        <is>
          <t>THETA_MID</t>
        </is>
      </c>
      <c r="MU3" s="5" t="inlineStr">
        <is>
          <t>OPT_UNDL_PX</t>
        </is>
      </c>
      <c r="MW3" s="5" t="inlineStr">
        <is>
          <t>Date</t>
        </is>
      </c>
      <c r="MX3" s="5" t="inlineStr">
        <is>
          <t>PX_BID</t>
        </is>
      </c>
      <c r="MY3" s="5" t="inlineStr">
        <is>
          <t>PX_ASK</t>
        </is>
      </c>
      <c r="MZ3" s="5" t="inlineStr">
        <is>
          <t>PX_MID</t>
        </is>
      </c>
      <c r="NA3" s="5" t="inlineStr">
        <is>
          <t>PX_LAST</t>
        </is>
      </c>
      <c r="NB3" s="5" t="inlineStr">
        <is>
          <t>PX_SETTLE</t>
        </is>
      </c>
      <c r="NC3" s="5" t="inlineStr">
        <is>
          <t>PX_VOLUME</t>
        </is>
      </c>
      <c r="ND3" s="5" t="inlineStr">
        <is>
          <t>OPEN_INT</t>
        </is>
      </c>
      <c r="NE3" s="5" t="inlineStr">
        <is>
          <t>IVOL_MID</t>
        </is>
      </c>
      <c r="NF3" s="5" t="inlineStr">
        <is>
          <t>IVOL_BID</t>
        </is>
      </c>
      <c r="NG3" s="5" t="inlineStr">
        <is>
          <t>IVOL_ASK</t>
        </is>
      </c>
      <c r="NH3" s="5" t="inlineStr">
        <is>
          <t>DELTA_MID</t>
        </is>
      </c>
      <c r="NI3" s="5" t="inlineStr">
        <is>
          <t>GAMMA_MID</t>
        </is>
      </c>
      <c r="NJ3" s="5" t="inlineStr">
        <is>
          <t>VEGA_MID</t>
        </is>
      </c>
      <c r="NK3" s="5" t="inlineStr">
        <is>
          <t>THETA_MID</t>
        </is>
      </c>
      <c r="NL3" s="5" t="inlineStr">
        <is>
          <t>OPT_UNDL_PX</t>
        </is>
      </c>
    </row>
    <row r="4">
      <c r="A4" s="2" t="inlineStr">
        <is>
          <t>Strike reference date</t>
        </is>
      </c>
      <c r="B4" s="8">
        <f>B3-45</f>
        <v/>
      </c>
      <c r="D4" s="4">
        <f>BDH(D$1,E$3:S$3,$B$8,$B$9,"Dir=V","Dts=S","Sort=A","Days=T","Fill=B")</f>
        <v/>
      </c>
      <c r="U4" s="4">
        <f>BDH(U$1,V$3:AJ$3,$B$8,$B$9,"Dir=V","Dts=S","Sort=A","Days=T","Fill=B")</f>
        <v/>
      </c>
      <c r="AL4" s="4">
        <f>BDH(AL$1,AM$3:BA$3,$B$8,$B$9,"Dir=V","Dts=S","Sort=A","Days=T","Fill=B")</f>
        <v/>
      </c>
      <c r="BC4" s="4">
        <f>BDH(BC$1,BD$3:BR$3,$B$8,$B$9,"Dir=V","Dts=S","Sort=A","Days=T","Fill=B")</f>
        <v/>
      </c>
      <c r="BT4" s="4">
        <f>BDH(BT$1,BU$3:CI$3,$B$8,$B$9,"Dir=V","Dts=S","Sort=A","Days=T","Fill=B")</f>
        <v/>
      </c>
      <c r="CK4" s="4">
        <f>BDH(CK$1,CL$3:CZ$3,$B$8,$B$9,"Dir=V","Dts=S","Sort=A","Days=T","Fill=B")</f>
        <v/>
      </c>
      <c r="DB4" s="4">
        <f>BDH(DB$1,DC$3:DQ$3,$B$8,$B$9,"Dir=V","Dts=S","Sort=A","Days=T","Fill=B")</f>
        <v/>
      </c>
      <c r="DS4" s="4">
        <f>BDH(DS$1,DT$3:EH$3,$B$8,$B$9,"Dir=V","Dts=S","Sort=A","Days=T","Fill=B")</f>
        <v/>
      </c>
      <c r="EJ4" s="4">
        <f>BDH(EJ$1,EK$3:EY$3,$B$8,$B$9,"Dir=V","Dts=S","Sort=A","Days=T","Fill=B")</f>
        <v/>
      </c>
      <c r="FA4" s="4">
        <f>BDH(FA$1,FB$3:FP$3,$B$8,$B$9,"Dir=V","Dts=S","Sort=A","Days=T","Fill=B")</f>
        <v/>
      </c>
      <c r="FR4" s="4">
        <f>BDH(FR$1,FS$3:GG$3,$B$8,$B$9,"Dir=V","Dts=S","Sort=A","Days=T","Fill=B")</f>
        <v/>
      </c>
      <c r="GI4" s="4">
        <f>BDH(GI$1,GJ$3:GX$3,$B$8,$B$9,"Dir=V","Dts=S","Sort=A","Days=T","Fill=B")</f>
        <v/>
      </c>
      <c r="GZ4" s="4">
        <f>BDH(GZ$1,HA$3:HO$3,$B$8,$B$9,"Dir=V","Dts=S","Sort=A","Days=T","Fill=B")</f>
        <v/>
      </c>
      <c r="HQ4" s="4">
        <f>BDH(HQ$1,HR$3:IF$3,$B$8,$B$9,"Dir=V","Dts=S","Sort=A","Days=T","Fill=B")</f>
        <v/>
      </c>
      <c r="IH4" s="4">
        <f>BDH(IH$1,II$3:IW$3,$B$8,$B$9,"Dir=V","Dts=S","Sort=A","Days=T","Fill=B")</f>
        <v/>
      </c>
      <c r="IY4" s="4">
        <f>BDH(IY$1,IZ$3:JN$3,$B$8,$B$9,"Dir=V","Dts=S","Sort=A","Days=T","Fill=B")</f>
        <v/>
      </c>
      <c r="JP4" s="4">
        <f>BDH(JP$1,JQ$3:KE$3,$B$8,$B$9,"Dir=V","Dts=S","Sort=A","Days=T","Fill=B")</f>
        <v/>
      </c>
      <c r="KG4" s="4">
        <f>BDH(KG$1,KH$3:KV$3,$B$8,$B$9,"Dir=V","Dts=S","Sort=A","Days=T","Fill=B")</f>
        <v/>
      </c>
      <c r="KX4" s="4">
        <f>BDH(KX$1,KY$3:LM$3,$B$8,$B$9,"Dir=V","Dts=S","Sort=A","Days=T","Fill=B")</f>
        <v/>
      </c>
      <c r="LO4" s="4">
        <f>BDH(LO$1,LP$3:MD$3,$B$8,$B$9,"Dir=V","Dts=S","Sort=A","Days=T","Fill=B")</f>
        <v/>
      </c>
      <c r="MF4" s="4">
        <f>BDH(MF$1,MG$3:MU$3,$B$8,$B$9,"Dir=V","Dts=S","Sort=A","Days=T","Fill=B")</f>
        <v/>
      </c>
      <c r="MW4" s="4">
        <f>BDH(MW$1,MX$3:NL$3,$B$8,$B$9,"Dir=V","Dts=S","Sort=A","Days=T","Fill=B")</f>
        <v/>
      </c>
    </row>
    <row r="5">
      <c r="A5" s="2" t="inlineStr">
        <is>
          <t>Unadjusted close then</t>
        </is>
      </c>
      <c r="B5" s="10">
        <f>IF(B2="","",BDH(B2,"PX_LAST",B4,B4,"Days=A","Fill=P","Dts=H","CshAdjNormal=N","CshAdjAbnormal=N","CapChg=N"))</f>
        <v/>
      </c>
    </row>
    <row r="6">
      <c r="A6" s="2" t="inlineStr">
        <is>
          <t>Strike step</t>
        </is>
      </c>
      <c r="B6" s="11">
        <f>IF(ISNUMBER(B5),IF(B5&lt;25,0.5,IF(B5&lt;250,1,5)),"")</f>
        <v/>
      </c>
    </row>
    <row r="7">
      <c r="A7" s="2" t="inlineStr">
        <is>
          <t>ATM strike</t>
        </is>
      </c>
      <c r="B7" s="11">
        <f>IF(ISNUMBER(B5),ROUND(B5/B6,0)*B6,"")</f>
        <v/>
      </c>
    </row>
    <row r="8">
      <c r="A8" s="2" t="inlineStr">
        <is>
          <t>History start</t>
        </is>
      </c>
      <c r="B8" s="8">
        <f>B3-100</f>
        <v/>
      </c>
    </row>
    <row r="9">
      <c r="A9" s="2" t="inlineStr">
        <is>
          <t>History end</t>
        </is>
      </c>
      <c r="B9" s="8">
        <f>B3</f>
        <v/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NL9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2" customWidth="1" min="2" max="2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1" customWidth="1" min="15" max="15"/>
    <col width="11" customWidth="1" min="16" max="16"/>
    <col width="10" customWidth="1" min="17" max="17"/>
    <col width="11" customWidth="1" min="18" max="18"/>
    <col width="13" customWidth="1" min="19" max="19"/>
    <col width="12" customWidth="1" min="21" max="21"/>
    <col width="10" customWidth="1" min="22" max="22"/>
    <col width="10" customWidth="1" min="23" max="23"/>
    <col width="10" customWidth="1" min="24" max="24"/>
    <col width="10" customWidth="1" min="25" max="25"/>
    <col width="11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1" customWidth="1" min="32" max="32"/>
    <col width="11" customWidth="1" min="33" max="33"/>
    <col width="10" customWidth="1" min="34" max="34"/>
    <col width="11" customWidth="1" min="35" max="35"/>
    <col width="13" customWidth="1" min="36" max="36"/>
    <col width="12" customWidth="1" min="38" max="38"/>
    <col width="10" customWidth="1" min="39" max="39"/>
    <col width="10" customWidth="1" min="40" max="40"/>
    <col width="10" customWidth="1" min="41" max="41"/>
    <col width="10" customWidth="1" min="42" max="42"/>
    <col width="11" customWidth="1" min="43" max="43"/>
    <col width="11" customWidth="1" min="44" max="44"/>
    <col width="10" customWidth="1" min="45" max="45"/>
    <col width="10" customWidth="1" min="46" max="46"/>
    <col width="10" customWidth="1" min="47" max="47"/>
    <col width="10" customWidth="1" min="48" max="48"/>
    <col width="11" customWidth="1" min="49" max="49"/>
    <col width="11" customWidth="1" min="50" max="50"/>
    <col width="10" customWidth="1" min="51" max="51"/>
    <col width="11" customWidth="1" min="52" max="52"/>
    <col width="13" customWidth="1" min="53" max="53"/>
    <col width="12" customWidth="1" min="55" max="55"/>
    <col width="10" customWidth="1" min="56" max="56"/>
    <col width="10" customWidth="1" min="57" max="57"/>
    <col width="10" customWidth="1" min="58" max="58"/>
    <col width="10" customWidth="1" min="59" max="59"/>
    <col width="11" customWidth="1" min="60" max="60"/>
    <col width="11" customWidth="1" min="61" max="61"/>
    <col width="10" customWidth="1" min="62" max="62"/>
    <col width="10" customWidth="1" min="63" max="63"/>
    <col width="10" customWidth="1" min="64" max="64"/>
    <col width="10" customWidth="1" min="65" max="65"/>
    <col width="11" customWidth="1" min="66" max="66"/>
    <col width="11" customWidth="1" min="67" max="67"/>
    <col width="10" customWidth="1" min="68" max="68"/>
    <col width="11" customWidth="1" min="69" max="69"/>
    <col width="13" customWidth="1" min="70" max="70"/>
    <col width="12" customWidth="1" min="72" max="72"/>
    <col width="10" customWidth="1" min="73" max="73"/>
    <col width="10" customWidth="1" min="74" max="74"/>
    <col width="10" customWidth="1" min="75" max="75"/>
    <col width="10" customWidth="1" min="76" max="76"/>
    <col width="11" customWidth="1" min="77" max="77"/>
    <col width="11" customWidth="1" min="78" max="78"/>
    <col width="10" customWidth="1" min="79" max="79"/>
    <col width="10" customWidth="1" min="80" max="80"/>
    <col width="10" customWidth="1" min="81" max="81"/>
    <col width="10" customWidth="1" min="82" max="82"/>
    <col width="11" customWidth="1" min="83" max="83"/>
    <col width="11" customWidth="1" min="84" max="84"/>
    <col width="10" customWidth="1" min="85" max="85"/>
    <col width="11" customWidth="1" min="86" max="86"/>
    <col width="13" customWidth="1" min="87" max="87"/>
    <col width="12" customWidth="1" min="89" max="89"/>
    <col width="10" customWidth="1" min="90" max="90"/>
    <col width="10" customWidth="1" min="91" max="91"/>
    <col width="10" customWidth="1" min="92" max="92"/>
    <col width="10" customWidth="1" min="93" max="93"/>
    <col width="11" customWidth="1" min="94" max="94"/>
    <col width="11" customWidth="1" min="95" max="95"/>
    <col width="10" customWidth="1" min="96" max="96"/>
    <col width="10" customWidth="1" min="97" max="97"/>
    <col width="10" customWidth="1" min="98" max="98"/>
    <col width="10" customWidth="1" min="99" max="99"/>
    <col width="11" customWidth="1" min="100" max="100"/>
    <col width="11" customWidth="1" min="101" max="101"/>
    <col width="10" customWidth="1" min="102" max="102"/>
    <col width="11" customWidth="1" min="103" max="103"/>
    <col width="13" customWidth="1" min="104" max="104"/>
    <col width="12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1" customWidth="1" min="111" max="111"/>
    <col width="11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1" customWidth="1" min="117" max="117"/>
    <col width="11" customWidth="1" min="118" max="118"/>
    <col width="10" customWidth="1" min="119" max="119"/>
    <col width="11" customWidth="1" min="120" max="120"/>
    <col width="13" customWidth="1" min="121" max="121"/>
    <col width="12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1" customWidth="1" min="128" max="128"/>
    <col width="11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1" customWidth="1" min="134" max="134"/>
    <col width="11" customWidth="1" min="135" max="135"/>
    <col width="10" customWidth="1" min="136" max="136"/>
    <col width="11" customWidth="1" min="137" max="137"/>
    <col width="13" customWidth="1" min="138" max="138"/>
    <col width="12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1" customWidth="1" min="145" max="145"/>
    <col width="11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1" customWidth="1" min="151" max="151"/>
    <col width="11" customWidth="1" min="152" max="152"/>
    <col width="10" customWidth="1" min="153" max="153"/>
    <col width="11" customWidth="1" min="154" max="154"/>
    <col width="13" customWidth="1" min="155" max="155"/>
    <col width="12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1" customWidth="1" min="162" max="162"/>
    <col width="11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1" customWidth="1" min="168" max="168"/>
    <col width="11" customWidth="1" min="169" max="169"/>
    <col width="10" customWidth="1" min="170" max="170"/>
    <col width="11" customWidth="1" min="171" max="171"/>
    <col width="13" customWidth="1" min="172" max="172"/>
    <col width="12" customWidth="1" min="174" max="174"/>
    <col width="10" customWidth="1" min="175" max="175"/>
    <col width="10" customWidth="1" min="176" max="176"/>
    <col width="10" customWidth="1" min="177" max="177"/>
    <col width="10" customWidth="1" min="178" max="178"/>
    <col width="11" customWidth="1" min="179" max="179"/>
    <col width="11" customWidth="1" min="180" max="180"/>
    <col width="10" customWidth="1" min="181" max="181"/>
    <col width="10" customWidth="1" min="182" max="182"/>
    <col width="10" customWidth="1" min="183" max="183"/>
    <col width="10" customWidth="1" min="184" max="184"/>
    <col width="11" customWidth="1" min="185" max="185"/>
    <col width="11" customWidth="1" min="186" max="186"/>
    <col width="10" customWidth="1" min="187" max="187"/>
    <col width="11" customWidth="1" min="188" max="188"/>
    <col width="13" customWidth="1" min="189" max="189"/>
    <col width="12" customWidth="1" min="191" max="191"/>
    <col width="10" customWidth="1" min="192" max="192"/>
    <col width="10" customWidth="1" min="193" max="193"/>
    <col width="10" customWidth="1" min="194" max="194"/>
    <col width="10" customWidth="1" min="195" max="195"/>
    <col width="11" customWidth="1" min="196" max="196"/>
    <col width="11" customWidth="1" min="197" max="197"/>
    <col width="10" customWidth="1" min="198" max="198"/>
    <col width="10" customWidth="1" min="199" max="199"/>
    <col width="10" customWidth="1" min="200" max="200"/>
    <col width="10" customWidth="1" min="201" max="201"/>
    <col width="11" customWidth="1" min="202" max="202"/>
    <col width="11" customWidth="1" min="203" max="203"/>
    <col width="10" customWidth="1" min="204" max="204"/>
    <col width="11" customWidth="1" min="205" max="205"/>
    <col width="13" customWidth="1" min="206" max="206"/>
    <col width="12" customWidth="1" min="208" max="208"/>
    <col width="10" customWidth="1" min="209" max="209"/>
    <col width="10" customWidth="1" min="210" max="210"/>
    <col width="10" customWidth="1" min="211" max="211"/>
    <col width="10" customWidth="1" min="212" max="212"/>
    <col width="11" customWidth="1" min="213" max="213"/>
    <col width="11" customWidth="1" min="214" max="214"/>
    <col width="10" customWidth="1" min="215" max="215"/>
    <col width="10" customWidth="1" min="216" max="216"/>
    <col width="10" customWidth="1" min="217" max="217"/>
    <col width="10" customWidth="1" min="218" max="218"/>
    <col width="11" customWidth="1" min="219" max="219"/>
    <col width="11" customWidth="1" min="220" max="220"/>
    <col width="10" customWidth="1" min="221" max="221"/>
    <col width="11" customWidth="1" min="222" max="222"/>
    <col width="13" customWidth="1" min="223" max="223"/>
    <col width="12" customWidth="1" min="225" max="225"/>
    <col width="10" customWidth="1" min="226" max="226"/>
    <col width="10" customWidth="1" min="227" max="227"/>
    <col width="10" customWidth="1" min="228" max="228"/>
    <col width="10" customWidth="1" min="229" max="229"/>
    <col width="11" customWidth="1" min="230" max="230"/>
    <col width="11" customWidth="1" min="231" max="231"/>
    <col width="10" customWidth="1" min="232" max="232"/>
    <col width="10" customWidth="1" min="233" max="233"/>
    <col width="10" customWidth="1" min="234" max="234"/>
    <col width="10" customWidth="1" min="235" max="235"/>
    <col width="11" customWidth="1" min="236" max="236"/>
    <col width="11" customWidth="1" min="237" max="237"/>
    <col width="10" customWidth="1" min="238" max="238"/>
    <col width="11" customWidth="1" min="239" max="239"/>
    <col width="13" customWidth="1" min="240" max="240"/>
    <col width="12" customWidth="1" min="242" max="242"/>
    <col width="10" customWidth="1" min="243" max="243"/>
    <col width="10" customWidth="1" min="244" max="244"/>
    <col width="10" customWidth="1" min="245" max="245"/>
    <col width="10" customWidth="1" min="246" max="246"/>
    <col width="11" customWidth="1" min="247" max="247"/>
    <col width="11" customWidth="1" min="248" max="248"/>
    <col width="10" customWidth="1" min="249" max="249"/>
    <col width="10" customWidth="1" min="250" max="250"/>
    <col width="10" customWidth="1" min="251" max="251"/>
    <col width="10" customWidth="1" min="252" max="252"/>
    <col width="11" customWidth="1" min="253" max="253"/>
    <col width="11" customWidth="1" min="254" max="254"/>
    <col width="10" customWidth="1" min="255" max="255"/>
    <col width="11" customWidth="1" min="256" max="256"/>
    <col width="13" customWidth="1" min="257" max="257"/>
    <col width="12" customWidth="1" min="259" max="259"/>
    <col width="10" customWidth="1" min="260" max="260"/>
    <col width="10" customWidth="1" min="261" max="261"/>
    <col width="10" customWidth="1" min="262" max="262"/>
    <col width="10" customWidth="1" min="263" max="263"/>
    <col width="11" customWidth="1" min="264" max="264"/>
    <col width="11" customWidth="1" min="265" max="265"/>
    <col width="10" customWidth="1" min="266" max="266"/>
    <col width="10" customWidth="1" min="267" max="267"/>
    <col width="10" customWidth="1" min="268" max="268"/>
    <col width="10" customWidth="1" min="269" max="269"/>
    <col width="11" customWidth="1" min="270" max="270"/>
    <col width="11" customWidth="1" min="271" max="271"/>
    <col width="10" customWidth="1" min="272" max="272"/>
    <col width="11" customWidth="1" min="273" max="273"/>
    <col width="13" customWidth="1" min="274" max="274"/>
    <col width="12" customWidth="1" min="276" max="276"/>
    <col width="10" customWidth="1" min="277" max="277"/>
    <col width="10" customWidth="1" min="278" max="278"/>
    <col width="10" customWidth="1" min="279" max="279"/>
    <col width="10" customWidth="1" min="280" max="280"/>
    <col width="11" customWidth="1" min="281" max="281"/>
    <col width="11" customWidth="1" min="282" max="282"/>
    <col width="10" customWidth="1" min="283" max="283"/>
    <col width="10" customWidth="1" min="284" max="284"/>
    <col width="10" customWidth="1" min="285" max="285"/>
    <col width="10" customWidth="1" min="286" max="286"/>
    <col width="11" customWidth="1" min="287" max="287"/>
    <col width="11" customWidth="1" min="288" max="288"/>
    <col width="10" customWidth="1" min="289" max="289"/>
    <col width="11" customWidth="1" min="290" max="290"/>
    <col width="13" customWidth="1" min="291" max="291"/>
    <col width="12" customWidth="1" min="293" max="293"/>
    <col width="10" customWidth="1" min="294" max="294"/>
    <col width="10" customWidth="1" min="295" max="295"/>
    <col width="10" customWidth="1" min="296" max="296"/>
    <col width="10" customWidth="1" min="297" max="297"/>
    <col width="11" customWidth="1" min="298" max="298"/>
    <col width="11" customWidth="1" min="299" max="299"/>
    <col width="10" customWidth="1" min="300" max="300"/>
    <col width="10" customWidth="1" min="301" max="301"/>
    <col width="10" customWidth="1" min="302" max="302"/>
    <col width="10" customWidth="1" min="303" max="303"/>
    <col width="11" customWidth="1" min="304" max="304"/>
    <col width="11" customWidth="1" min="305" max="305"/>
    <col width="10" customWidth="1" min="306" max="306"/>
    <col width="11" customWidth="1" min="307" max="307"/>
    <col width="13" customWidth="1" min="308" max="308"/>
    <col width="12" customWidth="1" min="310" max="310"/>
    <col width="10" customWidth="1" min="311" max="311"/>
    <col width="10" customWidth="1" min="312" max="312"/>
    <col width="10" customWidth="1" min="313" max="313"/>
    <col width="10" customWidth="1" min="314" max="314"/>
    <col width="11" customWidth="1" min="315" max="315"/>
    <col width="11" customWidth="1" min="316" max="316"/>
    <col width="10" customWidth="1" min="317" max="317"/>
    <col width="10" customWidth="1" min="318" max="318"/>
    <col width="10" customWidth="1" min="319" max="319"/>
    <col width="10" customWidth="1" min="320" max="320"/>
    <col width="11" customWidth="1" min="321" max="321"/>
    <col width="11" customWidth="1" min="322" max="322"/>
    <col width="10" customWidth="1" min="323" max="323"/>
    <col width="11" customWidth="1" min="324" max="324"/>
    <col width="13" customWidth="1" min="325" max="325"/>
    <col width="12" customWidth="1" min="327" max="327"/>
    <col width="10" customWidth="1" min="328" max="328"/>
    <col width="10" customWidth="1" min="329" max="329"/>
    <col width="10" customWidth="1" min="330" max="330"/>
    <col width="10" customWidth="1" min="331" max="331"/>
    <col width="11" customWidth="1" min="332" max="332"/>
    <col width="11" customWidth="1" min="333" max="333"/>
    <col width="10" customWidth="1" min="334" max="334"/>
    <col width="10" customWidth="1" min="335" max="335"/>
    <col width="10" customWidth="1" min="336" max="336"/>
    <col width="10" customWidth="1" min="337" max="337"/>
    <col width="11" customWidth="1" min="338" max="338"/>
    <col width="11" customWidth="1" min="339" max="339"/>
    <col width="10" customWidth="1" min="340" max="340"/>
    <col width="11" customWidth="1" min="341" max="341"/>
    <col width="13" customWidth="1" min="342" max="342"/>
    <col width="12" customWidth="1" min="344" max="344"/>
    <col width="10" customWidth="1" min="345" max="345"/>
    <col width="10" customWidth="1" min="346" max="346"/>
    <col width="10" customWidth="1" min="347" max="347"/>
    <col width="10" customWidth="1" min="348" max="348"/>
    <col width="11" customWidth="1" min="349" max="349"/>
    <col width="11" customWidth="1" min="350" max="350"/>
    <col width="10" customWidth="1" min="351" max="351"/>
    <col width="10" customWidth="1" min="352" max="352"/>
    <col width="10" customWidth="1" min="353" max="353"/>
    <col width="10" customWidth="1" min="354" max="354"/>
    <col width="11" customWidth="1" min="355" max="355"/>
    <col width="11" customWidth="1" min="356" max="356"/>
    <col width="10" customWidth="1" min="357" max="357"/>
    <col width="11" customWidth="1" min="358" max="358"/>
    <col width="13" customWidth="1" min="359" max="359"/>
    <col width="12" customWidth="1" min="361" max="361"/>
    <col width="10" customWidth="1" min="362" max="362"/>
    <col width="10" customWidth="1" min="363" max="363"/>
    <col width="10" customWidth="1" min="364" max="364"/>
    <col width="10" customWidth="1" min="365" max="365"/>
    <col width="11" customWidth="1" min="366" max="366"/>
    <col width="11" customWidth="1" min="367" max="367"/>
    <col width="10" customWidth="1" min="368" max="368"/>
    <col width="10" customWidth="1" min="369" max="369"/>
    <col width="10" customWidth="1" min="370" max="370"/>
    <col width="10" customWidth="1" min="371" max="371"/>
    <col width="11" customWidth="1" min="372" max="372"/>
    <col width="11" customWidth="1" min="373" max="373"/>
    <col width="10" customWidth="1" min="374" max="374"/>
    <col width="11" customWidth="1" min="375" max="375"/>
    <col width="13" customWidth="1" min="376" max="376"/>
  </cols>
  <sheetData>
    <row r="1">
      <c r="A1" s="2" t="inlineStr">
        <is>
          <t>Month</t>
        </is>
      </c>
      <c r="B1" s="9" t="n">
        <v>10</v>
      </c>
      <c r="D1" s="2">
        <f>IF(ISNUMBER(B$7),"USO US "&amp;TEXT(B$3,"mm/dd/yy")&amp;" C"&amp;(B$7-5*B$6)&amp;" Equity","")</f>
        <v/>
      </c>
      <c r="U1" s="2">
        <f>IF(ISNUMBER(B$7),"USO US "&amp;TEXT(B$3,"mm/dd/yy")&amp;" P"&amp;(B$7-5*B$6)&amp;" Equity","")</f>
        <v/>
      </c>
      <c r="AL1" s="2">
        <f>IF(ISNUMBER(B$7),"USO US "&amp;TEXT(B$3,"mm/dd/yy")&amp;" C"&amp;(B$7-4*B$6)&amp;" Equity","")</f>
        <v/>
      </c>
      <c r="BC1" s="2">
        <f>IF(ISNUMBER(B$7),"USO US "&amp;TEXT(B$3,"mm/dd/yy")&amp;" P"&amp;(B$7-4*B$6)&amp;" Equity","")</f>
        <v/>
      </c>
      <c r="BT1" s="2">
        <f>IF(ISNUMBER(B$7),"USO US "&amp;TEXT(B$3,"mm/dd/yy")&amp;" C"&amp;(B$7-3*B$6)&amp;" Equity","")</f>
        <v/>
      </c>
      <c r="CK1" s="2">
        <f>IF(ISNUMBER(B$7),"USO US "&amp;TEXT(B$3,"mm/dd/yy")&amp;" P"&amp;(B$7-3*B$6)&amp;" Equity","")</f>
        <v/>
      </c>
      <c r="DB1" s="2">
        <f>IF(ISNUMBER(B$7),"USO US "&amp;TEXT(B$3,"mm/dd/yy")&amp;" C"&amp;(B$7-2*B$6)&amp;" Equity","")</f>
        <v/>
      </c>
      <c r="DS1" s="2">
        <f>IF(ISNUMBER(B$7),"USO US "&amp;TEXT(B$3,"mm/dd/yy")&amp;" P"&amp;(B$7-2*B$6)&amp;" Equity","")</f>
        <v/>
      </c>
      <c r="EJ1" s="2">
        <f>IF(ISNUMBER(B$7),"USO US "&amp;TEXT(B$3,"mm/dd/yy")&amp;" C"&amp;(B$7-1*B$6)&amp;" Equity","")</f>
        <v/>
      </c>
      <c r="FA1" s="2">
        <f>IF(ISNUMBER(B$7),"USO US "&amp;TEXT(B$3,"mm/dd/yy")&amp;" P"&amp;(B$7-1*B$6)&amp;" Equity","")</f>
        <v/>
      </c>
      <c r="FR1" s="2">
        <f>IF(ISNUMBER(B$7),"USO US "&amp;TEXT(B$3,"mm/dd/yy")&amp;" C"&amp;B$7&amp;" Equity","")</f>
        <v/>
      </c>
      <c r="GI1" s="2">
        <f>IF(ISNUMBER(B$7),"USO US "&amp;TEXT(B$3,"mm/dd/yy")&amp;" P"&amp;B$7&amp;" Equity","")</f>
        <v/>
      </c>
      <c r="GZ1" s="2">
        <f>IF(ISNUMBER(B$7),"USO US "&amp;TEXT(B$3,"mm/dd/yy")&amp;" C"&amp;(B$7+1*B$6)&amp;" Equity","")</f>
        <v/>
      </c>
      <c r="HQ1" s="2">
        <f>IF(ISNUMBER(B$7),"USO US "&amp;TEXT(B$3,"mm/dd/yy")&amp;" P"&amp;(B$7+1*B$6)&amp;" Equity","")</f>
        <v/>
      </c>
      <c r="IH1" s="2">
        <f>IF(ISNUMBER(B$7),"USO US "&amp;TEXT(B$3,"mm/dd/yy")&amp;" C"&amp;(B$7+2*B$6)&amp;" Equity","")</f>
        <v/>
      </c>
      <c r="IY1" s="2">
        <f>IF(ISNUMBER(B$7),"USO US "&amp;TEXT(B$3,"mm/dd/yy")&amp;" P"&amp;(B$7+2*B$6)&amp;" Equity","")</f>
        <v/>
      </c>
      <c r="JP1" s="2">
        <f>IF(ISNUMBER(B$7),"USO US "&amp;TEXT(B$3,"mm/dd/yy")&amp;" C"&amp;(B$7+3*B$6)&amp;" Equity","")</f>
        <v/>
      </c>
      <c r="KG1" s="2">
        <f>IF(ISNUMBER(B$7),"USO US "&amp;TEXT(B$3,"mm/dd/yy")&amp;" P"&amp;(B$7+3*B$6)&amp;" Equity","")</f>
        <v/>
      </c>
      <c r="KX1" s="2">
        <f>IF(ISNUMBER(B$7),"USO US "&amp;TEXT(B$3,"mm/dd/yy")&amp;" C"&amp;(B$7+4*B$6)&amp;" Equity","")</f>
        <v/>
      </c>
      <c r="LO1" s="2">
        <f>IF(ISNUMBER(B$7),"USO US "&amp;TEXT(B$3,"mm/dd/yy")&amp;" P"&amp;(B$7+4*B$6)&amp;" Equity","")</f>
        <v/>
      </c>
      <c r="MF1" s="2">
        <f>IF(ISNUMBER(B$7),"USO US "&amp;TEXT(B$3,"mm/dd/yy")&amp;" C"&amp;(B$7+5*B$6)&amp;" Equity","")</f>
        <v/>
      </c>
      <c r="MW1" s="2">
        <f>IF(ISNUMBER(B$7),"USO US "&amp;TEXT(B$3,"mm/dd/yy")&amp;" P"&amp;(B$7+5*B$6)&amp;" Equity","")</f>
        <v/>
      </c>
    </row>
    <row r="2">
      <c r="A2" s="2" t="inlineStr">
        <is>
          <t>Underlying</t>
        </is>
      </c>
      <c r="B2" s="4">
        <f>IF(Settings!$B$15="Y","USO US Equity","")</f>
        <v/>
      </c>
      <c r="D2" s="4" t="inlineStr">
        <is>
          <t>call -5 from ATM</t>
        </is>
      </c>
      <c r="U2" s="4" t="inlineStr">
        <is>
          <t>put -5 from ATM</t>
        </is>
      </c>
      <c r="AL2" s="4" t="inlineStr">
        <is>
          <t>call -4 from ATM</t>
        </is>
      </c>
      <c r="BC2" s="4" t="inlineStr">
        <is>
          <t>put -4 from ATM</t>
        </is>
      </c>
      <c r="BT2" s="4" t="inlineStr">
        <is>
          <t>call -3 from ATM</t>
        </is>
      </c>
      <c r="CK2" s="4" t="inlineStr">
        <is>
          <t>put -3 from ATM</t>
        </is>
      </c>
      <c r="DB2" s="4" t="inlineStr">
        <is>
          <t>call -2 from ATM</t>
        </is>
      </c>
      <c r="DS2" s="4" t="inlineStr">
        <is>
          <t>put -2 from ATM</t>
        </is>
      </c>
      <c r="EJ2" s="4" t="inlineStr">
        <is>
          <t>call -1 from ATM</t>
        </is>
      </c>
      <c r="FA2" s="4" t="inlineStr">
        <is>
          <t>put -1 from ATM</t>
        </is>
      </c>
      <c r="FR2" s="4" t="inlineStr">
        <is>
          <t>call +0 from ATM</t>
        </is>
      </c>
      <c r="GI2" s="4" t="inlineStr">
        <is>
          <t>put +0 from ATM</t>
        </is>
      </c>
      <c r="GZ2" s="4" t="inlineStr">
        <is>
          <t>call +1 from ATM</t>
        </is>
      </c>
      <c r="HQ2" s="4" t="inlineStr">
        <is>
          <t>put +1 from ATM</t>
        </is>
      </c>
      <c r="IH2" s="4" t="inlineStr">
        <is>
          <t>call +2 from ATM</t>
        </is>
      </c>
      <c r="IY2" s="4" t="inlineStr">
        <is>
          <t>put +2 from ATM</t>
        </is>
      </c>
      <c r="JP2" s="4" t="inlineStr">
        <is>
          <t>call +3 from ATM</t>
        </is>
      </c>
      <c r="KG2" s="4" t="inlineStr">
        <is>
          <t>put +3 from ATM</t>
        </is>
      </c>
      <c r="KX2" s="4" t="inlineStr">
        <is>
          <t>call +4 from ATM</t>
        </is>
      </c>
      <c r="LO2" s="4" t="inlineStr">
        <is>
          <t>put +4 from ATM</t>
        </is>
      </c>
      <c r="MF2" s="4" t="inlineStr">
        <is>
          <t>call +5 from ATM</t>
        </is>
      </c>
      <c r="MW2" s="4" t="inlineStr">
        <is>
          <t>put +5 from ATM</t>
        </is>
      </c>
    </row>
    <row r="3">
      <c r="A3" s="2" t="inlineStr">
        <is>
          <t>Expiry (3rd Friday)</t>
        </is>
      </c>
      <c r="B3" s="3">
        <f>DATE(Settings!$E$15,B1,15)+MOD(6-WEEKDAY(DATE(Settings!$E$15,B1,15)),7)</f>
        <v/>
      </c>
      <c r="D3" s="5" t="inlineStr">
        <is>
          <t>Date</t>
        </is>
      </c>
      <c r="E3" s="5" t="inlineStr">
        <is>
          <t>PX_BID</t>
        </is>
      </c>
      <c r="F3" s="5" t="inlineStr">
        <is>
          <t>PX_ASK</t>
        </is>
      </c>
      <c r="G3" s="5" t="inlineStr">
        <is>
          <t>PX_MID</t>
        </is>
      </c>
      <c r="H3" s="5" t="inlineStr">
        <is>
          <t>PX_LAST</t>
        </is>
      </c>
      <c r="I3" s="5" t="inlineStr">
        <is>
          <t>PX_SETTLE</t>
        </is>
      </c>
      <c r="J3" s="5" t="inlineStr">
        <is>
          <t>PX_VOLUME</t>
        </is>
      </c>
      <c r="K3" s="5" t="inlineStr">
        <is>
          <t>OPEN_INT</t>
        </is>
      </c>
      <c r="L3" s="5" t="inlineStr">
        <is>
          <t>IVOL_MID</t>
        </is>
      </c>
      <c r="M3" s="5" t="inlineStr">
        <is>
          <t>IVOL_BID</t>
        </is>
      </c>
      <c r="N3" s="5" t="inlineStr">
        <is>
          <t>IVOL_ASK</t>
        </is>
      </c>
      <c r="O3" s="5" t="inlineStr">
        <is>
          <t>DELTA_MID</t>
        </is>
      </c>
      <c r="P3" s="5" t="inlineStr">
        <is>
          <t>GAMMA_MID</t>
        </is>
      </c>
      <c r="Q3" s="5" t="inlineStr">
        <is>
          <t>VEGA_MID</t>
        </is>
      </c>
      <c r="R3" s="5" t="inlineStr">
        <is>
          <t>THETA_MID</t>
        </is>
      </c>
      <c r="S3" s="5" t="inlineStr">
        <is>
          <t>OPT_UNDL_PX</t>
        </is>
      </c>
      <c r="U3" s="5" t="inlineStr">
        <is>
          <t>Date</t>
        </is>
      </c>
      <c r="V3" s="5" t="inlineStr">
        <is>
          <t>PX_BID</t>
        </is>
      </c>
      <c r="W3" s="5" t="inlineStr">
        <is>
          <t>PX_ASK</t>
        </is>
      </c>
      <c r="X3" s="5" t="inlineStr">
        <is>
          <t>PX_MID</t>
        </is>
      </c>
      <c r="Y3" s="5" t="inlineStr">
        <is>
          <t>PX_LAST</t>
        </is>
      </c>
      <c r="Z3" s="5" t="inlineStr">
        <is>
          <t>PX_SETTLE</t>
        </is>
      </c>
      <c r="AA3" s="5" t="inlineStr">
        <is>
          <t>PX_VOLUME</t>
        </is>
      </c>
      <c r="AB3" s="5" t="inlineStr">
        <is>
          <t>OPEN_INT</t>
        </is>
      </c>
      <c r="AC3" s="5" t="inlineStr">
        <is>
          <t>IVOL_MID</t>
        </is>
      </c>
      <c r="AD3" s="5" t="inlineStr">
        <is>
          <t>IVOL_BID</t>
        </is>
      </c>
      <c r="AE3" s="5" t="inlineStr">
        <is>
          <t>IVOL_ASK</t>
        </is>
      </c>
      <c r="AF3" s="5" t="inlineStr">
        <is>
          <t>DELTA_MID</t>
        </is>
      </c>
      <c r="AG3" s="5" t="inlineStr">
        <is>
          <t>GAMMA_MID</t>
        </is>
      </c>
      <c r="AH3" s="5" t="inlineStr">
        <is>
          <t>VEGA_MID</t>
        </is>
      </c>
      <c r="AI3" s="5" t="inlineStr">
        <is>
          <t>THETA_MID</t>
        </is>
      </c>
      <c r="AJ3" s="5" t="inlineStr">
        <is>
          <t>OPT_UNDL_PX</t>
        </is>
      </c>
      <c r="AL3" s="5" t="inlineStr">
        <is>
          <t>Date</t>
        </is>
      </c>
      <c r="AM3" s="5" t="inlineStr">
        <is>
          <t>PX_BID</t>
        </is>
      </c>
      <c r="AN3" s="5" t="inlineStr">
        <is>
          <t>PX_ASK</t>
        </is>
      </c>
      <c r="AO3" s="5" t="inlineStr">
        <is>
          <t>PX_MID</t>
        </is>
      </c>
      <c r="AP3" s="5" t="inlineStr">
        <is>
          <t>PX_LAST</t>
        </is>
      </c>
      <c r="AQ3" s="5" t="inlineStr">
        <is>
          <t>PX_SETTLE</t>
        </is>
      </c>
      <c r="AR3" s="5" t="inlineStr">
        <is>
          <t>PX_VOLUME</t>
        </is>
      </c>
      <c r="AS3" s="5" t="inlineStr">
        <is>
          <t>OPEN_INT</t>
        </is>
      </c>
      <c r="AT3" s="5" t="inlineStr">
        <is>
          <t>IVOL_MID</t>
        </is>
      </c>
      <c r="AU3" s="5" t="inlineStr">
        <is>
          <t>IVOL_BID</t>
        </is>
      </c>
      <c r="AV3" s="5" t="inlineStr">
        <is>
          <t>IVOL_ASK</t>
        </is>
      </c>
      <c r="AW3" s="5" t="inlineStr">
        <is>
          <t>DELTA_MID</t>
        </is>
      </c>
      <c r="AX3" s="5" t="inlineStr">
        <is>
          <t>GAMMA_MID</t>
        </is>
      </c>
      <c r="AY3" s="5" t="inlineStr">
        <is>
          <t>VEGA_MID</t>
        </is>
      </c>
      <c r="AZ3" s="5" t="inlineStr">
        <is>
          <t>THETA_MID</t>
        </is>
      </c>
      <c r="BA3" s="5" t="inlineStr">
        <is>
          <t>OPT_UNDL_PX</t>
        </is>
      </c>
      <c r="BC3" s="5" t="inlineStr">
        <is>
          <t>Date</t>
        </is>
      </c>
      <c r="BD3" s="5" t="inlineStr">
        <is>
          <t>PX_BID</t>
        </is>
      </c>
      <c r="BE3" s="5" t="inlineStr">
        <is>
          <t>PX_ASK</t>
        </is>
      </c>
      <c r="BF3" s="5" t="inlineStr">
        <is>
          <t>PX_MID</t>
        </is>
      </c>
      <c r="BG3" s="5" t="inlineStr">
        <is>
          <t>PX_LAST</t>
        </is>
      </c>
      <c r="BH3" s="5" t="inlineStr">
        <is>
          <t>PX_SETTLE</t>
        </is>
      </c>
      <c r="BI3" s="5" t="inlineStr">
        <is>
          <t>PX_VOLUME</t>
        </is>
      </c>
      <c r="BJ3" s="5" t="inlineStr">
        <is>
          <t>OPEN_INT</t>
        </is>
      </c>
      <c r="BK3" s="5" t="inlineStr">
        <is>
          <t>IVOL_MID</t>
        </is>
      </c>
      <c r="BL3" s="5" t="inlineStr">
        <is>
          <t>IVOL_BID</t>
        </is>
      </c>
      <c r="BM3" s="5" t="inlineStr">
        <is>
          <t>IVOL_ASK</t>
        </is>
      </c>
      <c r="BN3" s="5" t="inlineStr">
        <is>
          <t>DELTA_MID</t>
        </is>
      </c>
      <c r="BO3" s="5" t="inlineStr">
        <is>
          <t>GAMMA_MID</t>
        </is>
      </c>
      <c r="BP3" s="5" t="inlineStr">
        <is>
          <t>VEGA_MID</t>
        </is>
      </c>
      <c r="BQ3" s="5" t="inlineStr">
        <is>
          <t>THETA_MID</t>
        </is>
      </c>
      <c r="BR3" s="5" t="inlineStr">
        <is>
          <t>OPT_UNDL_PX</t>
        </is>
      </c>
      <c r="BT3" s="5" t="inlineStr">
        <is>
          <t>Date</t>
        </is>
      </c>
      <c r="BU3" s="5" t="inlineStr">
        <is>
          <t>PX_BID</t>
        </is>
      </c>
      <c r="BV3" s="5" t="inlineStr">
        <is>
          <t>PX_ASK</t>
        </is>
      </c>
      <c r="BW3" s="5" t="inlineStr">
        <is>
          <t>PX_MID</t>
        </is>
      </c>
      <c r="BX3" s="5" t="inlineStr">
        <is>
          <t>PX_LAST</t>
        </is>
      </c>
      <c r="BY3" s="5" t="inlineStr">
        <is>
          <t>PX_SETTLE</t>
        </is>
      </c>
      <c r="BZ3" s="5" t="inlineStr">
        <is>
          <t>PX_VOLUME</t>
        </is>
      </c>
      <c r="CA3" s="5" t="inlineStr">
        <is>
          <t>OPEN_INT</t>
        </is>
      </c>
      <c r="CB3" s="5" t="inlineStr">
        <is>
          <t>IVOL_MID</t>
        </is>
      </c>
      <c r="CC3" s="5" t="inlineStr">
        <is>
          <t>IVOL_BID</t>
        </is>
      </c>
      <c r="CD3" s="5" t="inlineStr">
        <is>
          <t>IVOL_ASK</t>
        </is>
      </c>
      <c r="CE3" s="5" t="inlineStr">
        <is>
          <t>DELTA_MID</t>
        </is>
      </c>
      <c r="CF3" s="5" t="inlineStr">
        <is>
          <t>GAMMA_MID</t>
        </is>
      </c>
      <c r="CG3" s="5" t="inlineStr">
        <is>
          <t>VEGA_MID</t>
        </is>
      </c>
      <c r="CH3" s="5" t="inlineStr">
        <is>
          <t>THETA_MID</t>
        </is>
      </c>
      <c r="CI3" s="5" t="inlineStr">
        <is>
          <t>OPT_UNDL_PX</t>
        </is>
      </c>
      <c r="CK3" s="5" t="inlineStr">
        <is>
          <t>Date</t>
        </is>
      </c>
      <c r="CL3" s="5" t="inlineStr">
        <is>
          <t>PX_BID</t>
        </is>
      </c>
      <c r="CM3" s="5" t="inlineStr">
        <is>
          <t>PX_ASK</t>
        </is>
      </c>
      <c r="CN3" s="5" t="inlineStr">
        <is>
          <t>PX_MID</t>
        </is>
      </c>
      <c r="CO3" s="5" t="inlineStr">
        <is>
          <t>PX_LAST</t>
        </is>
      </c>
      <c r="CP3" s="5" t="inlineStr">
        <is>
          <t>PX_SETTLE</t>
        </is>
      </c>
      <c r="CQ3" s="5" t="inlineStr">
        <is>
          <t>PX_VOLUME</t>
        </is>
      </c>
      <c r="CR3" s="5" t="inlineStr">
        <is>
          <t>OPEN_INT</t>
        </is>
      </c>
      <c r="CS3" s="5" t="inlineStr">
        <is>
          <t>IVOL_MID</t>
        </is>
      </c>
      <c r="CT3" s="5" t="inlineStr">
        <is>
          <t>IVOL_BID</t>
        </is>
      </c>
      <c r="CU3" s="5" t="inlineStr">
        <is>
          <t>IVOL_ASK</t>
        </is>
      </c>
      <c r="CV3" s="5" t="inlineStr">
        <is>
          <t>DELTA_MID</t>
        </is>
      </c>
      <c r="CW3" s="5" t="inlineStr">
        <is>
          <t>GAMMA_MID</t>
        </is>
      </c>
      <c r="CX3" s="5" t="inlineStr">
        <is>
          <t>VEGA_MID</t>
        </is>
      </c>
      <c r="CY3" s="5" t="inlineStr">
        <is>
          <t>THETA_MID</t>
        </is>
      </c>
      <c r="CZ3" s="5" t="inlineStr">
        <is>
          <t>OPT_UNDL_PX</t>
        </is>
      </c>
      <c r="DB3" s="5" t="inlineStr">
        <is>
          <t>Date</t>
        </is>
      </c>
      <c r="DC3" s="5" t="inlineStr">
        <is>
          <t>PX_BID</t>
        </is>
      </c>
      <c r="DD3" s="5" t="inlineStr">
        <is>
          <t>PX_ASK</t>
        </is>
      </c>
      <c r="DE3" s="5" t="inlineStr">
        <is>
          <t>PX_MID</t>
        </is>
      </c>
      <c r="DF3" s="5" t="inlineStr">
        <is>
          <t>PX_LAST</t>
        </is>
      </c>
      <c r="DG3" s="5" t="inlineStr">
        <is>
          <t>PX_SETTLE</t>
        </is>
      </c>
      <c r="DH3" s="5" t="inlineStr">
        <is>
          <t>PX_VOLUME</t>
        </is>
      </c>
      <c r="DI3" s="5" t="inlineStr">
        <is>
          <t>OPEN_INT</t>
        </is>
      </c>
      <c r="DJ3" s="5" t="inlineStr">
        <is>
          <t>IVOL_MID</t>
        </is>
      </c>
      <c r="DK3" s="5" t="inlineStr">
        <is>
          <t>IVOL_BID</t>
        </is>
      </c>
      <c r="DL3" s="5" t="inlineStr">
        <is>
          <t>IVOL_ASK</t>
        </is>
      </c>
      <c r="DM3" s="5" t="inlineStr">
        <is>
          <t>DELTA_MID</t>
        </is>
      </c>
      <c r="DN3" s="5" t="inlineStr">
        <is>
          <t>GAMMA_MID</t>
        </is>
      </c>
      <c r="DO3" s="5" t="inlineStr">
        <is>
          <t>VEGA_MID</t>
        </is>
      </c>
      <c r="DP3" s="5" t="inlineStr">
        <is>
          <t>THETA_MID</t>
        </is>
      </c>
      <c r="DQ3" s="5" t="inlineStr">
        <is>
          <t>OPT_UNDL_PX</t>
        </is>
      </c>
      <c r="DS3" s="5" t="inlineStr">
        <is>
          <t>Date</t>
        </is>
      </c>
      <c r="DT3" s="5" t="inlineStr">
        <is>
          <t>PX_BID</t>
        </is>
      </c>
      <c r="DU3" s="5" t="inlineStr">
        <is>
          <t>PX_ASK</t>
        </is>
      </c>
      <c r="DV3" s="5" t="inlineStr">
        <is>
          <t>PX_MID</t>
        </is>
      </c>
      <c r="DW3" s="5" t="inlineStr">
        <is>
          <t>PX_LAST</t>
        </is>
      </c>
      <c r="DX3" s="5" t="inlineStr">
        <is>
          <t>PX_SETTLE</t>
        </is>
      </c>
      <c r="DY3" s="5" t="inlineStr">
        <is>
          <t>PX_VOLUME</t>
        </is>
      </c>
      <c r="DZ3" s="5" t="inlineStr">
        <is>
          <t>OPEN_INT</t>
        </is>
      </c>
      <c r="EA3" s="5" t="inlineStr">
        <is>
          <t>IVOL_MID</t>
        </is>
      </c>
      <c r="EB3" s="5" t="inlineStr">
        <is>
          <t>IVOL_BID</t>
        </is>
      </c>
      <c r="EC3" s="5" t="inlineStr">
        <is>
          <t>IVOL_ASK</t>
        </is>
      </c>
      <c r="ED3" s="5" t="inlineStr">
        <is>
          <t>DELTA_MID</t>
        </is>
      </c>
      <c r="EE3" s="5" t="inlineStr">
        <is>
          <t>GAMMA_MID</t>
        </is>
      </c>
      <c r="EF3" s="5" t="inlineStr">
        <is>
          <t>VEGA_MID</t>
        </is>
      </c>
      <c r="EG3" s="5" t="inlineStr">
        <is>
          <t>THETA_MID</t>
        </is>
      </c>
      <c r="EH3" s="5" t="inlineStr">
        <is>
          <t>OPT_UNDL_PX</t>
        </is>
      </c>
      <c r="EJ3" s="5" t="inlineStr">
        <is>
          <t>Date</t>
        </is>
      </c>
      <c r="EK3" s="5" t="inlineStr">
        <is>
          <t>PX_BID</t>
        </is>
      </c>
      <c r="EL3" s="5" t="inlineStr">
        <is>
          <t>PX_ASK</t>
        </is>
      </c>
      <c r="EM3" s="5" t="inlineStr">
        <is>
          <t>PX_MID</t>
        </is>
      </c>
      <c r="EN3" s="5" t="inlineStr">
        <is>
          <t>PX_LAST</t>
        </is>
      </c>
      <c r="EO3" s="5" t="inlineStr">
        <is>
          <t>PX_SETTLE</t>
        </is>
      </c>
      <c r="EP3" s="5" t="inlineStr">
        <is>
          <t>PX_VOLUME</t>
        </is>
      </c>
      <c r="EQ3" s="5" t="inlineStr">
        <is>
          <t>OPEN_INT</t>
        </is>
      </c>
      <c r="ER3" s="5" t="inlineStr">
        <is>
          <t>IVOL_MID</t>
        </is>
      </c>
      <c r="ES3" s="5" t="inlineStr">
        <is>
          <t>IVOL_BID</t>
        </is>
      </c>
      <c r="ET3" s="5" t="inlineStr">
        <is>
          <t>IVOL_ASK</t>
        </is>
      </c>
      <c r="EU3" s="5" t="inlineStr">
        <is>
          <t>DELTA_MID</t>
        </is>
      </c>
      <c r="EV3" s="5" t="inlineStr">
        <is>
          <t>GAMMA_MID</t>
        </is>
      </c>
      <c r="EW3" s="5" t="inlineStr">
        <is>
          <t>VEGA_MID</t>
        </is>
      </c>
      <c r="EX3" s="5" t="inlineStr">
        <is>
          <t>THETA_MID</t>
        </is>
      </c>
      <c r="EY3" s="5" t="inlineStr">
        <is>
          <t>OPT_UNDL_PX</t>
        </is>
      </c>
      <c r="FA3" s="5" t="inlineStr">
        <is>
          <t>Date</t>
        </is>
      </c>
      <c r="FB3" s="5" t="inlineStr">
        <is>
          <t>PX_BID</t>
        </is>
      </c>
      <c r="FC3" s="5" t="inlineStr">
        <is>
          <t>PX_ASK</t>
        </is>
      </c>
      <c r="FD3" s="5" t="inlineStr">
        <is>
          <t>PX_MID</t>
        </is>
      </c>
      <c r="FE3" s="5" t="inlineStr">
        <is>
          <t>PX_LAST</t>
        </is>
      </c>
      <c r="FF3" s="5" t="inlineStr">
        <is>
          <t>PX_SETTLE</t>
        </is>
      </c>
      <c r="FG3" s="5" t="inlineStr">
        <is>
          <t>PX_VOLUME</t>
        </is>
      </c>
      <c r="FH3" s="5" t="inlineStr">
        <is>
          <t>OPEN_INT</t>
        </is>
      </c>
      <c r="FI3" s="5" t="inlineStr">
        <is>
          <t>IVOL_MID</t>
        </is>
      </c>
      <c r="FJ3" s="5" t="inlineStr">
        <is>
          <t>IVOL_BID</t>
        </is>
      </c>
      <c r="FK3" s="5" t="inlineStr">
        <is>
          <t>IVOL_ASK</t>
        </is>
      </c>
      <c r="FL3" s="5" t="inlineStr">
        <is>
          <t>DELTA_MID</t>
        </is>
      </c>
      <c r="FM3" s="5" t="inlineStr">
        <is>
          <t>GAMMA_MID</t>
        </is>
      </c>
      <c r="FN3" s="5" t="inlineStr">
        <is>
          <t>VEGA_MID</t>
        </is>
      </c>
      <c r="FO3" s="5" t="inlineStr">
        <is>
          <t>THETA_MID</t>
        </is>
      </c>
      <c r="FP3" s="5" t="inlineStr">
        <is>
          <t>OPT_UNDL_PX</t>
        </is>
      </c>
      <c r="FR3" s="5" t="inlineStr">
        <is>
          <t>Date</t>
        </is>
      </c>
      <c r="FS3" s="5" t="inlineStr">
        <is>
          <t>PX_BID</t>
        </is>
      </c>
      <c r="FT3" s="5" t="inlineStr">
        <is>
          <t>PX_ASK</t>
        </is>
      </c>
      <c r="FU3" s="5" t="inlineStr">
        <is>
          <t>PX_MID</t>
        </is>
      </c>
      <c r="FV3" s="5" t="inlineStr">
        <is>
          <t>PX_LAST</t>
        </is>
      </c>
      <c r="FW3" s="5" t="inlineStr">
        <is>
          <t>PX_SETTLE</t>
        </is>
      </c>
      <c r="FX3" s="5" t="inlineStr">
        <is>
          <t>PX_VOLUME</t>
        </is>
      </c>
      <c r="FY3" s="5" t="inlineStr">
        <is>
          <t>OPEN_INT</t>
        </is>
      </c>
      <c r="FZ3" s="5" t="inlineStr">
        <is>
          <t>IVOL_MID</t>
        </is>
      </c>
      <c r="GA3" s="5" t="inlineStr">
        <is>
          <t>IVOL_BID</t>
        </is>
      </c>
      <c r="GB3" s="5" t="inlineStr">
        <is>
          <t>IVOL_ASK</t>
        </is>
      </c>
      <c r="GC3" s="5" t="inlineStr">
        <is>
          <t>DELTA_MID</t>
        </is>
      </c>
      <c r="GD3" s="5" t="inlineStr">
        <is>
          <t>GAMMA_MID</t>
        </is>
      </c>
      <c r="GE3" s="5" t="inlineStr">
        <is>
          <t>VEGA_MID</t>
        </is>
      </c>
      <c r="GF3" s="5" t="inlineStr">
        <is>
          <t>THETA_MID</t>
        </is>
      </c>
      <c r="GG3" s="5" t="inlineStr">
        <is>
          <t>OPT_UNDL_PX</t>
        </is>
      </c>
      <c r="GI3" s="5" t="inlineStr">
        <is>
          <t>Date</t>
        </is>
      </c>
      <c r="GJ3" s="5" t="inlineStr">
        <is>
          <t>PX_BID</t>
        </is>
      </c>
      <c r="GK3" s="5" t="inlineStr">
        <is>
          <t>PX_ASK</t>
        </is>
      </c>
      <c r="GL3" s="5" t="inlineStr">
        <is>
          <t>PX_MID</t>
        </is>
      </c>
      <c r="GM3" s="5" t="inlineStr">
        <is>
          <t>PX_LAST</t>
        </is>
      </c>
      <c r="GN3" s="5" t="inlineStr">
        <is>
          <t>PX_SETTLE</t>
        </is>
      </c>
      <c r="GO3" s="5" t="inlineStr">
        <is>
          <t>PX_VOLUME</t>
        </is>
      </c>
      <c r="GP3" s="5" t="inlineStr">
        <is>
          <t>OPEN_INT</t>
        </is>
      </c>
      <c r="GQ3" s="5" t="inlineStr">
        <is>
          <t>IVOL_MID</t>
        </is>
      </c>
      <c r="GR3" s="5" t="inlineStr">
        <is>
          <t>IVOL_BID</t>
        </is>
      </c>
      <c r="GS3" s="5" t="inlineStr">
        <is>
          <t>IVOL_ASK</t>
        </is>
      </c>
      <c r="GT3" s="5" t="inlineStr">
        <is>
          <t>DELTA_MID</t>
        </is>
      </c>
      <c r="GU3" s="5" t="inlineStr">
        <is>
          <t>GAMMA_MID</t>
        </is>
      </c>
      <c r="GV3" s="5" t="inlineStr">
        <is>
          <t>VEGA_MID</t>
        </is>
      </c>
      <c r="GW3" s="5" t="inlineStr">
        <is>
          <t>THETA_MID</t>
        </is>
      </c>
      <c r="GX3" s="5" t="inlineStr">
        <is>
          <t>OPT_UNDL_PX</t>
        </is>
      </c>
      <c r="GZ3" s="5" t="inlineStr">
        <is>
          <t>Date</t>
        </is>
      </c>
      <c r="HA3" s="5" t="inlineStr">
        <is>
          <t>PX_BID</t>
        </is>
      </c>
      <c r="HB3" s="5" t="inlineStr">
        <is>
          <t>PX_ASK</t>
        </is>
      </c>
      <c r="HC3" s="5" t="inlineStr">
        <is>
          <t>PX_MID</t>
        </is>
      </c>
      <c r="HD3" s="5" t="inlineStr">
        <is>
          <t>PX_LAST</t>
        </is>
      </c>
      <c r="HE3" s="5" t="inlineStr">
        <is>
          <t>PX_SETTLE</t>
        </is>
      </c>
      <c r="HF3" s="5" t="inlineStr">
        <is>
          <t>PX_VOLUME</t>
        </is>
      </c>
      <c r="HG3" s="5" t="inlineStr">
        <is>
          <t>OPEN_INT</t>
        </is>
      </c>
      <c r="HH3" s="5" t="inlineStr">
        <is>
          <t>IVOL_MID</t>
        </is>
      </c>
      <c r="HI3" s="5" t="inlineStr">
        <is>
          <t>IVOL_BID</t>
        </is>
      </c>
      <c r="HJ3" s="5" t="inlineStr">
        <is>
          <t>IVOL_ASK</t>
        </is>
      </c>
      <c r="HK3" s="5" t="inlineStr">
        <is>
          <t>DELTA_MID</t>
        </is>
      </c>
      <c r="HL3" s="5" t="inlineStr">
        <is>
          <t>GAMMA_MID</t>
        </is>
      </c>
      <c r="HM3" s="5" t="inlineStr">
        <is>
          <t>VEGA_MID</t>
        </is>
      </c>
      <c r="HN3" s="5" t="inlineStr">
        <is>
          <t>THETA_MID</t>
        </is>
      </c>
      <c r="HO3" s="5" t="inlineStr">
        <is>
          <t>OPT_UNDL_PX</t>
        </is>
      </c>
      <c r="HQ3" s="5" t="inlineStr">
        <is>
          <t>Date</t>
        </is>
      </c>
      <c r="HR3" s="5" t="inlineStr">
        <is>
          <t>PX_BID</t>
        </is>
      </c>
      <c r="HS3" s="5" t="inlineStr">
        <is>
          <t>PX_ASK</t>
        </is>
      </c>
      <c r="HT3" s="5" t="inlineStr">
        <is>
          <t>PX_MID</t>
        </is>
      </c>
      <c r="HU3" s="5" t="inlineStr">
        <is>
          <t>PX_LAST</t>
        </is>
      </c>
      <c r="HV3" s="5" t="inlineStr">
        <is>
          <t>PX_SETTLE</t>
        </is>
      </c>
      <c r="HW3" s="5" t="inlineStr">
        <is>
          <t>PX_VOLUME</t>
        </is>
      </c>
      <c r="HX3" s="5" t="inlineStr">
        <is>
          <t>OPEN_INT</t>
        </is>
      </c>
      <c r="HY3" s="5" t="inlineStr">
        <is>
          <t>IVOL_MID</t>
        </is>
      </c>
      <c r="HZ3" s="5" t="inlineStr">
        <is>
          <t>IVOL_BID</t>
        </is>
      </c>
      <c r="IA3" s="5" t="inlineStr">
        <is>
          <t>IVOL_ASK</t>
        </is>
      </c>
      <c r="IB3" s="5" t="inlineStr">
        <is>
          <t>DELTA_MID</t>
        </is>
      </c>
      <c r="IC3" s="5" t="inlineStr">
        <is>
          <t>GAMMA_MID</t>
        </is>
      </c>
      <c r="ID3" s="5" t="inlineStr">
        <is>
          <t>VEGA_MID</t>
        </is>
      </c>
      <c r="IE3" s="5" t="inlineStr">
        <is>
          <t>THETA_MID</t>
        </is>
      </c>
      <c r="IF3" s="5" t="inlineStr">
        <is>
          <t>OPT_UNDL_PX</t>
        </is>
      </c>
      <c r="IH3" s="5" t="inlineStr">
        <is>
          <t>Date</t>
        </is>
      </c>
      <c r="II3" s="5" t="inlineStr">
        <is>
          <t>PX_BID</t>
        </is>
      </c>
      <c r="IJ3" s="5" t="inlineStr">
        <is>
          <t>PX_ASK</t>
        </is>
      </c>
      <c r="IK3" s="5" t="inlineStr">
        <is>
          <t>PX_MID</t>
        </is>
      </c>
      <c r="IL3" s="5" t="inlineStr">
        <is>
          <t>PX_LAST</t>
        </is>
      </c>
      <c r="IM3" s="5" t="inlineStr">
        <is>
          <t>PX_SETTLE</t>
        </is>
      </c>
      <c r="IN3" s="5" t="inlineStr">
        <is>
          <t>PX_VOLUME</t>
        </is>
      </c>
      <c r="IO3" s="5" t="inlineStr">
        <is>
          <t>OPEN_INT</t>
        </is>
      </c>
      <c r="IP3" s="5" t="inlineStr">
        <is>
          <t>IVOL_MID</t>
        </is>
      </c>
      <c r="IQ3" s="5" t="inlineStr">
        <is>
          <t>IVOL_BID</t>
        </is>
      </c>
      <c r="IR3" s="5" t="inlineStr">
        <is>
          <t>IVOL_ASK</t>
        </is>
      </c>
      <c r="IS3" s="5" t="inlineStr">
        <is>
          <t>DELTA_MID</t>
        </is>
      </c>
      <c r="IT3" s="5" t="inlineStr">
        <is>
          <t>GAMMA_MID</t>
        </is>
      </c>
      <c r="IU3" s="5" t="inlineStr">
        <is>
          <t>VEGA_MID</t>
        </is>
      </c>
      <c r="IV3" s="5" t="inlineStr">
        <is>
          <t>THETA_MID</t>
        </is>
      </c>
      <c r="IW3" s="5" t="inlineStr">
        <is>
          <t>OPT_UNDL_PX</t>
        </is>
      </c>
      <c r="IY3" s="5" t="inlineStr">
        <is>
          <t>Date</t>
        </is>
      </c>
      <c r="IZ3" s="5" t="inlineStr">
        <is>
          <t>PX_BID</t>
        </is>
      </c>
      <c r="JA3" s="5" t="inlineStr">
        <is>
          <t>PX_ASK</t>
        </is>
      </c>
      <c r="JB3" s="5" t="inlineStr">
        <is>
          <t>PX_MID</t>
        </is>
      </c>
      <c r="JC3" s="5" t="inlineStr">
        <is>
          <t>PX_LAST</t>
        </is>
      </c>
      <c r="JD3" s="5" t="inlineStr">
        <is>
          <t>PX_SETTLE</t>
        </is>
      </c>
      <c r="JE3" s="5" t="inlineStr">
        <is>
          <t>PX_VOLUME</t>
        </is>
      </c>
      <c r="JF3" s="5" t="inlineStr">
        <is>
          <t>OPEN_INT</t>
        </is>
      </c>
      <c r="JG3" s="5" t="inlineStr">
        <is>
          <t>IVOL_MID</t>
        </is>
      </c>
      <c r="JH3" s="5" t="inlineStr">
        <is>
          <t>IVOL_BID</t>
        </is>
      </c>
      <c r="JI3" s="5" t="inlineStr">
        <is>
          <t>IVOL_ASK</t>
        </is>
      </c>
      <c r="JJ3" s="5" t="inlineStr">
        <is>
          <t>DELTA_MID</t>
        </is>
      </c>
      <c r="JK3" s="5" t="inlineStr">
        <is>
          <t>GAMMA_MID</t>
        </is>
      </c>
      <c r="JL3" s="5" t="inlineStr">
        <is>
          <t>VEGA_MID</t>
        </is>
      </c>
      <c r="JM3" s="5" t="inlineStr">
        <is>
          <t>THETA_MID</t>
        </is>
      </c>
      <c r="JN3" s="5" t="inlineStr">
        <is>
          <t>OPT_UNDL_PX</t>
        </is>
      </c>
      <c r="JP3" s="5" t="inlineStr">
        <is>
          <t>Date</t>
        </is>
      </c>
      <c r="JQ3" s="5" t="inlineStr">
        <is>
          <t>PX_BID</t>
        </is>
      </c>
      <c r="JR3" s="5" t="inlineStr">
        <is>
          <t>PX_ASK</t>
        </is>
      </c>
      <c r="JS3" s="5" t="inlineStr">
        <is>
          <t>PX_MID</t>
        </is>
      </c>
      <c r="JT3" s="5" t="inlineStr">
        <is>
          <t>PX_LAST</t>
        </is>
      </c>
      <c r="JU3" s="5" t="inlineStr">
        <is>
          <t>PX_SETTLE</t>
        </is>
      </c>
      <c r="JV3" s="5" t="inlineStr">
        <is>
          <t>PX_VOLUME</t>
        </is>
      </c>
      <c r="JW3" s="5" t="inlineStr">
        <is>
          <t>OPEN_INT</t>
        </is>
      </c>
      <c r="JX3" s="5" t="inlineStr">
        <is>
          <t>IVOL_MID</t>
        </is>
      </c>
      <c r="JY3" s="5" t="inlineStr">
        <is>
          <t>IVOL_BID</t>
        </is>
      </c>
      <c r="JZ3" s="5" t="inlineStr">
        <is>
          <t>IVOL_ASK</t>
        </is>
      </c>
      <c r="KA3" s="5" t="inlineStr">
        <is>
          <t>DELTA_MID</t>
        </is>
      </c>
      <c r="KB3" s="5" t="inlineStr">
        <is>
          <t>GAMMA_MID</t>
        </is>
      </c>
      <c r="KC3" s="5" t="inlineStr">
        <is>
          <t>VEGA_MID</t>
        </is>
      </c>
      <c r="KD3" s="5" t="inlineStr">
        <is>
          <t>THETA_MID</t>
        </is>
      </c>
      <c r="KE3" s="5" t="inlineStr">
        <is>
          <t>OPT_UNDL_PX</t>
        </is>
      </c>
      <c r="KG3" s="5" t="inlineStr">
        <is>
          <t>Date</t>
        </is>
      </c>
      <c r="KH3" s="5" t="inlineStr">
        <is>
          <t>PX_BID</t>
        </is>
      </c>
      <c r="KI3" s="5" t="inlineStr">
        <is>
          <t>PX_ASK</t>
        </is>
      </c>
      <c r="KJ3" s="5" t="inlineStr">
        <is>
          <t>PX_MID</t>
        </is>
      </c>
      <c r="KK3" s="5" t="inlineStr">
        <is>
          <t>PX_LAST</t>
        </is>
      </c>
      <c r="KL3" s="5" t="inlineStr">
        <is>
          <t>PX_SETTLE</t>
        </is>
      </c>
      <c r="KM3" s="5" t="inlineStr">
        <is>
          <t>PX_VOLUME</t>
        </is>
      </c>
      <c r="KN3" s="5" t="inlineStr">
        <is>
          <t>OPEN_INT</t>
        </is>
      </c>
      <c r="KO3" s="5" t="inlineStr">
        <is>
          <t>IVOL_MID</t>
        </is>
      </c>
      <c r="KP3" s="5" t="inlineStr">
        <is>
          <t>IVOL_BID</t>
        </is>
      </c>
      <c r="KQ3" s="5" t="inlineStr">
        <is>
          <t>IVOL_ASK</t>
        </is>
      </c>
      <c r="KR3" s="5" t="inlineStr">
        <is>
          <t>DELTA_MID</t>
        </is>
      </c>
      <c r="KS3" s="5" t="inlineStr">
        <is>
          <t>GAMMA_MID</t>
        </is>
      </c>
      <c r="KT3" s="5" t="inlineStr">
        <is>
          <t>VEGA_MID</t>
        </is>
      </c>
      <c r="KU3" s="5" t="inlineStr">
        <is>
          <t>THETA_MID</t>
        </is>
      </c>
      <c r="KV3" s="5" t="inlineStr">
        <is>
          <t>OPT_UNDL_PX</t>
        </is>
      </c>
      <c r="KX3" s="5" t="inlineStr">
        <is>
          <t>Date</t>
        </is>
      </c>
      <c r="KY3" s="5" t="inlineStr">
        <is>
          <t>PX_BID</t>
        </is>
      </c>
      <c r="KZ3" s="5" t="inlineStr">
        <is>
          <t>PX_ASK</t>
        </is>
      </c>
      <c r="LA3" s="5" t="inlineStr">
        <is>
          <t>PX_MID</t>
        </is>
      </c>
      <c r="LB3" s="5" t="inlineStr">
        <is>
          <t>PX_LAST</t>
        </is>
      </c>
      <c r="LC3" s="5" t="inlineStr">
        <is>
          <t>PX_SETTLE</t>
        </is>
      </c>
      <c r="LD3" s="5" t="inlineStr">
        <is>
          <t>PX_VOLUME</t>
        </is>
      </c>
      <c r="LE3" s="5" t="inlineStr">
        <is>
          <t>OPEN_INT</t>
        </is>
      </c>
      <c r="LF3" s="5" t="inlineStr">
        <is>
          <t>IVOL_MID</t>
        </is>
      </c>
      <c r="LG3" s="5" t="inlineStr">
        <is>
          <t>IVOL_BID</t>
        </is>
      </c>
      <c r="LH3" s="5" t="inlineStr">
        <is>
          <t>IVOL_ASK</t>
        </is>
      </c>
      <c r="LI3" s="5" t="inlineStr">
        <is>
          <t>DELTA_MID</t>
        </is>
      </c>
      <c r="LJ3" s="5" t="inlineStr">
        <is>
          <t>GAMMA_MID</t>
        </is>
      </c>
      <c r="LK3" s="5" t="inlineStr">
        <is>
          <t>VEGA_MID</t>
        </is>
      </c>
      <c r="LL3" s="5" t="inlineStr">
        <is>
          <t>THETA_MID</t>
        </is>
      </c>
      <c r="LM3" s="5" t="inlineStr">
        <is>
          <t>OPT_UNDL_PX</t>
        </is>
      </c>
      <c r="LO3" s="5" t="inlineStr">
        <is>
          <t>Date</t>
        </is>
      </c>
      <c r="LP3" s="5" t="inlineStr">
        <is>
          <t>PX_BID</t>
        </is>
      </c>
      <c r="LQ3" s="5" t="inlineStr">
        <is>
          <t>PX_ASK</t>
        </is>
      </c>
      <c r="LR3" s="5" t="inlineStr">
        <is>
          <t>PX_MID</t>
        </is>
      </c>
      <c r="LS3" s="5" t="inlineStr">
        <is>
          <t>PX_LAST</t>
        </is>
      </c>
      <c r="LT3" s="5" t="inlineStr">
        <is>
          <t>PX_SETTLE</t>
        </is>
      </c>
      <c r="LU3" s="5" t="inlineStr">
        <is>
          <t>PX_VOLUME</t>
        </is>
      </c>
      <c r="LV3" s="5" t="inlineStr">
        <is>
          <t>OPEN_INT</t>
        </is>
      </c>
      <c r="LW3" s="5" t="inlineStr">
        <is>
          <t>IVOL_MID</t>
        </is>
      </c>
      <c r="LX3" s="5" t="inlineStr">
        <is>
          <t>IVOL_BID</t>
        </is>
      </c>
      <c r="LY3" s="5" t="inlineStr">
        <is>
          <t>IVOL_ASK</t>
        </is>
      </c>
      <c r="LZ3" s="5" t="inlineStr">
        <is>
          <t>DELTA_MID</t>
        </is>
      </c>
      <c r="MA3" s="5" t="inlineStr">
        <is>
          <t>GAMMA_MID</t>
        </is>
      </c>
      <c r="MB3" s="5" t="inlineStr">
        <is>
          <t>VEGA_MID</t>
        </is>
      </c>
      <c r="MC3" s="5" t="inlineStr">
        <is>
          <t>THETA_MID</t>
        </is>
      </c>
      <c r="MD3" s="5" t="inlineStr">
        <is>
          <t>OPT_UNDL_PX</t>
        </is>
      </c>
      <c r="MF3" s="5" t="inlineStr">
        <is>
          <t>Date</t>
        </is>
      </c>
      <c r="MG3" s="5" t="inlineStr">
        <is>
          <t>PX_BID</t>
        </is>
      </c>
      <c r="MH3" s="5" t="inlineStr">
        <is>
          <t>PX_ASK</t>
        </is>
      </c>
      <c r="MI3" s="5" t="inlineStr">
        <is>
          <t>PX_MID</t>
        </is>
      </c>
      <c r="MJ3" s="5" t="inlineStr">
        <is>
          <t>PX_LAST</t>
        </is>
      </c>
      <c r="MK3" s="5" t="inlineStr">
        <is>
          <t>PX_SETTLE</t>
        </is>
      </c>
      <c r="ML3" s="5" t="inlineStr">
        <is>
          <t>PX_VOLUME</t>
        </is>
      </c>
      <c r="MM3" s="5" t="inlineStr">
        <is>
          <t>OPEN_INT</t>
        </is>
      </c>
      <c r="MN3" s="5" t="inlineStr">
        <is>
          <t>IVOL_MID</t>
        </is>
      </c>
      <c r="MO3" s="5" t="inlineStr">
        <is>
          <t>IVOL_BID</t>
        </is>
      </c>
      <c r="MP3" s="5" t="inlineStr">
        <is>
          <t>IVOL_ASK</t>
        </is>
      </c>
      <c r="MQ3" s="5" t="inlineStr">
        <is>
          <t>DELTA_MID</t>
        </is>
      </c>
      <c r="MR3" s="5" t="inlineStr">
        <is>
          <t>GAMMA_MID</t>
        </is>
      </c>
      <c r="MS3" s="5" t="inlineStr">
        <is>
          <t>VEGA_MID</t>
        </is>
      </c>
      <c r="MT3" s="5" t="inlineStr">
        <is>
          <t>THETA_MID</t>
        </is>
      </c>
      <c r="MU3" s="5" t="inlineStr">
        <is>
          <t>OPT_UNDL_PX</t>
        </is>
      </c>
      <c r="MW3" s="5" t="inlineStr">
        <is>
          <t>Date</t>
        </is>
      </c>
      <c r="MX3" s="5" t="inlineStr">
        <is>
          <t>PX_BID</t>
        </is>
      </c>
      <c r="MY3" s="5" t="inlineStr">
        <is>
          <t>PX_ASK</t>
        </is>
      </c>
      <c r="MZ3" s="5" t="inlineStr">
        <is>
          <t>PX_MID</t>
        </is>
      </c>
      <c r="NA3" s="5" t="inlineStr">
        <is>
          <t>PX_LAST</t>
        </is>
      </c>
      <c r="NB3" s="5" t="inlineStr">
        <is>
          <t>PX_SETTLE</t>
        </is>
      </c>
      <c r="NC3" s="5" t="inlineStr">
        <is>
          <t>PX_VOLUME</t>
        </is>
      </c>
      <c r="ND3" s="5" t="inlineStr">
        <is>
          <t>OPEN_INT</t>
        </is>
      </c>
      <c r="NE3" s="5" t="inlineStr">
        <is>
          <t>IVOL_MID</t>
        </is>
      </c>
      <c r="NF3" s="5" t="inlineStr">
        <is>
          <t>IVOL_BID</t>
        </is>
      </c>
      <c r="NG3" s="5" t="inlineStr">
        <is>
          <t>IVOL_ASK</t>
        </is>
      </c>
      <c r="NH3" s="5" t="inlineStr">
        <is>
          <t>DELTA_MID</t>
        </is>
      </c>
      <c r="NI3" s="5" t="inlineStr">
        <is>
          <t>GAMMA_MID</t>
        </is>
      </c>
      <c r="NJ3" s="5" t="inlineStr">
        <is>
          <t>VEGA_MID</t>
        </is>
      </c>
      <c r="NK3" s="5" t="inlineStr">
        <is>
          <t>THETA_MID</t>
        </is>
      </c>
      <c r="NL3" s="5" t="inlineStr">
        <is>
          <t>OPT_UNDL_PX</t>
        </is>
      </c>
    </row>
    <row r="4">
      <c r="A4" s="2" t="inlineStr">
        <is>
          <t>Strike reference date</t>
        </is>
      </c>
      <c r="B4" s="8">
        <f>B3-45</f>
        <v/>
      </c>
      <c r="D4" s="4">
        <f>BDH(D$1,E$3:S$3,$B$8,$B$9,"Dir=V","Dts=S","Sort=A","Days=T","Fill=B")</f>
        <v/>
      </c>
      <c r="U4" s="4">
        <f>BDH(U$1,V$3:AJ$3,$B$8,$B$9,"Dir=V","Dts=S","Sort=A","Days=T","Fill=B")</f>
        <v/>
      </c>
      <c r="AL4" s="4">
        <f>BDH(AL$1,AM$3:BA$3,$B$8,$B$9,"Dir=V","Dts=S","Sort=A","Days=T","Fill=B")</f>
        <v/>
      </c>
      <c r="BC4" s="4">
        <f>BDH(BC$1,BD$3:BR$3,$B$8,$B$9,"Dir=V","Dts=S","Sort=A","Days=T","Fill=B")</f>
        <v/>
      </c>
      <c r="BT4" s="4">
        <f>BDH(BT$1,BU$3:CI$3,$B$8,$B$9,"Dir=V","Dts=S","Sort=A","Days=T","Fill=B")</f>
        <v/>
      </c>
      <c r="CK4" s="4">
        <f>BDH(CK$1,CL$3:CZ$3,$B$8,$B$9,"Dir=V","Dts=S","Sort=A","Days=T","Fill=B")</f>
        <v/>
      </c>
      <c r="DB4" s="4">
        <f>BDH(DB$1,DC$3:DQ$3,$B$8,$B$9,"Dir=V","Dts=S","Sort=A","Days=T","Fill=B")</f>
        <v/>
      </c>
      <c r="DS4" s="4">
        <f>BDH(DS$1,DT$3:EH$3,$B$8,$B$9,"Dir=V","Dts=S","Sort=A","Days=T","Fill=B")</f>
        <v/>
      </c>
      <c r="EJ4" s="4">
        <f>BDH(EJ$1,EK$3:EY$3,$B$8,$B$9,"Dir=V","Dts=S","Sort=A","Days=T","Fill=B")</f>
        <v/>
      </c>
      <c r="FA4" s="4">
        <f>BDH(FA$1,FB$3:FP$3,$B$8,$B$9,"Dir=V","Dts=S","Sort=A","Days=T","Fill=B")</f>
        <v/>
      </c>
      <c r="FR4" s="4">
        <f>BDH(FR$1,FS$3:GG$3,$B$8,$B$9,"Dir=V","Dts=S","Sort=A","Days=T","Fill=B")</f>
        <v/>
      </c>
      <c r="GI4" s="4">
        <f>BDH(GI$1,GJ$3:GX$3,$B$8,$B$9,"Dir=V","Dts=S","Sort=A","Days=T","Fill=B")</f>
        <v/>
      </c>
      <c r="GZ4" s="4">
        <f>BDH(GZ$1,HA$3:HO$3,$B$8,$B$9,"Dir=V","Dts=S","Sort=A","Days=T","Fill=B")</f>
        <v/>
      </c>
      <c r="HQ4" s="4">
        <f>BDH(HQ$1,HR$3:IF$3,$B$8,$B$9,"Dir=V","Dts=S","Sort=A","Days=T","Fill=B")</f>
        <v/>
      </c>
      <c r="IH4" s="4">
        <f>BDH(IH$1,II$3:IW$3,$B$8,$B$9,"Dir=V","Dts=S","Sort=A","Days=T","Fill=B")</f>
        <v/>
      </c>
      <c r="IY4" s="4">
        <f>BDH(IY$1,IZ$3:JN$3,$B$8,$B$9,"Dir=V","Dts=S","Sort=A","Days=T","Fill=B")</f>
        <v/>
      </c>
      <c r="JP4" s="4">
        <f>BDH(JP$1,JQ$3:KE$3,$B$8,$B$9,"Dir=V","Dts=S","Sort=A","Days=T","Fill=B")</f>
        <v/>
      </c>
      <c r="KG4" s="4">
        <f>BDH(KG$1,KH$3:KV$3,$B$8,$B$9,"Dir=V","Dts=S","Sort=A","Days=T","Fill=B")</f>
        <v/>
      </c>
      <c r="KX4" s="4">
        <f>BDH(KX$1,KY$3:LM$3,$B$8,$B$9,"Dir=V","Dts=S","Sort=A","Days=T","Fill=B")</f>
        <v/>
      </c>
      <c r="LO4" s="4">
        <f>BDH(LO$1,LP$3:MD$3,$B$8,$B$9,"Dir=V","Dts=S","Sort=A","Days=T","Fill=B")</f>
        <v/>
      </c>
      <c r="MF4" s="4">
        <f>BDH(MF$1,MG$3:MU$3,$B$8,$B$9,"Dir=V","Dts=S","Sort=A","Days=T","Fill=B")</f>
        <v/>
      </c>
      <c r="MW4" s="4">
        <f>BDH(MW$1,MX$3:NL$3,$B$8,$B$9,"Dir=V","Dts=S","Sort=A","Days=T","Fill=B")</f>
        <v/>
      </c>
    </row>
    <row r="5">
      <c r="A5" s="2" t="inlineStr">
        <is>
          <t>Unadjusted close then</t>
        </is>
      </c>
      <c r="B5" s="10">
        <f>IF(B2="","",BDH(B2,"PX_LAST",B4,B4,"Days=A","Fill=P","Dts=H","CshAdjNormal=N","CshAdjAbnormal=N","CapChg=N"))</f>
        <v/>
      </c>
    </row>
    <row r="6">
      <c r="A6" s="2" t="inlineStr">
        <is>
          <t>Strike step</t>
        </is>
      </c>
      <c r="B6" s="11">
        <f>IF(ISNUMBER(B5),IF(B5&lt;25,0.5,IF(B5&lt;250,1,5)),"")</f>
        <v/>
      </c>
    </row>
    <row r="7">
      <c r="A7" s="2" t="inlineStr">
        <is>
          <t>ATM strike</t>
        </is>
      </c>
      <c r="B7" s="11">
        <f>IF(ISNUMBER(B5),ROUND(B5/B6,0)*B6,"")</f>
        <v/>
      </c>
    </row>
    <row r="8">
      <c r="A8" s="2" t="inlineStr">
        <is>
          <t>History start</t>
        </is>
      </c>
      <c r="B8" s="8">
        <f>B3-100</f>
        <v/>
      </c>
    </row>
    <row r="9">
      <c r="A9" s="2" t="inlineStr">
        <is>
          <t>History end</t>
        </is>
      </c>
      <c r="B9" s="8">
        <f>B3</f>
        <v/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NL9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2" customWidth="1" min="2" max="2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1" customWidth="1" min="15" max="15"/>
    <col width="11" customWidth="1" min="16" max="16"/>
    <col width="10" customWidth="1" min="17" max="17"/>
    <col width="11" customWidth="1" min="18" max="18"/>
    <col width="13" customWidth="1" min="19" max="19"/>
    <col width="12" customWidth="1" min="21" max="21"/>
    <col width="10" customWidth="1" min="22" max="22"/>
    <col width="10" customWidth="1" min="23" max="23"/>
    <col width="10" customWidth="1" min="24" max="24"/>
    <col width="10" customWidth="1" min="25" max="25"/>
    <col width="11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1" customWidth="1" min="32" max="32"/>
    <col width="11" customWidth="1" min="33" max="33"/>
    <col width="10" customWidth="1" min="34" max="34"/>
    <col width="11" customWidth="1" min="35" max="35"/>
    <col width="13" customWidth="1" min="36" max="36"/>
    <col width="12" customWidth="1" min="38" max="38"/>
    <col width="10" customWidth="1" min="39" max="39"/>
    <col width="10" customWidth="1" min="40" max="40"/>
    <col width="10" customWidth="1" min="41" max="41"/>
    <col width="10" customWidth="1" min="42" max="42"/>
    <col width="11" customWidth="1" min="43" max="43"/>
    <col width="11" customWidth="1" min="44" max="44"/>
    <col width="10" customWidth="1" min="45" max="45"/>
    <col width="10" customWidth="1" min="46" max="46"/>
    <col width="10" customWidth="1" min="47" max="47"/>
    <col width="10" customWidth="1" min="48" max="48"/>
    <col width="11" customWidth="1" min="49" max="49"/>
    <col width="11" customWidth="1" min="50" max="50"/>
    <col width="10" customWidth="1" min="51" max="51"/>
    <col width="11" customWidth="1" min="52" max="52"/>
    <col width="13" customWidth="1" min="53" max="53"/>
    <col width="12" customWidth="1" min="55" max="55"/>
    <col width="10" customWidth="1" min="56" max="56"/>
    <col width="10" customWidth="1" min="57" max="57"/>
    <col width="10" customWidth="1" min="58" max="58"/>
    <col width="10" customWidth="1" min="59" max="59"/>
    <col width="11" customWidth="1" min="60" max="60"/>
    <col width="11" customWidth="1" min="61" max="61"/>
    <col width="10" customWidth="1" min="62" max="62"/>
    <col width="10" customWidth="1" min="63" max="63"/>
    <col width="10" customWidth="1" min="64" max="64"/>
    <col width="10" customWidth="1" min="65" max="65"/>
    <col width="11" customWidth="1" min="66" max="66"/>
    <col width="11" customWidth="1" min="67" max="67"/>
    <col width="10" customWidth="1" min="68" max="68"/>
    <col width="11" customWidth="1" min="69" max="69"/>
    <col width="13" customWidth="1" min="70" max="70"/>
    <col width="12" customWidth="1" min="72" max="72"/>
    <col width="10" customWidth="1" min="73" max="73"/>
    <col width="10" customWidth="1" min="74" max="74"/>
    <col width="10" customWidth="1" min="75" max="75"/>
    <col width="10" customWidth="1" min="76" max="76"/>
    <col width="11" customWidth="1" min="77" max="77"/>
    <col width="11" customWidth="1" min="78" max="78"/>
    <col width="10" customWidth="1" min="79" max="79"/>
    <col width="10" customWidth="1" min="80" max="80"/>
    <col width="10" customWidth="1" min="81" max="81"/>
    <col width="10" customWidth="1" min="82" max="82"/>
    <col width="11" customWidth="1" min="83" max="83"/>
    <col width="11" customWidth="1" min="84" max="84"/>
    <col width="10" customWidth="1" min="85" max="85"/>
    <col width="11" customWidth="1" min="86" max="86"/>
    <col width="13" customWidth="1" min="87" max="87"/>
    <col width="12" customWidth="1" min="89" max="89"/>
    <col width="10" customWidth="1" min="90" max="90"/>
    <col width="10" customWidth="1" min="91" max="91"/>
    <col width="10" customWidth="1" min="92" max="92"/>
    <col width="10" customWidth="1" min="93" max="93"/>
    <col width="11" customWidth="1" min="94" max="94"/>
    <col width="11" customWidth="1" min="95" max="95"/>
    <col width="10" customWidth="1" min="96" max="96"/>
    <col width="10" customWidth="1" min="97" max="97"/>
    <col width="10" customWidth="1" min="98" max="98"/>
    <col width="10" customWidth="1" min="99" max="99"/>
    <col width="11" customWidth="1" min="100" max="100"/>
    <col width="11" customWidth="1" min="101" max="101"/>
    <col width="10" customWidth="1" min="102" max="102"/>
    <col width="11" customWidth="1" min="103" max="103"/>
    <col width="13" customWidth="1" min="104" max="104"/>
    <col width="12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1" customWidth="1" min="111" max="111"/>
    <col width="11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1" customWidth="1" min="117" max="117"/>
    <col width="11" customWidth="1" min="118" max="118"/>
    <col width="10" customWidth="1" min="119" max="119"/>
    <col width="11" customWidth="1" min="120" max="120"/>
    <col width="13" customWidth="1" min="121" max="121"/>
    <col width="12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1" customWidth="1" min="128" max="128"/>
    <col width="11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1" customWidth="1" min="134" max="134"/>
    <col width="11" customWidth="1" min="135" max="135"/>
    <col width="10" customWidth="1" min="136" max="136"/>
    <col width="11" customWidth="1" min="137" max="137"/>
    <col width="13" customWidth="1" min="138" max="138"/>
    <col width="12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1" customWidth="1" min="145" max="145"/>
    <col width="11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1" customWidth="1" min="151" max="151"/>
    <col width="11" customWidth="1" min="152" max="152"/>
    <col width="10" customWidth="1" min="153" max="153"/>
    <col width="11" customWidth="1" min="154" max="154"/>
    <col width="13" customWidth="1" min="155" max="155"/>
    <col width="12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1" customWidth="1" min="162" max="162"/>
    <col width="11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1" customWidth="1" min="168" max="168"/>
    <col width="11" customWidth="1" min="169" max="169"/>
    <col width="10" customWidth="1" min="170" max="170"/>
    <col width="11" customWidth="1" min="171" max="171"/>
    <col width="13" customWidth="1" min="172" max="172"/>
    <col width="12" customWidth="1" min="174" max="174"/>
    <col width="10" customWidth="1" min="175" max="175"/>
    <col width="10" customWidth="1" min="176" max="176"/>
    <col width="10" customWidth="1" min="177" max="177"/>
    <col width="10" customWidth="1" min="178" max="178"/>
    <col width="11" customWidth="1" min="179" max="179"/>
    <col width="11" customWidth="1" min="180" max="180"/>
    <col width="10" customWidth="1" min="181" max="181"/>
    <col width="10" customWidth="1" min="182" max="182"/>
    <col width="10" customWidth="1" min="183" max="183"/>
    <col width="10" customWidth="1" min="184" max="184"/>
    <col width="11" customWidth="1" min="185" max="185"/>
    <col width="11" customWidth="1" min="186" max="186"/>
    <col width="10" customWidth="1" min="187" max="187"/>
    <col width="11" customWidth="1" min="188" max="188"/>
    <col width="13" customWidth="1" min="189" max="189"/>
    <col width="12" customWidth="1" min="191" max="191"/>
    <col width="10" customWidth="1" min="192" max="192"/>
    <col width="10" customWidth="1" min="193" max="193"/>
    <col width="10" customWidth="1" min="194" max="194"/>
    <col width="10" customWidth="1" min="195" max="195"/>
    <col width="11" customWidth="1" min="196" max="196"/>
    <col width="11" customWidth="1" min="197" max="197"/>
    <col width="10" customWidth="1" min="198" max="198"/>
    <col width="10" customWidth="1" min="199" max="199"/>
    <col width="10" customWidth="1" min="200" max="200"/>
    <col width="10" customWidth="1" min="201" max="201"/>
    <col width="11" customWidth="1" min="202" max="202"/>
    <col width="11" customWidth="1" min="203" max="203"/>
    <col width="10" customWidth="1" min="204" max="204"/>
    <col width="11" customWidth="1" min="205" max="205"/>
    <col width="13" customWidth="1" min="206" max="206"/>
    <col width="12" customWidth="1" min="208" max="208"/>
    <col width="10" customWidth="1" min="209" max="209"/>
    <col width="10" customWidth="1" min="210" max="210"/>
    <col width="10" customWidth="1" min="211" max="211"/>
    <col width="10" customWidth="1" min="212" max="212"/>
    <col width="11" customWidth="1" min="213" max="213"/>
    <col width="11" customWidth="1" min="214" max="214"/>
    <col width="10" customWidth="1" min="215" max="215"/>
    <col width="10" customWidth="1" min="216" max="216"/>
    <col width="10" customWidth="1" min="217" max="217"/>
    <col width="10" customWidth="1" min="218" max="218"/>
    <col width="11" customWidth="1" min="219" max="219"/>
    <col width="11" customWidth="1" min="220" max="220"/>
    <col width="10" customWidth="1" min="221" max="221"/>
    <col width="11" customWidth="1" min="222" max="222"/>
    <col width="13" customWidth="1" min="223" max="223"/>
    <col width="12" customWidth="1" min="225" max="225"/>
    <col width="10" customWidth="1" min="226" max="226"/>
    <col width="10" customWidth="1" min="227" max="227"/>
    <col width="10" customWidth="1" min="228" max="228"/>
    <col width="10" customWidth="1" min="229" max="229"/>
    <col width="11" customWidth="1" min="230" max="230"/>
    <col width="11" customWidth="1" min="231" max="231"/>
    <col width="10" customWidth="1" min="232" max="232"/>
    <col width="10" customWidth="1" min="233" max="233"/>
    <col width="10" customWidth="1" min="234" max="234"/>
    <col width="10" customWidth="1" min="235" max="235"/>
    <col width="11" customWidth="1" min="236" max="236"/>
    <col width="11" customWidth="1" min="237" max="237"/>
    <col width="10" customWidth="1" min="238" max="238"/>
    <col width="11" customWidth="1" min="239" max="239"/>
    <col width="13" customWidth="1" min="240" max="240"/>
    <col width="12" customWidth="1" min="242" max="242"/>
    <col width="10" customWidth="1" min="243" max="243"/>
    <col width="10" customWidth="1" min="244" max="244"/>
    <col width="10" customWidth="1" min="245" max="245"/>
    <col width="10" customWidth="1" min="246" max="246"/>
    <col width="11" customWidth="1" min="247" max="247"/>
    <col width="11" customWidth="1" min="248" max="248"/>
    <col width="10" customWidth="1" min="249" max="249"/>
    <col width="10" customWidth="1" min="250" max="250"/>
    <col width="10" customWidth="1" min="251" max="251"/>
    <col width="10" customWidth="1" min="252" max="252"/>
    <col width="11" customWidth="1" min="253" max="253"/>
    <col width="11" customWidth="1" min="254" max="254"/>
    <col width="10" customWidth="1" min="255" max="255"/>
    <col width="11" customWidth="1" min="256" max="256"/>
    <col width="13" customWidth="1" min="257" max="257"/>
    <col width="12" customWidth="1" min="259" max="259"/>
    <col width="10" customWidth="1" min="260" max="260"/>
    <col width="10" customWidth="1" min="261" max="261"/>
    <col width="10" customWidth="1" min="262" max="262"/>
    <col width="10" customWidth="1" min="263" max="263"/>
    <col width="11" customWidth="1" min="264" max="264"/>
    <col width="11" customWidth="1" min="265" max="265"/>
    <col width="10" customWidth="1" min="266" max="266"/>
    <col width="10" customWidth="1" min="267" max="267"/>
    <col width="10" customWidth="1" min="268" max="268"/>
    <col width="10" customWidth="1" min="269" max="269"/>
    <col width="11" customWidth="1" min="270" max="270"/>
    <col width="11" customWidth="1" min="271" max="271"/>
    <col width="10" customWidth="1" min="272" max="272"/>
    <col width="11" customWidth="1" min="273" max="273"/>
    <col width="13" customWidth="1" min="274" max="274"/>
    <col width="12" customWidth="1" min="276" max="276"/>
    <col width="10" customWidth="1" min="277" max="277"/>
    <col width="10" customWidth="1" min="278" max="278"/>
    <col width="10" customWidth="1" min="279" max="279"/>
    <col width="10" customWidth="1" min="280" max="280"/>
    <col width="11" customWidth="1" min="281" max="281"/>
    <col width="11" customWidth="1" min="282" max="282"/>
    <col width="10" customWidth="1" min="283" max="283"/>
    <col width="10" customWidth="1" min="284" max="284"/>
    <col width="10" customWidth="1" min="285" max="285"/>
    <col width="10" customWidth="1" min="286" max="286"/>
    <col width="11" customWidth="1" min="287" max="287"/>
    <col width="11" customWidth="1" min="288" max="288"/>
    <col width="10" customWidth="1" min="289" max="289"/>
    <col width="11" customWidth="1" min="290" max="290"/>
    <col width="13" customWidth="1" min="291" max="291"/>
    <col width="12" customWidth="1" min="293" max="293"/>
    <col width="10" customWidth="1" min="294" max="294"/>
    <col width="10" customWidth="1" min="295" max="295"/>
    <col width="10" customWidth="1" min="296" max="296"/>
    <col width="10" customWidth="1" min="297" max="297"/>
    <col width="11" customWidth="1" min="298" max="298"/>
    <col width="11" customWidth="1" min="299" max="299"/>
    <col width="10" customWidth="1" min="300" max="300"/>
    <col width="10" customWidth="1" min="301" max="301"/>
    <col width="10" customWidth="1" min="302" max="302"/>
    <col width="10" customWidth="1" min="303" max="303"/>
    <col width="11" customWidth="1" min="304" max="304"/>
    <col width="11" customWidth="1" min="305" max="305"/>
    <col width="10" customWidth="1" min="306" max="306"/>
    <col width="11" customWidth="1" min="307" max="307"/>
    <col width="13" customWidth="1" min="308" max="308"/>
    <col width="12" customWidth="1" min="310" max="310"/>
    <col width="10" customWidth="1" min="311" max="311"/>
    <col width="10" customWidth="1" min="312" max="312"/>
    <col width="10" customWidth="1" min="313" max="313"/>
    <col width="10" customWidth="1" min="314" max="314"/>
    <col width="11" customWidth="1" min="315" max="315"/>
    <col width="11" customWidth="1" min="316" max="316"/>
    <col width="10" customWidth="1" min="317" max="317"/>
    <col width="10" customWidth="1" min="318" max="318"/>
    <col width="10" customWidth="1" min="319" max="319"/>
    <col width="10" customWidth="1" min="320" max="320"/>
    <col width="11" customWidth="1" min="321" max="321"/>
    <col width="11" customWidth="1" min="322" max="322"/>
    <col width="10" customWidth="1" min="323" max="323"/>
    <col width="11" customWidth="1" min="324" max="324"/>
    <col width="13" customWidth="1" min="325" max="325"/>
    <col width="12" customWidth="1" min="327" max="327"/>
    <col width="10" customWidth="1" min="328" max="328"/>
    <col width="10" customWidth="1" min="329" max="329"/>
    <col width="10" customWidth="1" min="330" max="330"/>
    <col width="10" customWidth="1" min="331" max="331"/>
    <col width="11" customWidth="1" min="332" max="332"/>
    <col width="11" customWidth="1" min="333" max="333"/>
    <col width="10" customWidth="1" min="334" max="334"/>
    <col width="10" customWidth="1" min="335" max="335"/>
    <col width="10" customWidth="1" min="336" max="336"/>
    <col width="10" customWidth="1" min="337" max="337"/>
    <col width="11" customWidth="1" min="338" max="338"/>
    <col width="11" customWidth="1" min="339" max="339"/>
    <col width="10" customWidth="1" min="340" max="340"/>
    <col width="11" customWidth="1" min="341" max="341"/>
    <col width="13" customWidth="1" min="342" max="342"/>
    <col width="12" customWidth="1" min="344" max="344"/>
    <col width="10" customWidth="1" min="345" max="345"/>
    <col width="10" customWidth="1" min="346" max="346"/>
    <col width="10" customWidth="1" min="347" max="347"/>
    <col width="10" customWidth="1" min="348" max="348"/>
    <col width="11" customWidth="1" min="349" max="349"/>
    <col width="11" customWidth="1" min="350" max="350"/>
    <col width="10" customWidth="1" min="351" max="351"/>
    <col width="10" customWidth="1" min="352" max="352"/>
    <col width="10" customWidth="1" min="353" max="353"/>
    <col width="10" customWidth="1" min="354" max="354"/>
    <col width="11" customWidth="1" min="355" max="355"/>
    <col width="11" customWidth="1" min="356" max="356"/>
    <col width="10" customWidth="1" min="357" max="357"/>
    <col width="11" customWidth="1" min="358" max="358"/>
    <col width="13" customWidth="1" min="359" max="359"/>
    <col width="12" customWidth="1" min="361" max="361"/>
    <col width="10" customWidth="1" min="362" max="362"/>
    <col width="10" customWidth="1" min="363" max="363"/>
    <col width="10" customWidth="1" min="364" max="364"/>
    <col width="10" customWidth="1" min="365" max="365"/>
    <col width="11" customWidth="1" min="366" max="366"/>
    <col width="11" customWidth="1" min="367" max="367"/>
    <col width="10" customWidth="1" min="368" max="368"/>
    <col width="10" customWidth="1" min="369" max="369"/>
    <col width="10" customWidth="1" min="370" max="370"/>
    <col width="10" customWidth="1" min="371" max="371"/>
    <col width="11" customWidth="1" min="372" max="372"/>
    <col width="11" customWidth="1" min="373" max="373"/>
    <col width="10" customWidth="1" min="374" max="374"/>
    <col width="11" customWidth="1" min="375" max="375"/>
    <col width="13" customWidth="1" min="376" max="376"/>
  </cols>
  <sheetData>
    <row r="1">
      <c r="A1" s="2" t="inlineStr">
        <is>
          <t>Month</t>
        </is>
      </c>
      <c r="B1" s="9" t="n">
        <v>11</v>
      </c>
      <c r="D1" s="2">
        <f>IF(ISNUMBER(B$7),"USO US "&amp;TEXT(B$3,"mm/dd/yy")&amp;" C"&amp;(B$7-5*B$6)&amp;" Equity","")</f>
        <v/>
      </c>
      <c r="U1" s="2">
        <f>IF(ISNUMBER(B$7),"USO US "&amp;TEXT(B$3,"mm/dd/yy")&amp;" P"&amp;(B$7-5*B$6)&amp;" Equity","")</f>
        <v/>
      </c>
      <c r="AL1" s="2">
        <f>IF(ISNUMBER(B$7),"USO US "&amp;TEXT(B$3,"mm/dd/yy")&amp;" C"&amp;(B$7-4*B$6)&amp;" Equity","")</f>
        <v/>
      </c>
      <c r="BC1" s="2">
        <f>IF(ISNUMBER(B$7),"USO US "&amp;TEXT(B$3,"mm/dd/yy")&amp;" P"&amp;(B$7-4*B$6)&amp;" Equity","")</f>
        <v/>
      </c>
      <c r="BT1" s="2">
        <f>IF(ISNUMBER(B$7),"USO US "&amp;TEXT(B$3,"mm/dd/yy")&amp;" C"&amp;(B$7-3*B$6)&amp;" Equity","")</f>
        <v/>
      </c>
      <c r="CK1" s="2">
        <f>IF(ISNUMBER(B$7),"USO US "&amp;TEXT(B$3,"mm/dd/yy")&amp;" P"&amp;(B$7-3*B$6)&amp;" Equity","")</f>
        <v/>
      </c>
      <c r="DB1" s="2">
        <f>IF(ISNUMBER(B$7),"USO US "&amp;TEXT(B$3,"mm/dd/yy")&amp;" C"&amp;(B$7-2*B$6)&amp;" Equity","")</f>
        <v/>
      </c>
      <c r="DS1" s="2">
        <f>IF(ISNUMBER(B$7),"USO US "&amp;TEXT(B$3,"mm/dd/yy")&amp;" P"&amp;(B$7-2*B$6)&amp;" Equity","")</f>
        <v/>
      </c>
      <c r="EJ1" s="2">
        <f>IF(ISNUMBER(B$7),"USO US "&amp;TEXT(B$3,"mm/dd/yy")&amp;" C"&amp;(B$7-1*B$6)&amp;" Equity","")</f>
        <v/>
      </c>
      <c r="FA1" s="2">
        <f>IF(ISNUMBER(B$7),"USO US "&amp;TEXT(B$3,"mm/dd/yy")&amp;" P"&amp;(B$7-1*B$6)&amp;" Equity","")</f>
        <v/>
      </c>
      <c r="FR1" s="2">
        <f>IF(ISNUMBER(B$7),"USO US "&amp;TEXT(B$3,"mm/dd/yy")&amp;" C"&amp;B$7&amp;" Equity","")</f>
        <v/>
      </c>
      <c r="GI1" s="2">
        <f>IF(ISNUMBER(B$7),"USO US "&amp;TEXT(B$3,"mm/dd/yy")&amp;" P"&amp;B$7&amp;" Equity","")</f>
        <v/>
      </c>
      <c r="GZ1" s="2">
        <f>IF(ISNUMBER(B$7),"USO US "&amp;TEXT(B$3,"mm/dd/yy")&amp;" C"&amp;(B$7+1*B$6)&amp;" Equity","")</f>
        <v/>
      </c>
      <c r="HQ1" s="2">
        <f>IF(ISNUMBER(B$7),"USO US "&amp;TEXT(B$3,"mm/dd/yy")&amp;" P"&amp;(B$7+1*B$6)&amp;" Equity","")</f>
        <v/>
      </c>
      <c r="IH1" s="2">
        <f>IF(ISNUMBER(B$7),"USO US "&amp;TEXT(B$3,"mm/dd/yy")&amp;" C"&amp;(B$7+2*B$6)&amp;" Equity","")</f>
        <v/>
      </c>
      <c r="IY1" s="2">
        <f>IF(ISNUMBER(B$7),"USO US "&amp;TEXT(B$3,"mm/dd/yy")&amp;" P"&amp;(B$7+2*B$6)&amp;" Equity","")</f>
        <v/>
      </c>
      <c r="JP1" s="2">
        <f>IF(ISNUMBER(B$7),"USO US "&amp;TEXT(B$3,"mm/dd/yy")&amp;" C"&amp;(B$7+3*B$6)&amp;" Equity","")</f>
        <v/>
      </c>
      <c r="KG1" s="2">
        <f>IF(ISNUMBER(B$7),"USO US "&amp;TEXT(B$3,"mm/dd/yy")&amp;" P"&amp;(B$7+3*B$6)&amp;" Equity","")</f>
        <v/>
      </c>
      <c r="KX1" s="2">
        <f>IF(ISNUMBER(B$7),"USO US "&amp;TEXT(B$3,"mm/dd/yy")&amp;" C"&amp;(B$7+4*B$6)&amp;" Equity","")</f>
        <v/>
      </c>
      <c r="LO1" s="2">
        <f>IF(ISNUMBER(B$7),"USO US "&amp;TEXT(B$3,"mm/dd/yy")&amp;" P"&amp;(B$7+4*B$6)&amp;" Equity","")</f>
        <v/>
      </c>
      <c r="MF1" s="2">
        <f>IF(ISNUMBER(B$7),"USO US "&amp;TEXT(B$3,"mm/dd/yy")&amp;" C"&amp;(B$7+5*B$6)&amp;" Equity","")</f>
        <v/>
      </c>
      <c r="MW1" s="2">
        <f>IF(ISNUMBER(B$7),"USO US "&amp;TEXT(B$3,"mm/dd/yy")&amp;" P"&amp;(B$7+5*B$6)&amp;" Equity","")</f>
        <v/>
      </c>
    </row>
    <row r="2">
      <c r="A2" s="2" t="inlineStr">
        <is>
          <t>Underlying</t>
        </is>
      </c>
      <c r="B2" s="4">
        <f>IF(Settings!$B$15="Y","USO US Equity","")</f>
        <v/>
      </c>
      <c r="D2" s="4" t="inlineStr">
        <is>
          <t>call -5 from ATM</t>
        </is>
      </c>
      <c r="U2" s="4" t="inlineStr">
        <is>
          <t>put -5 from ATM</t>
        </is>
      </c>
      <c r="AL2" s="4" t="inlineStr">
        <is>
          <t>call -4 from ATM</t>
        </is>
      </c>
      <c r="BC2" s="4" t="inlineStr">
        <is>
          <t>put -4 from ATM</t>
        </is>
      </c>
      <c r="BT2" s="4" t="inlineStr">
        <is>
          <t>call -3 from ATM</t>
        </is>
      </c>
      <c r="CK2" s="4" t="inlineStr">
        <is>
          <t>put -3 from ATM</t>
        </is>
      </c>
      <c r="DB2" s="4" t="inlineStr">
        <is>
          <t>call -2 from ATM</t>
        </is>
      </c>
      <c r="DS2" s="4" t="inlineStr">
        <is>
          <t>put -2 from ATM</t>
        </is>
      </c>
      <c r="EJ2" s="4" t="inlineStr">
        <is>
          <t>call -1 from ATM</t>
        </is>
      </c>
      <c r="FA2" s="4" t="inlineStr">
        <is>
          <t>put -1 from ATM</t>
        </is>
      </c>
      <c r="FR2" s="4" t="inlineStr">
        <is>
          <t>call +0 from ATM</t>
        </is>
      </c>
      <c r="GI2" s="4" t="inlineStr">
        <is>
          <t>put +0 from ATM</t>
        </is>
      </c>
      <c r="GZ2" s="4" t="inlineStr">
        <is>
          <t>call +1 from ATM</t>
        </is>
      </c>
      <c r="HQ2" s="4" t="inlineStr">
        <is>
          <t>put +1 from ATM</t>
        </is>
      </c>
      <c r="IH2" s="4" t="inlineStr">
        <is>
          <t>call +2 from ATM</t>
        </is>
      </c>
      <c r="IY2" s="4" t="inlineStr">
        <is>
          <t>put +2 from ATM</t>
        </is>
      </c>
      <c r="JP2" s="4" t="inlineStr">
        <is>
          <t>call +3 from ATM</t>
        </is>
      </c>
      <c r="KG2" s="4" t="inlineStr">
        <is>
          <t>put +3 from ATM</t>
        </is>
      </c>
      <c r="KX2" s="4" t="inlineStr">
        <is>
          <t>call +4 from ATM</t>
        </is>
      </c>
      <c r="LO2" s="4" t="inlineStr">
        <is>
          <t>put +4 from ATM</t>
        </is>
      </c>
      <c r="MF2" s="4" t="inlineStr">
        <is>
          <t>call +5 from ATM</t>
        </is>
      </c>
      <c r="MW2" s="4" t="inlineStr">
        <is>
          <t>put +5 from ATM</t>
        </is>
      </c>
    </row>
    <row r="3">
      <c r="A3" s="2" t="inlineStr">
        <is>
          <t>Expiry (3rd Friday)</t>
        </is>
      </c>
      <c r="B3" s="3">
        <f>DATE(Settings!$E$15,B1,15)+MOD(6-WEEKDAY(DATE(Settings!$E$15,B1,15)),7)</f>
        <v/>
      </c>
      <c r="D3" s="5" t="inlineStr">
        <is>
          <t>Date</t>
        </is>
      </c>
      <c r="E3" s="5" t="inlineStr">
        <is>
          <t>PX_BID</t>
        </is>
      </c>
      <c r="F3" s="5" t="inlineStr">
        <is>
          <t>PX_ASK</t>
        </is>
      </c>
      <c r="G3" s="5" t="inlineStr">
        <is>
          <t>PX_MID</t>
        </is>
      </c>
      <c r="H3" s="5" t="inlineStr">
        <is>
          <t>PX_LAST</t>
        </is>
      </c>
      <c r="I3" s="5" t="inlineStr">
        <is>
          <t>PX_SETTLE</t>
        </is>
      </c>
      <c r="J3" s="5" t="inlineStr">
        <is>
          <t>PX_VOLUME</t>
        </is>
      </c>
      <c r="K3" s="5" t="inlineStr">
        <is>
          <t>OPEN_INT</t>
        </is>
      </c>
      <c r="L3" s="5" t="inlineStr">
        <is>
          <t>IVOL_MID</t>
        </is>
      </c>
      <c r="M3" s="5" t="inlineStr">
        <is>
          <t>IVOL_BID</t>
        </is>
      </c>
      <c r="N3" s="5" t="inlineStr">
        <is>
          <t>IVOL_ASK</t>
        </is>
      </c>
      <c r="O3" s="5" t="inlineStr">
        <is>
          <t>DELTA_MID</t>
        </is>
      </c>
      <c r="P3" s="5" t="inlineStr">
        <is>
          <t>GAMMA_MID</t>
        </is>
      </c>
      <c r="Q3" s="5" t="inlineStr">
        <is>
          <t>VEGA_MID</t>
        </is>
      </c>
      <c r="R3" s="5" t="inlineStr">
        <is>
          <t>THETA_MID</t>
        </is>
      </c>
      <c r="S3" s="5" t="inlineStr">
        <is>
          <t>OPT_UNDL_PX</t>
        </is>
      </c>
      <c r="U3" s="5" t="inlineStr">
        <is>
          <t>Date</t>
        </is>
      </c>
      <c r="V3" s="5" t="inlineStr">
        <is>
          <t>PX_BID</t>
        </is>
      </c>
      <c r="W3" s="5" t="inlineStr">
        <is>
          <t>PX_ASK</t>
        </is>
      </c>
      <c r="X3" s="5" t="inlineStr">
        <is>
          <t>PX_MID</t>
        </is>
      </c>
      <c r="Y3" s="5" t="inlineStr">
        <is>
          <t>PX_LAST</t>
        </is>
      </c>
      <c r="Z3" s="5" t="inlineStr">
        <is>
          <t>PX_SETTLE</t>
        </is>
      </c>
      <c r="AA3" s="5" t="inlineStr">
        <is>
          <t>PX_VOLUME</t>
        </is>
      </c>
      <c r="AB3" s="5" t="inlineStr">
        <is>
          <t>OPEN_INT</t>
        </is>
      </c>
      <c r="AC3" s="5" t="inlineStr">
        <is>
          <t>IVOL_MID</t>
        </is>
      </c>
      <c r="AD3" s="5" t="inlineStr">
        <is>
          <t>IVOL_BID</t>
        </is>
      </c>
      <c r="AE3" s="5" t="inlineStr">
        <is>
          <t>IVOL_ASK</t>
        </is>
      </c>
      <c r="AF3" s="5" t="inlineStr">
        <is>
          <t>DELTA_MID</t>
        </is>
      </c>
      <c r="AG3" s="5" t="inlineStr">
        <is>
          <t>GAMMA_MID</t>
        </is>
      </c>
      <c r="AH3" s="5" t="inlineStr">
        <is>
          <t>VEGA_MID</t>
        </is>
      </c>
      <c r="AI3" s="5" t="inlineStr">
        <is>
          <t>THETA_MID</t>
        </is>
      </c>
      <c r="AJ3" s="5" t="inlineStr">
        <is>
          <t>OPT_UNDL_PX</t>
        </is>
      </c>
      <c r="AL3" s="5" t="inlineStr">
        <is>
          <t>Date</t>
        </is>
      </c>
      <c r="AM3" s="5" t="inlineStr">
        <is>
          <t>PX_BID</t>
        </is>
      </c>
      <c r="AN3" s="5" t="inlineStr">
        <is>
          <t>PX_ASK</t>
        </is>
      </c>
      <c r="AO3" s="5" t="inlineStr">
        <is>
          <t>PX_MID</t>
        </is>
      </c>
      <c r="AP3" s="5" t="inlineStr">
        <is>
          <t>PX_LAST</t>
        </is>
      </c>
      <c r="AQ3" s="5" t="inlineStr">
        <is>
          <t>PX_SETTLE</t>
        </is>
      </c>
      <c r="AR3" s="5" t="inlineStr">
        <is>
          <t>PX_VOLUME</t>
        </is>
      </c>
      <c r="AS3" s="5" t="inlineStr">
        <is>
          <t>OPEN_INT</t>
        </is>
      </c>
      <c r="AT3" s="5" t="inlineStr">
        <is>
          <t>IVOL_MID</t>
        </is>
      </c>
      <c r="AU3" s="5" t="inlineStr">
        <is>
          <t>IVOL_BID</t>
        </is>
      </c>
      <c r="AV3" s="5" t="inlineStr">
        <is>
          <t>IVOL_ASK</t>
        </is>
      </c>
      <c r="AW3" s="5" t="inlineStr">
        <is>
          <t>DELTA_MID</t>
        </is>
      </c>
      <c r="AX3" s="5" t="inlineStr">
        <is>
          <t>GAMMA_MID</t>
        </is>
      </c>
      <c r="AY3" s="5" t="inlineStr">
        <is>
          <t>VEGA_MID</t>
        </is>
      </c>
      <c r="AZ3" s="5" t="inlineStr">
        <is>
          <t>THETA_MID</t>
        </is>
      </c>
      <c r="BA3" s="5" t="inlineStr">
        <is>
          <t>OPT_UNDL_PX</t>
        </is>
      </c>
      <c r="BC3" s="5" t="inlineStr">
        <is>
          <t>Date</t>
        </is>
      </c>
      <c r="BD3" s="5" t="inlineStr">
        <is>
          <t>PX_BID</t>
        </is>
      </c>
      <c r="BE3" s="5" t="inlineStr">
        <is>
          <t>PX_ASK</t>
        </is>
      </c>
      <c r="BF3" s="5" t="inlineStr">
        <is>
          <t>PX_MID</t>
        </is>
      </c>
      <c r="BG3" s="5" t="inlineStr">
        <is>
          <t>PX_LAST</t>
        </is>
      </c>
      <c r="BH3" s="5" t="inlineStr">
        <is>
          <t>PX_SETTLE</t>
        </is>
      </c>
      <c r="BI3" s="5" t="inlineStr">
        <is>
          <t>PX_VOLUME</t>
        </is>
      </c>
      <c r="BJ3" s="5" t="inlineStr">
        <is>
          <t>OPEN_INT</t>
        </is>
      </c>
      <c r="BK3" s="5" t="inlineStr">
        <is>
          <t>IVOL_MID</t>
        </is>
      </c>
      <c r="BL3" s="5" t="inlineStr">
        <is>
          <t>IVOL_BID</t>
        </is>
      </c>
      <c r="BM3" s="5" t="inlineStr">
        <is>
          <t>IVOL_ASK</t>
        </is>
      </c>
      <c r="BN3" s="5" t="inlineStr">
        <is>
          <t>DELTA_MID</t>
        </is>
      </c>
      <c r="BO3" s="5" t="inlineStr">
        <is>
          <t>GAMMA_MID</t>
        </is>
      </c>
      <c r="BP3" s="5" t="inlineStr">
        <is>
          <t>VEGA_MID</t>
        </is>
      </c>
      <c r="BQ3" s="5" t="inlineStr">
        <is>
          <t>THETA_MID</t>
        </is>
      </c>
      <c r="BR3" s="5" t="inlineStr">
        <is>
          <t>OPT_UNDL_PX</t>
        </is>
      </c>
      <c r="BT3" s="5" t="inlineStr">
        <is>
          <t>Date</t>
        </is>
      </c>
      <c r="BU3" s="5" t="inlineStr">
        <is>
          <t>PX_BID</t>
        </is>
      </c>
      <c r="BV3" s="5" t="inlineStr">
        <is>
          <t>PX_ASK</t>
        </is>
      </c>
      <c r="BW3" s="5" t="inlineStr">
        <is>
          <t>PX_MID</t>
        </is>
      </c>
      <c r="BX3" s="5" t="inlineStr">
        <is>
          <t>PX_LAST</t>
        </is>
      </c>
      <c r="BY3" s="5" t="inlineStr">
        <is>
          <t>PX_SETTLE</t>
        </is>
      </c>
      <c r="BZ3" s="5" t="inlineStr">
        <is>
          <t>PX_VOLUME</t>
        </is>
      </c>
      <c r="CA3" s="5" t="inlineStr">
        <is>
          <t>OPEN_INT</t>
        </is>
      </c>
      <c r="CB3" s="5" t="inlineStr">
        <is>
          <t>IVOL_MID</t>
        </is>
      </c>
      <c r="CC3" s="5" t="inlineStr">
        <is>
          <t>IVOL_BID</t>
        </is>
      </c>
      <c r="CD3" s="5" t="inlineStr">
        <is>
          <t>IVOL_ASK</t>
        </is>
      </c>
      <c r="CE3" s="5" t="inlineStr">
        <is>
          <t>DELTA_MID</t>
        </is>
      </c>
      <c r="CF3" s="5" t="inlineStr">
        <is>
          <t>GAMMA_MID</t>
        </is>
      </c>
      <c r="CG3" s="5" t="inlineStr">
        <is>
          <t>VEGA_MID</t>
        </is>
      </c>
      <c r="CH3" s="5" t="inlineStr">
        <is>
          <t>THETA_MID</t>
        </is>
      </c>
      <c r="CI3" s="5" t="inlineStr">
        <is>
          <t>OPT_UNDL_PX</t>
        </is>
      </c>
      <c r="CK3" s="5" t="inlineStr">
        <is>
          <t>Date</t>
        </is>
      </c>
      <c r="CL3" s="5" t="inlineStr">
        <is>
          <t>PX_BID</t>
        </is>
      </c>
      <c r="CM3" s="5" t="inlineStr">
        <is>
          <t>PX_ASK</t>
        </is>
      </c>
      <c r="CN3" s="5" t="inlineStr">
        <is>
          <t>PX_MID</t>
        </is>
      </c>
      <c r="CO3" s="5" t="inlineStr">
        <is>
          <t>PX_LAST</t>
        </is>
      </c>
      <c r="CP3" s="5" t="inlineStr">
        <is>
          <t>PX_SETTLE</t>
        </is>
      </c>
      <c r="CQ3" s="5" t="inlineStr">
        <is>
          <t>PX_VOLUME</t>
        </is>
      </c>
      <c r="CR3" s="5" t="inlineStr">
        <is>
          <t>OPEN_INT</t>
        </is>
      </c>
      <c r="CS3" s="5" t="inlineStr">
        <is>
          <t>IVOL_MID</t>
        </is>
      </c>
      <c r="CT3" s="5" t="inlineStr">
        <is>
          <t>IVOL_BID</t>
        </is>
      </c>
      <c r="CU3" s="5" t="inlineStr">
        <is>
          <t>IVOL_ASK</t>
        </is>
      </c>
      <c r="CV3" s="5" t="inlineStr">
        <is>
          <t>DELTA_MID</t>
        </is>
      </c>
      <c r="CW3" s="5" t="inlineStr">
        <is>
          <t>GAMMA_MID</t>
        </is>
      </c>
      <c r="CX3" s="5" t="inlineStr">
        <is>
          <t>VEGA_MID</t>
        </is>
      </c>
      <c r="CY3" s="5" t="inlineStr">
        <is>
          <t>THETA_MID</t>
        </is>
      </c>
      <c r="CZ3" s="5" t="inlineStr">
        <is>
          <t>OPT_UNDL_PX</t>
        </is>
      </c>
      <c r="DB3" s="5" t="inlineStr">
        <is>
          <t>Date</t>
        </is>
      </c>
      <c r="DC3" s="5" t="inlineStr">
        <is>
          <t>PX_BID</t>
        </is>
      </c>
      <c r="DD3" s="5" t="inlineStr">
        <is>
          <t>PX_ASK</t>
        </is>
      </c>
      <c r="DE3" s="5" t="inlineStr">
        <is>
          <t>PX_MID</t>
        </is>
      </c>
      <c r="DF3" s="5" t="inlineStr">
        <is>
          <t>PX_LAST</t>
        </is>
      </c>
      <c r="DG3" s="5" t="inlineStr">
        <is>
          <t>PX_SETTLE</t>
        </is>
      </c>
      <c r="DH3" s="5" t="inlineStr">
        <is>
          <t>PX_VOLUME</t>
        </is>
      </c>
      <c r="DI3" s="5" t="inlineStr">
        <is>
          <t>OPEN_INT</t>
        </is>
      </c>
      <c r="DJ3" s="5" t="inlineStr">
        <is>
          <t>IVOL_MID</t>
        </is>
      </c>
      <c r="DK3" s="5" t="inlineStr">
        <is>
          <t>IVOL_BID</t>
        </is>
      </c>
      <c r="DL3" s="5" t="inlineStr">
        <is>
          <t>IVOL_ASK</t>
        </is>
      </c>
      <c r="DM3" s="5" t="inlineStr">
        <is>
          <t>DELTA_MID</t>
        </is>
      </c>
      <c r="DN3" s="5" t="inlineStr">
        <is>
          <t>GAMMA_MID</t>
        </is>
      </c>
      <c r="DO3" s="5" t="inlineStr">
        <is>
          <t>VEGA_MID</t>
        </is>
      </c>
      <c r="DP3" s="5" t="inlineStr">
        <is>
          <t>THETA_MID</t>
        </is>
      </c>
      <c r="DQ3" s="5" t="inlineStr">
        <is>
          <t>OPT_UNDL_PX</t>
        </is>
      </c>
      <c r="DS3" s="5" t="inlineStr">
        <is>
          <t>Date</t>
        </is>
      </c>
      <c r="DT3" s="5" t="inlineStr">
        <is>
          <t>PX_BID</t>
        </is>
      </c>
      <c r="DU3" s="5" t="inlineStr">
        <is>
          <t>PX_ASK</t>
        </is>
      </c>
      <c r="DV3" s="5" t="inlineStr">
        <is>
          <t>PX_MID</t>
        </is>
      </c>
      <c r="DW3" s="5" t="inlineStr">
        <is>
          <t>PX_LAST</t>
        </is>
      </c>
      <c r="DX3" s="5" t="inlineStr">
        <is>
          <t>PX_SETTLE</t>
        </is>
      </c>
      <c r="DY3" s="5" t="inlineStr">
        <is>
          <t>PX_VOLUME</t>
        </is>
      </c>
      <c r="DZ3" s="5" t="inlineStr">
        <is>
          <t>OPEN_INT</t>
        </is>
      </c>
      <c r="EA3" s="5" t="inlineStr">
        <is>
          <t>IVOL_MID</t>
        </is>
      </c>
      <c r="EB3" s="5" t="inlineStr">
        <is>
          <t>IVOL_BID</t>
        </is>
      </c>
      <c r="EC3" s="5" t="inlineStr">
        <is>
          <t>IVOL_ASK</t>
        </is>
      </c>
      <c r="ED3" s="5" t="inlineStr">
        <is>
          <t>DELTA_MID</t>
        </is>
      </c>
      <c r="EE3" s="5" t="inlineStr">
        <is>
          <t>GAMMA_MID</t>
        </is>
      </c>
      <c r="EF3" s="5" t="inlineStr">
        <is>
          <t>VEGA_MID</t>
        </is>
      </c>
      <c r="EG3" s="5" t="inlineStr">
        <is>
          <t>THETA_MID</t>
        </is>
      </c>
      <c r="EH3" s="5" t="inlineStr">
        <is>
          <t>OPT_UNDL_PX</t>
        </is>
      </c>
      <c r="EJ3" s="5" t="inlineStr">
        <is>
          <t>Date</t>
        </is>
      </c>
      <c r="EK3" s="5" t="inlineStr">
        <is>
          <t>PX_BID</t>
        </is>
      </c>
      <c r="EL3" s="5" t="inlineStr">
        <is>
          <t>PX_ASK</t>
        </is>
      </c>
      <c r="EM3" s="5" t="inlineStr">
        <is>
          <t>PX_MID</t>
        </is>
      </c>
      <c r="EN3" s="5" t="inlineStr">
        <is>
          <t>PX_LAST</t>
        </is>
      </c>
      <c r="EO3" s="5" t="inlineStr">
        <is>
          <t>PX_SETTLE</t>
        </is>
      </c>
      <c r="EP3" s="5" t="inlineStr">
        <is>
          <t>PX_VOLUME</t>
        </is>
      </c>
      <c r="EQ3" s="5" t="inlineStr">
        <is>
          <t>OPEN_INT</t>
        </is>
      </c>
      <c r="ER3" s="5" t="inlineStr">
        <is>
          <t>IVOL_MID</t>
        </is>
      </c>
      <c r="ES3" s="5" t="inlineStr">
        <is>
          <t>IVOL_BID</t>
        </is>
      </c>
      <c r="ET3" s="5" t="inlineStr">
        <is>
          <t>IVOL_ASK</t>
        </is>
      </c>
      <c r="EU3" s="5" t="inlineStr">
        <is>
          <t>DELTA_MID</t>
        </is>
      </c>
      <c r="EV3" s="5" t="inlineStr">
        <is>
          <t>GAMMA_MID</t>
        </is>
      </c>
      <c r="EW3" s="5" t="inlineStr">
        <is>
          <t>VEGA_MID</t>
        </is>
      </c>
      <c r="EX3" s="5" t="inlineStr">
        <is>
          <t>THETA_MID</t>
        </is>
      </c>
      <c r="EY3" s="5" t="inlineStr">
        <is>
          <t>OPT_UNDL_PX</t>
        </is>
      </c>
      <c r="FA3" s="5" t="inlineStr">
        <is>
          <t>Date</t>
        </is>
      </c>
      <c r="FB3" s="5" t="inlineStr">
        <is>
          <t>PX_BID</t>
        </is>
      </c>
      <c r="FC3" s="5" t="inlineStr">
        <is>
          <t>PX_ASK</t>
        </is>
      </c>
      <c r="FD3" s="5" t="inlineStr">
        <is>
          <t>PX_MID</t>
        </is>
      </c>
      <c r="FE3" s="5" t="inlineStr">
        <is>
          <t>PX_LAST</t>
        </is>
      </c>
      <c r="FF3" s="5" t="inlineStr">
        <is>
          <t>PX_SETTLE</t>
        </is>
      </c>
      <c r="FG3" s="5" t="inlineStr">
        <is>
          <t>PX_VOLUME</t>
        </is>
      </c>
      <c r="FH3" s="5" t="inlineStr">
        <is>
          <t>OPEN_INT</t>
        </is>
      </c>
      <c r="FI3" s="5" t="inlineStr">
        <is>
          <t>IVOL_MID</t>
        </is>
      </c>
      <c r="FJ3" s="5" t="inlineStr">
        <is>
          <t>IVOL_BID</t>
        </is>
      </c>
      <c r="FK3" s="5" t="inlineStr">
        <is>
          <t>IVOL_ASK</t>
        </is>
      </c>
      <c r="FL3" s="5" t="inlineStr">
        <is>
          <t>DELTA_MID</t>
        </is>
      </c>
      <c r="FM3" s="5" t="inlineStr">
        <is>
          <t>GAMMA_MID</t>
        </is>
      </c>
      <c r="FN3" s="5" t="inlineStr">
        <is>
          <t>VEGA_MID</t>
        </is>
      </c>
      <c r="FO3" s="5" t="inlineStr">
        <is>
          <t>THETA_MID</t>
        </is>
      </c>
      <c r="FP3" s="5" t="inlineStr">
        <is>
          <t>OPT_UNDL_PX</t>
        </is>
      </c>
      <c r="FR3" s="5" t="inlineStr">
        <is>
          <t>Date</t>
        </is>
      </c>
      <c r="FS3" s="5" t="inlineStr">
        <is>
          <t>PX_BID</t>
        </is>
      </c>
      <c r="FT3" s="5" t="inlineStr">
        <is>
          <t>PX_ASK</t>
        </is>
      </c>
      <c r="FU3" s="5" t="inlineStr">
        <is>
          <t>PX_MID</t>
        </is>
      </c>
      <c r="FV3" s="5" t="inlineStr">
        <is>
          <t>PX_LAST</t>
        </is>
      </c>
      <c r="FW3" s="5" t="inlineStr">
        <is>
          <t>PX_SETTLE</t>
        </is>
      </c>
      <c r="FX3" s="5" t="inlineStr">
        <is>
          <t>PX_VOLUME</t>
        </is>
      </c>
      <c r="FY3" s="5" t="inlineStr">
        <is>
          <t>OPEN_INT</t>
        </is>
      </c>
      <c r="FZ3" s="5" t="inlineStr">
        <is>
          <t>IVOL_MID</t>
        </is>
      </c>
      <c r="GA3" s="5" t="inlineStr">
        <is>
          <t>IVOL_BID</t>
        </is>
      </c>
      <c r="GB3" s="5" t="inlineStr">
        <is>
          <t>IVOL_ASK</t>
        </is>
      </c>
      <c r="GC3" s="5" t="inlineStr">
        <is>
          <t>DELTA_MID</t>
        </is>
      </c>
      <c r="GD3" s="5" t="inlineStr">
        <is>
          <t>GAMMA_MID</t>
        </is>
      </c>
      <c r="GE3" s="5" t="inlineStr">
        <is>
          <t>VEGA_MID</t>
        </is>
      </c>
      <c r="GF3" s="5" t="inlineStr">
        <is>
          <t>THETA_MID</t>
        </is>
      </c>
      <c r="GG3" s="5" t="inlineStr">
        <is>
          <t>OPT_UNDL_PX</t>
        </is>
      </c>
      <c r="GI3" s="5" t="inlineStr">
        <is>
          <t>Date</t>
        </is>
      </c>
      <c r="GJ3" s="5" t="inlineStr">
        <is>
          <t>PX_BID</t>
        </is>
      </c>
      <c r="GK3" s="5" t="inlineStr">
        <is>
          <t>PX_ASK</t>
        </is>
      </c>
      <c r="GL3" s="5" t="inlineStr">
        <is>
          <t>PX_MID</t>
        </is>
      </c>
      <c r="GM3" s="5" t="inlineStr">
        <is>
          <t>PX_LAST</t>
        </is>
      </c>
      <c r="GN3" s="5" t="inlineStr">
        <is>
          <t>PX_SETTLE</t>
        </is>
      </c>
      <c r="GO3" s="5" t="inlineStr">
        <is>
          <t>PX_VOLUME</t>
        </is>
      </c>
      <c r="GP3" s="5" t="inlineStr">
        <is>
          <t>OPEN_INT</t>
        </is>
      </c>
      <c r="GQ3" s="5" t="inlineStr">
        <is>
          <t>IVOL_MID</t>
        </is>
      </c>
      <c r="GR3" s="5" t="inlineStr">
        <is>
          <t>IVOL_BID</t>
        </is>
      </c>
      <c r="GS3" s="5" t="inlineStr">
        <is>
          <t>IVOL_ASK</t>
        </is>
      </c>
      <c r="GT3" s="5" t="inlineStr">
        <is>
          <t>DELTA_MID</t>
        </is>
      </c>
      <c r="GU3" s="5" t="inlineStr">
        <is>
          <t>GAMMA_MID</t>
        </is>
      </c>
      <c r="GV3" s="5" t="inlineStr">
        <is>
          <t>VEGA_MID</t>
        </is>
      </c>
      <c r="GW3" s="5" t="inlineStr">
        <is>
          <t>THETA_MID</t>
        </is>
      </c>
      <c r="GX3" s="5" t="inlineStr">
        <is>
          <t>OPT_UNDL_PX</t>
        </is>
      </c>
      <c r="GZ3" s="5" t="inlineStr">
        <is>
          <t>Date</t>
        </is>
      </c>
      <c r="HA3" s="5" t="inlineStr">
        <is>
          <t>PX_BID</t>
        </is>
      </c>
      <c r="HB3" s="5" t="inlineStr">
        <is>
          <t>PX_ASK</t>
        </is>
      </c>
      <c r="HC3" s="5" t="inlineStr">
        <is>
          <t>PX_MID</t>
        </is>
      </c>
      <c r="HD3" s="5" t="inlineStr">
        <is>
          <t>PX_LAST</t>
        </is>
      </c>
      <c r="HE3" s="5" t="inlineStr">
        <is>
          <t>PX_SETTLE</t>
        </is>
      </c>
      <c r="HF3" s="5" t="inlineStr">
        <is>
          <t>PX_VOLUME</t>
        </is>
      </c>
      <c r="HG3" s="5" t="inlineStr">
        <is>
          <t>OPEN_INT</t>
        </is>
      </c>
      <c r="HH3" s="5" t="inlineStr">
        <is>
          <t>IVOL_MID</t>
        </is>
      </c>
      <c r="HI3" s="5" t="inlineStr">
        <is>
          <t>IVOL_BID</t>
        </is>
      </c>
      <c r="HJ3" s="5" t="inlineStr">
        <is>
          <t>IVOL_ASK</t>
        </is>
      </c>
      <c r="HK3" s="5" t="inlineStr">
        <is>
          <t>DELTA_MID</t>
        </is>
      </c>
      <c r="HL3" s="5" t="inlineStr">
        <is>
          <t>GAMMA_MID</t>
        </is>
      </c>
      <c r="HM3" s="5" t="inlineStr">
        <is>
          <t>VEGA_MID</t>
        </is>
      </c>
      <c r="HN3" s="5" t="inlineStr">
        <is>
          <t>THETA_MID</t>
        </is>
      </c>
      <c r="HO3" s="5" t="inlineStr">
        <is>
          <t>OPT_UNDL_PX</t>
        </is>
      </c>
      <c r="HQ3" s="5" t="inlineStr">
        <is>
          <t>Date</t>
        </is>
      </c>
      <c r="HR3" s="5" t="inlineStr">
        <is>
          <t>PX_BID</t>
        </is>
      </c>
      <c r="HS3" s="5" t="inlineStr">
        <is>
          <t>PX_ASK</t>
        </is>
      </c>
      <c r="HT3" s="5" t="inlineStr">
        <is>
          <t>PX_MID</t>
        </is>
      </c>
      <c r="HU3" s="5" t="inlineStr">
        <is>
          <t>PX_LAST</t>
        </is>
      </c>
      <c r="HV3" s="5" t="inlineStr">
        <is>
          <t>PX_SETTLE</t>
        </is>
      </c>
      <c r="HW3" s="5" t="inlineStr">
        <is>
          <t>PX_VOLUME</t>
        </is>
      </c>
      <c r="HX3" s="5" t="inlineStr">
        <is>
          <t>OPEN_INT</t>
        </is>
      </c>
      <c r="HY3" s="5" t="inlineStr">
        <is>
          <t>IVOL_MID</t>
        </is>
      </c>
      <c r="HZ3" s="5" t="inlineStr">
        <is>
          <t>IVOL_BID</t>
        </is>
      </c>
      <c r="IA3" s="5" t="inlineStr">
        <is>
          <t>IVOL_ASK</t>
        </is>
      </c>
      <c r="IB3" s="5" t="inlineStr">
        <is>
          <t>DELTA_MID</t>
        </is>
      </c>
      <c r="IC3" s="5" t="inlineStr">
        <is>
          <t>GAMMA_MID</t>
        </is>
      </c>
      <c r="ID3" s="5" t="inlineStr">
        <is>
          <t>VEGA_MID</t>
        </is>
      </c>
      <c r="IE3" s="5" t="inlineStr">
        <is>
          <t>THETA_MID</t>
        </is>
      </c>
      <c r="IF3" s="5" t="inlineStr">
        <is>
          <t>OPT_UNDL_PX</t>
        </is>
      </c>
      <c r="IH3" s="5" t="inlineStr">
        <is>
          <t>Date</t>
        </is>
      </c>
      <c r="II3" s="5" t="inlineStr">
        <is>
          <t>PX_BID</t>
        </is>
      </c>
      <c r="IJ3" s="5" t="inlineStr">
        <is>
          <t>PX_ASK</t>
        </is>
      </c>
      <c r="IK3" s="5" t="inlineStr">
        <is>
          <t>PX_MID</t>
        </is>
      </c>
      <c r="IL3" s="5" t="inlineStr">
        <is>
          <t>PX_LAST</t>
        </is>
      </c>
      <c r="IM3" s="5" t="inlineStr">
        <is>
          <t>PX_SETTLE</t>
        </is>
      </c>
      <c r="IN3" s="5" t="inlineStr">
        <is>
          <t>PX_VOLUME</t>
        </is>
      </c>
      <c r="IO3" s="5" t="inlineStr">
        <is>
          <t>OPEN_INT</t>
        </is>
      </c>
      <c r="IP3" s="5" t="inlineStr">
        <is>
          <t>IVOL_MID</t>
        </is>
      </c>
      <c r="IQ3" s="5" t="inlineStr">
        <is>
          <t>IVOL_BID</t>
        </is>
      </c>
      <c r="IR3" s="5" t="inlineStr">
        <is>
          <t>IVOL_ASK</t>
        </is>
      </c>
      <c r="IS3" s="5" t="inlineStr">
        <is>
          <t>DELTA_MID</t>
        </is>
      </c>
      <c r="IT3" s="5" t="inlineStr">
        <is>
          <t>GAMMA_MID</t>
        </is>
      </c>
      <c r="IU3" s="5" t="inlineStr">
        <is>
          <t>VEGA_MID</t>
        </is>
      </c>
      <c r="IV3" s="5" t="inlineStr">
        <is>
          <t>THETA_MID</t>
        </is>
      </c>
      <c r="IW3" s="5" t="inlineStr">
        <is>
          <t>OPT_UNDL_PX</t>
        </is>
      </c>
      <c r="IY3" s="5" t="inlineStr">
        <is>
          <t>Date</t>
        </is>
      </c>
      <c r="IZ3" s="5" t="inlineStr">
        <is>
          <t>PX_BID</t>
        </is>
      </c>
      <c r="JA3" s="5" t="inlineStr">
        <is>
          <t>PX_ASK</t>
        </is>
      </c>
      <c r="JB3" s="5" t="inlineStr">
        <is>
          <t>PX_MID</t>
        </is>
      </c>
      <c r="JC3" s="5" t="inlineStr">
        <is>
          <t>PX_LAST</t>
        </is>
      </c>
      <c r="JD3" s="5" t="inlineStr">
        <is>
          <t>PX_SETTLE</t>
        </is>
      </c>
      <c r="JE3" s="5" t="inlineStr">
        <is>
          <t>PX_VOLUME</t>
        </is>
      </c>
      <c r="JF3" s="5" t="inlineStr">
        <is>
          <t>OPEN_INT</t>
        </is>
      </c>
      <c r="JG3" s="5" t="inlineStr">
        <is>
          <t>IVOL_MID</t>
        </is>
      </c>
      <c r="JH3" s="5" t="inlineStr">
        <is>
          <t>IVOL_BID</t>
        </is>
      </c>
      <c r="JI3" s="5" t="inlineStr">
        <is>
          <t>IVOL_ASK</t>
        </is>
      </c>
      <c r="JJ3" s="5" t="inlineStr">
        <is>
          <t>DELTA_MID</t>
        </is>
      </c>
      <c r="JK3" s="5" t="inlineStr">
        <is>
          <t>GAMMA_MID</t>
        </is>
      </c>
      <c r="JL3" s="5" t="inlineStr">
        <is>
          <t>VEGA_MID</t>
        </is>
      </c>
      <c r="JM3" s="5" t="inlineStr">
        <is>
          <t>THETA_MID</t>
        </is>
      </c>
      <c r="JN3" s="5" t="inlineStr">
        <is>
          <t>OPT_UNDL_PX</t>
        </is>
      </c>
      <c r="JP3" s="5" t="inlineStr">
        <is>
          <t>Date</t>
        </is>
      </c>
      <c r="JQ3" s="5" t="inlineStr">
        <is>
          <t>PX_BID</t>
        </is>
      </c>
      <c r="JR3" s="5" t="inlineStr">
        <is>
          <t>PX_ASK</t>
        </is>
      </c>
      <c r="JS3" s="5" t="inlineStr">
        <is>
          <t>PX_MID</t>
        </is>
      </c>
      <c r="JT3" s="5" t="inlineStr">
        <is>
          <t>PX_LAST</t>
        </is>
      </c>
      <c r="JU3" s="5" t="inlineStr">
        <is>
          <t>PX_SETTLE</t>
        </is>
      </c>
      <c r="JV3" s="5" t="inlineStr">
        <is>
          <t>PX_VOLUME</t>
        </is>
      </c>
      <c r="JW3" s="5" t="inlineStr">
        <is>
          <t>OPEN_INT</t>
        </is>
      </c>
      <c r="JX3" s="5" t="inlineStr">
        <is>
          <t>IVOL_MID</t>
        </is>
      </c>
      <c r="JY3" s="5" t="inlineStr">
        <is>
          <t>IVOL_BID</t>
        </is>
      </c>
      <c r="JZ3" s="5" t="inlineStr">
        <is>
          <t>IVOL_ASK</t>
        </is>
      </c>
      <c r="KA3" s="5" t="inlineStr">
        <is>
          <t>DELTA_MID</t>
        </is>
      </c>
      <c r="KB3" s="5" t="inlineStr">
        <is>
          <t>GAMMA_MID</t>
        </is>
      </c>
      <c r="KC3" s="5" t="inlineStr">
        <is>
          <t>VEGA_MID</t>
        </is>
      </c>
      <c r="KD3" s="5" t="inlineStr">
        <is>
          <t>THETA_MID</t>
        </is>
      </c>
      <c r="KE3" s="5" t="inlineStr">
        <is>
          <t>OPT_UNDL_PX</t>
        </is>
      </c>
      <c r="KG3" s="5" t="inlineStr">
        <is>
          <t>Date</t>
        </is>
      </c>
      <c r="KH3" s="5" t="inlineStr">
        <is>
          <t>PX_BID</t>
        </is>
      </c>
      <c r="KI3" s="5" t="inlineStr">
        <is>
          <t>PX_ASK</t>
        </is>
      </c>
      <c r="KJ3" s="5" t="inlineStr">
        <is>
          <t>PX_MID</t>
        </is>
      </c>
      <c r="KK3" s="5" t="inlineStr">
        <is>
          <t>PX_LAST</t>
        </is>
      </c>
      <c r="KL3" s="5" t="inlineStr">
        <is>
          <t>PX_SETTLE</t>
        </is>
      </c>
      <c r="KM3" s="5" t="inlineStr">
        <is>
          <t>PX_VOLUME</t>
        </is>
      </c>
      <c r="KN3" s="5" t="inlineStr">
        <is>
          <t>OPEN_INT</t>
        </is>
      </c>
      <c r="KO3" s="5" t="inlineStr">
        <is>
          <t>IVOL_MID</t>
        </is>
      </c>
      <c r="KP3" s="5" t="inlineStr">
        <is>
          <t>IVOL_BID</t>
        </is>
      </c>
      <c r="KQ3" s="5" t="inlineStr">
        <is>
          <t>IVOL_ASK</t>
        </is>
      </c>
      <c r="KR3" s="5" t="inlineStr">
        <is>
          <t>DELTA_MID</t>
        </is>
      </c>
      <c r="KS3" s="5" t="inlineStr">
        <is>
          <t>GAMMA_MID</t>
        </is>
      </c>
      <c r="KT3" s="5" t="inlineStr">
        <is>
          <t>VEGA_MID</t>
        </is>
      </c>
      <c r="KU3" s="5" t="inlineStr">
        <is>
          <t>THETA_MID</t>
        </is>
      </c>
      <c r="KV3" s="5" t="inlineStr">
        <is>
          <t>OPT_UNDL_PX</t>
        </is>
      </c>
      <c r="KX3" s="5" t="inlineStr">
        <is>
          <t>Date</t>
        </is>
      </c>
      <c r="KY3" s="5" t="inlineStr">
        <is>
          <t>PX_BID</t>
        </is>
      </c>
      <c r="KZ3" s="5" t="inlineStr">
        <is>
          <t>PX_ASK</t>
        </is>
      </c>
      <c r="LA3" s="5" t="inlineStr">
        <is>
          <t>PX_MID</t>
        </is>
      </c>
      <c r="LB3" s="5" t="inlineStr">
        <is>
          <t>PX_LAST</t>
        </is>
      </c>
      <c r="LC3" s="5" t="inlineStr">
        <is>
          <t>PX_SETTLE</t>
        </is>
      </c>
      <c r="LD3" s="5" t="inlineStr">
        <is>
          <t>PX_VOLUME</t>
        </is>
      </c>
      <c r="LE3" s="5" t="inlineStr">
        <is>
          <t>OPEN_INT</t>
        </is>
      </c>
      <c r="LF3" s="5" t="inlineStr">
        <is>
          <t>IVOL_MID</t>
        </is>
      </c>
      <c r="LG3" s="5" t="inlineStr">
        <is>
          <t>IVOL_BID</t>
        </is>
      </c>
      <c r="LH3" s="5" t="inlineStr">
        <is>
          <t>IVOL_ASK</t>
        </is>
      </c>
      <c r="LI3" s="5" t="inlineStr">
        <is>
          <t>DELTA_MID</t>
        </is>
      </c>
      <c r="LJ3" s="5" t="inlineStr">
        <is>
          <t>GAMMA_MID</t>
        </is>
      </c>
      <c r="LK3" s="5" t="inlineStr">
        <is>
          <t>VEGA_MID</t>
        </is>
      </c>
      <c r="LL3" s="5" t="inlineStr">
        <is>
          <t>THETA_MID</t>
        </is>
      </c>
      <c r="LM3" s="5" t="inlineStr">
        <is>
          <t>OPT_UNDL_PX</t>
        </is>
      </c>
      <c r="LO3" s="5" t="inlineStr">
        <is>
          <t>Date</t>
        </is>
      </c>
      <c r="LP3" s="5" t="inlineStr">
        <is>
          <t>PX_BID</t>
        </is>
      </c>
      <c r="LQ3" s="5" t="inlineStr">
        <is>
          <t>PX_ASK</t>
        </is>
      </c>
      <c r="LR3" s="5" t="inlineStr">
        <is>
          <t>PX_MID</t>
        </is>
      </c>
      <c r="LS3" s="5" t="inlineStr">
        <is>
          <t>PX_LAST</t>
        </is>
      </c>
      <c r="LT3" s="5" t="inlineStr">
        <is>
          <t>PX_SETTLE</t>
        </is>
      </c>
      <c r="LU3" s="5" t="inlineStr">
        <is>
          <t>PX_VOLUME</t>
        </is>
      </c>
      <c r="LV3" s="5" t="inlineStr">
        <is>
          <t>OPEN_INT</t>
        </is>
      </c>
      <c r="LW3" s="5" t="inlineStr">
        <is>
          <t>IVOL_MID</t>
        </is>
      </c>
      <c r="LX3" s="5" t="inlineStr">
        <is>
          <t>IVOL_BID</t>
        </is>
      </c>
      <c r="LY3" s="5" t="inlineStr">
        <is>
          <t>IVOL_ASK</t>
        </is>
      </c>
      <c r="LZ3" s="5" t="inlineStr">
        <is>
          <t>DELTA_MID</t>
        </is>
      </c>
      <c r="MA3" s="5" t="inlineStr">
        <is>
          <t>GAMMA_MID</t>
        </is>
      </c>
      <c r="MB3" s="5" t="inlineStr">
        <is>
          <t>VEGA_MID</t>
        </is>
      </c>
      <c r="MC3" s="5" t="inlineStr">
        <is>
          <t>THETA_MID</t>
        </is>
      </c>
      <c r="MD3" s="5" t="inlineStr">
        <is>
          <t>OPT_UNDL_PX</t>
        </is>
      </c>
      <c r="MF3" s="5" t="inlineStr">
        <is>
          <t>Date</t>
        </is>
      </c>
      <c r="MG3" s="5" t="inlineStr">
        <is>
          <t>PX_BID</t>
        </is>
      </c>
      <c r="MH3" s="5" t="inlineStr">
        <is>
          <t>PX_ASK</t>
        </is>
      </c>
      <c r="MI3" s="5" t="inlineStr">
        <is>
          <t>PX_MID</t>
        </is>
      </c>
      <c r="MJ3" s="5" t="inlineStr">
        <is>
          <t>PX_LAST</t>
        </is>
      </c>
      <c r="MK3" s="5" t="inlineStr">
        <is>
          <t>PX_SETTLE</t>
        </is>
      </c>
      <c r="ML3" s="5" t="inlineStr">
        <is>
          <t>PX_VOLUME</t>
        </is>
      </c>
      <c r="MM3" s="5" t="inlineStr">
        <is>
          <t>OPEN_INT</t>
        </is>
      </c>
      <c r="MN3" s="5" t="inlineStr">
        <is>
          <t>IVOL_MID</t>
        </is>
      </c>
      <c r="MO3" s="5" t="inlineStr">
        <is>
          <t>IVOL_BID</t>
        </is>
      </c>
      <c r="MP3" s="5" t="inlineStr">
        <is>
          <t>IVOL_ASK</t>
        </is>
      </c>
      <c r="MQ3" s="5" t="inlineStr">
        <is>
          <t>DELTA_MID</t>
        </is>
      </c>
      <c r="MR3" s="5" t="inlineStr">
        <is>
          <t>GAMMA_MID</t>
        </is>
      </c>
      <c r="MS3" s="5" t="inlineStr">
        <is>
          <t>VEGA_MID</t>
        </is>
      </c>
      <c r="MT3" s="5" t="inlineStr">
        <is>
          <t>THETA_MID</t>
        </is>
      </c>
      <c r="MU3" s="5" t="inlineStr">
        <is>
          <t>OPT_UNDL_PX</t>
        </is>
      </c>
      <c r="MW3" s="5" t="inlineStr">
        <is>
          <t>Date</t>
        </is>
      </c>
      <c r="MX3" s="5" t="inlineStr">
        <is>
          <t>PX_BID</t>
        </is>
      </c>
      <c r="MY3" s="5" t="inlineStr">
        <is>
          <t>PX_ASK</t>
        </is>
      </c>
      <c r="MZ3" s="5" t="inlineStr">
        <is>
          <t>PX_MID</t>
        </is>
      </c>
      <c r="NA3" s="5" t="inlineStr">
        <is>
          <t>PX_LAST</t>
        </is>
      </c>
      <c r="NB3" s="5" t="inlineStr">
        <is>
          <t>PX_SETTLE</t>
        </is>
      </c>
      <c r="NC3" s="5" t="inlineStr">
        <is>
          <t>PX_VOLUME</t>
        </is>
      </c>
      <c r="ND3" s="5" t="inlineStr">
        <is>
          <t>OPEN_INT</t>
        </is>
      </c>
      <c r="NE3" s="5" t="inlineStr">
        <is>
          <t>IVOL_MID</t>
        </is>
      </c>
      <c r="NF3" s="5" t="inlineStr">
        <is>
          <t>IVOL_BID</t>
        </is>
      </c>
      <c r="NG3" s="5" t="inlineStr">
        <is>
          <t>IVOL_ASK</t>
        </is>
      </c>
      <c r="NH3" s="5" t="inlineStr">
        <is>
          <t>DELTA_MID</t>
        </is>
      </c>
      <c r="NI3" s="5" t="inlineStr">
        <is>
          <t>GAMMA_MID</t>
        </is>
      </c>
      <c r="NJ3" s="5" t="inlineStr">
        <is>
          <t>VEGA_MID</t>
        </is>
      </c>
      <c r="NK3" s="5" t="inlineStr">
        <is>
          <t>THETA_MID</t>
        </is>
      </c>
      <c r="NL3" s="5" t="inlineStr">
        <is>
          <t>OPT_UNDL_PX</t>
        </is>
      </c>
    </row>
    <row r="4">
      <c r="A4" s="2" t="inlineStr">
        <is>
          <t>Strike reference date</t>
        </is>
      </c>
      <c r="B4" s="8">
        <f>B3-45</f>
        <v/>
      </c>
      <c r="D4" s="4">
        <f>BDH(D$1,E$3:S$3,$B$8,$B$9,"Dir=V","Dts=S","Sort=A","Days=T","Fill=B")</f>
        <v/>
      </c>
      <c r="U4" s="4">
        <f>BDH(U$1,V$3:AJ$3,$B$8,$B$9,"Dir=V","Dts=S","Sort=A","Days=T","Fill=B")</f>
        <v/>
      </c>
      <c r="AL4" s="4">
        <f>BDH(AL$1,AM$3:BA$3,$B$8,$B$9,"Dir=V","Dts=S","Sort=A","Days=T","Fill=B")</f>
        <v/>
      </c>
      <c r="BC4" s="4">
        <f>BDH(BC$1,BD$3:BR$3,$B$8,$B$9,"Dir=V","Dts=S","Sort=A","Days=T","Fill=B")</f>
        <v/>
      </c>
      <c r="BT4" s="4">
        <f>BDH(BT$1,BU$3:CI$3,$B$8,$B$9,"Dir=V","Dts=S","Sort=A","Days=T","Fill=B")</f>
        <v/>
      </c>
      <c r="CK4" s="4">
        <f>BDH(CK$1,CL$3:CZ$3,$B$8,$B$9,"Dir=V","Dts=S","Sort=A","Days=T","Fill=B")</f>
        <v/>
      </c>
      <c r="DB4" s="4">
        <f>BDH(DB$1,DC$3:DQ$3,$B$8,$B$9,"Dir=V","Dts=S","Sort=A","Days=T","Fill=B")</f>
        <v/>
      </c>
      <c r="DS4" s="4">
        <f>BDH(DS$1,DT$3:EH$3,$B$8,$B$9,"Dir=V","Dts=S","Sort=A","Days=T","Fill=B")</f>
        <v/>
      </c>
      <c r="EJ4" s="4">
        <f>BDH(EJ$1,EK$3:EY$3,$B$8,$B$9,"Dir=V","Dts=S","Sort=A","Days=T","Fill=B")</f>
        <v/>
      </c>
      <c r="FA4" s="4">
        <f>BDH(FA$1,FB$3:FP$3,$B$8,$B$9,"Dir=V","Dts=S","Sort=A","Days=T","Fill=B")</f>
        <v/>
      </c>
      <c r="FR4" s="4">
        <f>BDH(FR$1,FS$3:GG$3,$B$8,$B$9,"Dir=V","Dts=S","Sort=A","Days=T","Fill=B")</f>
        <v/>
      </c>
      <c r="GI4" s="4">
        <f>BDH(GI$1,GJ$3:GX$3,$B$8,$B$9,"Dir=V","Dts=S","Sort=A","Days=T","Fill=B")</f>
        <v/>
      </c>
      <c r="GZ4" s="4">
        <f>BDH(GZ$1,HA$3:HO$3,$B$8,$B$9,"Dir=V","Dts=S","Sort=A","Days=T","Fill=B")</f>
        <v/>
      </c>
      <c r="HQ4" s="4">
        <f>BDH(HQ$1,HR$3:IF$3,$B$8,$B$9,"Dir=V","Dts=S","Sort=A","Days=T","Fill=B")</f>
        <v/>
      </c>
      <c r="IH4" s="4">
        <f>BDH(IH$1,II$3:IW$3,$B$8,$B$9,"Dir=V","Dts=S","Sort=A","Days=T","Fill=B")</f>
        <v/>
      </c>
      <c r="IY4" s="4">
        <f>BDH(IY$1,IZ$3:JN$3,$B$8,$B$9,"Dir=V","Dts=S","Sort=A","Days=T","Fill=B")</f>
        <v/>
      </c>
      <c r="JP4" s="4">
        <f>BDH(JP$1,JQ$3:KE$3,$B$8,$B$9,"Dir=V","Dts=S","Sort=A","Days=T","Fill=B")</f>
        <v/>
      </c>
      <c r="KG4" s="4">
        <f>BDH(KG$1,KH$3:KV$3,$B$8,$B$9,"Dir=V","Dts=S","Sort=A","Days=T","Fill=B")</f>
        <v/>
      </c>
      <c r="KX4" s="4">
        <f>BDH(KX$1,KY$3:LM$3,$B$8,$B$9,"Dir=V","Dts=S","Sort=A","Days=T","Fill=B")</f>
        <v/>
      </c>
      <c r="LO4" s="4">
        <f>BDH(LO$1,LP$3:MD$3,$B$8,$B$9,"Dir=V","Dts=S","Sort=A","Days=T","Fill=B")</f>
        <v/>
      </c>
      <c r="MF4" s="4">
        <f>BDH(MF$1,MG$3:MU$3,$B$8,$B$9,"Dir=V","Dts=S","Sort=A","Days=T","Fill=B")</f>
        <v/>
      </c>
      <c r="MW4" s="4">
        <f>BDH(MW$1,MX$3:NL$3,$B$8,$B$9,"Dir=V","Dts=S","Sort=A","Days=T","Fill=B")</f>
        <v/>
      </c>
    </row>
    <row r="5">
      <c r="A5" s="2" t="inlineStr">
        <is>
          <t>Unadjusted close then</t>
        </is>
      </c>
      <c r="B5" s="10">
        <f>IF(B2="","",BDH(B2,"PX_LAST",B4,B4,"Days=A","Fill=P","Dts=H","CshAdjNormal=N","CshAdjAbnormal=N","CapChg=N"))</f>
        <v/>
      </c>
    </row>
    <row r="6">
      <c r="A6" s="2" t="inlineStr">
        <is>
          <t>Strike step</t>
        </is>
      </c>
      <c r="B6" s="11">
        <f>IF(ISNUMBER(B5),IF(B5&lt;25,0.5,IF(B5&lt;250,1,5)),"")</f>
        <v/>
      </c>
    </row>
    <row r="7">
      <c r="A7" s="2" t="inlineStr">
        <is>
          <t>ATM strike</t>
        </is>
      </c>
      <c r="B7" s="11">
        <f>IF(ISNUMBER(B5),ROUND(B5/B6,0)*B6,"")</f>
        <v/>
      </c>
    </row>
    <row r="8">
      <c r="A8" s="2" t="inlineStr">
        <is>
          <t>History start</t>
        </is>
      </c>
      <c r="B8" s="8">
        <f>B3-100</f>
        <v/>
      </c>
    </row>
    <row r="9">
      <c r="A9" s="2" t="inlineStr">
        <is>
          <t>History end</t>
        </is>
      </c>
      <c r="B9" s="8">
        <f>B3</f>
        <v/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NL9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2" customWidth="1" min="2" max="2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1" customWidth="1" min="15" max="15"/>
    <col width="11" customWidth="1" min="16" max="16"/>
    <col width="10" customWidth="1" min="17" max="17"/>
    <col width="11" customWidth="1" min="18" max="18"/>
    <col width="13" customWidth="1" min="19" max="19"/>
    <col width="12" customWidth="1" min="21" max="21"/>
    <col width="10" customWidth="1" min="22" max="22"/>
    <col width="10" customWidth="1" min="23" max="23"/>
    <col width="10" customWidth="1" min="24" max="24"/>
    <col width="10" customWidth="1" min="25" max="25"/>
    <col width="11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1" customWidth="1" min="32" max="32"/>
    <col width="11" customWidth="1" min="33" max="33"/>
    <col width="10" customWidth="1" min="34" max="34"/>
    <col width="11" customWidth="1" min="35" max="35"/>
    <col width="13" customWidth="1" min="36" max="36"/>
    <col width="12" customWidth="1" min="38" max="38"/>
    <col width="10" customWidth="1" min="39" max="39"/>
    <col width="10" customWidth="1" min="40" max="40"/>
    <col width="10" customWidth="1" min="41" max="41"/>
    <col width="10" customWidth="1" min="42" max="42"/>
    <col width="11" customWidth="1" min="43" max="43"/>
    <col width="11" customWidth="1" min="44" max="44"/>
    <col width="10" customWidth="1" min="45" max="45"/>
    <col width="10" customWidth="1" min="46" max="46"/>
    <col width="10" customWidth="1" min="47" max="47"/>
    <col width="10" customWidth="1" min="48" max="48"/>
    <col width="11" customWidth="1" min="49" max="49"/>
    <col width="11" customWidth="1" min="50" max="50"/>
    <col width="10" customWidth="1" min="51" max="51"/>
    <col width="11" customWidth="1" min="52" max="52"/>
    <col width="13" customWidth="1" min="53" max="53"/>
    <col width="12" customWidth="1" min="55" max="55"/>
    <col width="10" customWidth="1" min="56" max="56"/>
    <col width="10" customWidth="1" min="57" max="57"/>
    <col width="10" customWidth="1" min="58" max="58"/>
    <col width="10" customWidth="1" min="59" max="59"/>
    <col width="11" customWidth="1" min="60" max="60"/>
    <col width="11" customWidth="1" min="61" max="61"/>
    <col width="10" customWidth="1" min="62" max="62"/>
    <col width="10" customWidth="1" min="63" max="63"/>
    <col width="10" customWidth="1" min="64" max="64"/>
    <col width="10" customWidth="1" min="65" max="65"/>
    <col width="11" customWidth="1" min="66" max="66"/>
    <col width="11" customWidth="1" min="67" max="67"/>
    <col width="10" customWidth="1" min="68" max="68"/>
    <col width="11" customWidth="1" min="69" max="69"/>
    <col width="13" customWidth="1" min="70" max="70"/>
    <col width="12" customWidth="1" min="72" max="72"/>
    <col width="10" customWidth="1" min="73" max="73"/>
    <col width="10" customWidth="1" min="74" max="74"/>
    <col width="10" customWidth="1" min="75" max="75"/>
    <col width="10" customWidth="1" min="76" max="76"/>
    <col width="11" customWidth="1" min="77" max="77"/>
    <col width="11" customWidth="1" min="78" max="78"/>
    <col width="10" customWidth="1" min="79" max="79"/>
    <col width="10" customWidth="1" min="80" max="80"/>
    <col width="10" customWidth="1" min="81" max="81"/>
    <col width="10" customWidth="1" min="82" max="82"/>
    <col width="11" customWidth="1" min="83" max="83"/>
    <col width="11" customWidth="1" min="84" max="84"/>
    <col width="10" customWidth="1" min="85" max="85"/>
    <col width="11" customWidth="1" min="86" max="86"/>
    <col width="13" customWidth="1" min="87" max="87"/>
    <col width="12" customWidth="1" min="89" max="89"/>
    <col width="10" customWidth="1" min="90" max="90"/>
    <col width="10" customWidth="1" min="91" max="91"/>
    <col width="10" customWidth="1" min="92" max="92"/>
    <col width="10" customWidth="1" min="93" max="93"/>
    <col width="11" customWidth="1" min="94" max="94"/>
    <col width="11" customWidth="1" min="95" max="95"/>
    <col width="10" customWidth="1" min="96" max="96"/>
    <col width="10" customWidth="1" min="97" max="97"/>
    <col width="10" customWidth="1" min="98" max="98"/>
    <col width="10" customWidth="1" min="99" max="99"/>
    <col width="11" customWidth="1" min="100" max="100"/>
    <col width="11" customWidth="1" min="101" max="101"/>
    <col width="10" customWidth="1" min="102" max="102"/>
    <col width="11" customWidth="1" min="103" max="103"/>
    <col width="13" customWidth="1" min="104" max="104"/>
    <col width="12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1" customWidth="1" min="111" max="111"/>
    <col width="11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1" customWidth="1" min="117" max="117"/>
    <col width="11" customWidth="1" min="118" max="118"/>
    <col width="10" customWidth="1" min="119" max="119"/>
    <col width="11" customWidth="1" min="120" max="120"/>
    <col width="13" customWidth="1" min="121" max="121"/>
    <col width="12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1" customWidth="1" min="128" max="128"/>
    <col width="11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1" customWidth="1" min="134" max="134"/>
    <col width="11" customWidth="1" min="135" max="135"/>
    <col width="10" customWidth="1" min="136" max="136"/>
    <col width="11" customWidth="1" min="137" max="137"/>
    <col width="13" customWidth="1" min="138" max="138"/>
    <col width="12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1" customWidth="1" min="145" max="145"/>
    <col width="11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1" customWidth="1" min="151" max="151"/>
    <col width="11" customWidth="1" min="152" max="152"/>
    <col width="10" customWidth="1" min="153" max="153"/>
    <col width="11" customWidth="1" min="154" max="154"/>
    <col width="13" customWidth="1" min="155" max="155"/>
    <col width="12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1" customWidth="1" min="162" max="162"/>
    <col width="11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1" customWidth="1" min="168" max="168"/>
    <col width="11" customWidth="1" min="169" max="169"/>
    <col width="10" customWidth="1" min="170" max="170"/>
    <col width="11" customWidth="1" min="171" max="171"/>
    <col width="13" customWidth="1" min="172" max="172"/>
    <col width="12" customWidth="1" min="174" max="174"/>
    <col width="10" customWidth="1" min="175" max="175"/>
    <col width="10" customWidth="1" min="176" max="176"/>
    <col width="10" customWidth="1" min="177" max="177"/>
    <col width="10" customWidth="1" min="178" max="178"/>
    <col width="11" customWidth="1" min="179" max="179"/>
    <col width="11" customWidth="1" min="180" max="180"/>
    <col width="10" customWidth="1" min="181" max="181"/>
    <col width="10" customWidth="1" min="182" max="182"/>
    <col width="10" customWidth="1" min="183" max="183"/>
    <col width="10" customWidth="1" min="184" max="184"/>
    <col width="11" customWidth="1" min="185" max="185"/>
    <col width="11" customWidth="1" min="186" max="186"/>
    <col width="10" customWidth="1" min="187" max="187"/>
    <col width="11" customWidth="1" min="188" max="188"/>
    <col width="13" customWidth="1" min="189" max="189"/>
    <col width="12" customWidth="1" min="191" max="191"/>
    <col width="10" customWidth="1" min="192" max="192"/>
    <col width="10" customWidth="1" min="193" max="193"/>
    <col width="10" customWidth="1" min="194" max="194"/>
    <col width="10" customWidth="1" min="195" max="195"/>
    <col width="11" customWidth="1" min="196" max="196"/>
    <col width="11" customWidth="1" min="197" max="197"/>
    <col width="10" customWidth="1" min="198" max="198"/>
    <col width="10" customWidth="1" min="199" max="199"/>
    <col width="10" customWidth="1" min="200" max="200"/>
    <col width="10" customWidth="1" min="201" max="201"/>
    <col width="11" customWidth="1" min="202" max="202"/>
    <col width="11" customWidth="1" min="203" max="203"/>
    <col width="10" customWidth="1" min="204" max="204"/>
    <col width="11" customWidth="1" min="205" max="205"/>
    <col width="13" customWidth="1" min="206" max="206"/>
    <col width="12" customWidth="1" min="208" max="208"/>
    <col width="10" customWidth="1" min="209" max="209"/>
    <col width="10" customWidth="1" min="210" max="210"/>
    <col width="10" customWidth="1" min="211" max="211"/>
    <col width="10" customWidth="1" min="212" max="212"/>
    <col width="11" customWidth="1" min="213" max="213"/>
    <col width="11" customWidth="1" min="214" max="214"/>
    <col width="10" customWidth="1" min="215" max="215"/>
    <col width="10" customWidth="1" min="216" max="216"/>
    <col width="10" customWidth="1" min="217" max="217"/>
    <col width="10" customWidth="1" min="218" max="218"/>
    <col width="11" customWidth="1" min="219" max="219"/>
    <col width="11" customWidth="1" min="220" max="220"/>
    <col width="10" customWidth="1" min="221" max="221"/>
    <col width="11" customWidth="1" min="222" max="222"/>
    <col width="13" customWidth="1" min="223" max="223"/>
    <col width="12" customWidth="1" min="225" max="225"/>
    <col width="10" customWidth="1" min="226" max="226"/>
    <col width="10" customWidth="1" min="227" max="227"/>
    <col width="10" customWidth="1" min="228" max="228"/>
    <col width="10" customWidth="1" min="229" max="229"/>
    <col width="11" customWidth="1" min="230" max="230"/>
    <col width="11" customWidth="1" min="231" max="231"/>
    <col width="10" customWidth="1" min="232" max="232"/>
    <col width="10" customWidth="1" min="233" max="233"/>
    <col width="10" customWidth="1" min="234" max="234"/>
    <col width="10" customWidth="1" min="235" max="235"/>
    <col width="11" customWidth="1" min="236" max="236"/>
    <col width="11" customWidth="1" min="237" max="237"/>
    <col width="10" customWidth="1" min="238" max="238"/>
    <col width="11" customWidth="1" min="239" max="239"/>
    <col width="13" customWidth="1" min="240" max="240"/>
    <col width="12" customWidth="1" min="242" max="242"/>
    <col width="10" customWidth="1" min="243" max="243"/>
    <col width="10" customWidth="1" min="244" max="244"/>
    <col width="10" customWidth="1" min="245" max="245"/>
    <col width="10" customWidth="1" min="246" max="246"/>
    <col width="11" customWidth="1" min="247" max="247"/>
    <col width="11" customWidth="1" min="248" max="248"/>
    <col width="10" customWidth="1" min="249" max="249"/>
    <col width="10" customWidth="1" min="250" max="250"/>
    <col width="10" customWidth="1" min="251" max="251"/>
    <col width="10" customWidth="1" min="252" max="252"/>
    <col width="11" customWidth="1" min="253" max="253"/>
    <col width="11" customWidth="1" min="254" max="254"/>
    <col width="10" customWidth="1" min="255" max="255"/>
    <col width="11" customWidth="1" min="256" max="256"/>
    <col width="13" customWidth="1" min="257" max="257"/>
    <col width="12" customWidth="1" min="259" max="259"/>
    <col width="10" customWidth="1" min="260" max="260"/>
    <col width="10" customWidth="1" min="261" max="261"/>
    <col width="10" customWidth="1" min="262" max="262"/>
    <col width="10" customWidth="1" min="263" max="263"/>
    <col width="11" customWidth="1" min="264" max="264"/>
    <col width="11" customWidth="1" min="265" max="265"/>
    <col width="10" customWidth="1" min="266" max="266"/>
    <col width="10" customWidth="1" min="267" max="267"/>
    <col width="10" customWidth="1" min="268" max="268"/>
    <col width="10" customWidth="1" min="269" max="269"/>
    <col width="11" customWidth="1" min="270" max="270"/>
    <col width="11" customWidth="1" min="271" max="271"/>
    <col width="10" customWidth="1" min="272" max="272"/>
    <col width="11" customWidth="1" min="273" max="273"/>
    <col width="13" customWidth="1" min="274" max="274"/>
    <col width="12" customWidth="1" min="276" max="276"/>
    <col width="10" customWidth="1" min="277" max="277"/>
    <col width="10" customWidth="1" min="278" max="278"/>
    <col width="10" customWidth="1" min="279" max="279"/>
    <col width="10" customWidth="1" min="280" max="280"/>
    <col width="11" customWidth="1" min="281" max="281"/>
    <col width="11" customWidth="1" min="282" max="282"/>
    <col width="10" customWidth="1" min="283" max="283"/>
    <col width="10" customWidth="1" min="284" max="284"/>
    <col width="10" customWidth="1" min="285" max="285"/>
    <col width="10" customWidth="1" min="286" max="286"/>
    <col width="11" customWidth="1" min="287" max="287"/>
    <col width="11" customWidth="1" min="288" max="288"/>
    <col width="10" customWidth="1" min="289" max="289"/>
    <col width="11" customWidth="1" min="290" max="290"/>
    <col width="13" customWidth="1" min="291" max="291"/>
    <col width="12" customWidth="1" min="293" max="293"/>
    <col width="10" customWidth="1" min="294" max="294"/>
    <col width="10" customWidth="1" min="295" max="295"/>
    <col width="10" customWidth="1" min="296" max="296"/>
    <col width="10" customWidth="1" min="297" max="297"/>
    <col width="11" customWidth="1" min="298" max="298"/>
    <col width="11" customWidth="1" min="299" max="299"/>
    <col width="10" customWidth="1" min="300" max="300"/>
    <col width="10" customWidth="1" min="301" max="301"/>
    <col width="10" customWidth="1" min="302" max="302"/>
    <col width="10" customWidth="1" min="303" max="303"/>
    <col width="11" customWidth="1" min="304" max="304"/>
    <col width="11" customWidth="1" min="305" max="305"/>
    <col width="10" customWidth="1" min="306" max="306"/>
    <col width="11" customWidth="1" min="307" max="307"/>
    <col width="13" customWidth="1" min="308" max="308"/>
    <col width="12" customWidth="1" min="310" max="310"/>
    <col width="10" customWidth="1" min="311" max="311"/>
    <col width="10" customWidth="1" min="312" max="312"/>
    <col width="10" customWidth="1" min="313" max="313"/>
    <col width="10" customWidth="1" min="314" max="314"/>
    <col width="11" customWidth="1" min="315" max="315"/>
    <col width="11" customWidth="1" min="316" max="316"/>
    <col width="10" customWidth="1" min="317" max="317"/>
    <col width="10" customWidth="1" min="318" max="318"/>
    <col width="10" customWidth="1" min="319" max="319"/>
    <col width="10" customWidth="1" min="320" max="320"/>
    <col width="11" customWidth="1" min="321" max="321"/>
    <col width="11" customWidth="1" min="322" max="322"/>
    <col width="10" customWidth="1" min="323" max="323"/>
    <col width="11" customWidth="1" min="324" max="324"/>
    <col width="13" customWidth="1" min="325" max="325"/>
    <col width="12" customWidth="1" min="327" max="327"/>
    <col width="10" customWidth="1" min="328" max="328"/>
    <col width="10" customWidth="1" min="329" max="329"/>
    <col width="10" customWidth="1" min="330" max="330"/>
    <col width="10" customWidth="1" min="331" max="331"/>
    <col width="11" customWidth="1" min="332" max="332"/>
    <col width="11" customWidth="1" min="333" max="333"/>
    <col width="10" customWidth="1" min="334" max="334"/>
    <col width="10" customWidth="1" min="335" max="335"/>
    <col width="10" customWidth="1" min="336" max="336"/>
    <col width="10" customWidth="1" min="337" max="337"/>
    <col width="11" customWidth="1" min="338" max="338"/>
    <col width="11" customWidth="1" min="339" max="339"/>
    <col width="10" customWidth="1" min="340" max="340"/>
    <col width="11" customWidth="1" min="341" max="341"/>
    <col width="13" customWidth="1" min="342" max="342"/>
    <col width="12" customWidth="1" min="344" max="344"/>
    <col width="10" customWidth="1" min="345" max="345"/>
    <col width="10" customWidth="1" min="346" max="346"/>
    <col width="10" customWidth="1" min="347" max="347"/>
    <col width="10" customWidth="1" min="348" max="348"/>
    <col width="11" customWidth="1" min="349" max="349"/>
    <col width="11" customWidth="1" min="350" max="350"/>
    <col width="10" customWidth="1" min="351" max="351"/>
    <col width="10" customWidth="1" min="352" max="352"/>
    <col width="10" customWidth="1" min="353" max="353"/>
    <col width="10" customWidth="1" min="354" max="354"/>
    <col width="11" customWidth="1" min="355" max="355"/>
    <col width="11" customWidth="1" min="356" max="356"/>
    <col width="10" customWidth="1" min="357" max="357"/>
    <col width="11" customWidth="1" min="358" max="358"/>
    <col width="13" customWidth="1" min="359" max="359"/>
    <col width="12" customWidth="1" min="361" max="361"/>
    <col width="10" customWidth="1" min="362" max="362"/>
    <col width="10" customWidth="1" min="363" max="363"/>
    <col width="10" customWidth="1" min="364" max="364"/>
    <col width="10" customWidth="1" min="365" max="365"/>
    <col width="11" customWidth="1" min="366" max="366"/>
    <col width="11" customWidth="1" min="367" max="367"/>
    <col width="10" customWidth="1" min="368" max="368"/>
    <col width="10" customWidth="1" min="369" max="369"/>
    <col width="10" customWidth="1" min="370" max="370"/>
    <col width="10" customWidth="1" min="371" max="371"/>
    <col width="11" customWidth="1" min="372" max="372"/>
    <col width="11" customWidth="1" min="373" max="373"/>
    <col width="10" customWidth="1" min="374" max="374"/>
    <col width="11" customWidth="1" min="375" max="375"/>
    <col width="13" customWidth="1" min="376" max="376"/>
  </cols>
  <sheetData>
    <row r="1">
      <c r="A1" s="2" t="inlineStr">
        <is>
          <t>Month</t>
        </is>
      </c>
      <c r="B1" s="9" t="n">
        <v>12</v>
      </c>
      <c r="D1" s="2">
        <f>IF(ISNUMBER(B$7),"USO US "&amp;TEXT(B$3,"mm/dd/yy")&amp;" C"&amp;(B$7-5*B$6)&amp;" Equity","")</f>
        <v/>
      </c>
      <c r="U1" s="2">
        <f>IF(ISNUMBER(B$7),"USO US "&amp;TEXT(B$3,"mm/dd/yy")&amp;" P"&amp;(B$7-5*B$6)&amp;" Equity","")</f>
        <v/>
      </c>
      <c r="AL1" s="2">
        <f>IF(ISNUMBER(B$7),"USO US "&amp;TEXT(B$3,"mm/dd/yy")&amp;" C"&amp;(B$7-4*B$6)&amp;" Equity","")</f>
        <v/>
      </c>
      <c r="BC1" s="2">
        <f>IF(ISNUMBER(B$7),"USO US "&amp;TEXT(B$3,"mm/dd/yy")&amp;" P"&amp;(B$7-4*B$6)&amp;" Equity","")</f>
        <v/>
      </c>
      <c r="BT1" s="2">
        <f>IF(ISNUMBER(B$7),"USO US "&amp;TEXT(B$3,"mm/dd/yy")&amp;" C"&amp;(B$7-3*B$6)&amp;" Equity","")</f>
        <v/>
      </c>
      <c r="CK1" s="2">
        <f>IF(ISNUMBER(B$7),"USO US "&amp;TEXT(B$3,"mm/dd/yy")&amp;" P"&amp;(B$7-3*B$6)&amp;" Equity","")</f>
        <v/>
      </c>
      <c r="DB1" s="2">
        <f>IF(ISNUMBER(B$7),"USO US "&amp;TEXT(B$3,"mm/dd/yy")&amp;" C"&amp;(B$7-2*B$6)&amp;" Equity","")</f>
        <v/>
      </c>
      <c r="DS1" s="2">
        <f>IF(ISNUMBER(B$7),"USO US "&amp;TEXT(B$3,"mm/dd/yy")&amp;" P"&amp;(B$7-2*B$6)&amp;" Equity","")</f>
        <v/>
      </c>
      <c r="EJ1" s="2">
        <f>IF(ISNUMBER(B$7),"USO US "&amp;TEXT(B$3,"mm/dd/yy")&amp;" C"&amp;(B$7-1*B$6)&amp;" Equity","")</f>
        <v/>
      </c>
      <c r="FA1" s="2">
        <f>IF(ISNUMBER(B$7),"USO US "&amp;TEXT(B$3,"mm/dd/yy")&amp;" P"&amp;(B$7-1*B$6)&amp;" Equity","")</f>
        <v/>
      </c>
      <c r="FR1" s="2">
        <f>IF(ISNUMBER(B$7),"USO US "&amp;TEXT(B$3,"mm/dd/yy")&amp;" C"&amp;B$7&amp;" Equity","")</f>
        <v/>
      </c>
      <c r="GI1" s="2">
        <f>IF(ISNUMBER(B$7),"USO US "&amp;TEXT(B$3,"mm/dd/yy")&amp;" P"&amp;B$7&amp;" Equity","")</f>
        <v/>
      </c>
      <c r="GZ1" s="2">
        <f>IF(ISNUMBER(B$7),"USO US "&amp;TEXT(B$3,"mm/dd/yy")&amp;" C"&amp;(B$7+1*B$6)&amp;" Equity","")</f>
        <v/>
      </c>
      <c r="HQ1" s="2">
        <f>IF(ISNUMBER(B$7),"USO US "&amp;TEXT(B$3,"mm/dd/yy")&amp;" P"&amp;(B$7+1*B$6)&amp;" Equity","")</f>
        <v/>
      </c>
      <c r="IH1" s="2">
        <f>IF(ISNUMBER(B$7),"USO US "&amp;TEXT(B$3,"mm/dd/yy")&amp;" C"&amp;(B$7+2*B$6)&amp;" Equity","")</f>
        <v/>
      </c>
      <c r="IY1" s="2">
        <f>IF(ISNUMBER(B$7),"USO US "&amp;TEXT(B$3,"mm/dd/yy")&amp;" P"&amp;(B$7+2*B$6)&amp;" Equity","")</f>
        <v/>
      </c>
      <c r="JP1" s="2">
        <f>IF(ISNUMBER(B$7),"USO US "&amp;TEXT(B$3,"mm/dd/yy")&amp;" C"&amp;(B$7+3*B$6)&amp;" Equity","")</f>
        <v/>
      </c>
      <c r="KG1" s="2">
        <f>IF(ISNUMBER(B$7),"USO US "&amp;TEXT(B$3,"mm/dd/yy")&amp;" P"&amp;(B$7+3*B$6)&amp;" Equity","")</f>
        <v/>
      </c>
      <c r="KX1" s="2">
        <f>IF(ISNUMBER(B$7),"USO US "&amp;TEXT(B$3,"mm/dd/yy")&amp;" C"&amp;(B$7+4*B$6)&amp;" Equity","")</f>
        <v/>
      </c>
      <c r="LO1" s="2">
        <f>IF(ISNUMBER(B$7),"USO US "&amp;TEXT(B$3,"mm/dd/yy")&amp;" P"&amp;(B$7+4*B$6)&amp;" Equity","")</f>
        <v/>
      </c>
      <c r="MF1" s="2">
        <f>IF(ISNUMBER(B$7),"USO US "&amp;TEXT(B$3,"mm/dd/yy")&amp;" C"&amp;(B$7+5*B$6)&amp;" Equity","")</f>
        <v/>
      </c>
      <c r="MW1" s="2">
        <f>IF(ISNUMBER(B$7),"USO US "&amp;TEXT(B$3,"mm/dd/yy")&amp;" P"&amp;(B$7+5*B$6)&amp;" Equity","")</f>
        <v/>
      </c>
    </row>
    <row r="2">
      <c r="A2" s="2" t="inlineStr">
        <is>
          <t>Underlying</t>
        </is>
      </c>
      <c r="B2" s="4">
        <f>IF(Settings!$B$15="Y","USO US Equity","")</f>
        <v/>
      </c>
      <c r="D2" s="4" t="inlineStr">
        <is>
          <t>call -5 from ATM</t>
        </is>
      </c>
      <c r="U2" s="4" t="inlineStr">
        <is>
          <t>put -5 from ATM</t>
        </is>
      </c>
      <c r="AL2" s="4" t="inlineStr">
        <is>
          <t>call -4 from ATM</t>
        </is>
      </c>
      <c r="BC2" s="4" t="inlineStr">
        <is>
          <t>put -4 from ATM</t>
        </is>
      </c>
      <c r="BT2" s="4" t="inlineStr">
        <is>
          <t>call -3 from ATM</t>
        </is>
      </c>
      <c r="CK2" s="4" t="inlineStr">
        <is>
          <t>put -3 from ATM</t>
        </is>
      </c>
      <c r="DB2" s="4" t="inlineStr">
        <is>
          <t>call -2 from ATM</t>
        </is>
      </c>
      <c r="DS2" s="4" t="inlineStr">
        <is>
          <t>put -2 from ATM</t>
        </is>
      </c>
      <c r="EJ2" s="4" t="inlineStr">
        <is>
          <t>call -1 from ATM</t>
        </is>
      </c>
      <c r="FA2" s="4" t="inlineStr">
        <is>
          <t>put -1 from ATM</t>
        </is>
      </c>
      <c r="FR2" s="4" t="inlineStr">
        <is>
          <t>call +0 from ATM</t>
        </is>
      </c>
      <c r="GI2" s="4" t="inlineStr">
        <is>
          <t>put +0 from ATM</t>
        </is>
      </c>
      <c r="GZ2" s="4" t="inlineStr">
        <is>
          <t>call +1 from ATM</t>
        </is>
      </c>
      <c r="HQ2" s="4" t="inlineStr">
        <is>
          <t>put +1 from ATM</t>
        </is>
      </c>
      <c r="IH2" s="4" t="inlineStr">
        <is>
          <t>call +2 from ATM</t>
        </is>
      </c>
      <c r="IY2" s="4" t="inlineStr">
        <is>
          <t>put +2 from ATM</t>
        </is>
      </c>
      <c r="JP2" s="4" t="inlineStr">
        <is>
          <t>call +3 from ATM</t>
        </is>
      </c>
      <c r="KG2" s="4" t="inlineStr">
        <is>
          <t>put +3 from ATM</t>
        </is>
      </c>
      <c r="KX2" s="4" t="inlineStr">
        <is>
          <t>call +4 from ATM</t>
        </is>
      </c>
      <c r="LO2" s="4" t="inlineStr">
        <is>
          <t>put +4 from ATM</t>
        </is>
      </c>
      <c r="MF2" s="4" t="inlineStr">
        <is>
          <t>call +5 from ATM</t>
        </is>
      </c>
      <c r="MW2" s="4" t="inlineStr">
        <is>
          <t>put +5 from ATM</t>
        </is>
      </c>
    </row>
    <row r="3">
      <c r="A3" s="2" t="inlineStr">
        <is>
          <t>Expiry (3rd Friday)</t>
        </is>
      </c>
      <c r="B3" s="3">
        <f>DATE(Settings!$E$15,B1,15)+MOD(6-WEEKDAY(DATE(Settings!$E$15,B1,15)),7)</f>
        <v/>
      </c>
      <c r="D3" s="5" t="inlineStr">
        <is>
          <t>Date</t>
        </is>
      </c>
      <c r="E3" s="5" t="inlineStr">
        <is>
          <t>PX_BID</t>
        </is>
      </c>
      <c r="F3" s="5" t="inlineStr">
        <is>
          <t>PX_ASK</t>
        </is>
      </c>
      <c r="G3" s="5" t="inlineStr">
        <is>
          <t>PX_MID</t>
        </is>
      </c>
      <c r="H3" s="5" t="inlineStr">
        <is>
          <t>PX_LAST</t>
        </is>
      </c>
      <c r="I3" s="5" t="inlineStr">
        <is>
          <t>PX_SETTLE</t>
        </is>
      </c>
      <c r="J3" s="5" t="inlineStr">
        <is>
          <t>PX_VOLUME</t>
        </is>
      </c>
      <c r="K3" s="5" t="inlineStr">
        <is>
          <t>OPEN_INT</t>
        </is>
      </c>
      <c r="L3" s="5" t="inlineStr">
        <is>
          <t>IVOL_MID</t>
        </is>
      </c>
      <c r="M3" s="5" t="inlineStr">
        <is>
          <t>IVOL_BID</t>
        </is>
      </c>
      <c r="N3" s="5" t="inlineStr">
        <is>
          <t>IVOL_ASK</t>
        </is>
      </c>
      <c r="O3" s="5" t="inlineStr">
        <is>
          <t>DELTA_MID</t>
        </is>
      </c>
      <c r="P3" s="5" t="inlineStr">
        <is>
          <t>GAMMA_MID</t>
        </is>
      </c>
      <c r="Q3" s="5" t="inlineStr">
        <is>
          <t>VEGA_MID</t>
        </is>
      </c>
      <c r="R3" s="5" t="inlineStr">
        <is>
          <t>THETA_MID</t>
        </is>
      </c>
      <c r="S3" s="5" t="inlineStr">
        <is>
          <t>OPT_UNDL_PX</t>
        </is>
      </c>
      <c r="U3" s="5" t="inlineStr">
        <is>
          <t>Date</t>
        </is>
      </c>
      <c r="V3" s="5" t="inlineStr">
        <is>
          <t>PX_BID</t>
        </is>
      </c>
      <c r="W3" s="5" t="inlineStr">
        <is>
          <t>PX_ASK</t>
        </is>
      </c>
      <c r="X3" s="5" t="inlineStr">
        <is>
          <t>PX_MID</t>
        </is>
      </c>
      <c r="Y3" s="5" t="inlineStr">
        <is>
          <t>PX_LAST</t>
        </is>
      </c>
      <c r="Z3" s="5" t="inlineStr">
        <is>
          <t>PX_SETTLE</t>
        </is>
      </c>
      <c r="AA3" s="5" t="inlineStr">
        <is>
          <t>PX_VOLUME</t>
        </is>
      </c>
      <c r="AB3" s="5" t="inlineStr">
        <is>
          <t>OPEN_INT</t>
        </is>
      </c>
      <c r="AC3" s="5" t="inlineStr">
        <is>
          <t>IVOL_MID</t>
        </is>
      </c>
      <c r="AD3" s="5" t="inlineStr">
        <is>
          <t>IVOL_BID</t>
        </is>
      </c>
      <c r="AE3" s="5" t="inlineStr">
        <is>
          <t>IVOL_ASK</t>
        </is>
      </c>
      <c r="AF3" s="5" t="inlineStr">
        <is>
          <t>DELTA_MID</t>
        </is>
      </c>
      <c r="AG3" s="5" t="inlineStr">
        <is>
          <t>GAMMA_MID</t>
        </is>
      </c>
      <c r="AH3" s="5" t="inlineStr">
        <is>
          <t>VEGA_MID</t>
        </is>
      </c>
      <c r="AI3" s="5" t="inlineStr">
        <is>
          <t>THETA_MID</t>
        </is>
      </c>
      <c r="AJ3" s="5" t="inlineStr">
        <is>
          <t>OPT_UNDL_PX</t>
        </is>
      </c>
      <c r="AL3" s="5" t="inlineStr">
        <is>
          <t>Date</t>
        </is>
      </c>
      <c r="AM3" s="5" t="inlineStr">
        <is>
          <t>PX_BID</t>
        </is>
      </c>
      <c r="AN3" s="5" t="inlineStr">
        <is>
          <t>PX_ASK</t>
        </is>
      </c>
      <c r="AO3" s="5" t="inlineStr">
        <is>
          <t>PX_MID</t>
        </is>
      </c>
      <c r="AP3" s="5" t="inlineStr">
        <is>
          <t>PX_LAST</t>
        </is>
      </c>
      <c r="AQ3" s="5" t="inlineStr">
        <is>
          <t>PX_SETTLE</t>
        </is>
      </c>
      <c r="AR3" s="5" t="inlineStr">
        <is>
          <t>PX_VOLUME</t>
        </is>
      </c>
      <c r="AS3" s="5" t="inlineStr">
        <is>
          <t>OPEN_INT</t>
        </is>
      </c>
      <c r="AT3" s="5" t="inlineStr">
        <is>
          <t>IVOL_MID</t>
        </is>
      </c>
      <c r="AU3" s="5" t="inlineStr">
        <is>
          <t>IVOL_BID</t>
        </is>
      </c>
      <c r="AV3" s="5" t="inlineStr">
        <is>
          <t>IVOL_ASK</t>
        </is>
      </c>
      <c r="AW3" s="5" t="inlineStr">
        <is>
          <t>DELTA_MID</t>
        </is>
      </c>
      <c r="AX3" s="5" t="inlineStr">
        <is>
          <t>GAMMA_MID</t>
        </is>
      </c>
      <c r="AY3" s="5" t="inlineStr">
        <is>
          <t>VEGA_MID</t>
        </is>
      </c>
      <c r="AZ3" s="5" t="inlineStr">
        <is>
          <t>THETA_MID</t>
        </is>
      </c>
      <c r="BA3" s="5" t="inlineStr">
        <is>
          <t>OPT_UNDL_PX</t>
        </is>
      </c>
      <c r="BC3" s="5" t="inlineStr">
        <is>
          <t>Date</t>
        </is>
      </c>
      <c r="BD3" s="5" t="inlineStr">
        <is>
          <t>PX_BID</t>
        </is>
      </c>
      <c r="BE3" s="5" t="inlineStr">
        <is>
          <t>PX_ASK</t>
        </is>
      </c>
      <c r="BF3" s="5" t="inlineStr">
        <is>
          <t>PX_MID</t>
        </is>
      </c>
      <c r="BG3" s="5" t="inlineStr">
        <is>
          <t>PX_LAST</t>
        </is>
      </c>
      <c r="BH3" s="5" t="inlineStr">
        <is>
          <t>PX_SETTLE</t>
        </is>
      </c>
      <c r="BI3" s="5" t="inlineStr">
        <is>
          <t>PX_VOLUME</t>
        </is>
      </c>
      <c r="BJ3" s="5" t="inlineStr">
        <is>
          <t>OPEN_INT</t>
        </is>
      </c>
      <c r="BK3" s="5" t="inlineStr">
        <is>
          <t>IVOL_MID</t>
        </is>
      </c>
      <c r="BL3" s="5" t="inlineStr">
        <is>
          <t>IVOL_BID</t>
        </is>
      </c>
      <c r="BM3" s="5" t="inlineStr">
        <is>
          <t>IVOL_ASK</t>
        </is>
      </c>
      <c r="BN3" s="5" t="inlineStr">
        <is>
          <t>DELTA_MID</t>
        </is>
      </c>
      <c r="BO3" s="5" t="inlineStr">
        <is>
          <t>GAMMA_MID</t>
        </is>
      </c>
      <c r="BP3" s="5" t="inlineStr">
        <is>
          <t>VEGA_MID</t>
        </is>
      </c>
      <c r="BQ3" s="5" t="inlineStr">
        <is>
          <t>THETA_MID</t>
        </is>
      </c>
      <c r="BR3" s="5" t="inlineStr">
        <is>
          <t>OPT_UNDL_PX</t>
        </is>
      </c>
      <c r="BT3" s="5" t="inlineStr">
        <is>
          <t>Date</t>
        </is>
      </c>
      <c r="BU3" s="5" t="inlineStr">
        <is>
          <t>PX_BID</t>
        </is>
      </c>
      <c r="BV3" s="5" t="inlineStr">
        <is>
          <t>PX_ASK</t>
        </is>
      </c>
      <c r="BW3" s="5" t="inlineStr">
        <is>
          <t>PX_MID</t>
        </is>
      </c>
      <c r="BX3" s="5" t="inlineStr">
        <is>
          <t>PX_LAST</t>
        </is>
      </c>
      <c r="BY3" s="5" t="inlineStr">
        <is>
          <t>PX_SETTLE</t>
        </is>
      </c>
      <c r="BZ3" s="5" t="inlineStr">
        <is>
          <t>PX_VOLUME</t>
        </is>
      </c>
      <c r="CA3" s="5" t="inlineStr">
        <is>
          <t>OPEN_INT</t>
        </is>
      </c>
      <c r="CB3" s="5" t="inlineStr">
        <is>
          <t>IVOL_MID</t>
        </is>
      </c>
      <c r="CC3" s="5" t="inlineStr">
        <is>
          <t>IVOL_BID</t>
        </is>
      </c>
      <c r="CD3" s="5" t="inlineStr">
        <is>
          <t>IVOL_ASK</t>
        </is>
      </c>
      <c r="CE3" s="5" t="inlineStr">
        <is>
          <t>DELTA_MID</t>
        </is>
      </c>
      <c r="CF3" s="5" t="inlineStr">
        <is>
          <t>GAMMA_MID</t>
        </is>
      </c>
      <c r="CG3" s="5" t="inlineStr">
        <is>
          <t>VEGA_MID</t>
        </is>
      </c>
      <c r="CH3" s="5" t="inlineStr">
        <is>
          <t>THETA_MID</t>
        </is>
      </c>
      <c r="CI3" s="5" t="inlineStr">
        <is>
          <t>OPT_UNDL_PX</t>
        </is>
      </c>
      <c r="CK3" s="5" t="inlineStr">
        <is>
          <t>Date</t>
        </is>
      </c>
      <c r="CL3" s="5" t="inlineStr">
        <is>
          <t>PX_BID</t>
        </is>
      </c>
      <c r="CM3" s="5" t="inlineStr">
        <is>
          <t>PX_ASK</t>
        </is>
      </c>
      <c r="CN3" s="5" t="inlineStr">
        <is>
          <t>PX_MID</t>
        </is>
      </c>
      <c r="CO3" s="5" t="inlineStr">
        <is>
          <t>PX_LAST</t>
        </is>
      </c>
      <c r="CP3" s="5" t="inlineStr">
        <is>
          <t>PX_SETTLE</t>
        </is>
      </c>
      <c r="CQ3" s="5" t="inlineStr">
        <is>
          <t>PX_VOLUME</t>
        </is>
      </c>
      <c r="CR3" s="5" t="inlineStr">
        <is>
          <t>OPEN_INT</t>
        </is>
      </c>
      <c r="CS3" s="5" t="inlineStr">
        <is>
          <t>IVOL_MID</t>
        </is>
      </c>
      <c r="CT3" s="5" t="inlineStr">
        <is>
          <t>IVOL_BID</t>
        </is>
      </c>
      <c r="CU3" s="5" t="inlineStr">
        <is>
          <t>IVOL_ASK</t>
        </is>
      </c>
      <c r="CV3" s="5" t="inlineStr">
        <is>
          <t>DELTA_MID</t>
        </is>
      </c>
      <c r="CW3" s="5" t="inlineStr">
        <is>
          <t>GAMMA_MID</t>
        </is>
      </c>
      <c r="CX3" s="5" t="inlineStr">
        <is>
          <t>VEGA_MID</t>
        </is>
      </c>
      <c r="CY3" s="5" t="inlineStr">
        <is>
          <t>THETA_MID</t>
        </is>
      </c>
      <c r="CZ3" s="5" t="inlineStr">
        <is>
          <t>OPT_UNDL_PX</t>
        </is>
      </c>
      <c r="DB3" s="5" t="inlineStr">
        <is>
          <t>Date</t>
        </is>
      </c>
      <c r="DC3" s="5" t="inlineStr">
        <is>
          <t>PX_BID</t>
        </is>
      </c>
      <c r="DD3" s="5" t="inlineStr">
        <is>
          <t>PX_ASK</t>
        </is>
      </c>
      <c r="DE3" s="5" t="inlineStr">
        <is>
          <t>PX_MID</t>
        </is>
      </c>
      <c r="DF3" s="5" t="inlineStr">
        <is>
          <t>PX_LAST</t>
        </is>
      </c>
      <c r="DG3" s="5" t="inlineStr">
        <is>
          <t>PX_SETTLE</t>
        </is>
      </c>
      <c r="DH3" s="5" t="inlineStr">
        <is>
          <t>PX_VOLUME</t>
        </is>
      </c>
      <c r="DI3" s="5" t="inlineStr">
        <is>
          <t>OPEN_INT</t>
        </is>
      </c>
      <c r="DJ3" s="5" t="inlineStr">
        <is>
          <t>IVOL_MID</t>
        </is>
      </c>
      <c r="DK3" s="5" t="inlineStr">
        <is>
          <t>IVOL_BID</t>
        </is>
      </c>
      <c r="DL3" s="5" t="inlineStr">
        <is>
          <t>IVOL_ASK</t>
        </is>
      </c>
      <c r="DM3" s="5" t="inlineStr">
        <is>
          <t>DELTA_MID</t>
        </is>
      </c>
      <c r="DN3" s="5" t="inlineStr">
        <is>
          <t>GAMMA_MID</t>
        </is>
      </c>
      <c r="DO3" s="5" t="inlineStr">
        <is>
          <t>VEGA_MID</t>
        </is>
      </c>
      <c r="DP3" s="5" t="inlineStr">
        <is>
          <t>THETA_MID</t>
        </is>
      </c>
      <c r="DQ3" s="5" t="inlineStr">
        <is>
          <t>OPT_UNDL_PX</t>
        </is>
      </c>
      <c r="DS3" s="5" t="inlineStr">
        <is>
          <t>Date</t>
        </is>
      </c>
      <c r="DT3" s="5" t="inlineStr">
        <is>
          <t>PX_BID</t>
        </is>
      </c>
      <c r="DU3" s="5" t="inlineStr">
        <is>
          <t>PX_ASK</t>
        </is>
      </c>
      <c r="DV3" s="5" t="inlineStr">
        <is>
          <t>PX_MID</t>
        </is>
      </c>
      <c r="DW3" s="5" t="inlineStr">
        <is>
          <t>PX_LAST</t>
        </is>
      </c>
      <c r="DX3" s="5" t="inlineStr">
        <is>
          <t>PX_SETTLE</t>
        </is>
      </c>
      <c r="DY3" s="5" t="inlineStr">
        <is>
          <t>PX_VOLUME</t>
        </is>
      </c>
      <c r="DZ3" s="5" t="inlineStr">
        <is>
          <t>OPEN_INT</t>
        </is>
      </c>
      <c r="EA3" s="5" t="inlineStr">
        <is>
          <t>IVOL_MID</t>
        </is>
      </c>
      <c r="EB3" s="5" t="inlineStr">
        <is>
          <t>IVOL_BID</t>
        </is>
      </c>
      <c r="EC3" s="5" t="inlineStr">
        <is>
          <t>IVOL_ASK</t>
        </is>
      </c>
      <c r="ED3" s="5" t="inlineStr">
        <is>
          <t>DELTA_MID</t>
        </is>
      </c>
      <c r="EE3" s="5" t="inlineStr">
        <is>
          <t>GAMMA_MID</t>
        </is>
      </c>
      <c r="EF3" s="5" t="inlineStr">
        <is>
          <t>VEGA_MID</t>
        </is>
      </c>
      <c r="EG3" s="5" t="inlineStr">
        <is>
          <t>THETA_MID</t>
        </is>
      </c>
      <c r="EH3" s="5" t="inlineStr">
        <is>
          <t>OPT_UNDL_PX</t>
        </is>
      </c>
      <c r="EJ3" s="5" t="inlineStr">
        <is>
          <t>Date</t>
        </is>
      </c>
      <c r="EK3" s="5" t="inlineStr">
        <is>
          <t>PX_BID</t>
        </is>
      </c>
      <c r="EL3" s="5" t="inlineStr">
        <is>
          <t>PX_ASK</t>
        </is>
      </c>
      <c r="EM3" s="5" t="inlineStr">
        <is>
          <t>PX_MID</t>
        </is>
      </c>
      <c r="EN3" s="5" t="inlineStr">
        <is>
          <t>PX_LAST</t>
        </is>
      </c>
      <c r="EO3" s="5" t="inlineStr">
        <is>
          <t>PX_SETTLE</t>
        </is>
      </c>
      <c r="EP3" s="5" t="inlineStr">
        <is>
          <t>PX_VOLUME</t>
        </is>
      </c>
      <c r="EQ3" s="5" t="inlineStr">
        <is>
          <t>OPEN_INT</t>
        </is>
      </c>
      <c r="ER3" s="5" t="inlineStr">
        <is>
          <t>IVOL_MID</t>
        </is>
      </c>
      <c r="ES3" s="5" t="inlineStr">
        <is>
          <t>IVOL_BID</t>
        </is>
      </c>
      <c r="ET3" s="5" t="inlineStr">
        <is>
          <t>IVOL_ASK</t>
        </is>
      </c>
      <c r="EU3" s="5" t="inlineStr">
        <is>
          <t>DELTA_MID</t>
        </is>
      </c>
      <c r="EV3" s="5" t="inlineStr">
        <is>
          <t>GAMMA_MID</t>
        </is>
      </c>
      <c r="EW3" s="5" t="inlineStr">
        <is>
          <t>VEGA_MID</t>
        </is>
      </c>
      <c r="EX3" s="5" t="inlineStr">
        <is>
          <t>THETA_MID</t>
        </is>
      </c>
      <c r="EY3" s="5" t="inlineStr">
        <is>
          <t>OPT_UNDL_PX</t>
        </is>
      </c>
      <c r="FA3" s="5" t="inlineStr">
        <is>
          <t>Date</t>
        </is>
      </c>
      <c r="FB3" s="5" t="inlineStr">
        <is>
          <t>PX_BID</t>
        </is>
      </c>
      <c r="FC3" s="5" t="inlineStr">
        <is>
          <t>PX_ASK</t>
        </is>
      </c>
      <c r="FD3" s="5" t="inlineStr">
        <is>
          <t>PX_MID</t>
        </is>
      </c>
      <c r="FE3" s="5" t="inlineStr">
        <is>
          <t>PX_LAST</t>
        </is>
      </c>
      <c r="FF3" s="5" t="inlineStr">
        <is>
          <t>PX_SETTLE</t>
        </is>
      </c>
      <c r="FG3" s="5" t="inlineStr">
        <is>
          <t>PX_VOLUME</t>
        </is>
      </c>
      <c r="FH3" s="5" t="inlineStr">
        <is>
          <t>OPEN_INT</t>
        </is>
      </c>
      <c r="FI3" s="5" t="inlineStr">
        <is>
          <t>IVOL_MID</t>
        </is>
      </c>
      <c r="FJ3" s="5" t="inlineStr">
        <is>
          <t>IVOL_BID</t>
        </is>
      </c>
      <c r="FK3" s="5" t="inlineStr">
        <is>
          <t>IVOL_ASK</t>
        </is>
      </c>
      <c r="FL3" s="5" t="inlineStr">
        <is>
          <t>DELTA_MID</t>
        </is>
      </c>
      <c r="FM3" s="5" t="inlineStr">
        <is>
          <t>GAMMA_MID</t>
        </is>
      </c>
      <c r="FN3" s="5" t="inlineStr">
        <is>
          <t>VEGA_MID</t>
        </is>
      </c>
      <c r="FO3" s="5" t="inlineStr">
        <is>
          <t>THETA_MID</t>
        </is>
      </c>
      <c r="FP3" s="5" t="inlineStr">
        <is>
          <t>OPT_UNDL_PX</t>
        </is>
      </c>
      <c r="FR3" s="5" t="inlineStr">
        <is>
          <t>Date</t>
        </is>
      </c>
      <c r="FS3" s="5" t="inlineStr">
        <is>
          <t>PX_BID</t>
        </is>
      </c>
      <c r="FT3" s="5" t="inlineStr">
        <is>
          <t>PX_ASK</t>
        </is>
      </c>
      <c r="FU3" s="5" t="inlineStr">
        <is>
          <t>PX_MID</t>
        </is>
      </c>
      <c r="FV3" s="5" t="inlineStr">
        <is>
          <t>PX_LAST</t>
        </is>
      </c>
      <c r="FW3" s="5" t="inlineStr">
        <is>
          <t>PX_SETTLE</t>
        </is>
      </c>
      <c r="FX3" s="5" t="inlineStr">
        <is>
          <t>PX_VOLUME</t>
        </is>
      </c>
      <c r="FY3" s="5" t="inlineStr">
        <is>
          <t>OPEN_INT</t>
        </is>
      </c>
      <c r="FZ3" s="5" t="inlineStr">
        <is>
          <t>IVOL_MID</t>
        </is>
      </c>
      <c r="GA3" s="5" t="inlineStr">
        <is>
          <t>IVOL_BID</t>
        </is>
      </c>
      <c r="GB3" s="5" t="inlineStr">
        <is>
          <t>IVOL_ASK</t>
        </is>
      </c>
      <c r="GC3" s="5" t="inlineStr">
        <is>
          <t>DELTA_MID</t>
        </is>
      </c>
      <c r="GD3" s="5" t="inlineStr">
        <is>
          <t>GAMMA_MID</t>
        </is>
      </c>
      <c r="GE3" s="5" t="inlineStr">
        <is>
          <t>VEGA_MID</t>
        </is>
      </c>
      <c r="GF3" s="5" t="inlineStr">
        <is>
          <t>THETA_MID</t>
        </is>
      </c>
      <c r="GG3" s="5" t="inlineStr">
        <is>
          <t>OPT_UNDL_PX</t>
        </is>
      </c>
      <c r="GI3" s="5" t="inlineStr">
        <is>
          <t>Date</t>
        </is>
      </c>
      <c r="GJ3" s="5" t="inlineStr">
        <is>
          <t>PX_BID</t>
        </is>
      </c>
      <c r="GK3" s="5" t="inlineStr">
        <is>
          <t>PX_ASK</t>
        </is>
      </c>
      <c r="GL3" s="5" t="inlineStr">
        <is>
          <t>PX_MID</t>
        </is>
      </c>
      <c r="GM3" s="5" t="inlineStr">
        <is>
          <t>PX_LAST</t>
        </is>
      </c>
      <c r="GN3" s="5" t="inlineStr">
        <is>
          <t>PX_SETTLE</t>
        </is>
      </c>
      <c r="GO3" s="5" t="inlineStr">
        <is>
          <t>PX_VOLUME</t>
        </is>
      </c>
      <c r="GP3" s="5" t="inlineStr">
        <is>
          <t>OPEN_INT</t>
        </is>
      </c>
      <c r="GQ3" s="5" t="inlineStr">
        <is>
          <t>IVOL_MID</t>
        </is>
      </c>
      <c r="GR3" s="5" t="inlineStr">
        <is>
          <t>IVOL_BID</t>
        </is>
      </c>
      <c r="GS3" s="5" t="inlineStr">
        <is>
          <t>IVOL_ASK</t>
        </is>
      </c>
      <c r="GT3" s="5" t="inlineStr">
        <is>
          <t>DELTA_MID</t>
        </is>
      </c>
      <c r="GU3" s="5" t="inlineStr">
        <is>
          <t>GAMMA_MID</t>
        </is>
      </c>
      <c r="GV3" s="5" t="inlineStr">
        <is>
          <t>VEGA_MID</t>
        </is>
      </c>
      <c r="GW3" s="5" t="inlineStr">
        <is>
          <t>THETA_MID</t>
        </is>
      </c>
      <c r="GX3" s="5" t="inlineStr">
        <is>
          <t>OPT_UNDL_PX</t>
        </is>
      </c>
      <c r="GZ3" s="5" t="inlineStr">
        <is>
          <t>Date</t>
        </is>
      </c>
      <c r="HA3" s="5" t="inlineStr">
        <is>
          <t>PX_BID</t>
        </is>
      </c>
      <c r="HB3" s="5" t="inlineStr">
        <is>
          <t>PX_ASK</t>
        </is>
      </c>
      <c r="HC3" s="5" t="inlineStr">
        <is>
          <t>PX_MID</t>
        </is>
      </c>
      <c r="HD3" s="5" t="inlineStr">
        <is>
          <t>PX_LAST</t>
        </is>
      </c>
      <c r="HE3" s="5" t="inlineStr">
        <is>
          <t>PX_SETTLE</t>
        </is>
      </c>
      <c r="HF3" s="5" t="inlineStr">
        <is>
          <t>PX_VOLUME</t>
        </is>
      </c>
      <c r="HG3" s="5" t="inlineStr">
        <is>
          <t>OPEN_INT</t>
        </is>
      </c>
      <c r="HH3" s="5" t="inlineStr">
        <is>
          <t>IVOL_MID</t>
        </is>
      </c>
      <c r="HI3" s="5" t="inlineStr">
        <is>
          <t>IVOL_BID</t>
        </is>
      </c>
      <c r="HJ3" s="5" t="inlineStr">
        <is>
          <t>IVOL_ASK</t>
        </is>
      </c>
      <c r="HK3" s="5" t="inlineStr">
        <is>
          <t>DELTA_MID</t>
        </is>
      </c>
      <c r="HL3" s="5" t="inlineStr">
        <is>
          <t>GAMMA_MID</t>
        </is>
      </c>
      <c r="HM3" s="5" t="inlineStr">
        <is>
          <t>VEGA_MID</t>
        </is>
      </c>
      <c r="HN3" s="5" t="inlineStr">
        <is>
          <t>THETA_MID</t>
        </is>
      </c>
      <c r="HO3" s="5" t="inlineStr">
        <is>
          <t>OPT_UNDL_PX</t>
        </is>
      </c>
      <c r="HQ3" s="5" t="inlineStr">
        <is>
          <t>Date</t>
        </is>
      </c>
      <c r="HR3" s="5" t="inlineStr">
        <is>
          <t>PX_BID</t>
        </is>
      </c>
      <c r="HS3" s="5" t="inlineStr">
        <is>
          <t>PX_ASK</t>
        </is>
      </c>
      <c r="HT3" s="5" t="inlineStr">
        <is>
          <t>PX_MID</t>
        </is>
      </c>
      <c r="HU3" s="5" t="inlineStr">
        <is>
          <t>PX_LAST</t>
        </is>
      </c>
      <c r="HV3" s="5" t="inlineStr">
        <is>
          <t>PX_SETTLE</t>
        </is>
      </c>
      <c r="HW3" s="5" t="inlineStr">
        <is>
          <t>PX_VOLUME</t>
        </is>
      </c>
      <c r="HX3" s="5" t="inlineStr">
        <is>
          <t>OPEN_INT</t>
        </is>
      </c>
      <c r="HY3" s="5" t="inlineStr">
        <is>
          <t>IVOL_MID</t>
        </is>
      </c>
      <c r="HZ3" s="5" t="inlineStr">
        <is>
          <t>IVOL_BID</t>
        </is>
      </c>
      <c r="IA3" s="5" t="inlineStr">
        <is>
          <t>IVOL_ASK</t>
        </is>
      </c>
      <c r="IB3" s="5" t="inlineStr">
        <is>
          <t>DELTA_MID</t>
        </is>
      </c>
      <c r="IC3" s="5" t="inlineStr">
        <is>
          <t>GAMMA_MID</t>
        </is>
      </c>
      <c r="ID3" s="5" t="inlineStr">
        <is>
          <t>VEGA_MID</t>
        </is>
      </c>
      <c r="IE3" s="5" t="inlineStr">
        <is>
          <t>THETA_MID</t>
        </is>
      </c>
      <c r="IF3" s="5" t="inlineStr">
        <is>
          <t>OPT_UNDL_PX</t>
        </is>
      </c>
      <c r="IH3" s="5" t="inlineStr">
        <is>
          <t>Date</t>
        </is>
      </c>
      <c r="II3" s="5" t="inlineStr">
        <is>
          <t>PX_BID</t>
        </is>
      </c>
      <c r="IJ3" s="5" t="inlineStr">
        <is>
          <t>PX_ASK</t>
        </is>
      </c>
      <c r="IK3" s="5" t="inlineStr">
        <is>
          <t>PX_MID</t>
        </is>
      </c>
      <c r="IL3" s="5" t="inlineStr">
        <is>
          <t>PX_LAST</t>
        </is>
      </c>
      <c r="IM3" s="5" t="inlineStr">
        <is>
          <t>PX_SETTLE</t>
        </is>
      </c>
      <c r="IN3" s="5" t="inlineStr">
        <is>
          <t>PX_VOLUME</t>
        </is>
      </c>
      <c r="IO3" s="5" t="inlineStr">
        <is>
          <t>OPEN_INT</t>
        </is>
      </c>
      <c r="IP3" s="5" t="inlineStr">
        <is>
          <t>IVOL_MID</t>
        </is>
      </c>
      <c r="IQ3" s="5" t="inlineStr">
        <is>
          <t>IVOL_BID</t>
        </is>
      </c>
      <c r="IR3" s="5" t="inlineStr">
        <is>
          <t>IVOL_ASK</t>
        </is>
      </c>
      <c r="IS3" s="5" t="inlineStr">
        <is>
          <t>DELTA_MID</t>
        </is>
      </c>
      <c r="IT3" s="5" t="inlineStr">
        <is>
          <t>GAMMA_MID</t>
        </is>
      </c>
      <c r="IU3" s="5" t="inlineStr">
        <is>
          <t>VEGA_MID</t>
        </is>
      </c>
      <c r="IV3" s="5" t="inlineStr">
        <is>
          <t>THETA_MID</t>
        </is>
      </c>
      <c r="IW3" s="5" t="inlineStr">
        <is>
          <t>OPT_UNDL_PX</t>
        </is>
      </c>
      <c r="IY3" s="5" t="inlineStr">
        <is>
          <t>Date</t>
        </is>
      </c>
      <c r="IZ3" s="5" t="inlineStr">
        <is>
          <t>PX_BID</t>
        </is>
      </c>
      <c r="JA3" s="5" t="inlineStr">
        <is>
          <t>PX_ASK</t>
        </is>
      </c>
      <c r="JB3" s="5" t="inlineStr">
        <is>
          <t>PX_MID</t>
        </is>
      </c>
      <c r="JC3" s="5" t="inlineStr">
        <is>
          <t>PX_LAST</t>
        </is>
      </c>
      <c r="JD3" s="5" t="inlineStr">
        <is>
          <t>PX_SETTLE</t>
        </is>
      </c>
      <c r="JE3" s="5" t="inlineStr">
        <is>
          <t>PX_VOLUME</t>
        </is>
      </c>
      <c r="JF3" s="5" t="inlineStr">
        <is>
          <t>OPEN_INT</t>
        </is>
      </c>
      <c r="JG3" s="5" t="inlineStr">
        <is>
          <t>IVOL_MID</t>
        </is>
      </c>
      <c r="JH3" s="5" t="inlineStr">
        <is>
          <t>IVOL_BID</t>
        </is>
      </c>
      <c r="JI3" s="5" t="inlineStr">
        <is>
          <t>IVOL_ASK</t>
        </is>
      </c>
      <c r="JJ3" s="5" t="inlineStr">
        <is>
          <t>DELTA_MID</t>
        </is>
      </c>
      <c r="JK3" s="5" t="inlineStr">
        <is>
          <t>GAMMA_MID</t>
        </is>
      </c>
      <c r="JL3" s="5" t="inlineStr">
        <is>
          <t>VEGA_MID</t>
        </is>
      </c>
      <c r="JM3" s="5" t="inlineStr">
        <is>
          <t>THETA_MID</t>
        </is>
      </c>
      <c r="JN3" s="5" t="inlineStr">
        <is>
          <t>OPT_UNDL_PX</t>
        </is>
      </c>
      <c r="JP3" s="5" t="inlineStr">
        <is>
          <t>Date</t>
        </is>
      </c>
      <c r="JQ3" s="5" t="inlineStr">
        <is>
          <t>PX_BID</t>
        </is>
      </c>
      <c r="JR3" s="5" t="inlineStr">
        <is>
          <t>PX_ASK</t>
        </is>
      </c>
      <c r="JS3" s="5" t="inlineStr">
        <is>
          <t>PX_MID</t>
        </is>
      </c>
      <c r="JT3" s="5" t="inlineStr">
        <is>
          <t>PX_LAST</t>
        </is>
      </c>
      <c r="JU3" s="5" t="inlineStr">
        <is>
          <t>PX_SETTLE</t>
        </is>
      </c>
      <c r="JV3" s="5" t="inlineStr">
        <is>
          <t>PX_VOLUME</t>
        </is>
      </c>
      <c r="JW3" s="5" t="inlineStr">
        <is>
          <t>OPEN_INT</t>
        </is>
      </c>
      <c r="JX3" s="5" t="inlineStr">
        <is>
          <t>IVOL_MID</t>
        </is>
      </c>
      <c r="JY3" s="5" t="inlineStr">
        <is>
          <t>IVOL_BID</t>
        </is>
      </c>
      <c r="JZ3" s="5" t="inlineStr">
        <is>
          <t>IVOL_ASK</t>
        </is>
      </c>
      <c r="KA3" s="5" t="inlineStr">
        <is>
          <t>DELTA_MID</t>
        </is>
      </c>
      <c r="KB3" s="5" t="inlineStr">
        <is>
          <t>GAMMA_MID</t>
        </is>
      </c>
      <c r="KC3" s="5" t="inlineStr">
        <is>
          <t>VEGA_MID</t>
        </is>
      </c>
      <c r="KD3" s="5" t="inlineStr">
        <is>
          <t>THETA_MID</t>
        </is>
      </c>
      <c r="KE3" s="5" t="inlineStr">
        <is>
          <t>OPT_UNDL_PX</t>
        </is>
      </c>
      <c r="KG3" s="5" t="inlineStr">
        <is>
          <t>Date</t>
        </is>
      </c>
      <c r="KH3" s="5" t="inlineStr">
        <is>
          <t>PX_BID</t>
        </is>
      </c>
      <c r="KI3" s="5" t="inlineStr">
        <is>
          <t>PX_ASK</t>
        </is>
      </c>
      <c r="KJ3" s="5" t="inlineStr">
        <is>
          <t>PX_MID</t>
        </is>
      </c>
      <c r="KK3" s="5" t="inlineStr">
        <is>
          <t>PX_LAST</t>
        </is>
      </c>
      <c r="KL3" s="5" t="inlineStr">
        <is>
          <t>PX_SETTLE</t>
        </is>
      </c>
      <c r="KM3" s="5" t="inlineStr">
        <is>
          <t>PX_VOLUME</t>
        </is>
      </c>
      <c r="KN3" s="5" t="inlineStr">
        <is>
          <t>OPEN_INT</t>
        </is>
      </c>
      <c r="KO3" s="5" t="inlineStr">
        <is>
          <t>IVOL_MID</t>
        </is>
      </c>
      <c r="KP3" s="5" t="inlineStr">
        <is>
          <t>IVOL_BID</t>
        </is>
      </c>
      <c r="KQ3" s="5" t="inlineStr">
        <is>
          <t>IVOL_ASK</t>
        </is>
      </c>
      <c r="KR3" s="5" t="inlineStr">
        <is>
          <t>DELTA_MID</t>
        </is>
      </c>
      <c r="KS3" s="5" t="inlineStr">
        <is>
          <t>GAMMA_MID</t>
        </is>
      </c>
      <c r="KT3" s="5" t="inlineStr">
        <is>
          <t>VEGA_MID</t>
        </is>
      </c>
      <c r="KU3" s="5" t="inlineStr">
        <is>
          <t>THETA_MID</t>
        </is>
      </c>
      <c r="KV3" s="5" t="inlineStr">
        <is>
          <t>OPT_UNDL_PX</t>
        </is>
      </c>
      <c r="KX3" s="5" t="inlineStr">
        <is>
          <t>Date</t>
        </is>
      </c>
      <c r="KY3" s="5" t="inlineStr">
        <is>
          <t>PX_BID</t>
        </is>
      </c>
      <c r="KZ3" s="5" t="inlineStr">
        <is>
          <t>PX_ASK</t>
        </is>
      </c>
      <c r="LA3" s="5" t="inlineStr">
        <is>
          <t>PX_MID</t>
        </is>
      </c>
      <c r="LB3" s="5" t="inlineStr">
        <is>
          <t>PX_LAST</t>
        </is>
      </c>
      <c r="LC3" s="5" t="inlineStr">
        <is>
          <t>PX_SETTLE</t>
        </is>
      </c>
      <c r="LD3" s="5" t="inlineStr">
        <is>
          <t>PX_VOLUME</t>
        </is>
      </c>
      <c r="LE3" s="5" t="inlineStr">
        <is>
          <t>OPEN_INT</t>
        </is>
      </c>
      <c r="LF3" s="5" t="inlineStr">
        <is>
          <t>IVOL_MID</t>
        </is>
      </c>
      <c r="LG3" s="5" t="inlineStr">
        <is>
          <t>IVOL_BID</t>
        </is>
      </c>
      <c r="LH3" s="5" t="inlineStr">
        <is>
          <t>IVOL_ASK</t>
        </is>
      </c>
      <c r="LI3" s="5" t="inlineStr">
        <is>
          <t>DELTA_MID</t>
        </is>
      </c>
      <c r="LJ3" s="5" t="inlineStr">
        <is>
          <t>GAMMA_MID</t>
        </is>
      </c>
      <c r="LK3" s="5" t="inlineStr">
        <is>
          <t>VEGA_MID</t>
        </is>
      </c>
      <c r="LL3" s="5" t="inlineStr">
        <is>
          <t>THETA_MID</t>
        </is>
      </c>
      <c r="LM3" s="5" t="inlineStr">
        <is>
          <t>OPT_UNDL_PX</t>
        </is>
      </c>
      <c r="LO3" s="5" t="inlineStr">
        <is>
          <t>Date</t>
        </is>
      </c>
      <c r="LP3" s="5" t="inlineStr">
        <is>
          <t>PX_BID</t>
        </is>
      </c>
      <c r="LQ3" s="5" t="inlineStr">
        <is>
          <t>PX_ASK</t>
        </is>
      </c>
      <c r="LR3" s="5" t="inlineStr">
        <is>
          <t>PX_MID</t>
        </is>
      </c>
      <c r="LS3" s="5" t="inlineStr">
        <is>
          <t>PX_LAST</t>
        </is>
      </c>
      <c r="LT3" s="5" t="inlineStr">
        <is>
          <t>PX_SETTLE</t>
        </is>
      </c>
      <c r="LU3" s="5" t="inlineStr">
        <is>
          <t>PX_VOLUME</t>
        </is>
      </c>
      <c r="LV3" s="5" t="inlineStr">
        <is>
          <t>OPEN_INT</t>
        </is>
      </c>
      <c r="LW3" s="5" t="inlineStr">
        <is>
          <t>IVOL_MID</t>
        </is>
      </c>
      <c r="LX3" s="5" t="inlineStr">
        <is>
          <t>IVOL_BID</t>
        </is>
      </c>
      <c r="LY3" s="5" t="inlineStr">
        <is>
          <t>IVOL_ASK</t>
        </is>
      </c>
      <c r="LZ3" s="5" t="inlineStr">
        <is>
          <t>DELTA_MID</t>
        </is>
      </c>
      <c r="MA3" s="5" t="inlineStr">
        <is>
          <t>GAMMA_MID</t>
        </is>
      </c>
      <c r="MB3" s="5" t="inlineStr">
        <is>
          <t>VEGA_MID</t>
        </is>
      </c>
      <c r="MC3" s="5" t="inlineStr">
        <is>
          <t>THETA_MID</t>
        </is>
      </c>
      <c r="MD3" s="5" t="inlineStr">
        <is>
          <t>OPT_UNDL_PX</t>
        </is>
      </c>
      <c r="MF3" s="5" t="inlineStr">
        <is>
          <t>Date</t>
        </is>
      </c>
      <c r="MG3" s="5" t="inlineStr">
        <is>
          <t>PX_BID</t>
        </is>
      </c>
      <c r="MH3" s="5" t="inlineStr">
        <is>
          <t>PX_ASK</t>
        </is>
      </c>
      <c r="MI3" s="5" t="inlineStr">
        <is>
          <t>PX_MID</t>
        </is>
      </c>
      <c r="MJ3" s="5" t="inlineStr">
        <is>
          <t>PX_LAST</t>
        </is>
      </c>
      <c r="MK3" s="5" t="inlineStr">
        <is>
          <t>PX_SETTLE</t>
        </is>
      </c>
      <c r="ML3" s="5" t="inlineStr">
        <is>
          <t>PX_VOLUME</t>
        </is>
      </c>
      <c r="MM3" s="5" t="inlineStr">
        <is>
          <t>OPEN_INT</t>
        </is>
      </c>
      <c r="MN3" s="5" t="inlineStr">
        <is>
          <t>IVOL_MID</t>
        </is>
      </c>
      <c r="MO3" s="5" t="inlineStr">
        <is>
          <t>IVOL_BID</t>
        </is>
      </c>
      <c r="MP3" s="5" t="inlineStr">
        <is>
          <t>IVOL_ASK</t>
        </is>
      </c>
      <c r="MQ3" s="5" t="inlineStr">
        <is>
          <t>DELTA_MID</t>
        </is>
      </c>
      <c r="MR3" s="5" t="inlineStr">
        <is>
          <t>GAMMA_MID</t>
        </is>
      </c>
      <c r="MS3" s="5" t="inlineStr">
        <is>
          <t>VEGA_MID</t>
        </is>
      </c>
      <c r="MT3" s="5" t="inlineStr">
        <is>
          <t>THETA_MID</t>
        </is>
      </c>
      <c r="MU3" s="5" t="inlineStr">
        <is>
          <t>OPT_UNDL_PX</t>
        </is>
      </c>
      <c r="MW3" s="5" t="inlineStr">
        <is>
          <t>Date</t>
        </is>
      </c>
      <c r="MX3" s="5" t="inlineStr">
        <is>
          <t>PX_BID</t>
        </is>
      </c>
      <c r="MY3" s="5" t="inlineStr">
        <is>
          <t>PX_ASK</t>
        </is>
      </c>
      <c r="MZ3" s="5" t="inlineStr">
        <is>
          <t>PX_MID</t>
        </is>
      </c>
      <c r="NA3" s="5" t="inlineStr">
        <is>
          <t>PX_LAST</t>
        </is>
      </c>
      <c r="NB3" s="5" t="inlineStr">
        <is>
          <t>PX_SETTLE</t>
        </is>
      </c>
      <c r="NC3" s="5" t="inlineStr">
        <is>
          <t>PX_VOLUME</t>
        </is>
      </c>
      <c r="ND3" s="5" t="inlineStr">
        <is>
          <t>OPEN_INT</t>
        </is>
      </c>
      <c r="NE3" s="5" t="inlineStr">
        <is>
          <t>IVOL_MID</t>
        </is>
      </c>
      <c r="NF3" s="5" t="inlineStr">
        <is>
          <t>IVOL_BID</t>
        </is>
      </c>
      <c r="NG3" s="5" t="inlineStr">
        <is>
          <t>IVOL_ASK</t>
        </is>
      </c>
      <c r="NH3" s="5" t="inlineStr">
        <is>
          <t>DELTA_MID</t>
        </is>
      </c>
      <c r="NI3" s="5" t="inlineStr">
        <is>
          <t>GAMMA_MID</t>
        </is>
      </c>
      <c r="NJ3" s="5" t="inlineStr">
        <is>
          <t>VEGA_MID</t>
        </is>
      </c>
      <c r="NK3" s="5" t="inlineStr">
        <is>
          <t>THETA_MID</t>
        </is>
      </c>
      <c r="NL3" s="5" t="inlineStr">
        <is>
          <t>OPT_UNDL_PX</t>
        </is>
      </c>
    </row>
    <row r="4">
      <c r="A4" s="2" t="inlineStr">
        <is>
          <t>Strike reference date</t>
        </is>
      </c>
      <c r="B4" s="8">
        <f>B3-45</f>
        <v/>
      </c>
      <c r="D4" s="4">
        <f>BDH(D$1,E$3:S$3,$B$8,$B$9,"Dir=V","Dts=S","Sort=A","Days=T","Fill=B")</f>
        <v/>
      </c>
      <c r="U4" s="4">
        <f>BDH(U$1,V$3:AJ$3,$B$8,$B$9,"Dir=V","Dts=S","Sort=A","Days=T","Fill=B")</f>
        <v/>
      </c>
      <c r="AL4" s="4">
        <f>BDH(AL$1,AM$3:BA$3,$B$8,$B$9,"Dir=V","Dts=S","Sort=A","Days=T","Fill=B")</f>
        <v/>
      </c>
      <c r="BC4" s="4">
        <f>BDH(BC$1,BD$3:BR$3,$B$8,$B$9,"Dir=V","Dts=S","Sort=A","Days=T","Fill=B")</f>
        <v/>
      </c>
      <c r="BT4" s="4">
        <f>BDH(BT$1,BU$3:CI$3,$B$8,$B$9,"Dir=V","Dts=S","Sort=A","Days=T","Fill=B")</f>
        <v/>
      </c>
      <c r="CK4" s="4">
        <f>BDH(CK$1,CL$3:CZ$3,$B$8,$B$9,"Dir=V","Dts=S","Sort=A","Days=T","Fill=B")</f>
        <v/>
      </c>
      <c r="DB4" s="4">
        <f>BDH(DB$1,DC$3:DQ$3,$B$8,$B$9,"Dir=V","Dts=S","Sort=A","Days=T","Fill=B")</f>
        <v/>
      </c>
      <c r="DS4" s="4">
        <f>BDH(DS$1,DT$3:EH$3,$B$8,$B$9,"Dir=V","Dts=S","Sort=A","Days=T","Fill=B")</f>
        <v/>
      </c>
      <c r="EJ4" s="4">
        <f>BDH(EJ$1,EK$3:EY$3,$B$8,$B$9,"Dir=V","Dts=S","Sort=A","Days=T","Fill=B")</f>
        <v/>
      </c>
      <c r="FA4" s="4">
        <f>BDH(FA$1,FB$3:FP$3,$B$8,$B$9,"Dir=V","Dts=S","Sort=A","Days=T","Fill=B")</f>
        <v/>
      </c>
      <c r="FR4" s="4">
        <f>BDH(FR$1,FS$3:GG$3,$B$8,$B$9,"Dir=V","Dts=S","Sort=A","Days=T","Fill=B")</f>
        <v/>
      </c>
      <c r="GI4" s="4">
        <f>BDH(GI$1,GJ$3:GX$3,$B$8,$B$9,"Dir=V","Dts=S","Sort=A","Days=T","Fill=B")</f>
        <v/>
      </c>
      <c r="GZ4" s="4">
        <f>BDH(GZ$1,HA$3:HO$3,$B$8,$B$9,"Dir=V","Dts=S","Sort=A","Days=T","Fill=B")</f>
        <v/>
      </c>
      <c r="HQ4" s="4">
        <f>BDH(HQ$1,HR$3:IF$3,$B$8,$B$9,"Dir=V","Dts=S","Sort=A","Days=T","Fill=B")</f>
        <v/>
      </c>
      <c r="IH4" s="4">
        <f>BDH(IH$1,II$3:IW$3,$B$8,$B$9,"Dir=V","Dts=S","Sort=A","Days=T","Fill=B")</f>
        <v/>
      </c>
      <c r="IY4" s="4">
        <f>BDH(IY$1,IZ$3:JN$3,$B$8,$B$9,"Dir=V","Dts=S","Sort=A","Days=T","Fill=B")</f>
        <v/>
      </c>
      <c r="JP4" s="4">
        <f>BDH(JP$1,JQ$3:KE$3,$B$8,$B$9,"Dir=V","Dts=S","Sort=A","Days=T","Fill=B")</f>
        <v/>
      </c>
      <c r="KG4" s="4">
        <f>BDH(KG$1,KH$3:KV$3,$B$8,$B$9,"Dir=V","Dts=S","Sort=A","Days=T","Fill=B")</f>
        <v/>
      </c>
      <c r="KX4" s="4">
        <f>BDH(KX$1,KY$3:LM$3,$B$8,$B$9,"Dir=V","Dts=S","Sort=A","Days=T","Fill=B")</f>
        <v/>
      </c>
      <c r="LO4" s="4">
        <f>BDH(LO$1,LP$3:MD$3,$B$8,$B$9,"Dir=V","Dts=S","Sort=A","Days=T","Fill=B")</f>
        <v/>
      </c>
      <c r="MF4" s="4">
        <f>BDH(MF$1,MG$3:MU$3,$B$8,$B$9,"Dir=V","Dts=S","Sort=A","Days=T","Fill=B")</f>
        <v/>
      </c>
      <c r="MW4" s="4">
        <f>BDH(MW$1,MX$3:NL$3,$B$8,$B$9,"Dir=V","Dts=S","Sort=A","Days=T","Fill=B")</f>
        <v/>
      </c>
    </row>
    <row r="5">
      <c r="A5" s="2" t="inlineStr">
        <is>
          <t>Unadjusted close then</t>
        </is>
      </c>
      <c r="B5" s="10">
        <f>IF(B2="","",BDH(B2,"PX_LAST",B4,B4,"Days=A","Fill=P","Dts=H","CshAdjNormal=N","CshAdjAbnormal=N","CapChg=N"))</f>
        <v/>
      </c>
    </row>
    <row r="6">
      <c r="A6" s="2" t="inlineStr">
        <is>
          <t>Strike step</t>
        </is>
      </c>
      <c r="B6" s="11">
        <f>IF(ISNUMBER(B5),IF(B5&lt;25,0.5,IF(B5&lt;250,1,5)),"")</f>
        <v/>
      </c>
    </row>
    <row r="7">
      <c r="A7" s="2" t="inlineStr">
        <is>
          <t>ATM strike</t>
        </is>
      </c>
      <c r="B7" s="11">
        <f>IF(ISNUMBER(B5),ROUND(B5/B6,0)*B6,"")</f>
        <v/>
      </c>
    </row>
    <row r="8">
      <c r="A8" s="2" t="inlineStr">
        <is>
          <t>History start</t>
        </is>
      </c>
      <c r="B8" s="8">
        <f>B3-100</f>
        <v/>
      </c>
    </row>
    <row r="9">
      <c r="A9" s="2" t="inlineStr">
        <is>
          <t>History end</t>
        </is>
      </c>
      <c r="B9" s="8">
        <f>B3</f>
        <v/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NL9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2" customWidth="1" min="2" max="2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1" customWidth="1" min="15" max="15"/>
    <col width="11" customWidth="1" min="16" max="16"/>
    <col width="10" customWidth="1" min="17" max="17"/>
    <col width="11" customWidth="1" min="18" max="18"/>
    <col width="13" customWidth="1" min="19" max="19"/>
    <col width="12" customWidth="1" min="21" max="21"/>
    <col width="10" customWidth="1" min="22" max="22"/>
    <col width="10" customWidth="1" min="23" max="23"/>
    <col width="10" customWidth="1" min="24" max="24"/>
    <col width="10" customWidth="1" min="25" max="25"/>
    <col width="11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1" customWidth="1" min="32" max="32"/>
    <col width="11" customWidth="1" min="33" max="33"/>
    <col width="10" customWidth="1" min="34" max="34"/>
    <col width="11" customWidth="1" min="35" max="35"/>
    <col width="13" customWidth="1" min="36" max="36"/>
    <col width="12" customWidth="1" min="38" max="38"/>
    <col width="10" customWidth="1" min="39" max="39"/>
    <col width="10" customWidth="1" min="40" max="40"/>
    <col width="10" customWidth="1" min="41" max="41"/>
    <col width="10" customWidth="1" min="42" max="42"/>
    <col width="11" customWidth="1" min="43" max="43"/>
    <col width="11" customWidth="1" min="44" max="44"/>
    <col width="10" customWidth="1" min="45" max="45"/>
    <col width="10" customWidth="1" min="46" max="46"/>
    <col width="10" customWidth="1" min="47" max="47"/>
    <col width="10" customWidth="1" min="48" max="48"/>
    <col width="11" customWidth="1" min="49" max="49"/>
    <col width="11" customWidth="1" min="50" max="50"/>
    <col width="10" customWidth="1" min="51" max="51"/>
    <col width="11" customWidth="1" min="52" max="52"/>
    <col width="13" customWidth="1" min="53" max="53"/>
    <col width="12" customWidth="1" min="55" max="55"/>
    <col width="10" customWidth="1" min="56" max="56"/>
    <col width="10" customWidth="1" min="57" max="57"/>
    <col width="10" customWidth="1" min="58" max="58"/>
    <col width="10" customWidth="1" min="59" max="59"/>
    <col width="11" customWidth="1" min="60" max="60"/>
    <col width="11" customWidth="1" min="61" max="61"/>
    <col width="10" customWidth="1" min="62" max="62"/>
    <col width="10" customWidth="1" min="63" max="63"/>
    <col width="10" customWidth="1" min="64" max="64"/>
    <col width="10" customWidth="1" min="65" max="65"/>
    <col width="11" customWidth="1" min="66" max="66"/>
    <col width="11" customWidth="1" min="67" max="67"/>
    <col width="10" customWidth="1" min="68" max="68"/>
    <col width="11" customWidth="1" min="69" max="69"/>
    <col width="13" customWidth="1" min="70" max="70"/>
    <col width="12" customWidth="1" min="72" max="72"/>
    <col width="10" customWidth="1" min="73" max="73"/>
    <col width="10" customWidth="1" min="74" max="74"/>
    <col width="10" customWidth="1" min="75" max="75"/>
    <col width="10" customWidth="1" min="76" max="76"/>
    <col width="11" customWidth="1" min="77" max="77"/>
    <col width="11" customWidth="1" min="78" max="78"/>
    <col width="10" customWidth="1" min="79" max="79"/>
    <col width="10" customWidth="1" min="80" max="80"/>
    <col width="10" customWidth="1" min="81" max="81"/>
    <col width="10" customWidth="1" min="82" max="82"/>
    <col width="11" customWidth="1" min="83" max="83"/>
    <col width="11" customWidth="1" min="84" max="84"/>
    <col width="10" customWidth="1" min="85" max="85"/>
    <col width="11" customWidth="1" min="86" max="86"/>
    <col width="13" customWidth="1" min="87" max="87"/>
    <col width="12" customWidth="1" min="89" max="89"/>
    <col width="10" customWidth="1" min="90" max="90"/>
    <col width="10" customWidth="1" min="91" max="91"/>
    <col width="10" customWidth="1" min="92" max="92"/>
    <col width="10" customWidth="1" min="93" max="93"/>
    <col width="11" customWidth="1" min="94" max="94"/>
    <col width="11" customWidth="1" min="95" max="95"/>
    <col width="10" customWidth="1" min="96" max="96"/>
    <col width="10" customWidth="1" min="97" max="97"/>
    <col width="10" customWidth="1" min="98" max="98"/>
    <col width="10" customWidth="1" min="99" max="99"/>
    <col width="11" customWidth="1" min="100" max="100"/>
    <col width="11" customWidth="1" min="101" max="101"/>
    <col width="10" customWidth="1" min="102" max="102"/>
    <col width="11" customWidth="1" min="103" max="103"/>
    <col width="13" customWidth="1" min="104" max="104"/>
    <col width="12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1" customWidth="1" min="111" max="111"/>
    <col width="11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1" customWidth="1" min="117" max="117"/>
    <col width="11" customWidth="1" min="118" max="118"/>
    <col width="10" customWidth="1" min="119" max="119"/>
    <col width="11" customWidth="1" min="120" max="120"/>
    <col width="13" customWidth="1" min="121" max="121"/>
    <col width="12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1" customWidth="1" min="128" max="128"/>
    <col width="11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1" customWidth="1" min="134" max="134"/>
    <col width="11" customWidth="1" min="135" max="135"/>
    <col width="10" customWidth="1" min="136" max="136"/>
    <col width="11" customWidth="1" min="137" max="137"/>
    <col width="13" customWidth="1" min="138" max="138"/>
    <col width="12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1" customWidth="1" min="145" max="145"/>
    <col width="11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1" customWidth="1" min="151" max="151"/>
    <col width="11" customWidth="1" min="152" max="152"/>
    <col width="10" customWidth="1" min="153" max="153"/>
    <col width="11" customWidth="1" min="154" max="154"/>
    <col width="13" customWidth="1" min="155" max="155"/>
    <col width="12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1" customWidth="1" min="162" max="162"/>
    <col width="11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1" customWidth="1" min="168" max="168"/>
    <col width="11" customWidth="1" min="169" max="169"/>
    <col width="10" customWidth="1" min="170" max="170"/>
    <col width="11" customWidth="1" min="171" max="171"/>
    <col width="13" customWidth="1" min="172" max="172"/>
    <col width="12" customWidth="1" min="174" max="174"/>
    <col width="10" customWidth="1" min="175" max="175"/>
    <col width="10" customWidth="1" min="176" max="176"/>
    <col width="10" customWidth="1" min="177" max="177"/>
    <col width="10" customWidth="1" min="178" max="178"/>
    <col width="11" customWidth="1" min="179" max="179"/>
    <col width="11" customWidth="1" min="180" max="180"/>
    <col width="10" customWidth="1" min="181" max="181"/>
    <col width="10" customWidth="1" min="182" max="182"/>
    <col width="10" customWidth="1" min="183" max="183"/>
    <col width="10" customWidth="1" min="184" max="184"/>
    <col width="11" customWidth="1" min="185" max="185"/>
    <col width="11" customWidth="1" min="186" max="186"/>
    <col width="10" customWidth="1" min="187" max="187"/>
    <col width="11" customWidth="1" min="188" max="188"/>
    <col width="13" customWidth="1" min="189" max="189"/>
    <col width="12" customWidth="1" min="191" max="191"/>
    <col width="10" customWidth="1" min="192" max="192"/>
    <col width="10" customWidth="1" min="193" max="193"/>
    <col width="10" customWidth="1" min="194" max="194"/>
    <col width="10" customWidth="1" min="195" max="195"/>
    <col width="11" customWidth="1" min="196" max="196"/>
    <col width="11" customWidth="1" min="197" max="197"/>
    <col width="10" customWidth="1" min="198" max="198"/>
    <col width="10" customWidth="1" min="199" max="199"/>
    <col width="10" customWidth="1" min="200" max="200"/>
    <col width="10" customWidth="1" min="201" max="201"/>
    <col width="11" customWidth="1" min="202" max="202"/>
    <col width="11" customWidth="1" min="203" max="203"/>
    <col width="10" customWidth="1" min="204" max="204"/>
    <col width="11" customWidth="1" min="205" max="205"/>
    <col width="13" customWidth="1" min="206" max="206"/>
    <col width="12" customWidth="1" min="208" max="208"/>
    <col width="10" customWidth="1" min="209" max="209"/>
    <col width="10" customWidth="1" min="210" max="210"/>
    <col width="10" customWidth="1" min="211" max="211"/>
    <col width="10" customWidth="1" min="212" max="212"/>
    <col width="11" customWidth="1" min="213" max="213"/>
    <col width="11" customWidth="1" min="214" max="214"/>
    <col width="10" customWidth="1" min="215" max="215"/>
    <col width="10" customWidth="1" min="216" max="216"/>
    <col width="10" customWidth="1" min="217" max="217"/>
    <col width="10" customWidth="1" min="218" max="218"/>
    <col width="11" customWidth="1" min="219" max="219"/>
    <col width="11" customWidth="1" min="220" max="220"/>
    <col width="10" customWidth="1" min="221" max="221"/>
    <col width="11" customWidth="1" min="222" max="222"/>
    <col width="13" customWidth="1" min="223" max="223"/>
    <col width="12" customWidth="1" min="225" max="225"/>
    <col width="10" customWidth="1" min="226" max="226"/>
    <col width="10" customWidth="1" min="227" max="227"/>
    <col width="10" customWidth="1" min="228" max="228"/>
    <col width="10" customWidth="1" min="229" max="229"/>
    <col width="11" customWidth="1" min="230" max="230"/>
    <col width="11" customWidth="1" min="231" max="231"/>
    <col width="10" customWidth="1" min="232" max="232"/>
    <col width="10" customWidth="1" min="233" max="233"/>
    <col width="10" customWidth="1" min="234" max="234"/>
    <col width="10" customWidth="1" min="235" max="235"/>
    <col width="11" customWidth="1" min="236" max="236"/>
    <col width="11" customWidth="1" min="237" max="237"/>
    <col width="10" customWidth="1" min="238" max="238"/>
    <col width="11" customWidth="1" min="239" max="239"/>
    <col width="13" customWidth="1" min="240" max="240"/>
    <col width="12" customWidth="1" min="242" max="242"/>
    <col width="10" customWidth="1" min="243" max="243"/>
    <col width="10" customWidth="1" min="244" max="244"/>
    <col width="10" customWidth="1" min="245" max="245"/>
    <col width="10" customWidth="1" min="246" max="246"/>
    <col width="11" customWidth="1" min="247" max="247"/>
    <col width="11" customWidth="1" min="248" max="248"/>
    <col width="10" customWidth="1" min="249" max="249"/>
    <col width="10" customWidth="1" min="250" max="250"/>
    <col width="10" customWidth="1" min="251" max="251"/>
    <col width="10" customWidth="1" min="252" max="252"/>
    <col width="11" customWidth="1" min="253" max="253"/>
    <col width="11" customWidth="1" min="254" max="254"/>
    <col width="10" customWidth="1" min="255" max="255"/>
    <col width="11" customWidth="1" min="256" max="256"/>
    <col width="13" customWidth="1" min="257" max="257"/>
    <col width="12" customWidth="1" min="259" max="259"/>
    <col width="10" customWidth="1" min="260" max="260"/>
    <col width="10" customWidth="1" min="261" max="261"/>
    <col width="10" customWidth="1" min="262" max="262"/>
    <col width="10" customWidth="1" min="263" max="263"/>
    <col width="11" customWidth="1" min="264" max="264"/>
    <col width="11" customWidth="1" min="265" max="265"/>
    <col width="10" customWidth="1" min="266" max="266"/>
    <col width="10" customWidth="1" min="267" max="267"/>
    <col width="10" customWidth="1" min="268" max="268"/>
    <col width="10" customWidth="1" min="269" max="269"/>
    <col width="11" customWidth="1" min="270" max="270"/>
    <col width="11" customWidth="1" min="271" max="271"/>
    <col width="10" customWidth="1" min="272" max="272"/>
    <col width="11" customWidth="1" min="273" max="273"/>
    <col width="13" customWidth="1" min="274" max="274"/>
    <col width="12" customWidth="1" min="276" max="276"/>
    <col width="10" customWidth="1" min="277" max="277"/>
    <col width="10" customWidth="1" min="278" max="278"/>
    <col width="10" customWidth="1" min="279" max="279"/>
    <col width="10" customWidth="1" min="280" max="280"/>
    <col width="11" customWidth="1" min="281" max="281"/>
    <col width="11" customWidth="1" min="282" max="282"/>
    <col width="10" customWidth="1" min="283" max="283"/>
    <col width="10" customWidth="1" min="284" max="284"/>
    <col width="10" customWidth="1" min="285" max="285"/>
    <col width="10" customWidth="1" min="286" max="286"/>
    <col width="11" customWidth="1" min="287" max="287"/>
    <col width="11" customWidth="1" min="288" max="288"/>
    <col width="10" customWidth="1" min="289" max="289"/>
    <col width="11" customWidth="1" min="290" max="290"/>
    <col width="13" customWidth="1" min="291" max="291"/>
    <col width="12" customWidth="1" min="293" max="293"/>
    <col width="10" customWidth="1" min="294" max="294"/>
    <col width="10" customWidth="1" min="295" max="295"/>
    <col width="10" customWidth="1" min="296" max="296"/>
    <col width="10" customWidth="1" min="297" max="297"/>
    <col width="11" customWidth="1" min="298" max="298"/>
    <col width="11" customWidth="1" min="299" max="299"/>
    <col width="10" customWidth="1" min="300" max="300"/>
    <col width="10" customWidth="1" min="301" max="301"/>
    <col width="10" customWidth="1" min="302" max="302"/>
    <col width="10" customWidth="1" min="303" max="303"/>
    <col width="11" customWidth="1" min="304" max="304"/>
    <col width="11" customWidth="1" min="305" max="305"/>
    <col width="10" customWidth="1" min="306" max="306"/>
    <col width="11" customWidth="1" min="307" max="307"/>
    <col width="13" customWidth="1" min="308" max="308"/>
    <col width="12" customWidth="1" min="310" max="310"/>
    <col width="10" customWidth="1" min="311" max="311"/>
    <col width="10" customWidth="1" min="312" max="312"/>
    <col width="10" customWidth="1" min="313" max="313"/>
    <col width="10" customWidth="1" min="314" max="314"/>
    <col width="11" customWidth="1" min="315" max="315"/>
    <col width="11" customWidth="1" min="316" max="316"/>
    <col width="10" customWidth="1" min="317" max="317"/>
    <col width="10" customWidth="1" min="318" max="318"/>
    <col width="10" customWidth="1" min="319" max="319"/>
    <col width="10" customWidth="1" min="320" max="320"/>
    <col width="11" customWidth="1" min="321" max="321"/>
    <col width="11" customWidth="1" min="322" max="322"/>
    <col width="10" customWidth="1" min="323" max="323"/>
    <col width="11" customWidth="1" min="324" max="324"/>
    <col width="13" customWidth="1" min="325" max="325"/>
    <col width="12" customWidth="1" min="327" max="327"/>
    <col width="10" customWidth="1" min="328" max="328"/>
    <col width="10" customWidth="1" min="329" max="329"/>
    <col width="10" customWidth="1" min="330" max="330"/>
    <col width="10" customWidth="1" min="331" max="331"/>
    <col width="11" customWidth="1" min="332" max="332"/>
    <col width="11" customWidth="1" min="333" max="333"/>
    <col width="10" customWidth="1" min="334" max="334"/>
    <col width="10" customWidth="1" min="335" max="335"/>
    <col width="10" customWidth="1" min="336" max="336"/>
    <col width="10" customWidth="1" min="337" max="337"/>
    <col width="11" customWidth="1" min="338" max="338"/>
    <col width="11" customWidth="1" min="339" max="339"/>
    <col width="10" customWidth="1" min="340" max="340"/>
    <col width="11" customWidth="1" min="341" max="341"/>
    <col width="13" customWidth="1" min="342" max="342"/>
    <col width="12" customWidth="1" min="344" max="344"/>
    <col width="10" customWidth="1" min="345" max="345"/>
    <col width="10" customWidth="1" min="346" max="346"/>
    <col width="10" customWidth="1" min="347" max="347"/>
    <col width="10" customWidth="1" min="348" max="348"/>
    <col width="11" customWidth="1" min="349" max="349"/>
    <col width="11" customWidth="1" min="350" max="350"/>
    <col width="10" customWidth="1" min="351" max="351"/>
    <col width="10" customWidth="1" min="352" max="352"/>
    <col width="10" customWidth="1" min="353" max="353"/>
    <col width="10" customWidth="1" min="354" max="354"/>
    <col width="11" customWidth="1" min="355" max="355"/>
    <col width="11" customWidth="1" min="356" max="356"/>
    <col width="10" customWidth="1" min="357" max="357"/>
    <col width="11" customWidth="1" min="358" max="358"/>
    <col width="13" customWidth="1" min="359" max="359"/>
    <col width="12" customWidth="1" min="361" max="361"/>
    <col width="10" customWidth="1" min="362" max="362"/>
    <col width="10" customWidth="1" min="363" max="363"/>
    <col width="10" customWidth="1" min="364" max="364"/>
    <col width="10" customWidth="1" min="365" max="365"/>
    <col width="11" customWidth="1" min="366" max="366"/>
    <col width="11" customWidth="1" min="367" max="367"/>
    <col width="10" customWidth="1" min="368" max="368"/>
    <col width="10" customWidth="1" min="369" max="369"/>
    <col width="10" customWidth="1" min="370" max="370"/>
    <col width="10" customWidth="1" min="371" max="371"/>
    <col width="11" customWidth="1" min="372" max="372"/>
    <col width="11" customWidth="1" min="373" max="373"/>
    <col width="10" customWidth="1" min="374" max="374"/>
    <col width="11" customWidth="1" min="375" max="375"/>
    <col width="13" customWidth="1" min="376" max="376"/>
  </cols>
  <sheetData>
    <row r="1">
      <c r="A1" s="2" t="inlineStr">
        <is>
          <t>Month</t>
        </is>
      </c>
      <c r="B1" s="9" t="n">
        <v>1</v>
      </c>
      <c r="D1" s="2">
        <f>IF(ISNUMBER(B$7),"XLE US "&amp;TEXT(B$3,"mm/dd/yy")&amp;" C"&amp;(B$7-5*B$6)&amp;" Equity","")</f>
        <v/>
      </c>
      <c r="U1" s="2">
        <f>IF(ISNUMBER(B$7),"XLE US "&amp;TEXT(B$3,"mm/dd/yy")&amp;" P"&amp;(B$7-5*B$6)&amp;" Equity","")</f>
        <v/>
      </c>
      <c r="AL1" s="2">
        <f>IF(ISNUMBER(B$7),"XLE US "&amp;TEXT(B$3,"mm/dd/yy")&amp;" C"&amp;(B$7-4*B$6)&amp;" Equity","")</f>
        <v/>
      </c>
      <c r="BC1" s="2">
        <f>IF(ISNUMBER(B$7),"XLE US "&amp;TEXT(B$3,"mm/dd/yy")&amp;" P"&amp;(B$7-4*B$6)&amp;" Equity","")</f>
        <v/>
      </c>
      <c r="BT1" s="2">
        <f>IF(ISNUMBER(B$7),"XLE US "&amp;TEXT(B$3,"mm/dd/yy")&amp;" C"&amp;(B$7-3*B$6)&amp;" Equity","")</f>
        <v/>
      </c>
      <c r="CK1" s="2">
        <f>IF(ISNUMBER(B$7),"XLE US "&amp;TEXT(B$3,"mm/dd/yy")&amp;" P"&amp;(B$7-3*B$6)&amp;" Equity","")</f>
        <v/>
      </c>
      <c r="DB1" s="2">
        <f>IF(ISNUMBER(B$7),"XLE US "&amp;TEXT(B$3,"mm/dd/yy")&amp;" C"&amp;(B$7-2*B$6)&amp;" Equity","")</f>
        <v/>
      </c>
      <c r="DS1" s="2">
        <f>IF(ISNUMBER(B$7),"XLE US "&amp;TEXT(B$3,"mm/dd/yy")&amp;" P"&amp;(B$7-2*B$6)&amp;" Equity","")</f>
        <v/>
      </c>
      <c r="EJ1" s="2">
        <f>IF(ISNUMBER(B$7),"XLE US "&amp;TEXT(B$3,"mm/dd/yy")&amp;" C"&amp;(B$7-1*B$6)&amp;" Equity","")</f>
        <v/>
      </c>
      <c r="FA1" s="2">
        <f>IF(ISNUMBER(B$7),"XLE US "&amp;TEXT(B$3,"mm/dd/yy")&amp;" P"&amp;(B$7-1*B$6)&amp;" Equity","")</f>
        <v/>
      </c>
      <c r="FR1" s="2">
        <f>IF(ISNUMBER(B$7),"XLE US "&amp;TEXT(B$3,"mm/dd/yy")&amp;" C"&amp;B$7&amp;" Equity","")</f>
        <v/>
      </c>
      <c r="GI1" s="2">
        <f>IF(ISNUMBER(B$7),"XLE US "&amp;TEXT(B$3,"mm/dd/yy")&amp;" P"&amp;B$7&amp;" Equity","")</f>
        <v/>
      </c>
      <c r="GZ1" s="2">
        <f>IF(ISNUMBER(B$7),"XLE US "&amp;TEXT(B$3,"mm/dd/yy")&amp;" C"&amp;(B$7+1*B$6)&amp;" Equity","")</f>
        <v/>
      </c>
      <c r="HQ1" s="2">
        <f>IF(ISNUMBER(B$7),"XLE US "&amp;TEXT(B$3,"mm/dd/yy")&amp;" P"&amp;(B$7+1*B$6)&amp;" Equity","")</f>
        <v/>
      </c>
      <c r="IH1" s="2">
        <f>IF(ISNUMBER(B$7),"XLE US "&amp;TEXT(B$3,"mm/dd/yy")&amp;" C"&amp;(B$7+2*B$6)&amp;" Equity","")</f>
        <v/>
      </c>
      <c r="IY1" s="2">
        <f>IF(ISNUMBER(B$7),"XLE US "&amp;TEXT(B$3,"mm/dd/yy")&amp;" P"&amp;(B$7+2*B$6)&amp;" Equity","")</f>
        <v/>
      </c>
      <c r="JP1" s="2">
        <f>IF(ISNUMBER(B$7),"XLE US "&amp;TEXT(B$3,"mm/dd/yy")&amp;" C"&amp;(B$7+3*B$6)&amp;" Equity","")</f>
        <v/>
      </c>
      <c r="KG1" s="2">
        <f>IF(ISNUMBER(B$7),"XLE US "&amp;TEXT(B$3,"mm/dd/yy")&amp;" P"&amp;(B$7+3*B$6)&amp;" Equity","")</f>
        <v/>
      </c>
      <c r="KX1" s="2">
        <f>IF(ISNUMBER(B$7),"XLE US "&amp;TEXT(B$3,"mm/dd/yy")&amp;" C"&amp;(B$7+4*B$6)&amp;" Equity","")</f>
        <v/>
      </c>
      <c r="LO1" s="2">
        <f>IF(ISNUMBER(B$7),"XLE US "&amp;TEXT(B$3,"mm/dd/yy")&amp;" P"&amp;(B$7+4*B$6)&amp;" Equity","")</f>
        <v/>
      </c>
      <c r="MF1" s="2">
        <f>IF(ISNUMBER(B$7),"XLE US "&amp;TEXT(B$3,"mm/dd/yy")&amp;" C"&amp;(B$7+5*B$6)&amp;" Equity","")</f>
        <v/>
      </c>
      <c r="MW1" s="2">
        <f>IF(ISNUMBER(B$7),"XLE US "&amp;TEXT(B$3,"mm/dd/yy")&amp;" P"&amp;(B$7+5*B$6)&amp;" Equity","")</f>
        <v/>
      </c>
    </row>
    <row r="2">
      <c r="A2" s="2" t="inlineStr">
        <is>
          <t>Underlying</t>
        </is>
      </c>
      <c r="B2" s="4">
        <f>IF(Settings!$B$16="Y","XLE US Equity","")</f>
        <v/>
      </c>
      <c r="D2" s="4" t="inlineStr">
        <is>
          <t>call -5 from ATM</t>
        </is>
      </c>
      <c r="U2" s="4" t="inlineStr">
        <is>
          <t>put -5 from ATM</t>
        </is>
      </c>
      <c r="AL2" s="4" t="inlineStr">
        <is>
          <t>call -4 from ATM</t>
        </is>
      </c>
      <c r="BC2" s="4" t="inlineStr">
        <is>
          <t>put -4 from ATM</t>
        </is>
      </c>
      <c r="BT2" s="4" t="inlineStr">
        <is>
          <t>call -3 from ATM</t>
        </is>
      </c>
      <c r="CK2" s="4" t="inlineStr">
        <is>
          <t>put -3 from ATM</t>
        </is>
      </c>
      <c r="DB2" s="4" t="inlineStr">
        <is>
          <t>call -2 from ATM</t>
        </is>
      </c>
      <c r="DS2" s="4" t="inlineStr">
        <is>
          <t>put -2 from ATM</t>
        </is>
      </c>
      <c r="EJ2" s="4" t="inlineStr">
        <is>
          <t>call -1 from ATM</t>
        </is>
      </c>
      <c r="FA2" s="4" t="inlineStr">
        <is>
          <t>put -1 from ATM</t>
        </is>
      </c>
      <c r="FR2" s="4" t="inlineStr">
        <is>
          <t>call +0 from ATM</t>
        </is>
      </c>
      <c r="GI2" s="4" t="inlineStr">
        <is>
          <t>put +0 from ATM</t>
        </is>
      </c>
      <c r="GZ2" s="4" t="inlineStr">
        <is>
          <t>call +1 from ATM</t>
        </is>
      </c>
      <c r="HQ2" s="4" t="inlineStr">
        <is>
          <t>put +1 from ATM</t>
        </is>
      </c>
      <c r="IH2" s="4" t="inlineStr">
        <is>
          <t>call +2 from ATM</t>
        </is>
      </c>
      <c r="IY2" s="4" t="inlineStr">
        <is>
          <t>put +2 from ATM</t>
        </is>
      </c>
      <c r="JP2" s="4" t="inlineStr">
        <is>
          <t>call +3 from ATM</t>
        </is>
      </c>
      <c r="KG2" s="4" t="inlineStr">
        <is>
          <t>put +3 from ATM</t>
        </is>
      </c>
      <c r="KX2" s="4" t="inlineStr">
        <is>
          <t>call +4 from ATM</t>
        </is>
      </c>
      <c r="LO2" s="4" t="inlineStr">
        <is>
          <t>put +4 from ATM</t>
        </is>
      </c>
      <c r="MF2" s="4" t="inlineStr">
        <is>
          <t>call +5 from ATM</t>
        </is>
      </c>
      <c r="MW2" s="4" t="inlineStr">
        <is>
          <t>put +5 from ATM</t>
        </is>
      </c>
    </row>
    <row r="3">
      <c r="A3" s="2" t="inlineStr">
        <is>
          <t>Expiry (3rd Friday)</t>
        </is>
      </c>
      <c r="B3" s="3">
        <f>DATE(Settings!$E$16,B1,15)+MOD(6-WEEKDAY(DATE(Settings!$E$16,B1,15)),7)</f>
        <v/>
      </c>
      <c r="D3" s="5" t="inlineStr">
        <is>
          <t>Date</t>
        </is>
      </c>
      <c r="E3" s="5" t="inlineStr">
        <is>
          <t>PX_BID</t>
        </is>
      </c>
      <c r="F3" s="5" t="inlineStr">
        <is>
          <t>PX_ASK</t>
        </is>
      </c>
      <c r="G3" s="5" t="inlineStr">
        <is>
          <t>PX_MID</t>
        </is>
      </c>
      <c r="H3" s="5" t="inlineStr">
        <is>
          <t>PX_LAST</t>
        </is>
      </c>
      <c r="I3" s="5" t="inlineStr">
        <is>
          <t>PX_SETTLE</t>
        </is>
      </c>
      <c r="J3" s="5" t="inlineStr">
        <is>
          <t>PX_VOLUME</t>
        </is>
      </c>
      <c r="K3" s="5" t="inlineStr">
        <is>
          <t>OPEN_INT</t>
        </is>
      </c>
      <c r="L3" s="5" t="inlineStr">
        <is>
          <t>IVOL_MID</t>
        </is>
      </c>
      <c r="M3" s="5" t="inlineStr">
        <is>
          <t>IVOL_BID</t>
        </is>
      </c>
      <c r="N3" s="5" t="inlineStr">
        <is>
          <t>IVOL_ASK</t>
        </is>
      </c>
      <c r="O3" s="5" t="inlineStr">
        <is>
          <t>DELTA_MID</t>
        </is>
      </c>
      <c r="P3" s="5" t="inlineStr">
        <is>
          <t>GAMMA_MID</t>
        </is>
      </c>
      <c r="Q3" s="5" t="inlineStr">
        <is>
          <t>VEGA_MID</t>
        </is>
      </c>
      <c r="R3" s="5" t="inlineStr">
        <is>
          <t>THETA_MID</t>
        </is>
      </c>
      <c r="S3" s="5" t="inlineStr">
        <is>
          <t>OPT_UNDL_PX</t>
        </is>
      </c>
      <c r="U3" s="5" t="inlineStr">
        <is>
          <t>Date</t>
        </is>
      </c>
      <c r="V3" s="5" t="inlineStr">
        <is>
          <t>PX_BID</t>
        </is>
      </c>
      <c r="W3" s="5" t="inlineStr">
        <is>
          <t>PX_ASK</t>
        </is>
      </c>
      <c r="X3" s="5" t="inlineStr">
        <is>
          <t>PX_MID</t>
        </is>
      </c>
      <c r="Y3" s="5" t="inlineStr">
        <is>
          <t>PX_LAST</t>
        </is>
      </c>
      <c r="Z3" s="5" t="inlineStr">
        <is>
          <t>PX_SETTLE</t>
        </is>
      </c>
      <c r="AA3" s="5" t="inlineStr">
        <is>
          <t>PX_VOLUME</t>
        </is>
      </c>
      <c r="AB3" s="5" t="inlineStr">
        <is>
          <t>OPEN_INT</t>
        </is>
      </c>
      <c r="AC3" s="5" t="inlineStr">
        <is>
          <t>IVOL_MID</t>
        </is>
      </c>
      <c r="AD3" s="5" t="inlineStr">
        <is>
          <t>IVOL_BID</t>
        </is>
      </c>
      <c r="AE3" s="5" t="inlineStr">
        <is>
          <t>IVOL_ASK</t>
        </is>
      </c>
      <c r="AF3" s="5" t="inlineStr">
        <is>
          <t>DELTA_MID</t>
        </is>
      </c>
      <c r="AG3" s="5" t="inlineStr">
        <is>
          <t>GAMMA_MID</t>
        </is>
      </c>
      <c r="AH3" s="5" t="inlineStr">
        <is>
          <t>VEGA_MID</t>
        </is>
      </c>
      <c r="AI3" s="5" t="inlineStr">
        <is>
          <t>THETA_MID</t>
        </is>
      </c>
      <c r="AJ3" s="5" t="inlineStr">
        <is>
          <t>OPT_UNDL_PX</t>
        </is>
      </c>
      <c r="AL3" s="5" t="inlineStr">
        <is>
          <t>Date</t>
        </is>
      </c>
      <c r="AM3" s="5" t="inlineStr">
        <is>
          <t>PX_BID</t>
        </is>
      </c>
      <c r="AN3" s="5" t="inlineStr">
        <is>
          <t>PX_ASK</t>
        </is>
      </c>
      <c r="AO3" s="5" t="inlineStr">
        <is>
          <t>PX_MID</t>
        </is>
      </c>
      <c r="AP3" s="5" t="inlineStr">
        <is>
          <t>PX_LAST</t>
        </is>
      </c>
      <c r="AQ3" s="5" t="inlineStr">
        <is>
          <t>PX_SETTLE</t>
        </is>
      </c>
      <c r="AR3" s="5" t="inlineStr">
        <is>
          <t>PX_VOLUME</t>
        </is>
      </c>
      <c r="AS3" s="5" t="inlineStr">
        <is>
          <t>OPEN_INT</t>
        </is>
      </c>
      <c r="AT3" s="5" t="inlineStr">
        <is>
          <t>IVOL_MID</t>
        </is>
      </c>
      <c r="AU3" s="5" t="inlineStr">
        <is>
          <t>IVOL_BID</t>
        </is>
      </c>
      <c r="AV3" s="5" t="inlineStr">
        <is>
          <t>IVOL_ASK</t>
        </is>
      </c>
      <c r="AW3" s="5" t="inlineStr">
        <is>
          <t>DELTA_MID</t>
        </is>
      </c>
      <c r="AX3" s="5" t="inlineStr">
        <is>
          <t>GAMMA_MID</t>
        </is>
      </c>
      <c r="AY3" s="5" t="inlineStr">
        <is>
          <t>VEGA_MID</t>
        </is>
      </c>
      <c r="AZ3" s="5" t="inlineStr">
        <is>
          <t>THETA_MID</t>
        </is>
      </c>
      <c r="BA3" s="5" t="inlineStr">
        <is>
          <t>OPT_UNDL_PX</t>
        </is>
      </c>
      <c r="BC3" s="5" t="inlineStr">
        <is>
          <t>Date</t>
        </is>
      </c>
      <c r="BD3" s="5" t="inlineStr">
        <is>
          <t>PX_BID</t>
        </is>
      </c>
      <c r="BE3" s="5" t="inlineStr">
        <is>
          <t>PX_ASK</t>
        </is>
      </c>
      <c r="BF3" s="5" t="inlineStr">
        <is>
          <t>PX_MID</t>
        </is>
      </c>
      <c r="BG3" s="5" t="inlineStr">
        <is>
          <t>PX_LAST</t>
        </is>
      </c>
      <c r="BH3" s="5" t="inlineStr">
        <is>
          <t>PX_SETTLE</t>
        </is>
      </c>
      <c r="BI3" s="5" t="inlineStr">
        <is>
          <t>PX_VOLUME</t>
        </is>
      </c>
      <c r="BJ3" s="5" t="inlineStr">
        <is>
          <t>OPEN_INT</t>
        </is>
      </c>
      <c r="BK3" s="5" t="inlineStr">
        <is>
          <t>IVOL_MID</t>
        </is>
      </c>
      <c r="BL3" s="5" t="inlineStr">
        <is>
          <t>IVOL_BID</t>
        </is>
      </c>
      <c r="BM3" s="5" t="inlineStr">
        <is>
          <t>IVOL_ASK</t>
        </is>
      </c>
      <c r="BN3" s="5" t="inlineStr">
        <is>
          <t>DELTA_MID</t>
        </is>
      </c>
      <c r="BO3" s="5" t="inlineStr">
        <is>
          <t>GAMMA_MID</t>
        </is>
      </c>
      <c r="BP3" s="5" t="inlineStr">
        <is>
          <t>VEGA_MID</t>
        </is>
      </c>
      <c r="BQ3" s="5" t="inlineStr">
        <is>
          <t>THETA_MID</t>
        </is>
      </c>
      <c r="BR3" s="5" t="inlineStr">
        <is>
          <t>OPT_UNDL_PX</t>
        </is>
      </c>
      <c r="BT3" s="5" t="inlineStr">
        <is>
          <t>Date</t>
        </is>
      </c>
      <c r="BU3" s="5" t="inlineStr">
        <is>
          <t>PX_BID</t>
        </is>
      </c>
      <c r="BV3" s="5" t="inlineStr">
        <is>
          <t>PX_ASK</t>
        </is>
      </c>
      <c r="BW3" s="5" t="inlineStr">
        <is>
          <t>PX_MID</t>
        </is>
      </c>
      <c r="BX3" s="5" t="inlineStr">
        <is>
          <t>PX_LAST</t>
        </is>
      </c>
      <c r="BY3" s="5" t="inlineStr">
        <is>
          <t>PX_SETTLE</t>
        </is>
      </c>
      <c r="BZ3" s="5" t="inlineStr">
        <is>
          <t>PX_VOLUME</t>
        </is>
      </c>
      <c r="CA3" s="5" t="inlineStr">
        <is>
          <t>OPEN_INT</t>
        </is>
      </c>
      <c r="CB3" s="5" t="inlineStr">
        <is>
          <t>IVOL_MID</t>
        </is>
      </c>
      <c r="CC3" s="5" t="inlineStr">
        <is>
          <t>IVOL_BID</t>
        </is>
      </c>
      <c r="CD3" s="5" t="inlineStr">
        <is>
          <t>IVOL_ASK</t>
        </is>
      </c>
      <c r="CE3" s="5" t="inlineStr">
        <is>
          <t>DELTA_MID</t>
        </is>
      </c>
      <c r="CF3" s="5" t="inlineStr">
        <is>
          <t>GAMMA_MID</t>
        </is>
      </c>
      <c r="CG3" s="5" t="inlineStr">
        <is>
          <t>VEGA_MID</t>
        </is>
      </c>
      <c r="CH3" s="5" t="inlineStr">
        <is>
          <t>THETA_MID</t>
        </is>
      </c>
      <c r="CI3" s="5" t="inlineStr">
        <is>
          <t>OPT_UNDL_PX</t>
        </is>
      </c>
      <c r="CK3" s="5" t="inlineStr">
        <is>
          <t>Date</t>
        </is>
      </c>
      <c r="CL3" s="5" t="inlineStr">
        <is>
          <t>PX_BID</t>
        </is>
      </c>
      <c r="CM3" s="5" t="inlineStr">
        <is>
          <t>PX_ASK</t>
        </is>
      </c>
      <c r="CN3" s="5" t="inlineStr">
        <is>
          <t>PX_MID</t>
        </is>
      </c>
      <c r="CO3" s="5" t="inlineStr">
        <is>
          <t>PX_LAST</t>
        </is>
      </c>
      <c r="CP3" s="5" t="inlineStr">
        <is>
          <t>PX_SETTLE</t>
        </is>
      </c>
      <c r="CQ3" s="5" t="inlineStr">
        <is>
          <t>PX_VOLUME</t>
        </is>
      </c>
      <c r="CR3" s="5" t="inlineStr">
        <is>
          <t>OPEN_INT</t>
        </is>
      </c>
      <c r="CS3" s="5" t="inlineStr">
        <is>
          <t>IVOL_MID</t>
        </is>
      </c>
      <c r="CT3" s="5" t="inlineStr">
        <is>
          <t>IVOL_BID</t>
        </is>
      </c>
      <c r="CU3" s="5" t="inlineStr">
        <is>
          <t>IVOL_ASK</t>
        </is>
      </c>
      <c r="CV3" s="5" t="inlineStr">
        <is>
          <t>DELTA_MID</t>
        </is>
      </c>
      <c r="CW3" s="5" t="inlineStr">
        <is>
          <t>GAMMA_MID</t>
        </is>
      </c>
      <c r="CX3" s="5" t="inlineStr">
        <is>
          <t>VEGA_MID</t>
        </is>
      </c>
      <c r="CY3" s="5" t="inlineStr">
        <is>
          <t>THETA_MID</t>
        </is>
      </c>
      <c r="CZ3" s="5" t="inlineStr">
        <is>
          <t>OPT_UNDL_PX</t>
        </is>
      </c>
      <c r="DB3" s="5" t="inlineStr">
        <is>
          <t>Date</t>
        </is>
      </c>
      <c r="DC3" s="5" t="inlineStr">
        <is>
          <t>PX_BID</t>
        </is>
      </c>
      <c r="DD3" s="5" t="inlineStr">
        <is>
          <t>PX_ASK</t>
        </is>
      </c>
      <c r="DE3" s="5" t="inlineStr">
        <is>
          <t>PX_MID</t>
        </is>
      </c>
      <c r="DF3" s="5" t="inlineStr">
        <is>
          <t>PX_LAST</t>
        </is>
      </c>
      <c r="DG3" s="5" t="inlineStr">
        <is>
          <t>PX_SETTLE</t>
        </is>
      </c>
      <c r="DH3" s="5" t="inlineStr">
        <is>
          <t>PX_VOLUME</t>
        </is>
      </c>
      <c r="DI3" s="5" t="inlineStr">
        <is>
          <t>OPEN_INT</t>
        </is>
      </c>
      <c r="DJ3" s="5" t="inlineStr">
        <is>
          <t>IVOL_MID</t>
        </is>
      </c>
      <c r="DK3" s="5" t="inlineStr">
        <is>
          <t>IVOL_BID</t>
        </is>
      </c>
      <c r="DL3" s="5" t="inlineStr">
        <is>
          <t>IVOL_ASK</t>
        </is>
      </c>
      <c r="DM3" s="5" t="inlineStr">
        <is>
          <t>DELTA_MID</t>
        </is>
      </c>
      <c r="DN3" s="5" t="inlineStr">
        <is>
          <t>GAMMA_MID</t>
        </is>
      </c>
      <c r="DO3" s="5" t="inlineStr">
        <is>
          <t>VEGA_MID</t>
        </is>
      </c>
      <c r="DP3" s="5" t="inlineStr">
        <is>
          <t>THETA_MID</t>
        </is>
      </c>
      <c r="DQ3" s="5" t="inlineStr">
        <is>
          <t>OPT_UNDL_PX</t>
        </is>
      </c>
      <c r="DS3" s="5" t="inlineStr">
        <is>
          <t>Date</t>
        </is>
      </c>
      <c r="DT3" s="5" t="inlineStr">
        <is>
          <t>PX_BID</t>
        </is>
      </c>
      <c r="DU3" s="5" t="inlineStr">
        <is>
          <t>PX_ASK</t>
        </is>
      </c>
      <c r="DV3" s="5" t="inlineStr">
        <is>
          <t>PX_MID</t>
        </is>
      </c>
      <c r="DW3" s="5" t="inlineStr">
        <is>
          <t>PX_LAST</t>
        </is>
      </c>
      <c r="DX3" s="5" t="inlineStr">
        <is>
          <t>PX_SETTLE</t>
        </is>
      </c>
      <c r="DY3" s="5" t="inlineStr">
        <is>
          <t>PX_VOLUME</t>
        </is>
      </c>
      <c r="DZ3" s="5" t="inlineStr">
        <is>
          <t>OPEN_INT</t>
        </is>
      </c>
      <c r="EA3" s="5" t="inlineStr">
        <is>
          <t>IVOL_MID</t>
        </is>
      </c>
      <c r="EB3" s="5" t="inlineStr">
        <is>
          <t>IVOL_BID</t>
        </is>
      </c>
      <c r="EC3" s="5" t="inlineStr">
        <is>
          <t>IVOL_ASK</t>
        </is>
      </c>
      <c r="ED3" s="5" t="inlineStr">
        <is>
          <t>DELTA_MID</t>
        </is>
      </c>
      <c r="EE3" s="5" t="inlineStr">
        <is>
          <t>GAMMA_MID</t>
        </is>
      </c>
      <c r="EF3" s="5" t="inlineStr">
        <is>
          <t>VEGA_MID</t>
        </is>
      </c>
      <c r="EG3" s="5" t="inlineStr">
        <is>
          <t>THETA_MID</t>
        </is>
      </c>
      <c r="EH3" s="5" t="inlineStr">
        <is>
          <t>OPT_UNDL_PX</t>
        </is>
      </c>
      <c r="EJ3" s="5" t="inlineStr">
        <is>
          <t>Date</t>
        </is>
      </c>
      <c r="EK3" s="5" t="inlineStr">
        <is>
          <t>PX_BID</t>
        </is>
      </c>
      <c r="EL3" s="5" t="inlineStr">
        <is>
          <t>PX_ASK</t>
        </is>
      </c>
      <c r="EM3" s="5" t="inlineStr">
        <is>
          <t>PX_MID</t>
        </is>
      </c>
      <c r="EN3" s="5" t="inlineStr">
        <is>
          <t>PX_LAST</t>
        </is>
      </c>
      <c r="EO3" s="5" t="inlineStr">
        <is>
          <t>PX_SETTLE</t>
        </is>
      </c>
      <c r="EP3" s="5" t="inlineStr">
        <is>
          <t>PX_VOLUME</t>
        </is>
      </c>
      <c r="EQ3" s="5" t="inlineStr">
        <is>
          <t>OPEN_INT</t>
        </is>
      </c>
      <c r="ER3" s="5" t="inlineStr">
        <is>
          <t>IVOL_MID</t>
        </is>
      </c>
      <c r="ES3" s="5" t="inlineStr">
        <is>
          <t>IVOL_BID</t>
        </is>
      </c>
      <c r="ET3" s="5" t="inlineStr">
        <is>
          <t>IVOL_ASK</t>
        </is>
      </c>
      <c r="EU3" s="5" t="inlineStr">
        <is>
          <t>DELTA_MID</t>
        </is>
      </c>
      <c r="EV3" s="5" t="inlineStr">
        <is>
          <t>GAMMA_MID</t>
        </is>
      </c>
      <c r="EW3" s="5" t="inlineStr">
        <is>
          <t>VEGA_MID</t>
        </is>
      </c>
      <c r="EX3" s="5" t="inlineStr">
        <is>
          <t>THETA_MID</t>
        </is>
      </c>
      <c r="EY3" s="5" t="inlineStr">
        <is>
          <t>OPT_UNDL_PX</t>
        </is>
      </c>
      <c r="FA3" s="5" t="inlineStr">
        <is>
          <t>Date</t>
        </is>
      </c>
      <c r="FB3" s="5" t="inlineStr">
        <is>
          <t>PX_BID</t>
        </is>
      </c>
      <c r="FC3" s="5" t="inlineStr">
        <is>
          <t>PX_ASK</t>
        </is>
      </c>
      <c r="FD3" s="5" t="inlineStr">
        <is>
          <t>PX_MID</t>
        </is>
      </c>
      <c r="FE3" s="5" t="inlineStr">
        <is>
          <t>PX_LAST</t>
        </is>
      </c>
      <c r="FF3" s="5" t="inlineStr">
        <is>
          <t>PX_SETTLE</t>
        </is>
      </c>
      <c r="FG3" s="5" t="inlineStr">
        <is>
          <t>PX_VOLUME</t>
        </is>
      </c>
      <c r="FH3" s="5" t="inlineStr">
        <is>
          <t>OPEN_INT</t>
        </is>
      </c>
      <c r="FI3" s="5" t="inlineStr">
        <is>
          <t>IVOL_MID</t>
        </is>
      </c>
      <c r="FJ3" s="5" t="inlineStr">
        <is>
          <t>IVOL_BID</t>
        </is>
      </c>
      <c r="FK3" s="5" t="inlineStr">
        <is>
          <t>IVOL_ASK</t>
        </is>
      </c>
      <c r="FL3" s="5" t="inlineStr">
        <is>
          <t>DELTA_MID</t>
        </is>
      </c>
      <c r="FM3" s="5" t="inlineStr">
        <is>
          <t>GAMMA_MID</t>
        </is>
      </c>
      <c r="FN3" s="5" t="inlineStr">
        <is>
          <t>VEGA_MID</t>
        </is>
      </c>
      <c r="FO3" s="5" t="inlineStr">
        <is>
          <t>THETA_MID</t>
        </is>
      </c>
      <c r="FP3" s="5" t="inlineStr">
        <is>
          <t>OPT_UNDL_PX</t>
        </is>
      </c>
      <c r="FR3" s="5" t="inlineStr">
        <is>
          <t>Date</t>
        </is>
      </c>
      <c r="FS3" s="5" t="inlineStr">
        <is>
          <t>PX_BID</t>
        </is>
      </c>
      <c r="FT3" s="5" t="inlineStr">
        <is>
          <t>PX_ASK</t>
        </is>
      </c>
      <c r="FU3" s="5" t="inlineStr">
        <is>
          <t>PX_MID</t>
        </is>
      </c>
      <c r="FV3" s="5" t="inlineStr">
        <is>
          <t>PX_LAST</t>
        </is>
      </c>
      <c r="FW3" s="5" t="inlineStr">
        <is>
          <t>PX_SETTLE</t>
        </is>
      </c>
      <c r="FX3" s="5" t="inlineStr">
        <is>
          <t>PX_VOLUME</t>
        </is>
      </c>
      <c r="FY3" s="5" t="inlineStr">
        <is>
          <t>OPEN_INT</t>
        </is>
      </c>
      <c r="FZ3" s="5" t="inlineStr">
        <is>
          <t>IVOL_MID</t>
        </is>
      </c>
      <c r="GA3" s="5" t="inlineStr">
        <is>
          <t>IVOL_BID</t>
        </is>
      </c>
      <c r="GB3" s="5" t="inlineStr">
        <is>
          <t>IVOL_ASK</t>
        </is>
      </c>
      <c r="GC3" s="5" t="inlineStr">
        <is>
          <t>DELTA_MID</t>
        </is>
      </c>
      <c r="GD3" s="5" t="inlineStr">
        <is>
          <t>GAMMA_MID</t>
        </is>
      </c>
      <c r="GE3" s="5" t="inlineStr">
        <is>
          <t>VEGA_MID</t>
        </is>
      </c>
      <c r="GF3" s="5" t="inlineStr">
        <is>
          <t>THETA_MID</t>
        </is>
      </c>
      <c r="GG3" s="5" t="inlineStr">
        <is>
          <t>OPT_UNDL_PX</t>
        </is>
      </c>
      <c r="GI3" s="5" t="inlineStr">
        <is>
          <t>Date</t>
        </is>
      </c>
      <c r="GJ3" s="5" t="inlineStr">
        <is>
          <t>PX_BID</t>
        </is>
      </c>
      <c r="GK3" s="5" t="inlineStr">
        <is>
          <t>PX_ASK</t>
        </is>
      </c>
      <c r="GL3" s="5" t="inlineStr">
        <is>
          <t>PX_MID</t>
        </is>
      </c>
      <c r="GM3" s="5" t="inlineStr">
        <is>
          <t>PX_LAST</t>
        </is>
      </c>
      <c r="GN3" s="5" t="inlineStr">
        <is>
          <t>PX_SETTLE</t>
        </is>
      </c>
      <c r="GO3" s="5" t="inlineStr">
        <is>
          <t>PX_VOLUME</t>
        </is>
      </c>
      <c r="GP3" s="5" t="inlineStr">
        <is>
          <t>OPEN_INT</t>
        </is>
      </c>
      <c r="GQ3" s="5" t="inlineStr">
        <is>
          <t>IVOL_MID</t>
        </is>
      </c>
      <c r="GR3" s="5" t="inlineStr">
        <is>
          <t>IVOL_BID</t>
        </is>
      </c>
      <c r="GS3" s="5" t="inlineStr">
        <is>
          <t>IVOL_ASK</t>
        </is>
      </c>
      <c r="GT3" s="5" t="inlineStr">
        <is>
          <t>DELTA_MID</t>
        </is>
      </c>
      <c r="GU3" s="5" t="inlineStr">
        <is>
          <t>GAMMA_MID</t>
        </is>
      </c>
      <c r="GV3" s="5" t="inlineStr">
        <is>
          <t>VEGA_MID</t>
        </is>
      </c>
      <c r="GW3" s="5" t="inlineStr">
        <is>
          <t>THETA_MID</t>
        </is>
      </c>
      <c r="GX3" s="5" t="inlineStr">
        <is>
          <t>OPT_UNDL_PX</t>
        </is>
      </c>
      <c r="GZ3" s="5" t="inlineStr">
        <is>
          <t>Date</t>
        </is>
      </c>
      <c r="HA3" s="5" t="inlineStr">
        <is>
          <t>PX_BID</t>
        </is>
      </c>
      <c r="HB3" s="5" t="inlineStr">
        <is>
          <t>PX_ASK</t>
        </is>
      </c>
      <c r="HC3" s="5" t="inlineStr">
        <is>
          <t>PX_MID</t>
        </is>
      </c>
      <c r="HD3" s="5" t="inlineStr">
        <is>
          <t>PX_LAST</t>
        </is>
      </c>
      <c r="HE3" s="5" t="inlineStr">
        <is>
          <t>PX_SETTLE</t>
        </is>
      </c>
      <c r="HF3" s="5" t="inlineStr">
        <is>
          <t>PX_VOLUME</t>
        </is>
      </c>
      <c r="HG3" s="5" t="inlineStr">
        <is>
          <t>OPEN_INT</t>
        </is>
      </c>
      <c r="HH3" s="5" t="inlineStr">
        <is>
          <t>IVOL_MID</t>
        </is>
      </c>
      <c r="HI3" s="5" t="inlineStr">
        <is>
          <t>IVOL_BID</t>
        </is>
      </c>
      <c r="HJ3" s="5" t="inlineStr">
        <is>
          <t>IVOL_ASK</t>
        </is>
      </c>
      <c r="HK3" s="5" t="inlineStr">
        <is>
          <t>DELTA_MID</t>
        </is>
      </c>
      <c r="HL3" s="5" t="inlineStr">
        <is>
          <t>GAMMA_MID</t>
        </is>
      </c>
      <c r="HM3" s="5" t="inlineStr">
        <is>
          <t>VEGA_MID</t>
        </is>
      </c>
      <c r="HN3" s="5" t="inlineStr">
        <is>
          <t>THETA_MID</t>
        </is>
      </c>
      <c r="HO3" s="5" t="inlineStr">
        <is>
          <t>OPT_UNDL_PX</t>
        </is>
      </c>
      <c r="HQ3" s="5" t="inlineStr">
        <is>
          <t>Date</t>
        </is>
      </c>
      <c r="HR3" s="5" t="inlineStr">
        <is>
          <t>PX_BID</t>
        </is>
      </c>
      <c r="HS3" s="5" t="inlineStr">
        <is>
          <t>PX_ASK</t>
        </is>
      </c>
      <c r="HT3" s="5" t="inlineStr">
        <is>
          <t>PX_MID</t>
        </is>
      </c>
      <c r="HU3" s="5" t="inlineStr">
        <is>
          <t>PX_LAST</t>
        </is>
      </c>
      <c r="HV3" s="5" t="inlineStr">
        <is>
          <t>PX_SETTLE</t>
        </is>
      </c>
      <c r="HW3" s="5" t="inlineStr">
        <is>
          <t>PX_VOLUME</t>
        </is>
      </c>
      <c r="HX3" s="5" t="inlineStr">
        <is>
          <t>OPEN_INT</t>
        </is>
      </c>
      <c r="HY3" s="5" t="inlineStr">
        <is>
          <t>IVOL_MID</t>
        </is>
      </c>
      <c r="HZ3" s="5" t="inlineStr">
        <is>
          <t>IVOL_BID</t>
        </is>
      </c>
      <c r="IA3" s="5" t="inlineStr">
        <is>
          <t>IVOL_ASK</t>
        </is>
      </c>
      <c r="IB3" s="5" t="inlineStr">
        <is>
          <t>DELTA_MID</t>
        </is>
      </c>
      <c r="IC3" s="5" t="inlineStr">
        <is>
          <t>GAMMA_MID</t>
        </is>
      </c>
      <c r="ID3" s="5" t="inlineStr">
        <is>
          <t>VEGA_MID</t>
        </is>
      </c>
      <c r="IE3" s="5" t="inlineStr">
        <is>
          <t>THETA_MID</t>
        </is>
      </c>
      <c r="IF3" s="5" t="inlineStr">
        <is>
          <t>OPT_UNDL_PX</t>
        </is>
      </c>
      <c r="IH3" s="5" t="inlineStr">
        <is>
          <t>Date</t>
        </is>
      </c>
      <c r="II3" s="5" t="inlineStr">
        <is>
          <t>PX_BID</t>
        </is>
      </c>
      <c r="IJ3" s="5" t="inlineStr">
        <is>
          <t>PX_ASK</t>
        </is>
      </c>
      <c r="IK3" s="5" t="inlineStr">
        <is>
          <t>PX_MID</t>
        </is>
      </c>
      <c r="IL3" s="5" t="inlineStr">
        <is>
          <t>PX_LAST</t>
        </is>
      </c>
      <c r="IM3" s="5" t="inlineStr">
        <is>
          <t>PX_SETTLE</t>
        </is>
      </c>
      <c r="IN3" s="5" t="inlineStr">
        <is>
          <t>PX_VOLUME</t>
        </is>
      </c>
      <c r="IO3" s="5" t="inlineStr">
        <is>
          <t>OPEN_INT</t>
        </is>
      </c>
      <c r="IP3" s="5" t="inlineStr">
        <is>
          <t>IVOL_MID</t>
        </is>
      </c>
      <c r="IQ3" s="5" t="inlineStr">
        <is>
          <t>IVOL_BID</t>
        </is>
      </c>
      <c r="IR3" s="5" t="inlineStr">
        <is>
          <t>IVOL_ASK</t>
        </is>
      </c>
      <c r="IS3" s="5" t="inlineStr">
        <is>
          <t>DELTA_MID</t>
        </is>
      </c>
      <c r="IT3" s="5" t="inlineStr">
        <is>
          <t>GAMMA_MID</t>
        </is>
      </c>
      <c r="IU3" s="5" t="inlineStr">
        <is>
          <t>VEGA_MID</t>
        </is>
      </c>
      <c r="IV3" s="5" t="inlineStr">
        <is>
          <t>THETA_MID</t>
        </is>
      </c>
      <c r="IW3" s="5" t="inlineStr">
        <is>
          <t>OPT_UNDL_PX</t>
        </is>
      </c>
      <c r="IY3" s="5" t="inlineStr">
        <is>
          <t>Date</t>
        </is>
      </c>
      <c r="IZ3" s="5" t="inlineStr">
        <is>
          <t>PX_BID</t>
        </is>
      </c>
      <c r="JA3" s="5" t="inlineStr">
        <is>
          <t>PX_ASK</t>
        </is>
      </c>
      <c r="JB3" s="5" t="inlineStr">
        <is>
          <t>PX_MID</t>
        </is>
      </c>
      <c r="JC3" s="5" t="inlineStr">
        <is>
          <t>PX_LAST</t>
        </is>
      </c>
      <c r="JD3" s="5" t="inlineStr">
        <is>
          <t>PX_SETTLE</t>
        </is>
      </c>
      <c r="JE3" s="5" t="inlineStr">
        <is>
          <t>PX_VOLUME</t>
        </is>
      </c>
      <c r="JF3" s="5" t="inlineStr">
        <is>
          <t>OPEN_INT</t>
        </is>
      </c>
      <c r="JG3" s="5" t="inlineStr">
        <is>
          <t>IVOL_MID</t>
        </is>
      </c>
      <c r="JH3" s="5" t="inlineStr">
        <is>
          <t>IVOL_BID</t>
        </is>
      </c>
      <c r="JI3" s="5" t="inlineStr">
        <is>
          <t>IVOL_ASK</t>
        </is>
      </c>
      <c r="JJ3" s="5" t="inlineStr">
        <is>
          <t>DELTA_MID</t>
        </is>
      </c>
      <c r="JK3" s="5" t="inlineStr">
        <is>
          <t>GAMMA_MID</t>
        </is>
      </c>
      <c r="JL3" s="5" t="inlineStr">
        <is>
          <t>VEGA_MID</t>
        </is>
      </c>
      <c r="JM3" s="5" t="inlineStr">
        <is>
          <t>THETA_MID</t>
        </is>
      </c>
      <c r="JN3" s="5" t="inlineStr">
        <is>
          <t>OPT_UNDL_PX</t>
        </is>
      </c>
      <c r="JP3" s="5" t="inlineStr">
        <is>
          <t>Date</t>
        </is>
      </c>
      <c r="JQ3" s="5" t="inlineStr">
        <is>
          <t>PX_BID</t>
        </is>
      </c>
      <c r="JR3" s="5" t="inlineStr">
        <is>
          <t>PX_ASK</t>
        </is>
      </c>
      <c r="JS3" s="5" t="inlineStr">
        <is>
          <t>PX_MID</t>
        </is>
      </c>
      <c r="JT3" s="5" t="inlineStr">
        <is>
          <t>PX_LAST</t>
        </is>
      </c>
      <c r="JU3" s="5" t="inlineStr">
        <is>
          <t>PX_SETTLE</t>
        </is>
      </c>
      <c r="JV3" s="5" t="inlineStr">
        <is>
          <t>PX_VOLUME</t>
        </is>
      </c>
      <c r="JW3" s="5" t="inlineStr">
        <is>
          <t>OPEN_INT</t>
        </is>
      </c>
      <c r="JX3" s="5" t="inlineStr">
        <is>
          <t>IVOL_MID</t>
        </is>
      </c>
      <c r="JY3" s="5" t="inlineStr">
        <is>
          <t>IVOL_BID</t>
        </is>
      </c>
      <c r="JZ3" s="5" t="inlineStr">
        <is>
          <t>IVOL_ASK</t>
        </is>
      </c>
      <c r="KA3" s="5" t="inlineStr">
        <is>
          <t>DELTA_MID</t>
        </is>
      </c>
      <c r="KB3" s="5" t="inlineStr">
        <is>
          <t>GAMMA_MID</t>
        </is>
      </c>
      <c r="KC3" s="5" t="inlineStr">
        <is>
          <t>VEGA_MID</t>
        </is>
      </c>
      <c r="KD3" s="5" t="inlineStr">
        <is>
          <t>THETA_MID</t>
        </is>
      </c>
      <c r="KE3" s="5" t="inlineStr">
        <is>
          <t>OPT_UNDL_PX</t>
        </is>
      </c>
      <c r="KG3" s="5" t="inlineStr">
        <is>
          <t>Date</t>
        </is>
      </c>
      <c r="KH3" s="5" t="inlineStr">
        <is>
          <t>PX_BID</t>
        </is>
      </c>
      <c r="KI3" s="5" t="inlineStr">
        <is>
          <t>PX_ASK</t>
        </is>
      </c>
      <c r="KJ3" s="5" t="inlineStr">
        <is>
          <t>PX_MID</t>
        </is>
      </c>
      <c r="KK3" s="5" t="inlineStr">
        <is>
          <t>PX_LAST</t>
        </is>
      </c>
      <c r="KL3" s="5" t="inlineStr">
        <is>
          <t>PX_SETTLE</t>
        </is>
      </c>
      <c r="KM3" s="5" t="inlineStr">
        <is>
          <t>PX_VOLUME</t>
        </is>
      </c>
      <c r="KN3" s="5" t="inlineStr">
        <is>
          <t>OPEN_INT</t>
        </is>
      </c>
      <c r="KO3" s="5" t="inlineStr">
        <is>
          <t>IVOL_MID</t>
        </is>
      </c>
      <c r="KP3" s="5" t="inlineStr">
        <is>
          <t>IVOL_BID</t>
        </is>
      </c>
      <c r="KQ3" s="5" t="inlineStr">
        <is>
          <t>IVOL_ASK</t>
        </is>
      </c>
      <c r="KR3" s="5" t="inlineStr">
        <is>
          <t>DELTA_MID</t>
        </is>
      </c>
      <c r="KS3" s="5" t="inlineStr">
        <is>
          <t>GAMMA_MID</t>
        </is>
      </c>
      <c r="KT3" s="5" t="inlineStr">
        <is>
          <t>VEGA_MID</t>
        </is>
      </c>
      <c r="KU3" s="5" t="inlineStr">
        <is>
          <t>THETA_MID</t>
        </is>
      </c>
      <c r="KV3" s="5" t="inlineStr">
        <is>
          <t>OPT_UNDL_PX</t>
        </is>
      </c>
      <c r="KX3" s="5" t="inlineStr">
        <is>
          <t>Date</t>
        </is>
      </c>
      <c r="KY3" s="5" t="inlineStr">
        <is>
          <t>PX_BID</t>
        </is>
      </c>
      <c r="KZ3" s="5" t="inlineStr">
        <is>
          <t>PX_ASK</t>
        </is>
      </c>
      <c r="LA3" s="5" t="inlineStr">
        <is>
          <t>PX_MID</t>
        </is>
      </c>
      <c r="LB3" s="5" t="inlineStr">
        <is>
          <t>PX_LAST</t>
        </is>
      </c>
      <c r="LC3" s="5" t="inlineStr">
        <is>
          <t>PX_SETTLE</t>
        </is>
      </c>
      <c r="LD3" s="5" t="inlineStr">
        <is>
          <t>PX_VOLUME</t>
        </is>
      </c>
      <c r="LE3" s="5" t="inlineStr">
        <is>
          <t>OPEN_INT</t>
        </is>
      </c>
      <c r="LF3" s="5" t="inlineStr">
        <is>
          <t>IVOL_MID</t>
        </is>
      </c>
      <c r="LG3" s="5" t="inlineStr">
        <is>
          <t>IVOL_BID</t>
        </is>
      </c>
      <c r="LH3" s="5" t="inlineStr">
        <is>
          <t>IVOL_ASK</t>
        </is>
      </c>
      <c r="LI3" s="5" t="inlineStr">
        <is>
          <t>DELTA_MID</t>
        </is>
      </c>
      <c r="LJ3" s="5" t="inlineStr">
        <is>
          <t>GAMMA_MID</t>
        </is>
      </c>
      <c r="LK3" s="5" t="inlineStr">
        <is>
          <t>VEGA_MID</t>
        </is>
      </c>
      <c r="LL3" s="5" t="inlineStr">
        <is>
          <t>THETA_MID</t>
        </is>
      </c>
      <c r="LM3" s="5" t="inlineStr">
        <is>
          <t>OPT_UNDL_PX</t>
        </is>
      </c>
      <c r="LO3" s="5" t="inlineStr">
        <is>
          <t>Date</t>
        </is>
      </c>
      <c r="LP3" s="5" t="inlineStr">
        <is>
          <t>PX_BID</t>
        </is>
      </c>
      <c r="LQ3" s="5" t="inlineStr">
        <is>
          <t>PX_ASK</t>
        </is>
      </c>
      <c r="LR3" s="5" t="inlineStr">
        <is>
          <t>PX_MID</t>
        </is>
      </c>
      <c r="LS3" s="5" t="inlineStr">
        <is>
          <t>PX_LAST</t>
        </is>
      </c>
      <c r="LT3" s="5" t="inlineStr">
        <is>
          <t>PX_SETTLE</t>
        </is>
      </c>
      <c r="LU3" s="5" t="inlineStr">
        <is>
          <t>PX_VOLUME</t>
        </is>
      </c>
      <c r="LV3" s="5" t="inlineStr">
        <is>
          <t>OPEN_INT</t>
        </is>
      </c>
      <c r="LW3" s="5" t="inlineStr">
        <is>
          <t>IVOL_MID</t>
        </is>
      </c>
      <c r="LX3" s="5" t="inlineStr">
        <is>
          <t>IVOL_BID</t>
        </is>
      </c>
      <c r="LY3" s="5" t="inlineStr">
        <is>
          <t>IVOL_ASK</t>
        </is>
      </c>
      <c r="LZ3" s="5" t="inlineStr">
        <is>
          <t>DELTA_MID</t>
        </is>
      </c>
      <c r="MA3" s="5" t="inlineStr">
        <is>
          <t>GAMMA_MID</t>
        </is>
      </c>
      <c r="MB3" s="5" t="inlineStr">
        <is>
          <t>VEGA_MID</t>
        </is>
      </c>
      <c r="MC3" s="5" t="inlineStr">
        <is>
          <t>THETA_MID</t>
        </is>
      </c>
      <c r="MD3" s="5" t="inlineStr">
        <is>
          <t>OPT_UNDL_PX</t>
        </is>
      </c>
      <c r="MF3" s="5" t="inlineStr">
        <is>
          <t>Date</t>
        </is>
      </c>
      <c r="MG3" s="5" t="inlineStr">
        <is>
          <t>PX_BID</t>
        </is>
      </c>
      <c r="MH3" s="5" t="inlineStr">
        <is>
          <t>PX_ASK</t>
        </is>
      </c>
      <c r="MI3" s="5" t="inlineStr">
        <is>
          <t>PX_MID</t>
        </is>
      </c>
      <c r="MJ3" s="5" t="inlineStr">
        <is>
          <t>PX_LAST</t>
        </is>
      </c>
      <c r="MK3" s="5" t="inlineStr">
        <is>
          <t>PX_SETTLE</t>
        </is>
      </c>
      <c r="ML3" s="5" t="inlineStr">
        <is>
          <t>PX_VOLUME</t>
        </is>
      </c>
      <c r="MM3" s="5" t="inlineStr">
        <is>
          <t>OPEN_INT</t>
        </is>
      </c>
      <c r="MN3" s="5" t="inlineStr">
        <is>
          <t>IVOL_MID</t>
        </is>
      </c>
      <c r="MO3" s="5" t="inlineStr">
        <is>
          <t>IVOL_BID</t>
        </is>
      </c>
      <c r="MP3" s="5" t="inlineStr">
        <is>
          <t>IVOL_ASK</t>
        </is>
      </c>
      <c r="MQ3" s="5" t="inlineStr">
        <is>
          <t>DELTA_MID</t>
        </is>
      </c>
      <c r="MR3" s="5" t="inlineStr">
        <is>
          <t>GAMMA_MID</t>
        </is>
      </c>
      <c r="MS3" s="5" t="inlineStr">
        <is>
          <t>VEGA_MID</t>
        </is>
      </c>
      <c r="MT3" s="5" t="inlineStr">
        <is>
          <t>THETA_MID</t>
        </is>
      </c>
      <c r="MU3" s="5" t="inlineStr">
        <is>
          <t>OPT_UNDL_PX</t>
        </is>
      </c>
      <c r="MW3" s="5" t="inlineStr">
        <is>
          <t>Date</t>
        </is>
      </c>
      <c r="MX3" s="5" t="inlineStr">
        <is>
          <t>PX_BID</t>
        </is>
      </c>
      <c r="MY3" s="5" t="inlineStr">
        <is>
          <t>PX_ASK</t>
        </is>
      </c>
      <c r="MZ3" s="5" t="inlineStr">
        <is>
          <t>PX_MID</t>
        </is>
      </c>
      <c r="NA3" s="5" t="inlineStr">
        <is>
          <t>PX_LAST</t>
        </is>
      </c>
      <c r="NB3" s="5" t="inlineStr">
        <is>
          <t>PX_SETTLE</t>
        </is>
      </c>
      <c r="NC3" s="5" t="inlineStr">
        <is>
          <t>PX_VOLUME</t>
        </is>
      </c>
      <c r="ND3" s="5" t="inlineStr">
        <is>
          <t>OPEN_INT</t>
        </is>
      </c>
      <c r="NE3" s="5" t="inlineStr">
        <is>
          <t>IVOL_MID</t>
        </is>
      </c>
      <c r="NF3" s="5" t="inlineStr">
        <is>
          <t>IVOL_BID</t>
        </is>
      </c>
      <c r="NG3" s="5" t="inlineStr">
        <is>
          <t>IVOL_ASK</t>
        </is>
      </c>
      <c r="NH3" s="5" t="inlineStr">
        <is>
          <t>DELTA_MID</t>
        </is>
      </c>
      <c r="NI3" s="5" t="inlineStr">
        <is>
          <t>GAMMA_MID</t>
        </is>
      </c>
      <c r="NJ3" s="5" t="inlineStr">
        <is>
          <t>VEGA_MID</t>
        </is>
      </c>
      <c r="NK3" s="5" t="inlineStr">
        <is>
          <t>THETA_MID</t>
        </is>
      </c>
      <c r="NL3" s="5" t="inlineStr">
        <is>
          <t>OPT_UNDL_PX</t>
        </is>
      </c>
    </row>
    <row r="4">
      <c r="A4" s="2" t="inlineStr">
        <is>
          <t>Strike reference date</t>
        </is>
      </c>
      <c r="B4" s="8">
        <f>B3-45</f>
        <v/>
      </c>
      <c r="D4" s="4">
        <f>BDH(D$1,E$3:S$3,$B$8,$B$9,"Dir=V","Dts=S","Sort=A","Days=T","Fill=B")</f>
        <v/>
      </c>
      <c r="U4" s="4">
        <f>BDH(U$1,V$3:AJ$3,$B$8,$B$9,"Dir=V","Dts=S","Sort=A","Days=T","Fill=B")</f>
        <v/>
      </c>
      <c r="AL4" s="4">
        <f>BDH(AL$1,AM$3:BA$3,$B$8,$B$9,"Dir=V","Dts=S","Sort=A","Days=T","Fill=B")</f>
        <v/>
      </c>
      <c r="BC4" s="4">
        <f>BDH(BC$1,BD$3:BR$3,$B$8,$B$9,"Dir=V","Dts=S","Sort=A","Days=T","Fill=B")</f>
        <v/>
      </c>
      <c r="BT4" s="4">
        <f>BDH(BT$1,BU$3:CI$3,$B$8,$B$9,"Dir=V","Dts=S","Sort=A","Days=T","Fill=B")</f>
        <v/>
      </c>
      <c r="CK4" s="4">
        <f>BDH(CK$1,CL$3:CZ$3,$B$8,$B$9,"Dir=V","Dts=S","Sort=A","Days=T","Fill=B")</f>
        <v/>
      </c>
      <c r="DB4" s="4">
        <f>BDH(DB$1,DC$3:DQ$3,$B$8,$B$9,"Dir=V","Dts=S","Sort=A","Days=T","Fill=B")</f>
        <v/>
      </c>
      <c r="DS4" s="4">
        <f>BDH(DS$1,DT$3:EH$3,$B$8,$B$9,"Dir=V","Dts=S","Sort=A","Days=T","Fill=B")</f>
        <v/>
      </c>
      <c r="EJ4" s="4">
        <f>BDH(EJ$1,EK$3:EY$3,$B$8,$B$9,"Dir=V","Dts=S","Sort=A","Days=T","Fill=B")</f>
        <v/>
      </c>
      <c r="FA4" s="4">
        <f>BDH(FA$1,FB$3:FP$3,$B$8,$B$9,"Dir=V","Dts=S","Sort=A","Days=T","Fill=B")</f>
        <v/>
      </c>
      <c r="FR4" s="4">
        <f>BDH(FR$1,FS$3:GG$3,$B$8,$B$9,"Dir=V","Dts=S","Sort=A","Days=T","Fill=B")</f>
        <v/>
      </c>
      <c r="GI4" s="4">
        <f>BDH(GI$1,GJ$3:GX$3,$B$8,$B$9,"Dir=V","Dts=S","Sort=A","Days=T","Fill=B")</f>
        <v/>
      </c>
      <c r="GZ4" s="4">
        <f>BDH(GZ$1,HA$3:HO$3,$B$8,$B$9,"Dir=V","Dts=S","Sort=A","Days=T","Fill=B")</f>
        <v/>
      </c>
      <c r="HQ4" s="4">
        <f>BDH(HQ$1,HR$3:IF$3,$B$8,$B$9,"Dir=V","Dts=S","Sort=A","Days=T","Fill=B")</f>
        <v/>
      </c>
      <c r="IH4" s="4">
        <f>BDH(IH$1,II$3:IW$3,$B$8,$B$9,"Dir=V","Dts=S","Sort=A","Days=T","Fill=B")</f>
        <v/>
      </c>
      <c r="IY4" s="4">
        <f>BDH(IY$1,IZ$3:JN$3,$B$8,$B$9,"Dir=V","Dts=S","Sort=A","Days=T","Fill=B")</f>
        <v/>
      </c>
      <c r="JP4" s="4">
        <f>BDH(JP$1,JQ$3:KE$3,$B$8,$B$9,"Dir=V","Dts=S","Sort=A","Days=T","Fill=B")</f>
        <v/>
      </c>
      <c r="KG4" s="4">
        <f>BDH(KG$1,KH$3:KV$3,$B$8,$B$9,"Dir=V","Dts=S","Sort=A","Days=T","Fill=B")</f>
        <v/>
      </c>
      <c r="KX4" s="4">
        <f>BDH(KX$1,KY$3:LM$3,$B$8,$B$9,"Dir=V","Dts=S","Sort=A","Days=T","Fill=B")</f>
        <v/>
      </c>
      <c r="LO4" s="4">
        <f>BDH(LO$1,LP$3:MD$3,$B$8,$B$9,"Dir=V","Dts=S","Sort=A","Days=T","Fill=B")</f>
        <v/>
      </c>
      <c r="MF4" s="4">
        <f>BDH(MF$1,MG$3:MU$3,$B$8,$B$9,"Dir=V","Dts=S","Sort=A","Days=T","Fill=B")</f>
        <v/>
      </c>
      <c r="MW4" s="4">
        <f>BDH(MW$1,MX$3:NL$3,$B$8,$B$9,"Dir=V","Dts=S","Sort=A","Days=T","Fill=B")</f>
        <v/>
      </c>
    </row>
    <row r="5">
      <c r="A5" s="2" t="inlineStr">
        <is>
          <t>Unadjusted close then</t>
        </is>
      </c>
      <c r="B5" s="10">
        <f>IF(B2="","",BDH(B2,"PX_LAST",B4,B4,"Days=A","Fill=P","Dts=H","CshAdjNormal=N","CshAdjAbnormal=N","CapChg=N"))</f>
        <v/>
      </c>
    </row>
    <row r="6">
      <c r="A6" s="2" t="inlineStr">
        <is>
          <t>Strike step</t>
        </is>
      </c>
      <c r="B6" s="11">
        <f>IF(ISNUMBER(B5),IF(B5&lt;25,0.5,IF(B5&lt;250,1,5)),"")</f>
        <v/>
      </c>
    </row>
    <row r="7">
      <c r="A7" s="2" t="inlineStr">
        <is>
          <t>ATM strike</t>
        </is>
      </c>
      <c r="B7" s="11">
        <f>IF(ISNUMBER(B5),ROUND(B5/B6,0)*B6,"")</f>
        <v/>
      </c>
    </row>
    <row r="8">
      <c r="A8" s="2" t="inlineStr">
        <is>
          <t>History start</t>
        </is>
      </c>
      <c r="B8" s="8">
        <f>B3-100</f>
        <v/>
      </c>
    </row>
    <row r="9">
      <c r="A9" s="2" t="inlineStr">
        <is>
          <t>History end</t>
        </is>
      </c>
      <c r="B9" s="8">
        <f>B3</f>
        <v/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NL9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2" customWidth="1" min="2" max="2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1" customWidth="1" min="15" max="15"/>
    <col width="11" customWidth="1" min="16" max="16"/>
    <col width="10" customWidth="1" min="17" max="17"/>
    <col width="11" customWidth="1" min="18" max="18"/>
    <col width="13" customWidth="1" min="19" max="19"/>
    <col width="12" customWidth="1" min="21" max="21"/>
    <col width="10" customWidth="1" min="22" max="22"/>
    <col width="10" customWidth="1" min="23" max="23"/>
    <col width="10" customWidth="1" min="24" max="24"/>
    <col width="10" customWidth="1" min="25" max="25"/>
    <col width="11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1" customWidth="1" min="32" max="32"/>
    <col width="11" customWidth="1" min="33" max="33"/>
    <col width="10" customWidth="1" min="34" max="34"/>
    <col width="11" customWidth="1" min="35" max="35"/>
    <col width="13" customWidth="1" min="36" max="36"/>
    <col width="12" customWidth="1" min="38" max="38"/>
    <col width="10" customWidth="1" min="39" max="39"/>
    <col width="10" customWidth="1" min="40" max="40"/>
    <col width="10" customWidth="1" min="41" max="41"/>
    <col width="10" customWidth="1" min="42" max="42"/>
    <col width="11" customWidth="1" min="43" max="43"/>
    <col width="11" customWidth="1" min="44" max="44"/>
    <col width="10" customWidth="1" min="45" max="45"/>
    <col width="10" customWidth="1" min="46" max="46"/>
    <col width="10" customWidth="1" min="47" max="47"/>
    <col width="10" customWidth="1" min="48" max="48"/>
    <col width="11" customWidth="1" min="49" max="49"/>
    <col width="11" customWidth="1" min="50" max="50"/>
    <col width="10" customWidth="1" min="51" max="51"/>
    <col width="11" customWidth="1" min="52" max="52"/>
    <col width="13" customWidth="1" min="53" max="53"/>
    <col width="12" customWidth="1" min="55" max="55"/>
    <col width="10" customWidth="1" min="56" max="56"/>
    <col width="10" customWidth="1" min="57" max="57"/>
    <col width="10" customWidth="1" min="58" max="58"/>
    <col width="10" customWidth="1" min="59" max="59"/>
    <col width="11" customWidth="1" min="60" max="60"/>
    <col width="11" customWidth="1" min="61" max="61"/>
    <col width="10" customWidth="1" min="62" max="62"/>
    <col width="10" customWidth="1" min="63" max="63"/>
    <col width="10" customWidth="1" min="64" max="64"/>
    <col width="10" customWidth="1" min="65" max="65"/>
    <col width="11" customWidth="1" min="66" max="66"/>
    <col width="11" customWidth="1" min="67" max="67"/>
    <col width="10" customWidth="1" min="68" max="68"/>
    <col width="11" customWidth="1" min="69" max="69"/>
    <col width="13" customWidth="1" min="70" max="70"/>
    <col width="12" customWidth="1" min="72" max="72"/>
    <col width="10" customWidth="1" min="73" max="73"/>
    <col width="10" customWidth="1" min="74" max="74"/>
    <col width="10" customWidth="1" min="75" max="75"/>
    <col width="10" customWidth="1" min="76" max="76"/>
    <col width="11" customWidth="1" min="77" max="77"/>
    <col width="11" customWidth="1" min="78" max="78"/>
    <col width="10" customWidth="1" min="79" max="79"/>
    <col width="10" customWidth="1" min="80" max="80"/>
    <col width="10" customWidth="1" min="81" max="81"/>
    <col width="10" customWidth="1" min="82" max="82"/>
    <col width="11" customWidth="1" min="83" max="83"/>
    <col width="11" customWidth="1" min="84" max="84"/>
    <col width="10" customWidth="1" min="85" max="85"/>
    <col width="11" customWidth="1" min="86" max="86"/>
    <col width="13" customWidth="1" min="87" max="87"/>
    <col width="12" customWidth="1" min="89" max="89"/>
    <col width="10" customWidth="1" min="90" max="90"/>
    <col width="10" customWidth="1" min="91" max="91"/>
    <col width="10" customWidth="1" min="92" max="92"/>
    <col width="10" customWidth="1" min="93" max="93"/>
    <col width="11" customWidth="1" min="94" max="94"/>
    <col width="11" customWidth="1" min="95" max="95"/>
    <col width="10" customWidth="1" min="96" max="96"/>
    <col width="10" customWidth="1" min="97" max="97"/>
    <col width="10" customWidth="1" min="98" max="98"/>
    <col width="10" customWidth="1" min="99" max="99"/>
    <col width="11" customWidth="1" min="100" max="100"/>
    <col width="11" customWidth="1" min="101" max="101"/>
    <col width="10" customWidth="1" min="102" max="102"/>
    <col width="11" customWidth="1" min="103" max="103"/>
    <col width="13" customWidth="1" min="104" max="104"/>
    <col width="12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1" customWidth="1" min="111" max="111"/>
    <col width="11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1" customWidth="1" min="117" max="117"/>
    <col width="11" customWidth="1" min="118" max="118"/>
    <col width="10" customWidth="1" min="119" max="119"/>
    <col width="11" customWidth="1" min="120" max="120"/>
    <col width="13" customWidth="1" min="121" max="121"/>
    <col width="12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1" customWidth="1" min="128" max="128"/>
    <col width="11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1" customWidth="1" min="134" max="134"/>
    <col width="11" customWidth="1" min="135" max="135"/>
    <col width="10" customWidth="1" min="136" max="136"/>
    <col width="11" customWidth="1" min="137" max="137"/>
    <col width="13" customWidth="1" min="138" max="138"/>
    <col width="12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1" customWidth="1" min="145" max="145"/>
    <col width="11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1" customWidth="1" min="151" max="151"/>
    <col width="11" customWidth="1" min="152" max="152"/>
    <col width="10" customWidth="1" min="153" max="153"/>
    <col width="11" customWidth="1" min="154" max="154"/>
    <col width="13" customWidth="1" min="155" max="155"/>
    <col width="12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1" customWidth="1" min="162" max="162"/>
    <col width="11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1" customWidth="1" min="168" max="168"/>
    <col width="11" customWidth="1" min="169" max="169"/>
    <col width="10" customWidth="1" min="170" max="170"/>
    <col width="11" customWidth="1" min="171" max="171"/>
    <col width="13" customWidth="1" min="172" max="172"/>
    <col width="12" customWidth="1" min="174" max="174"/>
    <col width="10" customWidth="1" min="175" max="175"/>
    <col width="10" customWidth="1" min="176" max="176"/>
    <col width="10" customWidth="1" min="177" max="177"/>
    <col width="10" customWidth="1" min="178" max="178"/>
    <col width="11" customWidth="1" min="179" max="179"/>
    <col width="11" customWidth="1" min="180" max="180"/>
    <col width="10" customWidth="1" min="181" max="181"/>
    <col width="10" customWidth="1" min="182" max="182"/>
    <col width="10" customWidth="1" min="183" max="183"/>
    <col width="10" customWidth="1" min="184" max="184"/>
    <col width="11" customWidth="1" min="185" max="185"/>
    <col width="11" customWidth="1" min="186" max="186"/>
    <col width="10" customWidth="1" min="187" max="187"/>
    <col width="11" customWidth="1" min="188" max="188"/>
    <col width="13" customWidth="1" min="189" max="189"/>
    <col width="12" customWidth="1" min="191" max="191"/>
    <col width="10" customWidth="1" min="192" max="192"/>
    <col width="10" customWidth="1" min="193" max="193"/>
    <col width="10" customWidth="1" min="194" max="194"/>
    <col width="10" customWidth="1" min="195" max="195"/>
    <col width="11" customWidth="1" min="196" max="196"/>
    <col width="11" customWidth="1" min="197" max="197"/>
    <col width="10" customWidth="1" min="198" max="198"/>
    <col width="10" customWidth="1" min="199" max="199"/>
    <col width="10" customWidth="1" min="200" max="200"/>
    <col width="10" customWidth="1" min="201" max="201"/>
    <col width="11" customWidth="1" min="202" max="202"/>
    <col width="11" customWidth="1" min="203" max="203"/>
    <col width="10" customWidth="1" min="204" max="204"/>
    <col width="11" customWidth="1" min="205" max="205"/>
    <col width="13" customWidth="1" min="206" max="206"/>
    <col width="12" customWidth="1" min="208" max="208"/>
    <col width="10" customWidth="1" min="209" max="209"/>
    <col width="10" customWidth="1" min="210" max="210"/>
    <col width="10" customWidth="1" min="211" max="211"/>
    <col width="10" customWidth="1" min="212" max="212"/>
    <col width="11" customWidth="1" min="213" max="213"/>
    <col width="11" customWidth="1" min="214" max="214"/>
    <col width="10" customWidth="1" min="215" max="215"/>
    <col width="10" customWidth="1" min="216" max="216"/>
    <col width="10" customWidth="1" min="217" max="217"/>
    <col width="10" customWidth="1" min="218" max="218"/>
    <col width="11" customWidth="1" min="219" max="219"/>
    <col width="11" customWidth="1" min="220" max="220"/>
    <col width="10" customWidth="1" min="221" max="221"/>
    <col width="11" customWidth="1" min="222" max="222"/>
    <col width="13" customWidth="1" min="223" max="223"/>
    <col width="12" customWidth="1" min="225" max="225"/>
    <col width="10" customWidth="1" min="226" max="226"/>
    <col width="10" customWidth="1" min="227" max="227"/>
    <col width="10" customWidth="1" min="228" max="228"/>
    <col width="10" customWidth="1" min="229" max="229"/>
    <col width="11" customWidth="1" min="230" max="230"/>
    <col width="11" customWidth="1" min="231" max="231"/>
    <col width="10" customWidth="1" min="232" max="232"/>
    <col width="10" customWidth="1" min="233" max="233"/>
    <col width="10" customWidth="1" min="234" max="234"/>
    <col width="10" customWidth="1" min="235" max="235"/>
    <col width="11" customWidth="1" min="236" max="236"/>
    <col width="11" customWidth="1" min="237" max="237"/>
    <col width="10" customWidth="1" min="238" max="238"/>
    <col width="11" customWidth="1" min="239" max="239"/>
    <col width="13" customWidth="1" min="240" max="240"/>
    <col width="12" customWidth="1" min="242" max="242"/>
    <col width="10" customWidth="1" min="243" max="243"/>
    <col width="10" customWidth="1" min="244" max="244"/>
    <col width="10" customWidth="1" min="245" max="245"/>
    <col width="10" customWidth="1" min="246" max="246"/>
    <col width="11" customWidth="1" min="247" max="247"/>
    <col width="11" customWidth="1" min="248" max="248"/>
    <col width="10" customWidth="1" min="249" max="249"/>
    <col width="10" customWidth="1" min="250" max="250"/>
    <col width="10" customWidth="1" min="251" max="251"/>
    <col width="10" customWidth="1" min="252" max="252"/>
    <col width="11" customWidth="1" min="253" max="253"/>
    <col width="11" customWidth="1" min="254" max="254"/>
    <col width="10" customWidth="1" min="255" max="255"/>
    <col width="11" customWidth="1" min="256" max="256"/>
    <col width="13" customWidth="1" min="257" max="257"/>
    <col width="12" customWidth="1" min="259" max="259"/>
    <col width="10" customWidth="1" min="260" max="260"/>
    <col width="10" customWidth="1" min="261" max="261"/>
    <col width="10" customWidth="1" min="262" max="262"/>
    <col width="10" customWidth="1" min="263" max="263"/>
    <col width="11" customWidth="1" min="264" max="264"/>
    <col width="11" customWidth="1" min="265" max="265"/>
    <col width="10" customWidth="1" min="266" max="266"/>
    <col width="10" customWidth="1" min="267" max="267"/>
    <col width="10" customWidth="1" min="268" max="268"/>
    <col width="10" customWidth="1" min="269" max="269"/>
    <col width="11" customWidth="1" min="270" max="270"/>
    <col width="11" customWidth="1" min="271" max="271"/>
    <col width="10" customWidth="1" min="272" max="272"/>
    <col width="11" customWidth="1" min="273" max="273"/>
    <col width="13" customWidth="1" min="274" max="274"/>
    <col width="12" customWidth="1" min="276" max="276"/>
    <col width="10" customWidth="1" min="277" max="277"/>
    <col width="10" customWidth="1" min="278" max="278"/>
    <col width="10" customWidth="1" min="279" max="279"/>
    <col width="10" customWidth="1" min="280" max="280"/>
    <col width="11" customWidth="1" min="281" max="281"/>
    <col width="11" customWidth="1" min="282" max="282"/>
    <col width="10" customWidth="1" min="283" max="283"/>
    <col width="10" customWidth="1" min="284" max="284"/>
    <col width="10" customWidth="1" min="285" max="285"/>
    <col width="10" customWidth="1" min="286" max="286"/>
    <col width="11" customWidth="1" min="287" max="287"/>
    <col width="11" customWidth="1" min="288" max="288"/>
    <col width="10" customWidth="1" min="289" max="289"/>
    <col width="11" customWidth="1" min="290" max="290"/>
    <col width="13" customWidth="1" min="291" max="291"/>
    <col width="12" customWidth="1" min="293" max="293"/>
    <col width="10" customWidth="1" min="294" max="294"/>
    <col width="10" customWidth="1" min="295" max="295"/>
    <col width="10" customWidth="1" min="296" max="296"/>
    <col width="10" customWidth="1" min="297" max="297"/>
    <col width="11" customWidth="1" min="298" max="298"/>
    <col width="11" customWidth="1" min="299" max="299"/>
    <col width="10" customWidth="1" min="300" max="300"/>
    <col width="10" customWidth="1" min="301" max="301"/>
    <col width="10" customWidth="1" min="302" max="302"/>
    <col width="10" customWidth="1" min="303" max="303"/>
    <col width="11" customWidth="1" min="304" max="304"/>
    <col width="11" customWidth="1" min="305" max="305"/>
    <col width="10" customWidth="1" min="306" max="306"/>
    <col width="11" customWidth="1" min="307" max="307"/>
    <col width="13" customWidth="1" min="308" max="308"/>
    <col width="12" customWidth="1" min="310" max="310"/>
    <col width="10" customWidth="1" min="311" max="311"/>
    <col width="10" customWidth="1" min="312" max="312"/>
    <col width="10" customWidth="1" min="313" max="313"/>
    <col width="10" customWidth="1" min="314" max="314"/>
    <col width="11" customWidth="1" min="315" max="315"/>
    <col width="11" customWidth="1" min="316" max="316"/>
    <col width="10" customWidth="1" min="317" max="317"/>
    <col width="10" customWidth="1" min="318" max="318"/>
    <col width="10" customWidth="1" min="319" max="319"/>
    <col width="10" customWidth="1" min="320" max="320"/>
    <col width="11" customWidth="1" min="321" max="321"/>
    <col width="11" customWidth="1" min="322" max="322"/>
    <col width="10" customWidth="1" min="323" max="323"/>
    <col width="11" customWidth="1" min="324" max="324"/>
    <col width="13" customWidth="1" min="325" max="325"/>
    <col width="12" customWidth="1" min="327" max="327"/>
    <col width="10" customWidth="1" min="328" max="328"/>
    <col width="10" customWidth="1" min="329" max="329"/>
    <col width="10" customWidth="1" min="330" max="330"/>
    <col width="10" customWidth="1" min="331" max="331"/>
    <col width="11" customWidth="1" min="332" max="332"/>
    <col width="11" customWidth="1" min="333" max="333"/>
    <col width="10" customWidth="1" min="334" max="334"/>
    <col width="10" customWidth="1" min="335" max="335"/>
    <col width="10" customWidth="1" min="336" max="336"/>
    <col width="10" customWidth="1" min="337" max="337"/>
    <col width="11" customWidth="1" min="338" max="338"/>
    <col width="11" customWidth="1" min="339" max="339"/>
    <col width="10" customWidth="1" min="340" max="340"/>
    <col width="11" customWidth="1" min="341" max="341"/>
    <col width="13" customWidth="1" min="342" max="342"/>
    <col width="12" customWidth="1" min="344" max="344"/>
    <col width="10" customWidth="1" min="345" max="345"/>
    <col width="10" customWidth="1" min="346" max="346"/>
    <col width="10" customWidth="1" min="347" max="347"/>
    <col width="10" customWidth="1" min="348" max="348"/>
    <col width="11" customWidth="1" min="349" max="349"/>
    <col width="11" customWidth="1" min="350" max="350"/>
    <col width="10" customWidth="1" min="351" max="351"/>
    <col width="10" customWidth="1" min="352" max="352"/>
    <col width="10" customWidth="1" min="353" max="353"/>
    <col width="10" customWidth="1" min="354" max="354"/>
    <col width="11" customWidth="1" min="355" max="355"/>
    <col width="11" customWidth="1" min="356" max="356"/>
    <col width="10" customWidth="1" min="357" max="357"/>
    <col width="11" customWidth="1" min="358" max="358"/>
    <col width="13" customWidth="1" min="359" max="359"/>
    <col width="12" customWidth="1" min="361" max="361"/>
    <col width="10" customWidth="1" min="362" max="362"/>
    <col width="10" customWidth="1" min="363" max="363"/>
    <col width="10" customWidth="1" min="364" max="364"/>
    <col width="10" customWidth="1" min="365" max="365"/>
    <col width="11" customWidth="1" min="366" max="366"/>
    <col width="11" customWidth="1" min="367" max="367"/>
    <col width="10" customWidth="1" min="368" max="368"/>
    <col width="10" customWidth="1" min="369" max="369"/>
    <col width="10" customWidth="1" min="370" max="370"/>
    <col width="10" customWidth="1" min="371" max="371"/>
    <col width="11" customWidth="1" min="372" max="372"/>
    <col width="11" customWidth="1" min="373" max="373"/>
    <col width="10" customWidth="1" min="374" max="374"/>
    <col width="11" customWidth="1" min="375" max="375"/>
    <col width="13" customWidth="1" min="376" max="376"/>
  </cols>
  <sheetData>
    <row r="1">
      <c r="A1" s="2" t="inlineStr">
        <is>
          <t>Month</t>
        </is>
      </c>
      <c r="B1" s="9" t="n">
        <v>2</v>
      </c>
      <c r="D1" s="2">
        <f>IF(ISNUMBER(B$7),"XLE US "&amp;TEXT(B$3,"mm/dd/yy")&amp;" C"&amp;(B$7-5*B$6)&amp;" Equity","")</f>
        <v/>
      </c>
      <c r="U1" s="2">
        <f>IF(ISNUMBER(B$7),"XLE US "&amp;TEXT(B$3,"mm/dd/yy")&amp;" P"&amp;(B$7-5*B$6)&amp;" Equity","")</f>
        <v/>
      </c>
      <c r="AL1" s="2">
        <f>IF(ISNUMBER(B$7),"XLE US "&amp;TEXT(B$3,"mm/dd/yy")&amp;" C"&amp;(B$7-4*B$6)&amp;" Equity","")</f>
        <v/>
      </c>
      <c r="BC1" s="2">
        <f>IF(ISNUMBER(B$7),"XLE US "&amp;TEXT(B$3,"mm/dd/yy")&amp;" P"&amp;(B$7-4*B$6)&amp;" Equity","")</f>
        <v/>
      </c>
      <c r="BT1" s="2">
        <f>IF(ISNUMBER(B$7),"XLE US "&amp;TEXT(B$3,"mm/dd/yy")&amp;" C"&amp;(B$7-3*B$6)&amp;" Equity","")</f>
        <v/>
      </c>
      <c r="CK1" s="2">
        <f>IF(ISNUMBER(B$7),"XLE US "&amp;TEXT(B$3,"mm/dd/yy")&amp;" P"&amp;(B$7-3*B$6)&amp;" Equity","")</f>
        <v/>
      </c>
      <c r="DB1" s="2">
        <f>IF(ISNUMBER(B$7),"XLE US "&amp;TEXT(B$3,"mm/dd/yy")&amp;" C"&amp;(B$7-2*B$6)&amp;" Equity","")</f>
        <v/>
      </c>
      <c r="DS1" s="2">
        <f>IF(ISNUMBER(B$7),"XLE US "&amp;TEXT(B$3,"mm/dd/yy")&amp;" P"&amp;(B$7-2*B$6)&amp;" Equity","")</f>
        <v/>
      </c>
      <c r="EJ1" s="2">
        <f>IF(ISNUMBER(B$7),"XLE US "&amp;TEXT(B$3,"mm/dd/yy")&amp;" C"&amp;(B$7-1*B$6)&amp;" Equity","")</f>
        <v/>
      </c>
      <c r="FA1" s="2">
        <f>IF(ISNUMBER(B$7),"XLE US "&amp;TEXT(B$3,"mm/dd/yy")&amp;" P"&amp;(B$7-1*B$6)&amp;" Equity","")</f>
        <v/>
      </c>
      <c r="FR1" s="2">
        <f>IF(ISNUMBER(B$7),"XLE US "&amp;TEXT(B$3,"mm/dd/yy")&amp;" C"&amp;B$7&amp;" Equity","")</f>
        <v/>
      </c>
      <c r="GI1" s="2">
        <f>IF(ISNUMBER(B$7),"XLE US "&amp;TEXT(B$3,"mm/dd/yy")&amp;" P"&amp;B$7&amp;" Equity","")</f>
        <v/>
      </c>
      <c r="GZ1" s="2">
        <f>IF(ISNUMBER(B$7),"XLE US "&amp;TEXT(B$3,"mm/dd/yy")&amp;" C"&amp;(B$7+1*B$6)&amp;" Equity","")</f>
        <v/>
      </c>
      <c r="HQ1" s="2">
        <f>IF(ISNUMBER(B$7),"XLE US "&amp;TEXT(B$3,"mm/dd/yy")&amp;" P"&amp;(B$7+1*B$6)&amp;" Equity","")</f>
        <v/>
      </c>
      <c r="IH1" s="2">
        <f>IF(ISNUMBER(B$7),"XLE US "&amp;TEXT(B$3,"mm/dd/yy")&amp;" C"&amp;(B$7+2*B$6)&amp;" Equity","")</f>
        <v/>
      </c>
      <c r="IY1" s="2">
        <f>IF(ISNUMBER(B$7),"XLE US "&amp;TEXT(B$3,"mm/dd/yy")&amp;" P"&amp;(B$7+2*B$6)&amp;" Equity","")</f>
        <v/>
      </c>
      <c r="JP1" s="2">
        <f>IF(ISNUMBER(B$7),"XLE US "&amp;TEXT(B$3,"mm/dd/yy")&amp;" C"&amp;(B$7+3*B$6)&amp;" Equity","")</f>
        <v/>
      </c>
      <c r="KG1" s="2">
        <f>IF(ISNUMBER(B$7),"XLE US "&amp;TEXT(B$3,"mm/dd/yy")&amp;" P"&amp;(B$7+3*B$6)&amp;" Equity","")</f>
        <v/>
      </c>
      <c r="KX1" s="2">
        <f>IF(ISNUMBER(B$7),"XLE US "&amp;TEXT(B$3,"mm/dd/yy")&amp;" C"&amp;(B$7+4*B$6)&amp;" Equity","")</f>
        <v/>
      </c>
      <c r="LO1" s="2">
        <f>IF(ISNUMBER(B$7),"XLE US "&amp;TEXT(B$3,"mm/dd/yy")&amp;" P"&amp;(B$7+4*B$6)&amp;" Equity","")</f>
        <v/>
      </c>
      <c r="MF1" s="2">
        <f>IF(ISNUMBER(B$7),"XLE US "&amp;TEXT(B$3,"mm/dd/yy")&amp;" C"&amp;(B$7+5*B$6)&amp;" Equity","")</f>
        <v/>
      </c>
      <c r="MW1" s="2">
        <f>IF(ISNUMBER(B$7),"XLE US "&amp;TEXT(B$3,"mm/dd/yy")&amp;" P"&amp;(B$7+5*B$6)&amp;" Equity","")</f>
        <v/>
      </c>
    </row>
    <row r="2">
      <c r="A2" s="2" t="inlineStr">
        <is>
          <t>Underlying</t>
        </is>
      </c>
      <c r="B2" s="4">
        <f>IF(Settings!$B$16="Y","XLE US Equity","")</f>
        <v/>
      </c>
      <c r="D2" s="4" t="inlineStr">
        <is>
          <t>call -5 from ATM</t>
        </is>
      </c>
      <c r="U2" s="4" t="inlineStr">
        <is>
          <t>put -5 from ATM</t>
        </is>
      </c>
      <c r="AL2" s="4" t="inlineStr">
        <is>
          <t>call -4 from ATM</t>
        </is>
      </c>
      <c r="BC2" s="4" t="inlineStr">
        <is>
          <t>put -4 from ATM</t>
        </is>
      </c>
      <c r="BT2" s="4" t="inlineStr">
        <is>
          <t>call -3 from ATM</t>
        </is>
      </c>
      <c r="CK2" s="4" t="inlineStr">
        <is>
          <t>put -3 from ATM</t>
        </is>
      </c>
      <c r="DB2" s="4" t="inlineStr">
        <is>
          <t>call -2 from ATM</t>
        </is>
      </c>
      <c r="DS2" s="4" t="inlineStr">
        <is>
          <t>put -2 from ATM</t>
        </is>
      </c>
      <c r="EJ2" s="4" t="inlineStr">
        <is>
          <t>call -1 from ATM</t>
        </is>
      </c>
      <c r="FA2" s="4" t="inlineStr">
        <is>
          <t>put -1 from ATM</t>
        </is>
      </c>
      <c r="FR2" s="4" t="inlineStr">
        <is>
          <t>call +0 from ATM</t>
        </is>
      </c>
      <c r="GI2" s="4" t="inlineStr">
        <is>
          <t>put +0 from ATM</t>
        </is>
      </c>
      <c r="GZ2" s="4" t="inlineStr">
        <is>
          <t>call +1 from ATM</t>
        </is>
      </c>
      <c r="HQ2" s="4" t="inlineStr">
        <is>
          <t>put +1 from ATM</t>
        </is>
      </c>
      <c r="IH2" s="4" t="inlineStr">
        <is>
          <t>call +2 from ATM</t>
        </is>
      </c>
      <c r="IY2" s="4" t="inlineStr">
        <is>
          <t>put +2 from ATM</t>
        </is>
      </c>
      <c r="JP2" s="4" t="inlineStr">
        <is>
          <t>call +3 from ATM</t>
        </is>
      </c>
      <c r="KG2" s="4" t="inlineStr">
        <is>
          <t>put +3 from ATM</t>
        </is>
      </c>
      <c r="KX2" s="4" t="inlineStr">
        <is>
          <t>call +4 from ATM</t>
        </is>
      </c>
      <c r="LO2" s="4" t="inlineStr">
        <is>
          <t>put +4 from ATM</t>
        </is>
      </c>
      <c r="MF2" s="4" t="inlineStr">
        <is>
          <t>call +5 from ATM</t>
        </is>
      </c>
      <c r="MW2" s="4" t="inlineStr">
        <is>
          <t>put +5 from ATM</t>
        </is>
      </c>
    </row>
    <row r="3">
      <c r="A3" s="2" t="inlineStr">
        <is>
          <t>Expiry (3rd Friday)</t>
        </is>
      </c>
      <c r="B3" s="3">
        <f>DATE(Settings!$E$16,B1,15)+MOD(6-WEEKDAY(DATE(Settings!$E$16,B1,15)),7)</f>
        <v/>
      </c>
      <c r="D3" s="5" t="inlineStr">
        <is>
          <t>Date</t>
        </is>
      </c>
      <c r="E3" s="5" t="inlineStr">
        <is>
          <t>PX_BID</t>
        </is>
      </c>
      <c r="F3" s="5" t="inlineStr">
        <is>
          <t>PX_ASK</t>
        </is>
      </c>
      <c r="G3" s="5" t="inlineStr">
        <is>
          <t>PX_MID</t>
        </is>
      </c>
      <c r="H3" s="5" t="inlineStr">
        <is>
          <t>PX_LAST</t>
        </is>
      </c>
      <c r="I3" s="5" t="inlineStr">
        <is>
          <t>PX_SETTLE</t>
        </is>
      </c>
      <c r="J3" s="5" t="inlineStr">
        <is>
          <t>PX_VOLUME</t>
        </is>
      </c>
      <c r="K3" s="5" t="inlineStr">
        <is>
          <t>OPEN_INT</t>
        </is>
      </c>
      <c r="L3" s="5" t="inlineStr">
        <is>
          <t>IVOL_MID</t>
        </is>
      </c>
      <c r="M3" s="5" t="inlineStr">
        <is>
          <t>IVOL_BID</t>
        </is>
      </c>
      <c r="N3" s="5" t="inlineStr">
        <is>
          <t>IVOL_ASK</t>
        </is>
      </c>
      <c r="O3" s="5" t="inlineStr">
        <is>
          <t>DELTA_MID</t>
        </is>
      </c>
      <c r="P3" s="5" t="inlineStr">
        <is>
          <t>GAMMA_MID</t>
        </is>
      </c>
      <c r="Q3" s="5" t="inlineStr">
        <is>
          <t>VEGA_MID</t>
        </is>
      </c>
      <c r="R3" s="5" t="inlineStr">
        <is>
          <t>THETA_MID</t>
        </is>
      </c>
      <c r="S3" s="5" t="inlineStr">
        <is>
          <t>OPT_UNDL_PX</t>
        </is>
      </c>
      <c r="U3" s="5" t="inlineStr">
        <is>
          <t>Date</t>
        </is>
      </c>
      <c r="V3" s="5" t="inlineStr">
        <is>
          <t>PX_BID</t>
        </is>
      </c>
      <c r="W3" s="5" t="inlineStr">
        <is>
          <t>PX_ASK</t>
        </is>
      </c>
      <c r="X3" s="5" t="inlineStr">
        <is>
          <t>PX_MID</t>
        </is>
      </c>
      <c r="Y3" s="5" t="inlineStr">
        <is>
          <t>PX_LAST</t>
        </is>
      </c>
      <c r="Z3" s="5" t="inlineStr">
        <is>
          <t>PX_SETTLE</t>
        </is>
      </c>
      <c r="AA3" s="5" t="inlineStr">
        <is>
          <t>PX_VOLUME</t>
        </is>
      </c>
      <c r="AB3" s="5" t="inlineStr">
        <is>
          <t>OPEN_INT</t>
        </is>
      </c>
      <c r="AC3" s="5" t="inlineStr">
        <is>
          <t>IVOL_MID</t>
        </is>
      </c>
      <c r="AD3" s="5" t="inlineStr">
        <is>
          <t>IVOL_BID</t>
        </is>
      </c>
      <c r="AE3" s="5" t="inlineStr">
        <is>
          <t>IVOL_ASK</t>
        </is>
      </c>
      <c r="AF3" s="5" t="inlineStr">
        <is>
          <t>DELTA_MID</t>
        </is>
      </c>
      <c r="AG3" s="5" t="inlineStr">
        <is>
          <t>GAMMA_MID</t>
        </is>
      </c>
      <c r="AH3" s="5" t="inlineStr">
        <is>
          <t>VEGA_MID</t>
        </is>
      </c>
      <c r="AI3" s="5" t="inlineStr">
        <is>
          <t>THETA_MID</t>
        </is>
      </c>
      <c r="AJ3" s="5" t="inlineStr">
        <is>
          <t>OPT_UNDL_PX</t>
        </is>
      </c>
      <c r="AL3" s="5" t="inlineStr">
        <is>
          <t>Date</t>
        </is>
      </c>
      <c r="AM3" s="5" t="inlineStr">
        <is>
          <t>PX_BID</t>
        </is>
      </c>
      <c r="AN3" s="5" t="inlineStr">
        <is>
          <t>PX_ASK</t>
        </is>
      </c>
      <c r="AO3" s="5" t="inlineStr">
        <is>
          <t>PX_MID</t>
        </is>
      </c>
      <c r="AP3" s="5" t="inlineStr">
        <is>
          <t>PX_LAST</t>
        </is>
      </c>
      <c r="AQ3" s="5" t="inlineStr">
        <is>
          <t>PX_SETTLE</t>
        </is>
      </c>
      <c r="AR3" s="5" t="inlineStr">
        <is>
          <t>PX_VOLUME</t>
        </is>
      </c>
      <c r="AS3" s="5" t="inlineStr">
        <is>
          <t>OPEN_INT</t>
        </is>
      </c>
      <c r="AT3" s="5" t="inlineStr">
        <is>
          <t>IVOL_MID</t>
        </is>
      </c>
      <c r="AU3" s="5" t="inlineStr">
        <is>
          <t>IVOL_BID</t>
        </is>
      </c>
      <c r="AV3" s="5" t="inlineStr">
        <is>
          <t>IVOL_ASK</t>
        </is>
      </c>
      <c r="AW3" s="5" t="inlineStr">
        <is>
          <t>DELTA_MID</t>
        </is>
      </c>
      <c r="AX3" s="5" t="inlineStr">
        <is>
          <t>GAMMA_MID</t>
        </is>
      </c>
      <c r="AY3" s="5" t="inlineStr">
        <is>
          <t>VEGA_MID</t>
        </is>
      </c>
      <c r="AZ3" s="5" t="inlineStr">
        <is>
          <t>THETA_MID</t>
        </is>
      </c>
      <c r="BA3" s="5" t="inlineStr">
        <is>
          <t>OPT_UNDL_PX</t>
        </is>
      </c>
      <c r="BC3" s="5" t="inlineStr">
        <is>
          <t>Date</t>
        </is>
      </c>
      <c r="BD3" s="5" t="inlineStr">
        <is>
          <t>PX_BID</t>
        </is>
      </c>
      <c r="BE3" s="5" t="inlineStr">
        <is>
          <t>PX_ASK</t>
        </is>
      </c>
      <c r="BF3" s="5" t="inlineStr">
        <is>
          <t>PX_MID</t>
        </is>
      </c>
      <c r="BG3" s="5" t="inlineStr">
        <is>
          <t>PX_LAST</t>
        </is>
      </c>
      <c r="BH3" s="5" t="inlineStr">
        <is>
          <t>PX_SETTLE</t>
        </is>
      </c>
      <c r="BI3" s="5" t="inlineStr">
        <is>
          <t>PX_VOLUME</t>
        </is>
      </c>
      <c r="BJ3" s="5" t="inlineStr">
        <is>
          <t>OPEN_INT</t>
        </is>
      </c>
      <c r="BK3" s="5" t="inlineStr">
        <is>
          <t>IVOL_MID</t>
        </is>
      </c>
      <c r="BL3" s="5" t="inlineStr">
        <is>
          <t>IVOL_BID</t>
        </is>
      </c>
      <c r="BM3" s="5" t="inlineStr">
        <is>
          <t>IVOL_ASK</t>
        </is>
      </c>
      <c r="BN3" s="5" t="inlineStr">
        <is>
          <t>DELTA_MID</t>
        </is>
      </c>
      <c r="BO3" s="5" t="inlineStr">
        <is>
          <t>GAMMA_MID</t>
        </is>
      </c>
      <c r="BP3" s="5" t="inlineStr">
        <is>
          <t>VEGA_MID</t>
        </is>
      </c>
      <c r="BQ3" s="5" t="inlineStr">
        <is>
          <t>THETA_MID</t>
        </is>
      </c>
      <c r="BR3" s="5" t="inlineStr">
        <is>
          <t>OPT_UNDL_PX</t>
        </is>
      </c>
      <c r="BT3" s="5" t="inlineStr">
        <is>
          <t>Date</t>
        </is>
      </c>
      <c r="BU3" s="5" t="inlineStr">
        <is>
          <t>PX_BID</t>
        </is>
      </c>
      <c r="BV3" s="5" t="inlineStr">
        <is>
          <t>PX_ASK</t>
        </is>
      </c>
      <c r="BW3" s="5" t="inlineStr">
        <is>
          <t>PX_MID</t>
        </is>
      </c>
      <c r="BX3" s="5" t="inlineStr">
        <is>
          <t>PX_LAST</t>
        </is>
      </c>
      <c r="BY3" s="5" t="inlineStr">
        <is>
          <t>PX_SETTLE</t>
        </is>
      </c>
      <c r="BZ3" s="5" t="inlineStr">
        <is>
          <t>PX_VOLUME</t>
        </is>
      </c>
      <c r="CA3" s="5" t="inlineStr">
        <is>
          <t>OPEN_INT</t>
        </is>
      </c>
      <c r="CB3" s="5" t="inlineStr">
        <is>
          <t>IVOL_MID</t>
        </is>
      </c>
      <c r="CC3" s="5" t="inlineStr">
        <is>
          <t>IVOL_BID</t>
        </is>
      </c>
      <c r="CD3" s="5" t="inlineStr">
        <is>
          <t>IVOL_ASK</t>
        </is>
      </c>
      <c r="CE3" s="5" t="inlineStr">
        <is>
          <t>DELTA_MID</t>
        </is>
      </c>
      <c r="CF3" s="5" t="inlineStr">
        <is>
          <t>GAMMA_MID</t>
        </is>
      </c>
      <c r="CG3" s="5" t="inlineStr">
        <is>
          <t>VEGA_MID</t>
        </is>
      </c>
      <c r="CH3" s="5" t="inlineStr">
        <is>
          <t>THETA_MID</t>
        </is>
      </c>
      <c r="CI3" s="5" t="inlineStr">
        <is>
          <t>OPT_UNDL_PX</t>
        </is>
      </c>
      <c r="CK3" s="5" t="inlineStr">
        <is>
          <t>Date</t>
        </is>
      </c>
      <c r="CL3" s="5" t="inlineStr">
        <is>
          <t>PX_BID</t>
        </is>
      </c>
      <c r="CM3" s="5" t="inlineStr">
        <is>
          <t>PX_ASK</t>
        </is>
      </c>
      <c r="CN3" s="5" t="inlineStr">
        <is>
          <t>PX_MID</t>
        </is>
      </c>
      <c r="CO3" s="5" t="inlineStr">
        <is>
          <t>PX_LAST</t>
        </is>
      </c>
      <c r="CP3" s="5" t="inlineStr">
        <is>
          <t>PX_SETTLE</t>
        </is>
      </c>
      <c r="CQ3" s="5" t="inlineStr">
        <is>
          <t>PX_VOLUME</t>
        </is>
      </c>
      <c r="CR3" s="5" t="inlineStr">
        <is>
          <t>OPEN_INT</t>
        </is>
      </c>
      <c r="CS3" s="5" t="inlineStr">
        <is>
          <t>IVOL_MID</t>
        </is>
      </c>
      <c r="CT3" s="5" t="inlineStr">
        <is>
          <t>IVOL_BID</t>
        </is>
      </c>
      <c r="CU3" s="5" t="inlineStr">
        <is>
          <t>IVOL_ASK</t>
        </is>
      </c>
      <c r="CV3" s="5" t="inlineStr">
        <is>
          <t>DELTA_MID</t>
        </is>
      </c>
      <c r="CW3" s="5" t="inlineStr">
        <is>
          <t>GAMMA_MID</t>
        </is>
      </c>
      <c r="CX3" s="5" t="inlineStr">
        <is>
          <t>VEGA_MID</t>
        </is>
      </c>
      <c r="CY3" s="5" t="inlineStr">
        <is>
          <t>THETA_MID</t>
        </is>
      </c>
      <c r="CZ3" s="5" t="inlineStr">
        <is>
          <t>OPT_UNDL_PX</t>
        </is>
      </c>
      <c r="DB3" s="5" t="inlineStr">
        <is>
          <t>Date</t>
        </is>
      </c>
      <c r="DC3" s="5" t="inlineStr">
        <is>
          <t>PX_BID</t>
        </is>
      </c>
      <c r="DD3" s="5" t="inlineStr">
        <is>
          <t>PX_ASK</t>
        </is>
      </c>
      <c r="DE3" s="5" t="inlineStr">
        <is>
          <t>PX_MID</t>
        </is>
      </c>
      <c r="DF3" s="5" t="inlineStr">
        <is>
          <t>PX_LAST</t>
        </is>
      </c>
      <c r="DG3" s="5" t="inlineStr">
        <is>
          <t>PX_SETTLE</t>
        </is>
      </c>
      <c r="DH3" s="5" t="inlineStr">
        <is>
          <t>PX_VOLUME</t>
        </is>
      </c>
      <c r="DI3" s="5" t="inlineStr">
        <is>
          <t>OPEN_INT</t>
        </is>
      </c>
      <c r="DJ3" s="5" t="inlineStr">
        <is>
          <t>IVOL_MID</t>
        </is>
      </c>
      <c r="DK3" s="5" t="inlineStr">
        <is>
          <t>IVOL_BID</t>
        </is>
      </c>
      <c r="DL3" s="5" t="inlineStr">
        <is>
          <t>IVOL_ASK</t>
        </is>
      </c>
      <c r="DM3" s="5" t="inlineStr">
        <is>
          <t>DELTA_MID</t>
        </is>
      </c>
      <c r="DN3" s="5" t="inlineStr">
        <is>
          <t>GAMMA_MID</t>
        </is>
      </c>
      <c r="DO3" s="5" t="inlineStr">
        <is>
          <t>VEGA_MID</t>
        </is>
      </c>
      <c r="DP3" s="5" t="inlineStr">
        <is>
          <t>THETA_MID</t>
        </is>
      </c>
      <c r="DQ3" s="5" t="inlineStr">
        <is>
          <t>OPT_UNDL_PX</t>
        </is>
      </c>
      <c r="DS3" s="5" t="inlineStr">
        <is>
          <t>Date</t>
        </is>
      </c>
      <c r="DT3" s="5" t="inlineStr">
        <is>
          <t>PX_BID</t>
        </is>
      </c>
      <c r="DU3" s="5" t="inlineStr">
        <is>
          <t>PX_ASK</t>
        </is>
      </c>
      <c r="DV3" s="5" t="inlineStr">
        <is>
          <t>PX_MID</t>
        </is>
      </c>
      <c r="DW3" s="5" t="inlineStr">
        <is>
          <t>PX_LAST</t>
        </is>
      </c>
      <c r="DX3" s="5" t="inlineStr">
        <is>
          <t>PX_SETTLE</t>
        </is>
      </c>
      <c r="DY3" s="5" t="inlineStr">
        <is>
          <t>PX_VOLUME</t>
        </is>
      </c>
      <c r="DZ3" s="5" t="inlineStr">
        <is>
          <t>OPEN_INT</t>
        </is>
      </c>
      <c r="EA3" s="5" t="inlineStr">
        <is>
          <t>IVOL_MID</t>
        </is>
      </c>
      <c r="EB3" s="5" t="inlineStr">
        <is>
          <t>IVOL_BID</t>
        </is>
      </c>
      <c r="EC3" s="5" t="inlineStr">
        <is>
          <t>IVOL_ASK</t>
        </is>
      </c>
      <c r="ED3" s="5" t="inlineStr">
        <is>
          <t>DELTA_MID</t>
        </is>
      </c>
      <c r="EE3" s="5" t="inlineStr">
        <is>
          <t>GAMMA_MID</t>
        </is>
      </c>
      <c r="EF3" s="5" t="inlineStr">
        <is>
          <t>VEGA_MID</t>
        </is>
      </c>
      <c r="EG3" s="5" t="inlineStr">
        <is>
          <t>THETA_MID</t>
        </is>
      </c>
      <c r="EH3" s="5" t="inlineStr">
        <is>
          <t>OPT_UNDL_PX</t>
        </is>
      </c>
      <c r="EJ3" s="5" t="inlineStr">
        <is>
          <t>Date</t>
        </is>
      </c>
      <c r="EK3" s="5" t="inlineStr">
        <is>
          <t>PX_BID</t>
        </is>
      </c>
      <c r="EL3" s="5" t="inlineStr">
        <is>
          <t>PX_ASK</t>
        </is>
      </c>
      <c r="EM3" s="5" t="inlineStr">
        <is>
          <t>PX_MID</t>
        </is>
      </c>
      <c r="EN3" s="5" t="inlineStr">
        <is>
          <t>PX_LAST</t>
        </is>
      </c>
      <c r="EO3" s="5" t="inlineStr">
        <is>
          <t>PX_SETTLE</t>
        </is>
      </c>
      <c r="EP3" s="5" t="inlineStr">
        <is>
          <t>PX_VOLUME</t>
        </is>
      </c>
      <c r="EQ3" s="5" t="inlineStr">
        <is>
          <t>OPEN_INT</t>
        </is>
      </c>
      <c r="ER3" s="5" t="inlineStr">
        <is>
          <t>IVOL_MID</t>
        </is>
      </c>
      <c r="ES3" s="5" t="inlineStr">
        <is>
          <t>IVOL_BID</t>
        </is>
      </c>
      <c r="ET3" s="5" t="inlineStr">
        <is>
          <t>IVOL_ASK</t>
        </is>
      </c>
      <c r="EU3" s="5" t="inlineStr">
        <is>
          <t>DELTA_MID</t>
        </is>
      </c>
      <c r="EV3" s="5" t="inlineStr">
        <is>
          <t>GAMMA_MID</t>
        </is>
      </c>
      <c r="EW3" s="5" t="inlineStr">
        <is>
          <t>VEGA_MID</t>
        </is>
      </c>
      <c r="EX3" s="5" t="inlineStr">
        <is>
          <t>THETA_MID</t>
        </is>
      </c>
      <c r="EY3" s="5" t="inlineStr">
        <is>
          <t>OPT_UNDL_PX</t>
        </is>
      </c>
      <c r="FA3" s="5" t="inlineStr">
        <is>
          <t>Date</t>
        </is>
      </c>
      <c r="FB3" s="5" t="inlineStr">
        <is>
          <t>PX_BID</t>
        </is>
      </c>
      <c r="FC3" s="5" t="inlineStr">
        <is>
          <t>PX_ASK</t>
        </is>
      </c>
      <c r="FD3" s="5" t="inlineStr">
        <is>
          <t>PX_MID</t>
        </is>
      </c>
      <c r="FE3" s="5" t="inlineStr">
        <is>
          <t>PX_LAST</t>
        </is>
      </c>
      <c r="FF3" s="5" t="inlineStr">
        <is>
          <t>PX_SETTLE</t>
        </is>
      </c>
      <c r="FG3" s="5" t="inlineStr">
        <is>
          <t>PX_VOLUME</t>
        </is>
      </c>
      <c r="FH3" s="5" t="inlineStr">
        <is>
          <t>OPEN_INT</t>
        </is>
      </c>
      <c r="FI3" s="5" t="inlineStr">
        <is>
          <t>IVOL_MID</t>
        </is>
      </c>
      <c r="FJ3" s="5" t="inlineStr">
        <is>
          <t>IVOL_BID</t>
        </is>
      </c>
      <c r="FK3" s="5" t="inlineStr">
        <is>
          <t>IVOL_ASK</t>
        </is>
      </c>
      <c r="FL3" s="5" t="inlineStr">
        <is>
          <t>DELTA_MID</t>
        </is>
      </c>
      <c r="FM3" s="5" t="inlineStr">
        <is>
          <t>GAMMA_MID</t>
        </is>
      </c>
      <c r="FN3" s="5" t="inlineStr">
        <is>
          <t>VEGA_MID</t>
        </is>
      </c>
      <c r="FO3" s="5" t="inlineStr">
        <is>
          <t>THETA_MID</t>
        </is>
      </c>
      <c r="FP3" s="5" t="inlineStr">
        <is>
          <t>OPT_UNDL_PX</t>
        </is>
      </c>
      <c r="FR3" s="5" t="inlineStr">
        <is>
          <t>Date</t>
        </is>
      </c>
      <c r="FS3" s="5" t="inlineStr">
        <is>
          <t>PX_BID</t>
        </is>
      </c>
      <c r="FT3" s="5" t="inlineStr">
        <is>
          <t>PX_ASK</t>
        </is>
      </c>
      <c r="FU3" s="5" t="inlineStr">
        <is>
          <t>PX_MID</t>
        </is>
      </c>
      <c r="FV3" s="5" t="inlineStr">
        <is>
          <t>PX_LAST</t>
        </is>
      </c>
      <c r="FW3" s="5" t="inlineStr">
        <is>
          <t>PX_SETTLE</t>
        </is>
      </c>
      <c r="FX3" s="5" t="inlineStr">
        <is>
          <t>PX_VOLUME</t>
        </is>
      </c>
      <c r="FY3" s="5" t="inlineStr">
        <is>
          <t>OPEN_INT</t>
        </is>
      </c>
      <c r="FZ3" s="5" t="inlineStr">
        <is>
          <t>IVOL_MID</t>
        </is>
      </c>
      <c r="GA3" s="5" t="inlineStr">
        <is>
          <t>IVOL_BID</t>
        </is>
      </c>
      <c r="GB3" s="5" t="inlineStr">
        <is>
          <t>IVOL_ASK</t>
        </is>
      </c>
      <c r="GC3" s="5" t="inlineStr">
        <is>
          <t>DELTA_MID</t>
        </is>
      </c>
      <c r="GD3" s="5" t="inlineStr">
        <is>
          <t>GAMMA_MID</t>
        </is>
      </c>
      <c r="GE3" s="5" t="inlineStr">
        <is>
          <t>VEGA_MID</t>
        </is>
      </c>
      <c r="GF3" s="5" t="inlineStr">
        <is>
          <t>THETA_MID</t>
        </is>
      </c>
      <c r="GG3" s="5" t="inlineStr">
        <is>
          <t>OPT_UNDL_PX</t>
        </is>
      </c>
      <c r="GI3" s="5" t="inlineStr">
        <is>
          <t>Date</t>
        </is>
      </c>
      <c r="GJ3" s="5" t="inlineStr">
        <is>
          <t>PX_BID</t>
        </is>
      </c>
      <c r="GK3" s="5" t="inlineStr">
        <is>
          <t>PX_ASK</t>
        </is>
      </c>
      <c r="GL3" s="5" t="inlineStr">
        <is>
          <t>PX_MID</t>
        </is>
      </c>
      <c r="GM3" s="5" t="inlineStr">
        <is>
          <t>PX_LAST</t>
        </is>
      </c>
      <c r="GN3" s="5" t="inlineStr">
        <is>
          <t>PX_SETTLE</t>
        </is>
      </c>
      <c r="GO3" s="5" t="inlineStr">
        <is>
          <t>PX_VOLUME</t>
        </is>
      </c>
      <c r="GP3" s="5" t="inlineStr">
        <is>
          <t>OPEN_INT</t>
        </is>
      </c>
      <c r="GQ3" s="5" t="inlineStr">
        <is>
          <t>IVOL_MID</t>
        </is>
      </c>
      <c r="GR3" s="5" t="inlineStr">
        <is>
          <t>IVOL_BID</t>
        </is>
      </c>
      <c r="GS3" s="5" t="inlineStr">
        <is>
          <t>IVOL_ASK</t>
        </is>
      </c>
      <c r="GT3" s="5" t="inlineStr">
        <is>
          <t>DELTA_MID</t>
        </is>
      </c>
      <c r="GU3" s="5" t="inlineStr">
        <is>
          <t>GAMMA_MID</t>
        </is>
      </c>
      <c r="GV3" s="5" t="inlineStr">
        <is>
          <t>VEGA_MID</t>
        </is>
      </c>
      <c r="GW3" s="5" t="inlineStr">
        <is>
          <t>THETA_MID</t>
        </is>
      </c>
      <c r="GX3" s="5" t="inlineStr">
        <is>
          <t>OPT_UNDL_PX</t>
        </is>
      </c>
      <c r="GZ3" s="5" t="inlineStr">
        <is>
          <t>Date</t>
        </is>
      </c>
      <c r="HA3" s="5" t="inlineStr">
        <is>
          <t>PX_BID</t>
        </is>
      </c>
      <c r="HB3" s="5" t="inlineStr">
        <is>
          <t>PX_ASK</t>
        </is>
      </c>
      <c r="HC3" s="5" t="inlineStr">
        <is>
          <t>PX_MID</t>
        </is>
      </c>
      <c r="HD3" s="5" t="inlineStr">
        <is>
          <t>PX_LAST</t>
        </is>
      </c>
      <c r="HE3" s="5" t="inlineStr">
        <is>
          <t>PX_SETTLE</t>
        </is>
      </c>
      <c r="HF3" s="5" t="inlineStr">
        <is>
          <t>PX_VOLUME</t>
        </is>
      </c>
      <c r="HG3" s="5" t="inlineStr">
        <is>
          <t>OPEN_INT</t>
        </is>
      </c>
      <c r="HH3" s="5" t="inlineStr">
        <is>
          <t>IVOL_MID</t>
        </is>
      </c>
      <c r="HI3" s="5" t="inlineStr">
        <is>
          <t>IVOL_BID</t>
        </is>
      </c>
      <c r="HJ3" s="5" t="inlineStr">
        <is>
          <t>IVOL_ASK</t>
        </is>
      </c>
      <c r="HK3" s="5" t="inlineStr">
        <is>
          <t>DELTA_MID</t>
        </is>
      </c>
      <c r="HL3" s="5" t="inlineStr">
        <is>
          <t>GAMMA_MID</t>
        </is>
      </c>
      <c r="HM3" s="5" t="inlineStr">
        <is>
          <t>VEGA_MID</t>
        </is>
      </c>
      <c r="HN3" s="5" t="inlineStr">
        <is>
          <t>THETA_MID</t>
        </is>
      </c>
      <c r="HO3" s="5" t="inlineStr">
        <is>
          <t>OPT_UNDL_PX</t>
        </is>
      </c>
      <c r="HQ3" s="5" t="inlineStr">
        <is>
          <t>Date</t>
        </is>
      </c>
      <c r="HR3" s="5" t="inlineStr">
        <is>
          <t>PX_BID</t>
        </is>
      </c>
      <c r="HS3" s="5" t="inlineStr">
        <is>
          <t>PX_ASK</t>
        </is>
      </c>
      <c r="HT3" s="5" t="inlineStr">
        <is>
          <t>PX_MID</t>
        </is>
      </c>
      <c r="HU3" s="5" t="inlineStr">
        <is>
          <t>PX_LAST</t>
        </is>
      </c>
      <c r="HV3" s="5" t="inlineStr">
        <is>
          <t>PX_SETTLE</t>
        </is>
      </c>
      <c r="HW3" s="5" t="inlineStr">
        <is>
          <t>PX_VOLUME</t>
        </is>
      </c>
      <c r="HX3" s="5" t="inlineStr">
        <is>
          <t>OPEN_INT</t>
        </is>
      </c>
      <c r="HY3" s="5" t="inlineStr">
        <is>
          <t>IVOL_MID</t>
        </is>
      </c>
      <c r="HZ3" s="5" t="inlineStr">
        <is>
          <t>IVOL_BID</t>
        </is>
      </c>
      <c r="IA3" s="5" t="inlineStr">
        <is>
          <t>IVOL_ASK</t>
        </is>
      </c>
      <c r="IB3" s="5" t="inlineStr">
        <is>
          <t>DELTA_MID</t>
        </is>
      </c>
      <c r="IC3" s="5" t="inlineStr">
        <is>
          <t>GAMMA_MID</t>
        </is>
      </c>
      <c r="ID3" s="5" t="inlineStr">
        <is>
          <t>VEGA_MID</t>
        </is>
      </c>
      <c r="IE3" s="5" t="inlineStr">
        <is>
          <t>THETA_MID</t>
        </is>
      </c>
      <c r="IF3" s="5" t="inlineStr">
        <is>
          <t>OPT_UNDL_PX</t>
        </is>
      </c>
      <c r="IH3" s="5" t="inlineStr">
        <is>
          <t>Date</t>
        </is>
      </c>
      <c r="II3" s="5" t="inlineStr">
        <is>
          <t>PX_BID</t>
        </is>
      </c>
      <c r="IJ3" s="5" t="inlineStr">
        <is>
          <t>PX_ASK</t>
        </is>
      </c>
      <c r="IK3" s="5" t="inlineStr">
        <is>
          <t>PX_MID</t>
        </is>
      </c>
      <c r="IL3" s="5" t="inlineStr">
        <is>
          <t>PX_LAST</t>
        </is>
      </c>
      <c r="IM3" s="5" t="inlineStr">
        <is>
          <t>PX_SETTLE</t>
        </is>
      </c>
      <c r="IN3" s="5" t="inlineStr">
        <is>
          <t>PX_VOLUME</t>
        </is>
      </c>
      <c r="IO3" s="5" t="inlineStr">
        <is>
          <t>OPEN_INT</t>
        </is>
      </c>
      <c r="IP3" s="5" t="inlineStr">
        <is>
          <t>IVOL_MID</t>
        </is>
      </c>
      <c r="IQ3" s="5" t="inlineStr">
        <is>
          <t>IVOL_BID</t>
        </is>
      </c>
      <c r="IR3" s="5" t="inlineStr">
        <is>
          <t>IVOL_ASK</t>
        </is>
      </c>
      <c r="IS3" s="5" t="inlineStr">
        <is>
          <t>DELTA_MID</t>
        </is>
      </c>
      <c r="IT3" s="5" t="inlineStr">
        <is>
          <t>GAMMA_MID</t>
        </is>
      </c>
      <c r="IU3" s="5" t="inlineStr">
        <is>
          <t>VEGA_MID</t>
        </is>
      </c>
      <c r="IV3" s="5" t="inlineStr">
        <is>
          <t>THETA_MID</t>
        </is>
      </c>
      <c r="IW3" s="5" t="inlineStr">
        <is>
          <t>OPT_UNDL_PX</t>
        </is>
      </c>
      <c r="IY3" s="5" t="inlineStr">
        <is>
          <t>Date</t>
        </is>
      </c>
      <c r="IZ3" s="5" t="inlineStr">
        <is>
          <t>PX_BID</t>
        </is>
      </c>
      <c r="JA3" s="5" t="inlineStr">
        <is>
          <t>PX_ASK</t>
        </is>
      </c>
      <c r="JB3" s="5" t="inlineStr">
        <is>
          <t>PX_MID</t>
        </is>
      </c>
      <c r="JC3" s="5" t="inlineStr">
        <is>
          <t>PX_LAST</t>
        </is>
      </c>
      <c r="JD3" s="5" t="inlineStr">
        <is>
          <t>PX_SETTLE</t>
        </is>
      </c>
      <c r="JE3" s="5" t="inlineStr">
        <is>
          <t>PX_VOLUME</t>
        </is>
      </c>
      <c r="JF3" s="5" t="inlineStr">
        <is>
          <t>OPEN_INT</t>
        </is>
      </c>
      <c r="JG3" s="5" t="inlineStr">
        <is>
          <t>IVOL_MID</t>
        </is>
      </c>
      <c r="JH3" s="5" t="inlineStr">
        <is>
          <t>IVOL_BID</t>
        </is>
      </c>
      <c r="JI3" s="5" t="inlineStr">
        <is>
          <t>IVOL_ASK</t>
        </is>
      </c>
      <c r="JJ3" s="5" t="inlineStr">
        <is>
          <t>DELTA_MID</t>
        </is>
      </c>
      <c r="JK3" s="5" t="inlineStr">
        <is>
          <t>GAMMA_MID</t>
        </is>
      </c>
      <c r="JL3" s="5" t="inlineStr">
        <is>
          <t>VEGA_MID</t>
        </is>
      </c>
      <c r="JM3" s="5" t="inlineStr">
        <is>
          <t>THETA_MID</t>
        </is>
      </c>
      <c r="JN3" s="5" t="inlineStr">
        <is>
          <t>OPT_UNDL_PX</t>
        </is>
      </c>
      <c r="JP3" s="5" t="inlineStr">
        <is>
          <t>Date</t>
        </is>
      </c>
      <c r="JQ3" s="5" t="inlineStr">
        <is>
          <t>PX_BID</t>
        </is>
      </c>
      <c r="JR3" s="5" t="inlineStr">
        <is>
          <t>PX_ASK</t>
        </is>
      </c>
      <c r="JS3" s="5" t="inlineStr">
        <is>
          <t>PX_MID</t>
        </is>
      </c>
      <c r="JT3" s="5" t="inlineStr">
        <is>
          <t>PX_LAST</t>
        </is>
      </c>
      <c r="JU3" s="5" t="inlineStr">
        <is>
          <t>PX_SETTLE</t>
        </is>
      </c>
      <c r="JV3" s="5" t="inlineStr">
        <is>
          <t>PX_VOLUME</t>
        </is>
      </c>
      <c r="JW3" s="5" t="inlineStr">
        <is>
          <t>OPEN_INT</t>
        </is>
      </c>
      <c r="JX3" s="5" t="inlineStr">
        <is>
          <t>IVOL_MID</t>
        </is>
      </c>
      <c r="JY3" s="5" t="inlineStr">
        <is>
          <t>IVOL_BID</t>
        </is>
      </c>
      <c r="JZ3" s="5" t="inlineStr">
        <is>
          <t>IVOL_ASK</t>
        </is>
      </c>
      <c r="KA3" s="5" t="inlineStr">
        <is>
          <t>DELTA_MID</t>
        </is>
      </c>
      <c r="KB3" s="5" t="inlineStr">
        <is>
          <t>GAMMA_MID</t>
        </is>
      </c>
      <c r="KC3" s="5" t="inlineStr">
        <is>
          <t>VEGA_MID</t>
        </is>
      </c>
      <c r="KD3" s="5" t="inlineStr">
        <is>
          <t>THETA_MID</t>
        </is>
      </c>
      <c r="KE3" s="5" t="inlineStr">
        <is>
          <t>OPT_UNDL_PX</t>
        </is>
      </c>
      <c r="KG3" s="5" t="inlineStr">
        <is>
          <t>Date</t>
        </is>
      </c>
      <c r="KH3" s="5" t="inlineStr">
        <is>
          <t>PX_BID</t>
        </is>
      </c>
      <c r="KI3" s="5" t="inlineStr">
        <is>
          <t>PX_ASK</t>
        </is>
      </c>
      <c r="KJ3" s="5" t="inlineStr">
        <is>
          <t>PX_MID</t>
        </is>
      </c>
      <c r="KK3" s="5" t="inlineStr">
        <is>
          <t>PX_LAST</t>
        </is>
      </c>
      <c r="KL3" s="5" t="inlineStr">
        <is>
          <t>PX_SETTLE</t>
        </is>
      </c>
      <c r="KM3" s="5" t="inlineStr">
        <is>
          <t>PX_VOLUME</t>
        </is>
      </c>
      <c r="KN3" s="5" t="inlineStr">
        <is>
          <t>OPEN_INT</t>
        </is>
      </c>
      <c r="KO3" s="5" t="inlineStr">
        <is>
          <t>IVOL_MID</t>
        </is>
      </c>
      <c r="KP3" s="5" t="inlineStr">
        <is>
          <t>IVOL_BID</t>
        </is>
      </c>
      <c r="KQ3" s="5" t="inlineStr">
        <is>
          <t>IVOL_ASK</t>
        </is>
      </c>
      <c r="KR3" s="5" t="inlineStr">
        <is>
          <t>DELTA_MID</t>
        </is>
      </c>
      <c r="KS3" s="5" t="inlineStr">
        <is>
          <t>GAMMA_MID</t>
        </is>
      </c>
      <c r="KT3" s="5" t="inlineStr">
        <is>
          <t>VEGA_MID</t>
        </is>
      </c>
      <c r="KU3" s="5" t="inlineStr">
        <is>
          <t>THETA_MID</t>
        </is>
      </c>
      <c r="KV3" s="5" t="inlineStr">
        <is>
          <t>OPT_UNDL_PX</t>
        </is>
      </c>
      <c r="KX3" s="5" t="inlineStr">
        <is>
          <t>Date</t>
        </is>
      </c>
      <c r="KY3" s="5" t="inlineStr">
        <is>
          <t>PX_BID</t>
        </is>
      </c>
      <c r="KZ3" s="5" t="inlineStr">
        <is>
          <t>PX_ASK</t>
        </is>
      </c>
      <c r="LA3" s="5" t="inlineStr">
        <is>
          <t>PX_MID</t>
        </is>
      </c>
      <c r="LB3" s="5" t="inlineStr">
        <is>
          <t>PX_LAST</t>
        </is>
      </c>
      <c r="LC3" s="5" t="inlineStr">
        <is>
          <t>PX_SETTLE</t>
        </is>
      </c>
      <c r="LD3" s="5" t="inlineStr">
        <is>
          <t>PX_VOLUME</t>
        </is>
      </c>
      <c r="LE3" s="5" t="inlineStr">
        <is>
          <t>OPEN_INT</t>
        </is>
      </c>
      <c r="LF3" s="5" t="inlineStr">
        <is>
          <t>IVOL_MID</t>
        </is>
      </c>
      <c r="LG3" s="5" t="inlineStr">
        <is>
          <t>IVOL_BID</t>
        </is>
      </c>
      <c r="LH3" s="5" t="inlineStr">
        <is>
          <t>IVOL_ASK</t>
        </is>
      </c>
      <c r="LI3" s="5" t="inlineStr">
        <is>
          <t>DELTA_MID</t>
        </is>
      </c>
      <c r="LJ3" s="5" t="inlineStr">
        <is>
          <t>GAMMA_MID</t>
        </is>
      </c>
      <c r="LK3" s="5" t="inlineStr">
        <is>
          <t>VEGA_MID</t>
        </is>
      </c>
      <c r="LL3" s="5" t="inlineStr">
        <is>
          <t>THETA_MID</t>
        </is>
      </c>
      <c r="LM3" s="5" t="inlineStr">
        <is>
          <t>OPT_UNDL_PX</t>
        </is>
      </c>
      <c r="LO3" s="5" t="inlineStr">
        <is>
          <t>Date</t>
        </is>
      </c>
      <c r="LP3" s="5" t="inlineStr">
        <is>
          <t>PX_BID</t>
        </is>
      </c>
      <c r="LQ3" s="5" t="inlineStr">
        <is>
          <t>PX_ASK</t>
        </is>
      </c>
      <c r="LR3" s="5" t="inlineStr">
        <is>
          <t>PX_MID</t>
        </is>
      </c>
      <c r="LS3" s="5" t="inlineStr">
        <is>
          <t>PX_LAST</t>
        </is>
      </c>
      <c r="LT3" s="5" t="inlineStr">
        <is>
          <t>PX_SETTLE</t>
        </is>
      </c>
      <c r="LU3" s="5" t="inlineStr">
        <is>
          <t>PX_VOLUME</t>
        </is>
      </c>
      <c r="LV3" s="5" t="inlineStr">
        <is>
          <t>OPEN_INT</t>
        </is>
      </c>
      <c r="LW3" s="5" t="inlineStr">
        <is>
          <t>IVOL_MID</t>
        </is>
      </c>
      <c r="LX3" s="5" t="inlineStr">
        <is>
          <t>IVOL_BID</t>
        </is>
      </c>
      <c r="LY3" s="5" t="inlineStr">
        <is>
          <t>IVOL_ASK</t>
        </is>
      </c>
      <c r="LZ3" s="5" t="inlineStr">
        <is>
          <t>DELTA_MID</t>
        </is>
      </c>
      <c r="MA3" s="5" t="inlineStr">
        <is>
          <t>GAMMA_MID</t>
        </is>
      </c>
      <c r="MB3" s="5" t="inlineStr">
        <is>
          <t>VEGA_MID</t>
        </is>
      </c>
      <c r="MC3" s="5" t="inlineStr">
        <is>
          <t>THETA_MID</t>
        </is>
      </c>
      <c r="MD3" s="5" t="inlineStr">
        <is>
          <t>OPT_UNDL_PX</t>
        </is>
      </c>
      <c r="MF3" s="5" t="inlineStr">
        <is>
          <t>Date</t>
        </is>
      </c>
      <c r="MG3" s="5" t="inlineStr">
        <is>
          <t>PX_BID</t>
        </is>
      </c>
      <c r="MH3" s="5" t="inlineStr">
        <is>
          <t>PX_ASK</t>
        </is>
      </c>
      <c r="MI3" s="5" t="inlineStr">
        <is>
          <t>PX_MID</t>
        </is>
      </c>
      <c r="MJ3" s="5" t="inlineStr">
        <is>
          <t>PX_LAST</t>
        </is>
      </c>
      <c r="MK3" s="5" t="inlineStr">
        <is>
          <t>PX_SETTLE</t>
        </is>
      </c>
      <c r="ML3" s="5" t="inlineStr">
        <is>
          <t>PX_VOLUME</t>
        </is>
      </c>
      <c r="MM3" s="5" t="inlineStr">
        <is>
          <t>OPEN_INT</t>
        </is>
      </c>
      <c r="MN3" s="5" t="inlineStr">
        <is>
          <t>IVOL_MID</t>
        </is>
      </c>
      <c r="MO3" s="5" t="inlineStr">
        <is>
          <t>IVOL_BID</t>
        </is>
      </c>
      <c r="MP3" s="5" t="inlineStr">
        <is>
          <t>IVOL_ASK</t>
        </is>
      </c>
      <c r="MQ3" s="5" t="inlineStr">
        <is>
          <t>DELTA_MID</t>
        </is>
      </c>
      <c r="MR3" s="5" t="inlineStr">
        <is>
          <t>GAMMA_MID</t>
        </is>
      </c>
      <c r="MS3" s="5" t="inlineStr">
        <is>
          <t>VEGA_MID</t>
        </is>
      </c>
      <c r="MT3" s="5" t="inlineStr">
        <is>
          <t>THETA_MID</t>
        </is>
      </c>
      <c r="MU3" s="5" t="inlineStr">
        <is>
          <t>OPT_UNDL_PX</t>
        </is>
      </c>
      <c r="MW3" s="5" t="inlineStr">
        <is>
          <t>Date</t>
        </is>
      </c>
      <c r="MX3" s="5" t="inlineStr">
        <is>
          <t>PX_BID</t>
        </is>
      </c>
      <c r="MY3" s="5" t="inlineStr">
        <is>
          <t>PX_ASK</t>
        </is>
      </c>
      <c r="MZ3" s="5" t="inlineStr">
        <is>
          <t>PX_MID</t>
        </is>
      </c>
      <c r="NA3" s="5" t="inlineStr">
        <is>
          <t>PX_LAST</t>
        </is>
      </c>
      <c r="NB3" s="5" t="inlineStr">
        <is>
          <t>PX_SETTLE</t>
        </is>
      </c>
      <c r="NC3" s="5" t="inlineStr">
        <is>
          <t>PX_VOLUME</t>
        </is>
      </c>
      <c r="ND3" s="5" t="inlineStr">
        <is>
          <t>OPEN_INT</t>
        </is>
      </c>
      <c r="NE3" s="5" t="inlineStr">
        <is>
          <t>IVOL_MID</t>
        </is>
      </c>
      <c r="NF3" s="5" t="inlineStr">
        <is>
          <t>IVOL_BID</t>
        </is>
      </c>
      <c r="NG3" s="5" t="inlineStr">
        <is>
          <t>IVOL_ASK</t>
        </is>
      </c>
      <c r="NH3" s="5" t="inlineStr">
        <is>
          <t>DELTA_MID</t>
        </is>
      </c>
      <c r="NI3" s="5" t="inlineStr">
        <is>
          <t>GAMMA_MID</t>
        </is>
      </c>
      <c r="NJ3" s="5" t="inlineStr">
        <is>
          <t>VEGA_MID</t>
        </is>
      </c>
      <c r="NK3" s="5" t="inlineStr">
        <is>
          <t>THETA_MID</t>
        </is>
      </c>
      <c r="NL3" s="5" t="inlineStr">
        <is>
          <t>OPT_UNDL_PX</t>
        </is>
      </c>
    </row>
    <row r="4">
      <c r="A4" s="2" t="inlineStr">
        <is>
          <t>Strike reference date</t>
        </is>
      </c>
      <c r="B4" s="8">
        <f>B3-45</f>
        <v/>
      </c>
      <c r="D4" s="4">
        <f>BDH(D$1,E$3:S$3,$B$8,$B$9,"Dir=V","Dts=S","Sort=A","Days=T","Fill=B")</f>
        <v/>
      </c>
      <c r="U4" s="4">
        <f>BDH(U$1,V$3:AJ$3,$B$8,$B$9,"Dir=V","Dts=S","Sort=A","Days=T","Fill=B")</f>
        <v/>
      </c>
      <c r="AL4" s="4">
        <f>BDH(AL$1,AM$3:BA$3,$B$8,$B$9,"Dir=V","Dts=S","Sort=A","Days=T","Fill=B")</f>
        <v/>
      </c>
      <c r="BC4" s="4">
        <f>BDH(BC$1,BD$3:BR$3,$B$8,$B$9,"Dir=V","Dts=S","Sort=A","Days=T","Fill=B")</f>
        <v/>
      </c>
      <c r="BT4" s="4">
        <f>BDH(BT$1,BU$3:CI$3,$B$8,$B$9,"Dir=V","Dts=S","Sort=A","Days=T","Fill=B")</f>
        <v/>
      </c>
      <c r="CK4" s="4">
        <f>BDH(CK$1,CL$3:CZ$3,$B$8,$B$9,"Dir=V","Dts=S","Sort=A","Days=T","Fill=B")</f>
        <v/>
      </c>
      <c r="DB4" s="4">
        <f>BDH(DB$1,DC$3:DQ$3,$B$8,$B$9,"Dir=V","Dts=S","Sort=A","Days=T","Fill=B")</f>
        <v/>
      </c>
      <c r="DS4" s="4">
        <f>BDH(DS$1,DT$3:EH$3,$B$8,$B$9,"Dir=V","Dts=S","Sort=A","Days=T","Fill=B")</f>
        <v/>
      </c>
      <c r="EJ4" s="4">
        <f>BDH(EJ$1,EK$3:EY$3,$B$8,$B$9,"Dir=V","Dts=S","Sort=A","Days=T","Fill=B")</f>
        <v/>
      </c>
      <c r="FA4" s="4">
        <f>BDH(FA$1,FB$3:FP$3,$B$8,$B$9,"Dir=V","Dts=S","Sort=A","Days=T","Fill=B")</f>
        <v/>
      </c>
      <c r="FR4" s="4">
        <f>BDH(FR$1,FS$3:GG$3,$B$8,$B$9,"Dir=V","Dts=S","Sort=A","Days=T","Fill=B")</f>
        <v/>
      </c>
      <c r="GI4" s="4">
        <f>BDH(GI$1,GJ$3:GX$3,$B$8,$B$9,"Dir=V","Dts=S","Sort=A","Days=T","Fill=B")</f>
        <v/>
      </c>
      <c r="GZ4" s="4">
        <f>BDH(GZ$1,HA$3:HO$3,$B$8,$B$9,"Dir=V","Dts=S","Sort=A","Days=T","Fill=B")</f>
        <v/>
      </c>
      <c r="HQ4" s="4">
        <f>BDH(HQ$1,HR$3:IF$3,$B$8,$B$9,"Dir=V","Dts=S","Sort=A","Days=T","Fill=B")</f>
        <v/>
      </c>
      <c r="IH4" s="4">
        <f>BDH(IH$1,II$3:IW$3,$B$8,$B$9,"Dir=V","Dts=S","Sort=A","Days=T","Fill=B")</f>
        <v/>
      </c>
      <c r="IY4" s="4">
        <f>BDH(IY$1,IZ$3:JN$3,$B$8,$B$9,"Dir=V","Dts=S","Sort=A","Days=T","Fill=B")</f>
        <v/>
      </c>
      <c r="JP4" s="4">
        <f>BDH(JP$1,JQ$3:KE$3,$B$8,$B$9,"Dir=V","Dts=S","Sort=A","Days=T","Fill=B")</f>
        <v/>
      </c>
      <c r="KG4" s="4">
        <f>BDH(KG$1,KH$3:KV$3,$B$8,$B$9,"Dir=V","Dts=S","Sort=A","Days=T","Fill=B")</f>
        <v/>
      </c>
      <c r="KX4" s="4">
        <f>BDH(KX$1,KY$3:LM$3,$B$8,$B$9,"Dir=V","Dts=S","Sort=A","Days=T","Fill=B")</f>
        <v/>
      </c>
      <c r="LO4" s="4">
        <f>BDH(LO$1,LP$3:MD$3,$B$8,$B$9,"Dir=V","Dts=S","Sort=A","Days=T","Fill=B")</f>
        <v/>
      </c>
      <c r="MF4" s="4">
        <f>BDH(MF$1,MG$3:MU$3,$B$8,$B$9,"Dir=V","Dts=S","Sort=A","Days=T","Fill=B")</f>
        <v/>
      </c>
      <c r="MW4" s="4">
        <f>BDH(MW$1,MX$3:NL$3,$B$8,$B$9,"Dir=V","Dts=S","Sort=A","Days=T","Fill=B")</f>
        <v/>
      </c>
    </row>
    <row r="5">
      <c r="A5" s="2" t="inlineStr">
        <is>
          <t>Unadjusted close then</t>
        </is>
      </c>
      <c r="B5" s="10">
        <f>IF(B2="","",BDH(B2,"PX_LAST",B4,B4,"Days=A","Fill=P","Dts=H","CshAdjNormal=N","CshAdjAbnormal=N","CapChg=N"))</f>
        <v/>
      </c>
    </row>
    <row r="6">
      <c r="A6" s="2" t="inlineStr">
        <is>
          <t>Strike step</t>
        </is>
      </c>
      <c r="B6" s="11">
        <f>IF(ISNUMBER(B5),IF(B5&lt;25,0.5,IF(B5&lt;250,1,5)),"")</f>
        <v/>
      </c>
    </row>
    <row r="7">
      <c r="A7" s="2" t="inlineStr">
        <is>
          <t>ATM strike</t>
        </is>
      </c>
      <c r="B7" s="11">
        <f>IF(ISNUMBER(B5),ROUND(B5/B6,0)*B6,"")</f>
        <v/>
      </c>
    </row>
    <row r="8">
      <c r="A8" s="2" t="inlineStr">
        <is>
          <t>History start</t>
        </is>
      </c>
      <c r="B8" s="8">
        <f>B3-100</f>
        <v/>
      </c>
    </row>
    <row r="9">
      <c r="A9" s="2" t="inlineStr">
        <is>
          <t>History end</t>
        </is>
      </c>
      <c r="B9" s="8">
        <f>B3</f>
        <v/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NL9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2" customWidth="1" min="2" max="2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1" customWidth="1" min="15" max="15"/>
    <col width="11" customWidth="1" min="16" max="16"/>
    <col width="10" customWidth="1" min="17" max="17"/>
    <col width="11" customWidth="1" min="18" max="18"/>
    <col width="13" customWidth="1" min="19" max="19"/>
    <col width="12" customWidth="1" min="21" max="21"/>
    <col width="10" customWidth="1" min="22" max="22"/>
    <col width="10" customWidth="1" min="23" max="23"/>
    <col width="10" customWidth="1" min="24" max="24"/>
    <col width="10" customWidth="1" min="25" max="25"/>
    <col width="11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1" customWidth="1" min="32" max="32"/>
    <col width="11" customWidth="1" min="33" max="33"/>
    <col width="10" customWidth="1" min="34" max="34"/>
    <col width="11" customWidth="1" min="35" max="35"/>
    <col width="13" customWidth="1" min="36" max="36"/>
    <col width="12" customWidth="1" min="38" max="38"/>
    <col width="10" customWidth="1" min="39" max="39"/>
    <col width="10" customWidth="1" min="40" max="40"/>
    <col width="10" customWidth="1" min="41" max="41"/>
    <col width="10" customWidth="1" min="42" max="42"/>
    <col width="11" customWidth="1" min="43" max="43"/>
    <col width="11" customWidth="1" min="44" max="44"/>
    <col width="10" customWidth="1" min="45" max="45"/>
    <col width="10" customWidth="1" min="46" max="46"/>
    <col width="10" customWidth="1" min="47" max="47"/>
    <col width="10" customWidth="1" min="48" max="48"/>
    <col width="11" customWidth="1" min="49" max="49"/>
    <col width="11" customWidth="1" min="50" max="50"/>
    <col width="10" customWidth="1" min="51" max="51"/>
    <col width="11" customWidth="1" min="52" max="52"/>
    <col width="13" customWidth="1" min="53" max="53"/>
    <col width="12" customWidth="1" min="55" max="55"/>
    <col width="10" customWidth="1" min="56" max="56"/>
    <col width="10" customWidth="1" min="57" max="57"/>
    <col width="10" customWidth="1" min="58" max="58"/>
    <col width="10" customWidth="1" min="59" max="59"/>
    <col width="11" customWidth="1" min="60" max="60"/>
    <col width="11" customWidth="1" min="61" max="61"/>
    <col width="10" customWidth="1" min="62" max="62"/>
    <col width="10" customWidth="1" min="63" max="63"/>
    <col width="10" customWidth="1" min="64" max="64"/>
    <col width="10" customWidth="1" min="65" max="65"/>
    <col width="11" customWidth="1" min="66" max="66"/>
    <col width="11" customWidth="1" min="67" max="67"/>
    <col width="10" customWidth="1" min="68" max="68"/>
    <col width="11" customWidth="1" min="69" max="69"/>
    <col width="13" customWidth="1" min="70" max="70"/>
    <col width="12" customWidth="1" min="72" max="72"/>
    <col width="10" customWidth="1" min="73" max="73"/>
    <col width="10" customWidth="1" min="74" max="74"/>
    <col width="10" customWidth="1" min="75" max="75"/>
    <col width="10" customWidth="1" min="76" max="76"/>
    <col width="11" customWidth="1" min="77" max="77"/>
    <col width="11" customWidth="1" min="78" max="78"/>
    <col width="10" customWidth="1" min="79" max="79"/>
    <col width="10" customWidth="1" min="80" max="80"/>
    <col width="10" customWidth="1" min="81" max="81"/>
    <col width="10" customWidth="1" min="82" max="82"/>
    <col width="11" customWidth="1" min="83" max="83"/>
    <col width="11" customWidth="1" min="84" max="84"/>
    <col width="10" customWidth="1" min="85" max="85"/>
    <col width="11" customWidth="1" min="86" max="86"/>
    <col width="13" customWidth="1" min="87" max="87"/>
    <col width="12" customWidth="1" min="89" max="89"/>
    <col width="10" customWidth="1" min="90" max="90"/>
    <col width="10" customWidth="1" min="91" max="91"/>
    <col width="10" customWidth="1" min="92" max="92"/>
    <col width="10" customWidth="1" min="93" max="93"/>
    <col width="11" customWidth="1" min="94" max="94"/>
    <col width="11" customWidth="1" min="95" max="95"/>
    <col width="10" customWidth="1" min="96" max="96"/>
    <col width="10" customWidth="1" min="97" max="97"/>
    <col width="10" customWidth="1" min="98" max="98"/>
    <col width="10" customWidth="1" min="99" max="99"/>
    <col width="11" customWidth="1" min="100" max="100"/>
    <col width="11" customWidth="1" min="101" max="101"/>
    <col width="10" customWidth="1" min="102" max="102"/>
    <col width="11" customWidth="1" min="103" max="103"/>
    <col width="13" customWidth="1" min="104" max="104"/>
    <col width="12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1" customWidth="1" min="111" max="111"/>
    <col width="11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1" customWidth="1" min="117" max="117"/>
    <col width="11" customWidth="1" min="118" max="118"/>
    <col width="10" customWidth="1" min="119" max="119"/>
    <col width="11" customWidth="1" min="120" max="120"/>
    <col width="13" customWidth="1" min="121" max="121"/>
    <col width="12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1" customWidth="1" min="128" max="128"/>
    <col width="11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1" customWidth="1" min="134" max="134"/>
    <col width="11" customWidth="1" min="135" max="135"/>
    <col width="10" customWidth="1" min="136" max="136"/>
    <col width="11" customWidth="1" min="137" max="137"/>
    <col width="13" customWidth="1" min="138" max="138"/>
    <col width="12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1" customWidth="1" min="145" max="145"/>
    <col width="11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1" customWidth="1" min="151" max="151"/>
    <col width="11" customWidth="1" min="152" max="152"/>
    <col width="10" customWidth="1" min="153" max="153"/>
    <col width="11" customWidth="1" min="154" max="154"/>
    <col width="13" customWidth="1" min="155" max="155"/>
    <col width="12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1" customWidth="1" min="162" max="162"/>
    <col width="11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1" customWidth="1" min="168" max="168"/>
    <col width="11" customWidth="1" min="169" max="169"/>
    <col width="10" customWidth="1" min="170" max="170"/>
    <col width="11" customWidth="1" min="171" max="171"/>
    <col width="13" customWidth="1" min="172" max="172"/>
    <col width="12" customWidth="1" min="174" max="174"/>
    <col width="10" customWidth="1" min="175" max="175"/>
    <col width="10" customWidth="1" min="176" max="176"/>
    <col width="10" customWidth="1" min="177" max="177"/>
    <col width="10" customWidth="1" min="178" max="178"/>
    <col width="11" customWidth="1" min="179" max="179"/>
    <col width="11" customWidth="1" min="180" max="180"/>
    <col width="10" customWidth="1" min="181" max="181"/>
    <col width="10" customWidth="1" min="182" max="182"/>
    <col width="10" customWidth="1" min="183" max="183"/>
    <col width="10" customWidth="1" min="184" max="184"/>
    <col width="11" customWidth="1" min="185" max="185"/>
    <col width="11" customWidth="1" min="186" max="186"/>
    <col width="10" customWidth="1" min="187" max="187"/>
    <col width="11" customWidth="1" min="188" max="188"/>
    <col width="13" customWidth="1" min="189" max="189"/>
    <col width="12" customWidth="1" min="191" max="191"/>
    <col width="10" customWidth="1" min="192" max="192"/>
    <col width="10" customWidth="1" min="193" max="193"/>
    <col width="10" customWidth="1" min="194" max="194"/>
    <col width="10" customWidth="1" min="195" max="195"/>
    <col width="11" customWidth="1" min="196" max="196"/>
    <col width="11" customWidth="1" min="197" max="197"/>
    <col width="10" customWidth="1" min="198" max="198"/>
    <col width="10" customWidth="1" min="199" max="199"/>
    <col width="10" customWidth="1" min="200" max="200"/>
    <col width="10" customWidth="1" min="201" max="201"/>
    <col width="11" customWidth="1" min="202" max="202"/>
    <col width="11" customWidth="1" min="203" max="203"/>
    <col width="10" customWidth="1" min="204" max="204"/>
    <col width="11" customWidth="1" min="205" max="205"/>
    <col width="13" customWidth="1" min="206" max="206"/>
    <col width="12" customWidth="1" min="208" max="208"/>
    <col width="10" customWidth="1" min="209" max="209"/>
    <col width="10" customWidth="1" min="210" max="210"/>
    <col width="10" customWidth="1" min="211" max="211"/>
    <col width="10" customWidth="1" min="212" max="212"/>
    <col width="11" customWidth="1" min="213" max="213"/>
    <col width="11" customWidth="1" min="214" max="214"/>
    <col width="10" customWidth="1" min="215" max="215"/>
    <col width="10" customWidth="1" min="216" max="216"/>
    <col width="10" customWidth="1" min="217" max="217"/>
    <col width="10" customWidth="1" min="218" max="218"/>
    <col width="11" customWidth="1" min="219" max="219"/>
    <col width="11" customWidth="1" min="220" max="220"/>
    <col width="10" customWidth="1" min="221" max="221"/>
    <col width="11" customWidth="1" min="222" max="222"/>
    <col width="13" customWidth="1" min="223" max="223"/>
    <col width="12" customWidth="1" min="225" max="225"/>
    <col width="10" customWidth="1" min="226" max="226"/>
    <col width="10" customWidth="1" min="227" max="227"/>
    <col width="10" customWidth="1" min="228" max="228"/>
    <col width="10" customWidth="1" min="229" max="229"/>
    <col width="11" customWidth="1" min="230" max="230"/>
    <col width="11" customWidth="1" min="231" max="231"/>
    <col width="10" customWidth="1" min="232" max="232"/>
    <col width="10" customWidth="1" min="233" max="233"/>
    <col width="10" customWidth="1" min="234" max="234"/>
    <col width="10" customWidth="1" min="235" max="235"/>
    <col width="11" customWidth="1" min="236" max="236"/>
    <col width="11" customWidth="1" min="237" max="237"/>
    <col width="10" customWidth="1" min="238" max="238"/>
    <col width="11" customWidth="1" min="239" max="239"/>
    <col width="13" customWidth="1" min="240" max="240"/>
    <col width="12" customWidth="1" min="242" max="242"/>
    <col width="10" customWidth="1" min="243" max="243"/>
    <col width="10" customWidth="1" min="244" max="244"/>
    <col width="10" customWidth="1" min="245" max="245"/>
    <col width="10" customWidth="1" min="246" max="246"/>
    <col width="11" customWidth="1" min="247" max="247"/>
    <col width="11" customWidth="1" min="248" max="248"/>
    <col width="10" customWidth="1" min="249" max="249"/>
    <col width="10" customWidth="1" min="250" max="250"/>
    <col width="10" customWidth="1" min="251" max="251"/>
    <col width="10" customWidth="1" min="252" max="252"/>
    <col width="11" customWidth="1" min="253" max="253"/>
    <col width="11" customWidth="1" min="254" max="254"/>
    <col width="10" customWidth="1" min="255" max="255"/>
    <col width="11" customWidth="1" min="256" max="256"/>
    <col width="13" customWidth="1" min="257" max="257"/>
    <col width="12" customWidth="1" min="259" max="259"/>
    <col width="10" customWidth="1" min="260" max="260"/>
    <col width="10" customWidth="1" min="261" max="261"/>
    <col width="10" customWidth="1" min="262" max="262"/>
    <col width="10" customWidth="1" min="263" max="263"/>
    <col width="11" customWidth="1" min="264" max="264"/>
    <col width="11" customWidth="1" min="265" max="265"/>
    <col width="10" customWidth="1" min="266" max="266"/>
    <col width="10" customWidth="1" min="267" max="267"/>
    <col width="10" customWidth="1" min="268" max="268"/>
    <col width="10" customWidth="1" min="269" max="269"/>
    <col width="11" customWidth="1" min="270" max="270"/>
    <col width="11" customWidth="1" min="271" max="271"/>
    <col width="10" customWidth="1" min="272" max="272"/>
    <col width="11" customWidth="1" min="273" max="273"/>
    <col width="13" customWidth="1" min="274" max="274"/>
    <col width="12" customWidth="1" min="276" max="276"/>
    <col width="10" customWidth="1" min="277" max="277"/>
    <col width="10" customWidth="1" min="278" max="278"/>
    <col width="10" customWidth="1" min="279" max="279"/>
    <col width="10" customWidth="1" min="280" max="280"/>
    <col width="11" customWidth="1" min="281" max="281"/>
    <col width="11" customWidth="1" min="282" max="282"/>
    <col width="10" customWidth="1" min="283" max="283"/>
    <col width="10" customWidth="1" min="284" max="284"/>
    <col width="10" customWidth="1" min="285" max="285"/>
    <col width="10" customWidth="1" min="286" max="286"/>
    <col width="11" customWidth="1" min="287" max="287"/>
    <col width="11" customWidth="1" min="288" max="288"/>
    <col width="10" customWidth="1" min="289" max="289"/>
    <col width="11" customWidth="1" min="290" max="290"/>
    <col width="13" customWidth="1" min="291" max="291"/>
    <col width="12" customWidth="1" min="293" max="293"/>
    <col width="10" customWidth="1" min="294" max="294"/>
    <col width="10" customWidth="1" min="295" max="295"/>
    <col width="10" customWidth="1" min="296" max="296"/>
    <col width="10" customWidth="1" min="297" max="297"/>
    <col width="11" customWidth="1" min="298" max="298"/>
    <col width="11" customWidth="1" min="299" max="299"/>
    <col width="10" customWidth="1" min="300" max="300"/>
    <col width="10" customWidth="1" min="301" max="301"/>
    <col width="10" customWidth="1" min="302" max="302"/>
    <col width="10" customWidth="1" min="303" max="303"/>
    <col width="11" customWidth="1" min="304" max="304"/>
    <col width="11" customWidth="1" min="305" max="305"/>
    <col width="10" customWidth="1" min="306" max="306"/>
    <col width="11" customWidth="1" min="307" max="307"/>
    <col width="13" customWidth="1" min="308" max="308"/>
    <col width="12" customWidth="1" min="310" max="310"/>
    <col width="10" customWidth="1" min="311" max="311"/>
    <col width="10" customWidth="1" min="312" max="312"/>
    <col width="10" customWidth="1" min="313" max="313"/>
    <col width="10" customWidth="1" min="314" max="314"/>
    <col width="11" customWidth="1" min="315" max="315"/>
    <col width="11" customWidth="1" min="316" max="316"/>
    <col width="10" customWidth="1" min="317" max="317"/>
    <col width="10" customWidth="1" min="318" max="318"/>
    <col width="10" customWidth="1" min="319" max="319"/>
    <col width="10" customWidth="1" min="320" max="320"/>
    <col width="11" customWidth="1" min="321" max="321"/>
    <col width="11" customWidth="1" min="322" max="322"/>
    <col width="10" customWidth="1" min="323" max="323"/>
    <col width="11" customWidth="1" min="324" max="324"/>
    <col width="13" customWidth="1" min="325" max="325"/>
    <col width="12" customWidth="1" min="327" max="327"/>
    <col width="10" customWidth="1" min="328" max="328"/>
    <col width="10" customWidth="1" min="329" max="329"/>
    <col width="10" customWidth="1" min="330" max="330"/>
    <col width="10" customWidth="1" min="331" max="331"/>
    <col width="11" customWidth="1" min="332" max="332"/>
    <col width="11" customWidth="1" min="333" max="333"/>
    <col width="10" customWidth="1" min="334" max="334"/>
    <col width="10" customWidth="1" min="335" max="335"/>
    <col width="10" customWidth="1" min="336" max="336"/>
    <col width="10" customWidth="1" min="337" max="337"/>
    <col width="11" customWidth="1" min="338" max="338"/>
    <col width="11" customWidth="1" min="339" max="339"/>
    <col width="10" customWidth="1" min="340" max="340"/>
    <col width="11" customWidth="1" min="341" max="341"/>
    <col width="13" customWidth="1" min="342" max="342"/>
    <col width="12" customWidth="1" min="344" max="344"/>
    <col width="10" customWidth="1" min="345" max="345"/>
    <col width="10" customWidth="1" min="346" max="346"/>
    <col width="10" customWidth="1" min="347" max="347"/>
    <col width="10" customWidth="1" min="348" max="348"/>
    <col width="11" customWidth="1" min="349" max="349"/>
    <col width="11" customWidth="1" min="350" max="350"/>
    <col width="10" customWidth="1" min="351" max="351"/>
    <col width="10" customWidth="1" min="352" max="352"/>
    <col width="10" customWidth="1" min="353" max="353"/>
    <col width="10" customWidth="1" min="354" max="354"/>
    <col width="11" customWidth="1" min="355" max="355"/>
    <col width="11" customWidth="1" min="356" max="356"/>
    <col width="10" customWidth="1" min="357" max="357"/>
    <col width="11" customWidth="1" min="358" max="358"/>
    <col width="13" customWidth="1" min="359" max="359"/>
    <col width="12" customWidth="1" min="361" max="361"/>
    <col width="10" customWidth="1" min="362" max="362"/>
    <col width="10" customWidth="1" min="363" max="363"/>
    <col width="10" customWidth="1" min="364" max="364"/>
    <col width="10" customWidth="1" min="365" max="365"/>
    <col width="11" customWidth="1" min="366" max="366"/>
    <col width="11" customWidth="1" min="367" max="367"/>
    <col width="10" customWidth="1" min="368" max="368"/>
    <col width="10" customWidth="1" min="369" max="369"/>
    <col width="10" customWidth="1" min="370" max="370"/>
    <col width="10" customWidth="1" min="371" max="371"/>
    <col width="11" customWidth="1" min="372" max="372"/>
    <col width="11" customWidth="1" min="373" max="373"/>
    <col width="10" customWidth="1" min="374" max="374"/>
    <col width="11" customWidth="1" min="375" max="375"/>
    <col width="13" customWidth="1" min="376" max="376"/>
  </cols>
  <sheetData>
    <row r="1">
      <c r="A1" s="2" t="inlineStr">
        <is>
          <t>Month</t>
        </is>
      </c>
      <c r="B1" s="9" t="n">
        <v>3</v>
      </c>
      <c r="D1" s="2">
        <f>IF(ISNUMBER(B$7),"XLE US "&amp;TEXT(B$3,"mm/dd/yy")&amp;" C"&amp;(B$7-5*B$6)&amp;" Equity","")</f>
        <v/>
      </c>
      <c r="U1" s="2">
        <f>IF(ISNUMBER(B$7),"XLE US "&amp;TEXT(B$3,"mm/dd/yy")&amp;" P"&amp;(B$7-5*B$6)&amp;" Equity","")</f>
        <v/>
      </c>
      <c r="AL1" s="2">
        <f>IF(ISNUMBER(B$7),"XLE US "&amp;TEXT(B$3,"mm/dd/yy")&amp;" C"&amp;(B$7-4*B$6)&amp;" Equity","")</f>
        <v/>
      </c>
      <c r="BC1" s="2">
        <f>IF(ISNUMBER(B$7),"XLE US "&amp;TEXT(B$3,"mm/dd/yy")&amp;" P"&amp;(B$7-4*B$6)&amp;" Equity","")</f>
        <v/>
      </c>
      <c r="BT1" s="2">
        <f>IF(ISNUMBER(B$7),"XLE US "&amp;TEXT(B$3,"mm/dd/yy")&amp;" C"&amp;(B$7-3*B$6)&amp;" Equity","")</f>
        <v/>
      </c>
      <c r="CK1" s="2">
        <f>IF(ISNUMBER(B$7),"XLE US "&amp;TEXT(B$3,"mm/dd/yy")&amp;" P"&amp;(B$7-3*B$6)&amp;" Equity","")</f>
        <v/>
      </c>
      <c r="DB1" s="2">
        <f>IF(ISNUMBER(B$7),"XLE US "&amp;TEXT(B$3,"mm/dd/yy")&amp;" C"&amp;(B$7-2*B$6)&amp;" Equity","")</f>
        <v/>
      </c>
      <c r="DS1" s="2">
        <f>IF(ISNUMBER(B$7),"XLE US "&amp;TEXT(B$3,"mm/dd/yy")&amp;" P"&amp;(B$7-2*B$6)&amp;" Equity","")</f>
        <v/>
      </c>
      <c r="EJ1" s="2">
        <f>IF(ISNUMBER(B$7),"XLE US "&amp;TEXT(B$3,"mm/dd/yy")&amp;" C"&amp;(B$7-1*B$6)&amp;" Equity","")</f>
        <v/>
      </c>
      <c r="FA1" s="2">
        <f>IF(ISNUMBER(B$7),"XLE US "&amp;TEXT(B$3,"mm/dd/yy")&amp;" P"&amp;(B$7-1*B$6)&amp;" Equity","")</f>
        <v/>
      </c>
      <c r="FR1" s="2">
        <f>IF(ISNUMBER(B$7),"XLE US "&amp;TEXT(B$3,"mm/dd/yy")&amp;" C"&amp;B$7&amp;" Equity","")</f>
        <v/>
      </c>
      <c r="GI1" s="2">
        <f>IF(ISNUMBER(B$7),"XLE US "&amp;TEXT(B$3,"mm/dd/yy")&amp;" P"&amp;B$7&amp;" Equity","")</f>
        <v/>
      </c>
      <c r="GZ1" s="2">
        <f>IF(ISNUMBER(B$7),"XLE US "&amp;TEXT(B$3,"mm/dd/yy")&amp;" C"&amp;(B$7+1*B$6)&amp;" Equity","")</f>
        <v/>
      </c>
      <c r="HQ1" s="2">
        <f>IF(ISNUMBER(B$7),"XLE US "&amp;TEXT(B$3,"mm/dd/yy")&amp;" P"&amp;(B$7+1*B$6)&amp;" Equity","")</f>
        <v/>
      </c>
      <c r="IH1" s="2">
        <f>IF(ISNUMBER(B$7),"XLE US "&amp;TEXT(B$3,"mm/dd/yy")&amp;" C"&amp;(B$7+2*B$6)&amp;" Equity","")</f>
        <v/>
      </c>
      <c r="IY1" s="2">
        <f>IF(ISNUMBER(B$7),"XLE US "&amp;TEXT(B$3,"mm/dd/yy")&amp;" P"&amp;(B$7+2*B$6)&amp;" Equity","")</f>
        <v/>
      </c>
      <c r="JP1" s="2">
        <f>IF(ISNUMBER(B$7),"XLE US "&amp;TEXT(B$3,"mm/dd/yy")&amp;" C"&amp;(B$7+3*B$6)&amp;" Equity","")</f>
        <v/>
      </c>
      <c r="KG1" s="2">
        <f>IF(ISNUMBER(B$7),"XLE US "&amp;TEXT(B$3,"mm/dd/yy")&amp;" P"&amp;(B$7+3*B$6)&amp;" Equity","")</f>
        <v/>
      </c>
      <c r="KX1" s="2">
        <f>IF(ISNUMBER(B$7),"XLE US "&amp;TEXT(B$3,"mm/dd/yy")&amp;" C"&amp;(B$7+4*B$6)&amp;" Equity","")</f>
        <v/>
      </c>
      <c r="LO1" s="2">
        <f>IF(ISNUMBER(B$7),"XLE US "&amp;TEXT(B$3,"mm/dd/yy")&amp;" P"&amp;(B$7+4*B$6)&amp;" Equity","")</f>
        <v/>
      </c>
      <c r="MF1" s="2">
        <f>IF(ISNUMBER(B$7),"XLE US "&amp;TEXT(B$3,"mm/dd/yy")&amp;" C"&amp;(B$7+5*B$6)&amp;" Equity","")</f>
        <v/>
      </c>
      <c r="MW1" s="2">
        <f>IF(ISNUMBER(B$7),"XLE US "&amp;TEXT(B$3,"mm/dd/yy")&amp;" P"&amp;(B$7+5*B$6)&amp;" Equity","")</f>
        <v/>
      </c>
    </row>
    <row r="2">
      <c r="A2" s="2" t="inlineStr">
        <is>
          <t>Underlying</t>
        </is>
      </c>
      <c r="B2" s="4">
        <f>IF(Settings!$B$16="Y","XLE US Equity","")</f>
        <v/>
      </c>
      <c r="D2" s="4" t="inlineStr">
        <is>
          <t>call -5 from ATM</t>
        </is>
      </c>
      <c r="U2" s="4" t="inlineStr">
        <is>
          <t>put -5 from ATM</t>
        </is>
      </c>
      <c r="AL2" s="4" t="inlineStr">
        <is>
          <t>call -4 from ATM</t>
        </is>
      </c>
      <c r="BC2" s="4" t="inlineStr">
        <is>
          <t>put -4 from ATM</t>
        </is>
      </c>
      <c r="BT2" s="4" t="inlineStr">
        <is>
          <t>call -3 from ATM</t>
        </is>
      </c>
      <c r="CK2" s="4" t="inlineStr">
        <is>
          <t>put -3 from ATM</t>
        </is>
      </c>
      <c r="DB2" s="4" t="inlineStr">
        <is>
          <t>call -2 from ATM</t>
        </is>
      </c>
      <c r="DS2" s="4" t="inlineStr">
        <is>
          <t>put -2 from ATM</t>
        </is>
      </c>
      <c r="EJ2" s="4" t="inlineStr">
        <is>
          <t>call -1 from ATM</t>
        </is>
      </c>
      <c r="FA2" s="4" t="inlineStr">
        <is>
          <t>put -1 from ATM</t>
        </is>
      </c>
      <c r="FR2" s="4" t="inlineStr">
        <is>
          <t>call +0 from ATM</t>
        </is>
      </c>
      <c r="GI2" s="4" t="inlineStr">
        <is>
          <t>put +0 from ATM</t>
        </is>
      </c>
      <c r="GZ2" s="4" t="inlineStr">
        <is>
          <t>call +1 from ATM</t>
        </is>
      </c>
      <c r="HQ2" s="4" t="inlineStr">
        <is>
          <t>put +1 from ATM</t>
        </is>
      </c>
      <c r="IH2" s="4" t="inlineStr">
        <is>
          <t>call +2 from ATM</t>
        </is>
      </c>
      <c r="IY2" s="4" t="inlineStr">
        <is>
          <t>put +2 from ATM</t>
        </is>
      </c>
      <c r="JP2" s="4" t="inlineStr">
        <is>
          <t>call +3 from ATM</t>
        </is>
      </c>
      <c r="KG2" s="4" t="inlineStr">
        <is>
          <t>put +3 from ATM</t>
        </is>
      </c>
      <c r="KX2" s="4" t="inlineStr">
        <is>
          <t>call +4 from ATM</t>
        </is>
      </c>
      <c r="LO2" s="4" t="inlineStr">
        <is>
          <t>put +4 from ATM</t>
        </is>
      </c>
      <c r="MF2" s="4" t="inlineStr">
        <is>
          <t>call +5 from ATM</t>
        </is>
      </c>
      <c r="MW2" s="4" t="inlineStr">
        <is>
          <t>put +5 from ATM</t>
        </is>
      </c>
    </row>
    <row r="3">
      <c r="A3" s="2" t="inlineStr">
        <is>
          <t>Expiry (3rd Friday)</t>
        </is>
      </c>
      <c r="B3" s="3">
        <f>DATE(Settings!$E$16,B1,15)+MOD(6-WEEKDAY(DATE(Settings!$E$16,B1,15)),7)</f>
        <v/>
      </c>
      <c r="D3" s="5" t="inlineStr">
        <is>
          <t>Date</t>
        </is>
      </c>
      <c r="E3" s="5" t="inlineStr">
        <is>
          <t>PX_BID</t>
        </is>
      </c>
      <c r="F3" s="5" t="inlineStr">
        <is>
          <t>PX_ASK</t>
        </is>
      </c>
      <c r="G3" s="5" t="inlineStr">
        <is>
          <t>PX_MID</t>
        </is>
      </c>
      <c r="H3" s="5" t="inlineStr">
        <is>
          <t>PX_LAST</t>
        </is>
      </c>
      <c r="I3" s="5" t="inlineStr">
        <is>
          <t>PX_SETTLE</t>
        </is>
      </c>
      <c r="J3" s="5" t="inlineStr">
        <is>
          <t>PX_VOLUME</t>
        </is>
      </c>
      <c r="K3" s="5" t="inlineStr">
        <is>
          <t>OPEN_INT</t>
        </is>
      </c>
      <c r="L3" s="5" t="inlineStr">
        <is>
          <t>IVOL_MID</t>
        </is>
      </c>
      <c r="M3" s="5" t="inlineStr">
        <is>
          <t>IVOL_BID</t>
        </is>
      </c>
      <c r="N3" s="5" t="inlineStr">
        <is>
          <t>IVOL_ASK</t>
        </is>
      </c>
      <c r="O3" s="5" t="inlineStr">
        <is>
          <t>DELTA_MID</t>
        </is>
      </c>
      <c r="P3" s="5" t="inlineStr">
        <is>
          <t>GAMMA_MID</t>
        </is>
      </c>
      <c r="Q3" s="5" t="inlineStr">
        <is>
          <t>VEGA_MID</t>
        </is>
      </c>
      <c r="R3" s="5" t="inlineStr">
        <is>
          <t>THETA_MID</t>
        </is>
      </c>
      <c r="S3" s="5" t="inlineStr">
        <is>
          <t>OPT_UNDL_PX</t>
        </is>
      </c>
      <c r="U3" s="5" t="inlineStr">
        <is>
          <t>Date</t>
        </is>
      </c>
      <c r="V3" s="5" t="inlineStr">
        <is>
          <t>PX_BID</t>
        </is>
      </c>
      <c r="W3" s="5" t="inlineStr">
        <is>
          <t>PX_ASK</t>
        </is>
      </c>
      <c r="X3" s="5" t="inlineStr">
        <is>
          <t>PX_MID</t>
        </is>
      </c>
      <c r="Y3" s="5" t="inlineStr">
        <is>
          <t>PX_LAST</t>
        </is>
      </c>
      <c r="Z3" s="5" t="inlineStr">
        <is>
          <t>PX_SETTLE</t>
        </is>
      </c>
      <c r="AA3" s="5" t="inlineStr">
        <is>
          <t>PX_VOLUME</t>
        </is>
      </c>
      <c r="AB3" s="5" t="inlineStr">
        <is>
          <t>OPEN_INT</t>
        </is>
      </c>
      <c r="AC3" s="5" t="inlineStr">
        <is>
          <t>IVOL_MID</t>
        </is>
      </c>
      <c r="AD3" s="5" t="inlineStr">
        <is>
          <t>IVOL_BID</t>
        </is>
      </c>
      <c r="AE3" s="5" t="inlineStr">
        <is>
          <t>IVOL_ASK</t>
        </is>
      </c>
      <c r="AF3" s="5" t="inlineStr">
        <is>
          <t>DELTA_MID</t>
        </is>
      </c>
      <c r="AG3" s="5" t="inlineStr">
        <is>
          <t>GAMMA_MID</t>
        </is>
      </c>
      <c r="AH3" s="5" t="inlineStr">
        <is>
          <t>VEGA_MID</t>
        </is>
      </c>
      <c r="AI3" s="5" t="inlineStr">
        <is>
          <t>THETA_MID</t>
        </is>
      </c>
      <c r="AJ3" s="5" t="inlineStr">
        <is>
          <t>OPT_UNDL_PX</t>
        </is>
      </c>
      <c r="AL3" s="5" t="inlineStr">
        <is>
          <t>Date</t>
        </is>
      </c>
      <c r="AM3" s="5" t="inlineStr">
        <is>
          <t>PX_BID</t>
        </is>
      </c>
      <c r="AN3" s="5" t="inlineStr">
        <is>
          <t>PX_ASK</t>
        </is>
      </c>
      <c r="AO3" s="5" t="inlineStr">
        <is>
          <t>PX_MID</t>
        </is>
      </c>
      <c r="AP3" s="5" t="inlineStr">
        <is>
          <t>PX_LAST</t>
        </is>
      </c>
      <c r="AQ3" s="5" t="inlineStr">
        <is>
          <t>PX_SETTLE</t>
        </is>
      </c>
      <c r="AR3" s="5" t="inlineStr">
        <is>
          <t>PX_VOLUME</t>
        </is>
      </c>
      <c r="AS3" s="5" t="inlineStr">
        <is>
          <t>OPEN_INT</t>
        </is>
      </c>
      <c r="AT3" s="5" t="inlineStr">
        <is>
          <t>IVOL_MID</t>
        </is>
      </c>
      <c r="AU3" s="5" t="inlineStr">
        <is>
          <t>IVOL_BID</t>
        </is>
      </c>
      <c r="AV3" s="5" t="inlineStr">
        <is>
          <t>IVOL_ASK</t>
        </is>
      </c>
      <c r="AW3" s="5" t="inlineStr">
        <is>
          <t>DELTA_MID</t>
        </is>
      </c>
      <c r="AX3" s="5" t="inlineStr">
        <is>
          <t>GAMMA_MID</t>
        </is>
      </c>
      <c r="AY3" s="5" t="inlineStr">
        <is>
          <t>VEGA_MID</t>
        </is>
      </c>
      <c r="AZ3" s="5" t="inlineStr">
        <is>
          <t>THETA_MID</t>
        </is>
      </c>
      <c r="BA3" s="5" t="inlineStr">
        <is>
          <t>OPT_UNDL_PX</t>
        </is>
      </c>
      <c r="BC3" s="5" t="inlineStr">
        <is>
          <t>Date</t>
        </is>
      </c>
      <c r="BD3" s="5" t="inlineStr">
        <is>
          <t>PX_BID</t>
        </is>
      </c>
      <c r="BE3" s="5" t="inlineStr">
        <is>
          <t>PX_ASK</t>
        </is>
      </c>
      <c r="BF3" s="5" t="inlineStr">
        <is>
          <t>PX_MID</t>
        </is>
      </c>
      <c r="BG3" s="5" t="inlineStr">
        <is>
          <t>PX_LAST</t>
        </is>
      </c>
      <c r="BH3" s="5" t="inlineStr">
        <is>
          <t>PX_SETTLE</t>
        </is>
      </c>
      <c r="BI3" s="5" t="inlineStr">
        <is>
          <t>PX_VOLUME</t>
        </is>
      </c>
      <c r="BJ3" s="5" t="inlineStr">
        <is>
          <t>OPEN_INT</t>
        </is>
      </c>
      <c r="BK3" s="5" t="inlineStr">
        <is>
          <t>IVOL_MID</t>
        </is>
      </c>
      <c r="BL3" s="5" t="inlineStr">
        <is>
          <t>IVOL_BID</t>
        </is>
      </c>
      <c r="BM3" s="5" t="inlineStr">
        <is>
          <t>IVOL_ASK</t>
        </is>
      </c>
      <c r="BN3" s="5" t="inlineStr">
        <is>
          <t>DELTA_MID</t>
        </is>
      </c>
      <c r="BO3" s="5" t="inlineStr">
        <is>
          <t>GAMMA_MID</t>
        </is>
      </c>
      <c r="BP3" s="5" t="inlineStr">
        <is>
          <t>VEGA_MID</t>
        </is>
      </c>
      <c r="BQ3" s="5" t="inlineStr">
        <is>
          <t>THETA_MID</t>
        </is>
      </c>
      <c r="BR3" s="5" t="inlineStr">
        <is>
          <t>OPT_UNDL_PX</t>
        </is>
      </c>
      <c r="BT3" s="5" t="inlineStr">
        <is>
          <t>Date</t>
        </is>
      </c>
      <c r="BU3" s="5" t="inlineStr">
        <is>
          <t>PX_BID</t>
        </is>
      </c>
      <c r="BV3" s="5" t="inlineStr">
        <is>
          <t>PX_ASK</t>
        </is>
      </c>
      <c r="BW3" s="5" t="inlineStr">
        <is>
          <t>PX_MID</t>
        </is>
      </c>
      <c r="BX3" s="5" t="inlineStr">
        <is>
          <t>PX_LAST</t>
        </is>
      </c>
      <c r="BY3" s="5" t="inlineStr">
        <is>
          <t>PX_SETTLE</t>
        </is>
      </c>
      <c r="BZ3" s="5" t="inlineStr">
        <is>
          <t>PX_VOLUME</t>
        </is>
      </c>
      <c r="CA3" s="5" t="inlineStr">
        <is>
          <t>OPEN_INT</t>
        </is>
      </c>
      <c r="CB3" s="5" t="inlineStr">
        <is>
          <t>IVOL_MID</t>
        </is>
      </c>
      <c r="CC3" s="5" t="inlineStr">
        <is>
          <t>IVOL_BID</t>
        </is>
      </c>
      <c r="CD3" s="5" t="inlineStr">
        <is>
          <t>IVOL_ASK</t>
        </is>
      </c>
      <c r="CE3" s="5" t="inlineStr">
        <is>
          <t>DELTA_MID</t>
        </is>
      </c>
      <c r="CF3" s="5" t="inlineStr">
        <is>
          <t>GAMMA_MID</t>
        </is>
      </c>
      <c r="CG3" s="5" t="inlineStr">
        <is>
          <t>VEGA_MID</t>
        </is>
      </c>
      <c r="CH3" s="5" t="inlineStr">
        <is>
          <t>THETA_MID</t>
        </is>
      </c>
      <c r="CI3" s="5" t="inlineStr">
        <is>
          <t>OPT_UNDL_PX</t>
        </is>
      </c>
      <c r="CK3" s="5" t="inlineStr">
        <is>
          <t>Date</t>
        </is>
      </c>
      <c r="CL3" s="5" t="inlineStr">
        <is>
          <t>PX_BID</t>
        </is>
      </c>
      <c r="CM3" s="5" t="inlineStr">
        <is>
          <t>PX_ASK</t>
        </is>
      </c>
      <c r="CN3" s="5" t="inlineStr">
        <is>
          <t>PX_MID</t>
        </is>
      </c>
      <c r="CO3" s="5" t="inlineStr">
        <is>
          <t>PX_LAST</t>
        </is>
      </c>
      <c r="CP3" s="5" t="inlineStr">
        <is>
          <t>PX_SETTLE</t>
        </is>
      </c>
      <c r="CQ3" s="5" t="inlineStr">
        <is>
          <t>PX_VOLUME</t>
        </is>
      </c>
      <c r="CR3" s="5" t="inlineStr">
        <is>
          <t>OPEN_INT</t>
        </is>
      </c>
      <c r="CS3" s="5" t="inlineStr">
        <is>
          <t>IVOL_MID</t>
        </is>
      </c>
      <c r="CT3" s="5" t="inlineStr">
        <is>
          <t>IVOL_BID</t>
        </is>
      </c>
      <c r="CU3" s="5" t="inlineStr">
        <is>
          <t>IVOL_ASK</t>
        </is>
      </c>
      <c r="CV3" s="5" t="inlineStr">
        <is>
          <t>DELTA_MID</t>
        </is>
      </c>
      <c r="CW3" s="5" t="inlineStr">
        <is>
          <t>GAMMA_MID</t>
        </is>
      </c>
      <c r="CX3" s="5" t="inlineStr">
        <is>
          <t>VEGA_MID</t>
        </is>
      </c>
      <c r="CY3" s="5" t="inlineStr">
        <is>
          <t>THETA_MID</t>
        </is>
      </c>
      <c r="CZ3" s="5" t="inlineStr">
        <is>
          <t>OPT_UNDL_PX</t>
        </is>
      </c>
      <c r="DB3" s="5" t="inlineStr">
        <is>
          <t>Date</t>
        </is>
      </c>
      <c r="DC3" s="5" t="inlineStr">
        <is>
          <t>PX_BID</t>
        </is>
      </c>
      <c r="DD3" s="5" t="inlineStr">
        <is>
          <t>PX_ASK</t>
        </is>
      </c>
      <c r="DE3" s="5" t="inlineStr">
        <is>
          <t>PX_MID</t>
        </is>
      </c>
      <c r="DF3" s="5" t="inlineStr">
        <is>
          <t>PX_LAST</t>
        </is>
      </c>
      <c r="DG3" s="5" t="inlineStr">
        <is>
          <t>PX_SETTLE</t>
        </is>
      </c>
      <c r="DH3" s="5" t="inlineStr">
        <is>
          <t>PX_VOLUME</t>
        </is>
      </c>
      <c r="DI3" s="5" t="inlineStr">
        <is>
          <t>OPEN_INT</t>
        </is>
      </c>
      <c r="DJ3" s="5" t="inlineStr">
        <is>
          <t>IVOL_MID</t>
        </is>
      </c>
      <c r="DK3" s="5" t="inlineStr">
        <is>
          <t>IVOL_BID</t>
        </is>
      </c>
      <c r="DL3" s="5" t="inlineStr">
        <is>
          <t>IVOL_ASK</t>
        </is>
      </c>
      <c r="DM3" s="5" t="inlineStr">
        <is>
          <t>DELTA_MID</t>
        </is>
      </c>
      <c r="DN3" s="5" t="inlineStr">
        <is>
          <t>GAMMA_MID</t>
        </is>
      </c>
      <c r="DO3" s="5" t="inlineStr">
        <is>
          <t>VEGA_MID</t>
        </is>
      </c>
      <c r="DP3" s="5" t="inlineStr">
        <is>
          <t>THETA_MID</t>
        </is>
      </c>
      <c r="DQ3" s="5" t="inlineStr">
        <is>
          <t>OPT_UNDL_PX</t>
        </is>
      </c>
      <c r="DS3" s="5" t="inlineStr">
        <is>
          <t>Date</t>
        </is>
      </c>
      <c r="DT3" s="5" t="inlineStr">
        <is>
          <t>PX_BID</t>
        </is>
      </c>
      <c r="DU3" s="5" t="inlineStr">
        <is>
          <t>PX_ASK</t>
        </is>
      </c>
      <c r="DV3" s="5" t="inlineStr">
        <is>
          <t>PX_MID</t>
        </is>
      </c>
      <c r="DW3" s="5" t="inlineStr">
        <is>
          <t>PX_LAST</t>
        </is>
      </c>
      <c r="DX3" s="5" t="inlineStr">
        <is>
          <t>PX_SETTLE</t>
        </is>
      </c>
      <c r="DY3" s="5" t="inlineStr">
        <is>
          <t>PX_VOLUME</t>
        </is>
      </c>
      <c r="DZ3" s="5" t="inlineStr">
        <is>
          <t>OPEN_INT</t>
        </is>
      </c>
      <c r="EA3" s="5" t="inlineStr">
        <is>
          <t>IVOL_MID</t>
        </is>
      </c>
      <c r="EB3" s="5" t="inlineStr">
        <is>
          <t>IVOL_BID</t>
        </is>
      </c>
      <c r="EC3" s="5" t="inlineStr">
        <is>
          <t>IVOL_ASK</t>
        </is>
      </c>
      <c r="ED3" s="5" t="inlineStr">
        <is>
          <t>DELTA_MID</t>
        </is>
      </c>
      <c r="EE3" s="5" t="inlineStr">
        <is>
          <t>GAMMA_MID</t>
        </is>
      </c>
      <c r="EF3" s="5" t="inlineStr">
        <is>
          <t>VEGA_MID</t>
        </is>
      </c>
      <c r="EG3" s="5" t="inlineStr">
        <is>
          <t>THETA_MID</t>
        </is>
      </c>
      <c r="EH3" s="5" t="inlineStr">
        <is>
          <t>OPT_UNDL_PX</t>
        </is>
      </c>
      <c r="EJ3" s="5" t="inlineStr">
        <is>
          <t>Date</t>
        </is>
      </c>
      <c r="EK3" s="5" t="inlineStr">
        <is>
          <t>PX_BID</t>
        </is>
      </c>
      <c r="EL3" s="5" t="inlineStr">
        <is>
          <t>PX_ASK</t>
        </is>
      </c>
      <c r="EM3" s="5" t="inlineStr">
        <is>
          <t>PX_MID</t>
        </is>
      </c>
      <c r="EN3" s="5" t="inlineStr">
        <is>
          <t>PX_LAST</t>
        </is>
      </c>
      <c r="EO3" s="5" t="inlineStr">
        <is>
          <t>PX_SETTLE</t>
        </is>
      </c>
      <c r="EP3" s="5" t="inlineStr">
        <is>
          <t>PX_VOLUME</t>
        </is>
      </c>
      <c r="EQ3" s="5" t="inlineStr">
        <is>
          <t>OPEN_INT</t>
        </is>
      </c>
      <c r="ER3" s="5" t="inlineStr">
        <is>
          <t>IVOL_MID</t>
        </is>
      </c>
      <c r="ES3" s="5" t="inlineStr">
        <is>
          <t>IVOL_BID</t>
        </is>
      </c>
      <c r="ET3" s="5" t="inlineStr">
        <is>
          <t>IVOL_ASK</t>
        </is>
      </c>
      <c r="EU3" s="5" t="inlineStr">
        <is>
          <t>DELTA_MID</t>
        </is>
      </c>
      <c r="EV3" s="5" t="inlineStr">
        <is>
          <t>GAMMA_MID</t>
        </is>
      </c>
      <c r="EW3" s="5" t="inlineStr">
        <is>
          <t>VEGA_MID</t>
        </is>
      </c>
      <c r="EX3" s="5" t="inlineStr">
        <is>
          <t>THETA_MID</t>
        </is>
      </c>
      <c r="EY3" s="5" t="inlineStr">
        <is>
          <t>OPT_UNDL_PX</t>
        </is>
      </c>
      <c r="FA3" s="5" t="inlineStr">
        <is>
          <t>Date</t>
        </is>
      </c>
      <c r="FB3" s="5" t="inlineStr">
        <is>
          <t>PX_BID</t>
        </is>
      </c>
      <c r="FC3" s="5" t="inlineStr">
        <is>
          <t>PX_ASK</t>
        </is>
      </c>
      <c r="FD3" s="5" t="inlineStr">
        <is>
          <t>PX_MID</t>
        </is>
      </c>
      <c r="FE3" s="5" t="inlineStr">
        <is>
          <t>PX_LAST</t>
        </is>
      </c>
      <c r="FF3" s="5" t="inlineStr">
        <is>
          <t>PX_SETTLE</t>
        </is>
      </c>
      <c r="FG3" s="5" t="inlineStr">
        <is>
          <t>PX_VOLUME</t>
        </is>
      </c>
      <c r="FH3" s="5" t="inlineStr">
        <is>
          <t>OPEN_INT</t>
        </is>
      </c>
      <c r="FI3" s="5" t="inlineStr">
        <is>
          <t>IVOL_MID</t>
        </is>
      </c>
      <c r="FJ3" s="5" t="inlineStr">
        <is>
          <t>IVOL_BID</t>
        </is>
      </c>
      <c r="FK3" s="5" t="inlineStr">
        <is>
          <t>IVOL_ASK</t>
        </is>
      </c>
      <c r="FL3" s="5" t="inlineStr">
        <is>
          <t>DELTA_MID</t>
        </is>
      </c>
      <c r="FM3" s="5" t="inlineStr">
        <is>
          <t>GAMMA_MID</t>
        </is>
      </c>
      <c r="FN3" s="5" t="inlineStr">
        <is>
          <t>VEGA_MID</t>
        </is>
      </c>
      <c r="FO3" s="5" t="inlineStr">
        <is>
          <t>THETA_MID</t>
        </is>
      </c>
      <c r="FP3" s="5" t="inlineStr">
        <is>
          <t>OPT_UNDL_PX</t>
        </is>
      </c>
      <c r="FR3" s="5" t="inlineStr">
        <is>
          <t>Date</t>
        </is>
      </c>
      <c r="FS3" s="5" t="inlineStr">
        <is>
          <t>PX_BID</t>
        </is>
      </c>
      <c r="FT3" s="5" t="inlineStr">
        <is>
          <t>PX_ASK</t>
        </is>
      </c>
      <c r="FU3" s="5" t="inlineStr">
        <is>
          <t>PX_MID</t>
        </is>
      </c>
      <c r="FV3" s="5" t="inlineStr">
        <is>
          <t>PX_LAST</t>
        </is>
      </c>
      <c r="FW3" s="5" t="inlineStr">
        <is>
          <t>PX_SETTLE</t>
        </is>
      </c>
      <c r="FX3" s="5" t="inlineStr">
        <is>
          <t>PX_VOLUME</t>
        </is>
      </c>
      <c r="FY3" s="5" t="inlineStr">
        <is>
          <t>OPEN_INT</t>
        </is>
      </c>
      <c r="FZ3" s="5" t="inlineStr">
        <is>
          <t>IVOL_MID</t>
        </is>
      </c>
      <c r="GA3" s="5" t="inlineStr">
        <is>
          <t>IVOL_BID</t>
        </is>
      </c>
      <c r="GB3" s="5" t="inlineStr">
        <is>
          <t>IVOL_ASK</t>
        </is>
      </c>
      <c r="GC3" s="5" t="inlineStr">
        <is>
          <t>DELTA_MID</t>
        </is>
      </c>
      <c r="GD3" s="5" t="inlineStr">
        <is>
          <t>GAMMA_MID</t>
        </is>
      </c>
      <c r="GE3" s="5" t="inlineStr">
        <is>
          <t>VEGA_MID</t>
        </is>
      </c>
      <c r="GF3" s="5" t="inlineStr">
        <is>
          <t>THETA_MID</t>
        </is>
      </c>
      <c r="GG3" s="5" t="inlineStr">
        <is>
          <t>OPT_UNDL_PX</t>
        </is>
      </c>
      <c r="GI3" s="5" t="inlineStr">
        <is>
          <t>Date</t>
        </is>
      </c>
      <c r="GJ3" s="5" t="inlineStr">
        <is>
          <t>PX_BID</t>
        </is>
      </c>
      <c r="GK3" s="5" t="inlineStr">
        <is>
          <t>PX_ASK</t>
        </is>
      </c>
      <c r="GL3" s="5" t="inlineStr">
        <is>
          <t>PX_MID</t>
        </is>
      </c>
      <c r="GM3" s="5" t="inlineStr">
        <is>
          <t>PX_LAST</t>
        </is>
      </c>
      <c r="GN3" s="5" t="inlineStr">
        <is>
          <t>PX_SETTLE</t>
        </is>
      </c>
      <c r="GO3" s="5" t="inlineStr">
        <is>
          <t>PX_VOLUME</t>
        </is>
      </c>
      <c r="GP3" s="5" t="inlineStr">
        <is>
          <t>OPEN_INT</t>
        </is>
      </c>
      <c r="GQ3" s="5" t="inlineStr">
        <is>
          <t>IVOL_MID</t>
        </is>
      </c>
      <c r="GR3" s="5" t="inlineStr">
        <is>
          <t>IVOL_BID</t>
        </is>
      </c>
      <c r="GS3" s="5" t="inlineStr">
        <is>
          <t>IVOL_ASK</t>
        </is>
      </c>
      <c r="GT3" s="5" t="inlineStr">
        <is>
          <t>DELTA_MID</t>
        </is>
      </c>
      <c r="GU3" s="5" t="inlineStr">
        <is>
          <t>GAMMA_MID</t>
        </is>
      </c>
      <c r="GV3" s="5" t="inlineStr">
        <is>
          <t>VEGA_MID</t>
        </is>
      </c>
      <c r="GW3" s="5" t="inlineStr">
        <is>
          <t>THETA_MID</t>
        </is>
      </c>
      <c r="GX3" s="5" t="inlineStr">
        <is>
          <t>OPT_UNDL_PX</t>
        </is>
      </c>
      <c r="GZ3" s="5" t="inlineStr">
        <is>
          <t>Date</t>
        </is>
      </c>
      <c r="HA3" s="5" t="inlineStr">
        <is>
          <t>PX_BID</t>
        </is>
      </c>
      <c r="HB3" s="5" t="inlineStr">
        <is>
          <t>PX_ASK</t>
        </is>
      </c>
      <c r="HC3" s="5" t="inlineStr">
        <is>
          <t>PX_MID</t>
        </is>
      </c>
      <c r="HD3" s="5" t="inlineStr">
        <is>
          <t>PX_LAST</t>
        </is>
      </c>
      <c r="HE3" s="5" t="inlineStr">
        <is>
          <t>PX_SETTLE</t>
        </is>
      </c>
      <c r="HF3" s="5" t="inlineStr">
        <is>
          <t>PX_VOLUME</t>
        </is>
      </c>
      <c r="HG3" s="5" t="inlineStr">
        <is>
          <t>OPEN_INT</t>
        </is>
      </c>
      <c r="HH3" s="5" t="inlineStr">
        <is>
          <t>IVOL_MID</t>
        </is>
      </c>
      <c r="HI3" s="5" t="inlineStr">
        <is>
          <t>IVOL_BID</t>
        </is>
      </c>
      <c r="HJ3" s="5" t="inlineStr">
        <is>
          <t>IVOL_ASK</t>
        </is>
      </c>
      <c r="HK3" s="5" t="inlineStr">
        <is>
          <t>DELTA_MID</t>
        </is>
      </c>
      <c r="HL3" s="5" t="inlineStr">
        <is>
          <t>GAMMA_MID</t>
        </is>
      </c>
      <c r="HM3" s="5" t="inlineStr">
        <is>
          <t>VEGA_MID</t>
        </is>
      </c>
      <c r="HN3" s="5" t="inlineStr">
        <is>
          <t>THETA_MID</t>
        </is>
      </c>
      <c r="HO3" s="5" t="inlineStr">
        <is>
          <t>OPT_UNDL_PX</t>
        </is>
      </c>
      <c r="HQ3" s="5" t="inlineStr">
        <is>
          <t>Date</t>
        </is>
      </c>
      <c r="HR3" s="5" t="inlineStr">
        <is>
          <t>PX_BID</t>
        </is>
      </c>
      <c r="HS3" s="5" t="inlineStr">
        <is>
          <t>PX_ASK</t>
        </is>
      </c>
      <c r="HT3" s="5" t="inlineStr">
        <is>
          <t>PX_MID</t>
        </is>
      </c>
      <c r="HU3" s="5" t="inlineStr">
        <is>
          <t>PX_LAST</t>
        </is>
      </c>
      <c r="HV3" s="5" t="inlineStr">
        <is>
          <t>PX_SETTLE</t>
        </is>
      </c>
      <c r="HW3" s="5" t="inlineStr">
        <is>
          <t>PX_VOLUME</t>
        </is>
      </c>
      <c r="HX3" s="5" t="inlineStr">
        <is>
          <t>OPEN_INT</t>
        </is>
      </c>
      <c r="HY3" s="5" t="inlineStr">
        <is>
          <t>IVOL_MID</t>
        </is>
      </c>
      <c r="HZ3" s="5" t="inlineStr">
        <is>
          <t>IVOL_BID</t>
        </is>
      </c>
      <c r="IA3" s="5" t="inlineStr">
        <is>
          <t>IVOL_ASK</t>
        </is>
      </c>
      <c r="IB3" s="5" t="inlineStr">
        <is>
          <t>DELTA_MID</t>
        </is>
      </c>
      <c r="IC3" s="5" t="inlineStr">
        <is>
          <t>GAMMA_MID</t>
        </is>
      </c>
      <c r="ID3" s="5" t="inlineStr">
        <is>
          <t>VEGA_MID</t>
        </is>
      </c>
      <c r="IE3" s="5" t="inlineStr">
        <is>
          <t>THETA_MID</t>
        </is>
      </c>
      <c r="IF3" s="5" t="inlineStr">
        <is>
          <t>OPT_UNDL_PX</t>
        </is>
      </c>
      <c r="IH3" s="5" t="inlineStr">
        <is>
          <t>Date</t>
        </is>
      </c>
      <c r="II3" s="5" t="inlineStr">
        <is>
          <t>PX_BID</t>
        </is>
      </c>
      <c r="IJ3" s="5" t="inlineStr">
        <is>
          <t>PX_ASK</t>
        </is>
      </c>
      <c r="IK3" s="5" t="inlineStr">
        <is>
          <t>PX_MID</t>
        </is>
      </c>
      <c r="IL3" s="5" t="inlineStr">
        <is>
          <t>PX_LAST</t>
        </is>
      </c>
      <c r="IM3" s="5" t="inlineStr">
        <is>
          <t>PX_SETTLE</t>
        </is>
      </c>
      <c r="IN3" s="5" t="inlineStr">
        <is>
          <t>PX_VOLUME</t>
        </is>
      </c>
      <c r="IO3" s="5" t="inlineStr">
        <is>
          <t>OPEN_INT</t>
        </is>
      </c>
      <c r="IP3" s="5" t="inlineStr">
        <is>
          <t>IVOL_MID</t>
        </is>
      </c>
      <c r="IQ3" s="5" t="inlineStr">
        <is>
          <t>IVOL_BID</t>
        </is>
      </c>
      <c r="IR3" s="5" t="inlineStr">
        <is>
          <t>IVOL_ASK</t>
        </is>
      </c>
      <c r="IS3" s="5" t="inlineStr">
        <is>
          <t>DELTA_MID</t>
        </is>
      </c>
      <c r="IT3" s="5" t="inlineStr">
        <is>
          <t>GAMMA_MID</t>
        </is>
      </c>
      <c r="IU3" s="5" t="inlineStr">
        <is>
          <t>VEGA_MID</t>
        </is>
      </c>
      <c r="IV3" s="5" t="inlineStr">
        <is>
          <t>THETA_MID</t>
        </is>
      </c>
      <c r="IW3" s="5" t="inlineStr">
        <is>
          <t>OPT_UNDL_PX</t>
        </is>
      </c>
      <c r="IY3" s="5" t="inlineStr">
        <is>
          <t>Date</t>
        </is>
      </c>
      <c r="IZ3" s="5" t="inlineStr">
        <is>
          <t>PX_BID</t>
        </is>
      </c>
      <c r="JA3" s="5" t="inlineStr">
        <is>
          <t>PX_ASK</t>
        </is>
      </c>
      <c r="JB3" s="5" t="inlineStr">
        <is>
          <t>PX_MID</t>
        </is>
      </c>
      <c r="JC3" s="5" t="inlineStr">
        <is>
          <t>PX_LAST</t>
        </is>
      </c>
      <c r="JD3" s="5" t="inlineStr">
        <is>
          <t>PX_SETTLE</t>
        </is>
      </c>
      <c r="JE3" s="5" t="inlineStr">
        <is>
          <t>PX_VOLUME</t>
        </is>
      </c>
      <c r="JF3" s="5" t="inlineStr">
        <is>
          <t>OPEN_INT</t>
        </is>
      </c>
      <c r="JG3" s="5" t="inlineStr">
        <is>
          <t>IVOL_MID</t>
        </is>
      </c>
      <c r="JH3" s="5" t="inlineStr">
        <is>
          <t>IVOL_BID</t>
        </is>
      </c>
      <c r="JI3" s="5" t="inlineStr">
        <is>
          <t>IVOL_ASK</t>
        </is>
      </c>
      <c r="JJ3" s="5" t="inlineStr">
        <is>
          <t>DELTA_MID</t>
        </is>
      </c>
      <c r="JK3" s="5" t="inlineStr">
        <is>
          <t>GAMMA_MID</t>
        </is>
      </c>
      <c r="JL3" s="5" t="inlineStr">
        <is>
          <t>VEGA_MID</t>
        </is>
      </c>
      <c r="JM3" s="5" t="inlineStr">
        <is>
          <t>THETA_MID</t>
        </is>
      </c>
      <c r="JN3" s="5" t="inlineStr">
        <is>
          <t>OPT_UNDL_PX</t>
        </is>
      </c>
      <c r="JP3" s="5" t="inlineStr">
        <is>
          <t>Date</t>
        </is>
      </c>
      <c r="JQ3" s="5" t="inlineStr">
        <is>
          <t>PX_BID</t>
        </is>
      </c>
      <c r="JR3" s="5" t="inlineStr">
        <is>
          <t>PX_ASK</t>
        </is>
      </c>
      <c r="JS3" s="5" t="inlineStr">
        <is>
          <t>PX_MID</t>
        </is>
      </c>
      <c r="JT3" s="5" t="inlineStr">
        <is>
          <t>PX_LAST</t>
        </is>
      </c>
      <c r="JU3" s="5" t="inlineStr">
        <is>
          <t>PX_SETTLE</t>
        </is>
      </c>
      <c r="JV3" s="5" t="inlineStr">
        <is>
          <t>PX_VOLUME</t>
        </is>
      </c>
      <c r="JW3" s="5" t="inlineStr">
        <is>
          <t>OPEN_INT</t>
        </is>
      </c>
      <c r="JX3" s="5" t="inlineStr">
        <is>
          <t>IVOL_MID</t>
        </is>
      </c>
      <c r="JY3" s="5" t="inlineStr">
        <is>
          <t>IVOL_BID</t>
        </is>
      </c>
      <c r="JZ3" s="5" t="inlineStr">
        <is>
          <t>IVOL_ASK</t>
        </is>
      </c>
      <c r="KA3" s="5" t="inlineStr">
        <is>
          <t>DELTA_MID</t>
        </is>
      </c>
      <c r="KB3" s="5" t="inlineStr">
        <is>
          <t>GAMMA_MID</t>
        </is>
      </c>
      <c r="KC3" s="5" t="inlineStr">
        <is>
          <t>VEGA_MID</t>
        </is>
      </c>
      <c r="KD3" s="5" t="inlineStr">
        <is>
          <t>THETA_MID</t>
        </is>
      </c>
      <c r="KE3" s="5" t="inlineStr">
        <is>
          <t>OPT_UNDL_PX</t>
        </is>
      </c>
      <c r="KG3" s="5" t="inlineStr">
        <is>
          <t>Date</t>
        </is>
      </c>
      <c r="KH3" s="5" t="inlineStr">
        <is>
          <t>PX_BID</t>
        </is>
      </c>
      <c r="KI3" s="5" t="inlineStr">
        <is>
          <t>PX_ASK</t>
        </is>
      </c>
      <c r="KJ3" s="5" t="inlineStr">
        <is>
          <t>PX_MID</t>
        </is>
      </c>
      <c r="KK3" s="5" t="inlineStr">
        <is>
          <t>PX_LAST</t>
        </is>
      </c>
      <c r="KL3" s="5" t="inlineStr">
        <is>
          <t>PX_SETTLE</t>
        </is>
      </c>
      <c r="KM3" s="5" t="inlineStr">
        <is>
          <t>PX_VOLUME</t>
        </is>
      </c>
      <c r="KN3" s="5" t="inlineStr">
        <is>
          <t>OPEN_INT</t>
        </is>
      </c>
      <c r="KO3" s="5" t="inlineStr">
        <is>
          <t>IVOL_MID</t>
        </is>
      </c>
      <c r="KP3" s="5" t="inlineStr">
        <is>
          <t>IVOL_BID</t>
        </is>
      </c>
      <c r="KQ3" s="5" t="inlineStr">
        <is>
          <t>IVOL_ASK</t>
        </is>
      </c>
      <c r="KR3" s="5" t="inlineStr">
        <is>
          <t>DELTA_MID</t>
        </is>
      </c>
      <c r="KS3" s="5" t="inlineStr">
        <is>
          <t>GAMMA_MID</t>
        </is>
      </c>
      <c r="KT3" s="5" t="inlineStr">
        <is>
          <t>VEGA_MID</t>
        </is>
      </c>
      <c r="KU3" s="5" t="inlineStr">
        <is>
          <t>THETA_MID</t>
        </is>
      </c>
      <c r="KV3" s="5" t="inlineStr">
        <is>
          <t>OPT_UNDL_PX</t>
        </is>
      </c>
      <c r="KX3" s="5" t="inlineStr">
        <is>
          <t>Date</t>
        </is>
      </c>
      <c r="KY3" s="5" t="inlineStr">
        <is>
          <t>PX_BID</t>
        </is>
      </c>
      <c r="KZ3" s="5" t="inlineStr">
        <is>
          <t>PX_ASK</t>
        </is>
      </c>
      <c r="LA3" s="5" t="inlineStr">
        <is>
          <t>PX_MID</t>
        </is>
      </c>
      <c r="LB3" s="5" t="inlineStr">
        <is>
          <t>PX_LAST</t>
        </is>
      </c>
      <c r="LC3" s="5" t="inlineStr">
        <is>
          <t>PX_SETTLE</t>
        </is>
      </c>
      <c r="LD3" s="5" t="inlineStr">
        <is>
          <t>PX_VOLUME</t>
        </is>
      </c>
      <c r="LE3" s="5" t="inlineStr">
        <is>
          <t>OPEN_INT</t>
        </is>
      </c>
      <c r="LF3" s="5" t="inlineStr">
        <is>
          <t>IVOL_MID</t>
        </is>
      </c>
      <c r="LG3" s="5" t="inlineStr">
        <is>
          <t>IVOL_BID</t>
        </is>
      </c>
      <c r="LH3" s="5" t="inlineStr">
        <is>
          <t>IVOL_ASK</t>
        </is>
      </c>
      <c r="LI3" s="5" t="inlineStr">
        <is>
          <t>DELTA_MID</t>
        </is>
      </c>
      <c r="LJ3" s="5" t="inlineStr">
        <is>
          <t>GAMMA_MID</t>
        </is>
      </c>
      <c r="LK3" s="5" t="inlineStr">
        <is>
          <t>VEGA_MID</t>
        </is>
      </c>
      <c r="LL3" s="5" t="inlineStr">
        <is>
          <t>THETA_MID</t>
        </is>
      </c>
      <c r="LM3" s="5" t="inlineStr">
        <is>
          <t>OPT_UNDL_PX</t>
        </is>
      </c>
      <c r="LO3" s="5" t="inlineStr">
        <is>
          <t>Date</t>
        </is>
      </c>
      <c r="LP3" s="5" t="inlineStr">
        <is>
          <t>PX_BID</t>
        </is>
      </c>
      <c r="LQ3" s="5" t="inlineStr">
        <is>
          <t>PX_ASK</t>
        </is>
      </c>
      <c r="LR3" s="5" t="inlineStr">
        <is>
          <t>PX_MID</t>
        </is>
      </c>
      <c r="LS3" s="5" t="inlineStr">
        <is>
          <t>PX_LAST</t>
        </is>
      </c>
      <c r="LT3" s="5" t="inlineStr">
        <is>
          <t>PX_SETTLE</t>
        </is>
      </c>
      <c r="LU3" s="5" t="inlineStr">
        <is>
          <t>PX_VOLUME</t>
        </is>
      </c>
      <c r="LV3" s="5" t="inlineStr">
        <is>
          <t>OPEN_INT</t>
        </is>
      </c>
      <c r="LW3" s="5" t="inlineStr">
        <is>
          <t>IVOL_MID</t>
        </is>
      </c>
      <c r="LX3" s="5" t="inlineStr">
        <is>
          <t>IVOL_BID</t>
        </is>
      </c>
      <c r="LY3" s="5" t="inlineStr">
        <is>
          <t>IVOL_ASK</t>
        </is>
      </c>
      <c r="LZ3" s="5" t="inlineStr">
        <is>
          <t>DELTA_MID</t>
        </is>
      </c>
      <c r="MA3" s="5" t="inlineStr">
        <is>
          <t>GAMMA_MID</t>
        </is>
      </c>
      <c r="MB3" s="5" t="inlineStr">
        <is>
          <t>VEGA_MID</t>
        </is>
      </c>
      <c r="MC3" s="5" t="inlineStr">
        <is>
          <t>THETA_MID</t>
        </is>
      </c>
      <c r="MD3" s="5" t="inlineStr">
        <is>
          <t>OPT_UNDL_PX</t>
        </is>
      </c>
      <c r="MF3" s="5" t="inlineStr">
        <is>
          <t>Date</t>
        </is>
      </c>
      <c r="MG3" s="5" t="inlineStr">
        <is>
          <t>PX_BID</t>
        </is>
      </c>
      <c r="MH3" s="5" t="inlineStr">
        <is>
          <t>PX_ASK</t>
        </is>
      </c>
      <c r="MI3" s="5" t="inlineStr">
        <is>
          <t>PX_MID</t>
        </is>
      </c>
      <c r="MJ3" s="5" t="inlineStr">
        <is>
          <t>PX_LAST</t>
        </is>
      </c>
      <c r="MK3" s="5" t="inlineStr">
        <is>
          <t>PX_SETTLE</t>
        </is>
      </c>
      <c r="ML3" s="5" t="inlineStr">
        <is>
          <t>PX_VOLUME</t>
        </is>
      </c>
      <c r="MM3" s="5" t="inlineStr">
        <is>
          <t>OPEN_INT</t>
        </is>
      </c>
      <c r="MN3" s="5" t="inlineStr">
        <is>
          <t>IVOL_MID</t>
        </is>
      </c>
      <c r="MO3" s="5" t="inlineStr">
        <is>
          <t>IVOL_BID</t>
        </is>
      </c>
      <c r="MP3" s="5" t="inlineStr">
        <is>
          <t>IVOL_ASK</t>
        </is>
      </c>
      <c r="MQ3" s="5" t="inlineStr">
        <is>
          <t>DELTA_MID</t>
        </is>
      </c>
      <c r="MR3" s="5" t="inlineStr">
        <is>
          <t>GAMMA_MID</t>
        </is>
      </c>
      <c r="MS3" s="5" t="inlineStr">
        <is>
          <t>VEGA_MID</t>
        </is>
      </c>
      <c r="MT3" s="5" t="inlineStr">
        <is>
          <t>THETA_MID</t>
        </is>
      </c>
      <c r="MU3" s="5" t="inlineStr">
        <is>
          <t>OPT_UNDL_PX</t>
        </is>
      </c>
      <c r="MW3" s="5" t="inlineStr">
        <is>
          <t>Date</t>
        </is>
      </c>
      <c r="MX3" s="5" t="inlineStr">
        <is>
          <t>PX_BID</t>
        </is>
      </c>
      <c r="MY3" s="5" t="inlineStr">
        <is>
          <t>PX_ASK</t>
        </is>
      </c>
      <c r="MZ3" s="5" t="inlineStr">
        <is>
          <t>PX_MID</t>
        </is>
      </c>
      <c r="NA3" s="5" t="inlineStr">
        <is>
          <t>PX_LAST</t>
        </is>
      </c>
      <c r="NB3" s="5" t="inlineStr">
        <is>
          <t>PX_SETTLE</t>
        </is>
      </c>
      <c r="NC3" s="5" t="inlineStr">
        <is>
          <t>PX_VOLUME</t>
        </is>
      </c>
      <c r="ND3" s="5" t="inlineStr">
        <is>
          <t>OPEN_INT</t>
        </is>
      </c>
      <c r="NE3" s="5" t="inlineStr">
        <is>
          <t>IVOL_MID</t>
        </is>
      </c>
      <c r="NF3" s="5" t="inlineStr">
        <is>
          <t>IVOL_BID</t>
        </is>
      </c>
      <c r="NG3" s="5" t="inlineStr">
        <is>
          <t>IVOL_ASK</t>
        </is>
      </c>
      <c r="NH3" s="5" t="inlineStr">
        <is>
          <t>DELTA_MID</t>
        </is>
      </c>
      <c r="NI3" s="5" t="inlineStr">
        <is>
          <t>GAMMA_MID</t>
        </is>
      </c>
      <c r="NJ3" s="5" t="inlineStr">
        <is>
          <t>VEGA_MID</t>
        </is>
      </c>
      <c r="NK3" s="5" t="inlineStr">
        <is>
          <t>THETA_MID</t>
        </is>
      </c>
      <c r="NL3" s="5" t="inlineStr">
        <is>
          <t>OPT_UNDL_PX</t>
        </is>
      </c>
    </row>
    <row r="4">
      <c r="A4" s="2" t="inlineStr">
        <is>
          <t>Strike reference date</t>
        </is>
      </c>
      <c r="B4" s="8">
        <f>B3-45</f>
        <v/>
      </c>
      <c r="D4" s="4">
        <f>BDH(D$1,E$3:S$3,$B$8,$B$9,"Dir=V","Dts=S","Sort=A","Days=T","Fill=B")</f>
        <v/>
      </c>
      <c r="U4" s="4">
        <f>BDH(U$1,V$3:AJ$3,$B$8,$B$9,"Dir=V","Dts=S","Sort=A","Days=T","Fill=B")</f>
        <v/>
      </c>
      <c r="AL4" s="4">
        <f>BDH(AL$1,AM$3:BA$3,$B$8,$B$9,"Dir=V","Dts=S","Sort=A","Days=T","Fill=B")</f>
        <v/>
      </c>
      <c r="BC4" s="4">
        <f>BDH(BC$1,BD$3:BR$3,$B$8,$B$9,"Dir=V","Dts=S","Sort=A","Days=T","Fill=B")</f>
        <v/>
      </c>
      <c r="BT4" s="4">
        <f>BDH(BT$1,BU$3:CI$3,$B$8,$B$9,"Dir=V","Dts=S","Sort=A","Days=T","Fill=B")</f>
        <v/>
      </c>
      <c r="CK4" s="4">
        <f>BDH(CK$1,CL$3:CZ$3,$B$8,$B$9,"Dir=V","Dts=S","Sort=A","Days=T","Fill=B")</f>
        <v/>
      </c>
      <c r="DB4" s="4">
        <f>BDH(DB$1,DC$3:DQ$3,$B$8,$B$9,"Dir=V","Dts=S","Sort=A","Days=T","Fill=B")</f>
        <v/>
      </c>
      <c r="DS4" s="4">
        <f>BDH(DS$1,DT$3:EH$3,$B$8,$B$9,"Dir=V","Dts=S","Sort=A","Days=T","Fill=B")</f>
        <v/>
      </c>
      <c r="EJ4" s="4">
        <f>BDH(EJ$1,EK$3:EY$3,$B$8,$B$9,"Dir=V","Dts=S","Sort=A","Days=T","Fill=B")</f>
        <v/>
      </c>
      <c r="FA4" s="4">
        <f>BDH(FA$1,FB$3:FP$3,$B$8,$B$9,"Dir=V","Dts=S","Sort=A","Days=T","Fill=B")</f>
        <v/>
      </c>
      <c r="FR4" s="4">
        <f>BDH(FR$1,FS$3:GG$3,$B$8,$B$9,"Dir=V","Dts=S","Sort=A","Days=T","Fill=B")</f>
        <v/>
      </c>
      <c r="GI4" s="4">
        <f>BDH(GI$1,GJ$3:GX$3,$B$8,$B$9,"Dir=V","Dts=S","Sort=A","Days=T","Fill=B")</f>
        <v/>
      </c>
      <c r="GZ4" s="4">
        <f>BDH(GZ$1,HA$3:HO$3,$B$8,$B$9,"Dir=V","Dts=S","Sort=A","Days=T","Fill=B")</f>
        <v/>
      </c>
      <c r="HQ4" s="4">
        <f>BDH(HQ$1,HR$3:IF$3,$B$8,$B$9,"Dir=V","Dts=S","Sort=A","Days=T","Fill=B")</f>
        <v/>
      </c>
      <c r="IH4" s="4">
        <f>BDH(IH$1,II$3:IW$3,$B$8,$B$9,"Dir=V","Dts=S","Sort=A","Days=T","Fill=B")</f>
        <v/>
      </c>
      <c r="IY4" s="4">
        <f>BDH(IY$1,IZ$3:JN$3,$B$8,$B$9,"Dir=V","Dts=S","Sort=A","Days=T","Fill=B")</f>
        <v/>
      </c>
      <c r="JP4" s="4">
        <f>BDH(JP$1,JQ$3:KE$3,$B$8,$B$9,"Dir=V","Dts=S","Sort=A","Days=T","Fill=B")</f>
        <v/>
      </c>
      <c r="KG4" s="4">
        <f>BDH(KG$1,KH$3:KV$3,$B$8,$B$9,"Dir=V","Dts=S","Sort=A","Days=T","Fill=B")</f>
        <v/>
      </c>
      <c r="KX4" s="4">
        <f>BDH(KX$1,KY$3:LM$3,$B$8,$B$9,"Dir=V","Dts=S","Sort=A","Days=T","Fill=B")</f>
        <v/>
      </c>
      <c r="LO4" s="4">
        <f>BDH(LO$1,LP$3:MD$3,$B$8,$B$9,"Dir=V","Dts=S","Sort=A","Days=T","Fill=B")</f>
        <v/>
      </c>
      <c r="MF4" s="4">
        <f>BDH(MF$1,MG$3:MU$3,$B$8,$B$9,"Dir=V","Dts=S","Sort=A","Days=T","Fill=B")</f>
        <v/>
      </c>
      <c r="MW4" s="4">
        <f>BDH(MW$1,MX$3:NL$3,$B$8,$B$9,"Dir=V","Dts=S","Sort=A","Days=T","Fill=B")</f>
        <v/>
      </c>
    </row>
    <row r="5">
      <c r="A5" s="2" t="inlineStr">
        <is>
          <t>Unadjusted close then</t>
        </is>
      </c>
      <c r="B5" s="10">
        <f>IF(B2="","",BDH(B2,"PX_LAST",B4,B4,"Days=A","Fill=P","Dts=H","CshAdjNormal=N","CshAdjAbnormal=N","CapChg=N"))</f>
        <v/>
      </c>
    </row>
    <row r="6">
      <c r="A6" s="2" t="inlineStr">
        <is>
          <t>Strike step</t>
        </is>
      </c>
      <c r="B6" s="11">
        <f>IF(ISNUMBER(B5),IF(B5&lt;25,0.5,IF(B5&lt;250,1,5)),"")</f>
        <v/>
      </c>
    </row>
    <row r="7">
      <c r="A7" s="2" t="inlineStr">
        <is>
          <t>ATM strike</t>
        </is>
      </c>
      <c r="B7" s="11">
        <f>IF(ISNUMBER(B5),ROUND(B5/B6,0)*B6,"")</f>
        <v/>
      </c>
    </row>
    <row r="8">
      <c r="A8" s="2" t="inlineStr">
        <is>
          <t>History start</t>
        </is>
      </c>
      <c r="B8" s="8">
        <f>B3-100</f>
        <v/>
      </c>
    </row>
    <row r="9">
      <c r="A9" s="2" t="inlineStr">
        <is>
          <t>History end</t>
        </is>
      </c>
      <c r="B9" s="8">
        <f>B3</f>
        <v/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NL9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2" customWidth="1" min="2" max="2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1" customWidth="1" min="15" max="15"/>
    <col width="11" customWidth="1" min="16" max="16"/>
    <col width="10" customWidth="1" min="17" max="17"/>
    <col width="11" customWidth="1" min="18" max="18"/>
    <col width="13" customWidth="1" min="19" max="19"/>
    <col width="12" customWidth="1" min="21" max="21"/>
    <col width="10" customWidth="1" min="22" max="22"/>
    <col width="10" customWidth="1" min="23" max="23"/>
    <col width="10" customWidth="1" min="24" max="24"/>
    <col width="10" customWidth="1" min="25" max="25"/>
    <col width="11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1" customWidth="1" min="32" max="32"/>
    <col width="11" customWidth="1" min="33" max="33"/>
    <col width="10" customWidth="1" min="34" max="34"/>
    <col width="11" customWidth="1" min="35" max="35"/>
    <col width="13" customWidth="1" min="36" max="36"/>
    <col width="12" customWidth="1" min="38" max="38"/>
    <col width="10" customWidth="1" min="39" max="39"/>
    <col width="10" customWidth="1" min="40" max="40"/>
    <col width="10" customWidth="1" min="41" max="41"/>
    <col width="10" customWidth="1" min="42" max="42"/>
    <col width="11" customWidth="1" min="43" max="43"/>
    <col width="11" customWidth="1" min="44" max="44"/>
    <col width="10" customWidth="1" min="45" max="45"/>
    <col width="10" customWidth="1" min="46" max="46"/>
    <col width="10" customWidth="1" min="47" max="47"/>
    <col width="10" customWidth="1" min="48" max="48"/>
    <col width="11" customWidth="1" min="49" max="49"/>
    <col width="11" customWidth="1" min="50" max="50"/>
    <col width="10" customWidth="1" min="51" max="51"/>
    <col width="11" customWidth="1" min="52" max="52"/>
    <col width="13" customWidth="1" min="53" max="53"/>
    <col width="12" customWidth="1" min="55" max="55"/>
    <col width="10" customWidth="1" min="56" max="56"/>
    <col width="10" customWidth="1" min="57" max="57"/>
    <col width="10" customWidth="1" min="58" max="58"/>
    <col width="10" customWidth="1" min="59" max="59"/>
    <col width="11" customWidth="1" min="60" max="60"/>
    <col width="11" customWidth="1" min="61" max="61"/>
    <col width="10" customWidth="1" min="62" max="62"/>
    <col width="10" customWidth="1" min="63" max="63"/>
    <col width="10" customWidth="1" min="64" max="64"/>
    <col width="10" customWidth="1" min="65" max="65"/>
    <col width="11" customWidth="1" min="66" max="66"/>
    <col width="11" customWidth="1" min="67" max="67"/>
    <col width="10" customWidth="1" min="68" max="68"/>
    <col width="11" customWidth="1" min="69" max="69"/>
    <col width="13" customWidth="1" min="70" max="70"/>
    <col width="12" customWidth="1" min="72" max="72"/>
    <col width="10" customWidth="1" min="73" max="73"/>
    <col width="10" customWidth="1" min="74" max="74"/>
    <col width="10" customWidth="1" min="75" max="75"/>
    <col width="10" customWidth="1" min="76" max="76"/>
    <col width="11" customWidth="1" min="77" max="77"/>
    <col width="11" customWidth="1" min="78" max="78"/>
    <col width="10" customWidth="1" min="79" max="79"/>
    <col width="10" customWidth="1" min="80" max="80"/>
    <col width="10" customWidth="1" min="81" max="81"/>
    <col width="10" customWidth="1" min="82" max="82"/>
    <col width="11" customWidth="1" min="83" max="83"/>
    <col width="11" customWidth="1" min="84" max="84"/>
    <col width="10" customWidth="1" min="85" max="85"/>
    <col width="11" customWidth="1" min="86" max="86"/>
    <col width="13" customWidth="1" min="87" max="87"/>
    <col width="12" customWidth="1" min="89" max="89"/>
    <col width="10" customWidth="1" min="90" max="90"/>
    <col width="10" customWidth="1" min="91" max="91"/>
    <col width="10" customWidth="1" min="92" max="92"/>
    <col width="10" customWidth="1" min="93" max="93"/>
    <col width="11" customWidth="1" min="94" max="94"/>
    <col width="11" customWidth="1" min="95" max="95"/>
    <col width="10" customWidth="1" min="96" max="96"/>
    <col width="10" customWidth="1" min="97" max="97"/>
    <col width="10" customWidth="1" min="98" max="98"/>
    <col width="10" customWidth="1" min="99" max="99"/>
    <col width="11" customWidth="1" min="100" max="100"/>
    <col width="11" customWidth="1" min="101" max="101"/>
    <col width="10" customWidth="1" min="102" max="102"/>
    <col width="11" customWidth="1" min="103" max="103"/>
    <col width="13" customWidth="1" min="104" max="104"/>
    <col width="12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1" customWidth="1" min="111" max="111"/>
    <col width="11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1" customWidth="1" min="117" max="117"/>
    <col width="11" customWidth="1" min="118" max="118"/>
    <col width="10" customWidth="1" min="119" max="119"/>
    <col width="11" customWidth="1" min="120" max="120"/>
    <col width="13" customWidth="1" min="121" max="121"/>
    <col width="12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1" customWidth="1" min="128" max="128"/>
    <col width="11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1" customWidth="1" min="134" max="134"/>
    <col width="11" customWidth="1" min="135" max="135"/>
    <col width="10" customWidth="1" min="136" max="136"/>
    <col width="11" customWidth="1" min="137" max="137"/>
    <col width="13" customWidth="1" min="138" max="138"/>
    <col width="12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1" customWidth="1" min="145" max="145"/>
    <col width="11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1" customWidth="1" min="151" max="151"/>
    <col width="11" customWidth="1" min="152" max="152"/>
    <col width="10" customWidth="1" min="153" max="153"/>
    <col width="11" customWidth="1" min="154" max="154"/>
    <col width="13" customWidth="1" min="155" max="155"/>
    <col width="12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1" customWidth="1" min="162" max="162"/>
    <col width="11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1" customWidth="1" min="168" max="168"/>
    <col width="11" customWidth="1" min="169" max="169"/>
    <col width="10" customWidth="1" min="170" max="170"/>
    <col width="11" customWidth="1" min="171" max="171"/>
    <col width="13" customWidth="1" min="172" max="172"/>
    <col width="12" customWidth="1" min="174" max="174"/>
    <col width="10" customWidth="1" min="175" max="175"/>
    <col width="10" customWidth="1" min="176" max="176"/>
    <col width="10" customWidth="1" min="177" max="177"/>
    <col width="10" customWidth="1" min="178" max="178"/>
    <col width="11" customWidth="1" min="179" max="179"/>
    <col width="11" customWidth="1" min="180" max="180"/>
    <col width="10" customWidth="1" min="181" max="181"/>
    <col width="10" customWidth="1" min="182" max="182"/>
    <col width="10" customWidth="1" min="183" max="183"/>
    <col width="10" customWidth="1" min="184" max="184"/>
    <col width="11" customWidth="1" min="185" max="185"/>
    <col width="11" customWidth="1" min="186" max="186"/>
    <col width="10" customWidth="1" min="187" max="187"/>
    <col width="11" customWidth="1" min="188" max="188"/>
    <col width="13" customWidth="1" min="189" max="189"/>
    <col width="12" customWidth="1" min="191" max="191"/>
    <col width="10" customWidth="1" min="192" max="192"/>
    <col width="10" customWidth="1" min="193" max="193"/>
    <col width="10" customWidth="1" min="194" max="194"/>
    <col width="10" customWidth="1" min="195" max="195"/>
    <col width="11" customWidth="1" min="196" max="196"/>
    <col width="11" customWidth="1" min="197" max="197"/>
    <col width="10" customWidth="1" min="198" max="198"/>
    <col width="10" customWidth="1" min="199" max="199"/>
    <col width="10" customWidth="1" min="200" max="200"/>
    <col width="10" customWidth="1" min="201" max="201"/>
    <col width="11" customWidth="1" min="202" max="202"/>
    <col width="11" customWidth="1" min="203" max="203"/>
    <col width="10" customWidth="1" min="204" max="204"/>
    <col width="11" customWidth="1" min="205" max="205"/>
    <col width="13" customWidth="1" min="206" max="206"/>
    <col width="12" customWidth="1" min="208" max="208"/>
    <col width="10" customWidth="1" min="209" max="209"/>
    <col width="10" customWidth="1" min="210" max="210"/>
    <col width="10" customWidth="1" min="211" max="211"/>
    <col width="10" customWidth="1" min="212" max="212"/>
    <col width="11" customWidth="1" min="213" max="213"/>
    <col width="11" customWidth="1" min="214" max="214"/>
    <col width="10" customWidth="1" min="215" max="215"/>
    <col width="10" customWidth="1" min="216" max="216"/>
    <col width="10" customWidth="1" min="217" max="217"/>
    <col width="10" customWidth="1" min="218" max="218"/>
    <col width="11" customWidth="1" min="219" max="219"/>
    <col width="11" customWidth="1" min="220" max="220"/>
    <col width="10" customWidth="1" min="221" max="221"/>
    <col width="11" customWidth="1" min="222" max="222"/>
    <col width="13" customWidth="1" min="223" max="223"/>
    <col width="12" customWidth="1" min="225" max="225"/>
    <col width="10" customWidth="1" min="226" max="226"/>
    <col width="10" customWidth="1" min="227" max="227"/>
    <col width="10" customWidth="1" min="228" max="228"/>
    <col width="10" customWidth="1" min="229" max="229"/>
    <col width="11" customWidth="1" min="230" max="230"/>
    <col width="11" customWidth="1" min="231" max="231"/>
    <col width="10" customWidth="1" min="232" max="232"/>
    <col width="10" customWidth="1" min="233" max="233"/>
    <col width="10" customWidth="1" min="234" max="234"/>
    <col width="10" customWidth="1" min="235" max="235"/>
    <col width="11" customWidth="1" min="236" max="236"/>
    <col width="11" customWidth="1" min="237" max="237"/>
    <col width="10" customWidth="1" min="238" max="238"/>
    <col width="11" customWidth="1" min="239" max="239"/>
    <col width="13" customWidth="1" min="240" max="240"/>
    <col width="12" customWidth="1" min="242" max="242"/>
    <col width="10" customWidth="1" min="243" max="243"/>
    <col width="10" customWidth="1" min="244" max="244"/>
    <col width="10" customWidth="1" min="245" max="245"/>
    <col width="10" customWidth="1" min="246" max="246"/>
    <col width="11" customWidth="1" min="247" max="247"/>
    <col width="11" customWidth="1" min="248" max="248"/>
    <col width="10" customWidth="1" min="249" max="249"/>
    <col width="10" customWidth="1" min="250" max="250"/>
    <col width="10" customWidth="1" min="251" max="251"/>
    <col width="10" customWidth="1" min="252" max="252"/>
    <col width="11" customWidth="1" min="253" max="253"/>
    <col width="11" customWidth="1" min="254" max="254"/>
    <col width="10" customWidth="1" min="255" max="255"/>
    <col width="11" customWidth="1" min="256" max="256"/>
    <col width="13" customWidth="1" min="257" max="257"/>
    <col width="12" customWidth="1" min="259" max="259"/>
    <col width="10" customWidth="1" min="260" max="260"/>
    <col width="10" customWidth="1" min="261" max="261"/>
    <col width="10" customWidth="1" min="262" max="262"/>
    <col width="10" customWidth="1" min="263" max="263"/>
    <col width="11" customWidth="1" min="264" max="264"/>
    <col width="11" customWidth="1" min="265" max="265"/>
    <col width="10" customWidth="1" min="266" max="266"/>
    <col width="10" customWidth="1" min="267" max="267"/>
    <col width="10" customWidth="1" min="268" max="268"/>
    <col width="10" customWidth="1" min="269" max="269"/>
    <col width="11" customWidth="1" min="270" max="270"/>
    <col width="11" customWidth="1" min="271" max="271"/>
    <col width="10" customWidth="1" min="272" max="272"/>
    <col width="11" customWidth="1" min="273" max="273"/>
    <col width="13" customWidth="1" min="274" max="274"/>
    <col width="12" customWidth="1" min="276" max="276"/>
    <col width="10" customWidth="1" min="277" max="277"/>
    <col width="10" customWidth="1" min="278" max="278"/>
    <col width="10" customWidth="1" min="279" max="279"/>
    <col width="10" customWidth="1" min="280" max="280"/>
    <col width="11" customWidth="1" min="281" max="281"/>
    <col width="11" customWidth="1" min="282" max="282"/>
    <col width="10" customWidth="1" min="283" max="283"/>
    <col width="10" customWidth="1" min="284" max="284"/>
    <col width="10" customWidth="1" min="285" max="285"/>
    <col width="10" customWidth="1" min="286" max="286"/>
    <col width="11" customWidth="1" min="287" max="287"/>
    <col width="11" customWidth="1" min="288" max="288"/>
    <col width="10" customWidth="1" min="289" max="289"/>
    <col width="11" customWidth="1" min="290" max="290"/>
    <col width="13" customWidth="1" min="291" max="291"/>
    <col width="12" customWidth="1" min="293" max="293"/>
    <col width="10" customWidth="1" min="294" max="294"/>
    <col width="10" customWidth="1" min="295" max="295"/>
    <col width="10" customWidth="1" min="296" max="296"/>
    <col width="10" customWidth="1" min="297" max="297"/>
    <col width="11" customWidth="1" min="298" max="298"/>
    <col width="11" customWidth="1" min="299" max="299"/>
    <col width="10" customWidth="1" min="300" max="300"/>
    <col width="10" customWidth="1" min="301" max="301"/>
    <col width="10" customWidth="1" min="302" max="302"/>
    <col width="10" customWidth="1" min="303" max="303"/>
    <col width="11" customWidth="1" min="304" max="304"/>
    <col width="11" customWidth="1" min="305" max="305"/>
    <col width="10" customWidth="1" min="306" max="306"/>
    <col width="11" customWidth="1" min="307" max="307"/>
    <col width="13" customWidth="1" min="308" max="308"/>
    <col width="12" customWidth="1" min="310" max="310"/>
    <col width="10" customWidth="1" min="311" max="311"/>
    <col width="10" customWidth="1" min="312" max="312"/>
    <col width="10" customWidth="1" min="313" max="313"/>
    <col width="10" customWidth="1" min="314" max="314"/>
    <col width="11" customWidth="1" min="315" max="315"/>
    <col width="11" customWidth="1" min="316" max="316"/>
    <col width="10" customWidth="1" min="317" max="317"/>
    <col width="10" customWidth="1" min="318" max="318"/>
    <col width="10" customWidth="1" min="319" max="319"/>
    <col width="10" customWidth="1" min="320" max="320"/>
    <col width="11" customWidth="1" min="321" max="321"/>
    <col width="11" customWidth="1" min="322" max="322"/>
    <col width="10" customWidth="1" min="323" max="323"/>
    <col width="11" customWidth="1" min="324" max="324"/>
    <col width="13" customWidth="1" min="325" max="325"/>
    <col width="12" customWidth="1" min="327" max="327"/>
    <col width="10" customWidth="1" min="328" max="328"/>
    <col width="10" customWidth="1" min="329" max="329"/>
    <col width="10" customWidth="1" min="330" max="330"/>
    <col width="10" customWidth="1" min="331" max="331"/>
    <col width="11" customWidth="1" min="332" max="332"/>
    <col width="11" customWidth="1" min="333" max="333"/>
    <col width="10" customWidth="1" min="334" max="334"/>
    <col width="10" customWidth="1" min="335" max="335"/>
    <col width="10" customWidth="1" min="336" max="336"/>
    <col width="10" customWidth="1" min="337" max="337"/>
    <col width="11" customWidth="1" min="338" max="338"/>
    <col width="11" customWidth="1" min="339" max="339"/>
    <col width="10" customWidth="1" min="340" max="340"/>
    <col width="11" customWidth="1" min="341" max="341"/>
    <col width="13" customWidth="1" min="342" max="342"/>
    <col width="12" customWidth="1" min="344" max="344"/>
    <col width="10" customWidth="1" min="345" max="345"/>
    <col width="10" customWidth="1" min="346" max="346"/>
    <col width="10" customWidth="1" min="347" max="347"/>
    <col width="10" customWidth="1" min="348" max="348"/>
    <col width="11" customWidth="1" min="349" max="349"/>
    <col width="11" customWidth="1" min="350" max="350"/>
    <col width="10" customWidth="1" min="351" max="351"/>
    <col width="10" customWidth="1" min="352" max="352"/>
    <col width="10" customWidth="1" min="353" max="353"/>
    <col width="10" customWidth="1" min="354" max="354"/>
    <col width="11" customWidth="1" min="355" max="355"/>
    <col width="11" customWidth="1" min="356" max="356"/>
    <col width="10" customWidth="1" min="357" max="357"/>
    <col width="11" customWidth="1" min="358" max="358"/>
    <col width="13" customWidth="1" min="359" max="359"/>
    <col width="12" customWidth="1" min="361" max="361"/>
    <col width="10" customWidth="1" min="362" max="362"/>
    <col width="10" customWidth="1" min="363" max="363"/>
    <col width="10" customWidth="1" min="364" max="364"/>
    <col width="10" customWidth="1" min="365" max="365"/>
    <col width="11" customWidth="1" min="366" max="366"/>
    <col width="11" customWidth="1" min="367" max="367"/>
    <col width="10" customWidth="1" min="368" max="368"/>
    <col width="10" customWidth="1" min="369" max="369"/>
    <col width="10" customWidth="1" min="370" max="370"/>
    <col width="10" customWidth="1" min="371" max="371"/>
    <col width="11" customWidth="1" min="372" max="372"/>
    <col width="11" customWidth="1" min="373" max="373"/>
    <col width="10" customWidth="1" min="374" max="374"/>
    <col width="11" customWidth="1" min="375" max="375"/>
    <col width="13" customWidth="1" min="376" max="376"/>
  </cols>
  <sheetData>
    <row r="1">
      <c r="A1" s="2" t="inlineStr">
        <is>
          <t>Month</t>
        </is>
      </c>
      <c r="B1" s="9" t="n">
        <v>4</v>
      </c>
      <c r="D1" s="2">
        <f>IF(ISNUMBER(B$7),"XLE US "&amp;TEXT(B$3,"mm/dd/yy")&amp;" C"&amp;(B$7-5*B$6)&amp;" Equity","")</f>
        <v/>
      </c>
      <c r="U1" s="2">
        <f>IF(ISNUMBER(B$7),"XLE US "&amp;TEXT(B$3,"mm/dd/yy")&amp;" P"&amp;(B$7-5*B$6)&amp;" Equity","")</f>
        <v/>
      </c>
      <c r="AL1" s="2">
        <f>IF(ISNUMBER(B$7),"XLE US "&amp;TEXT(B$3,"mm/dd/yy")&amp;" C"&amp;(B$7-4*B$6)&amp;" Equity","")</f>
        <v/>
      </c>
      <c r="BC1" s="2">
        <f>IF(ISNUMBER(B$7),"XLE US "&amp;TEXT(B$3,"mm/dd/yy")&amp;" P"&amp;(B$7-4*B$6)&amp;" Equity","")</f>
        <v/>
      </c>
      <c r="BT1" s="2">
        <f>IF(ISNUMBER(B$7),"XLE US "&amp;TEXT(B$3,"mm/dd/yy")&amp;" C"&amp;(B$7-3*B$6)&amp;" Equity","")</f>
        <v/>
      </c>
      <c r="CK1" s="2">
        <f>IF(ISNUMBER(B$7),"XLE US "&amp;TEXT(B$3,"mm/dd/yy")&amp;" P"&amp;(B$7-3*B$6)&amp;" Equity","")</f>
        <v/>
      </c>
      <c r="DB1" s="2">
        <f>IF(ISNUMBER(B$7),"XLE US "&amp;TEXT(B$3,"mm/dd/yy")&amp;" C"&amp;(B$7-2*B$6)&amp;" Equity","")</f>
        <v/>
      </c>
      <c r="DS1" s="2">
        <f>IF(ISNUMBER(B$7),"XLE US "&amp;TEXT(B$3,"mm/dd/yy")&amp;" P"&amp;(B$7-2*B$6)&amp;" Equity","")</f>
        <v/>
      </c>
      <c r="EJ1" s="2">
        <f>IF(ISNUMBER(B$7),"XLE US "&amp;TEXT(B$3,"mm/dd/yy")&amp;" C"&amp;(B$7-1*B$6)&amp;" Equity","")</f>
        <v/>
      </c>
      <c r="FA1" s="2">
        <f>IF(ISNUMBER(B$7),"XLE US "&amp;TEXT(B$3,"mm/dd/yy")&amp;" P"&amp;(B$7-1*B$6)&amp;" Equity","")</f>
        <v/>
      </c>
      <c r="FR1" s="2">
        <f>IF(ISNUMBER(B$7),"XLE US "&amp;TEXT(B$3,"mm/dd/yy")&amp;" C"&amp;B$7&amp;" Equity","")</f>
        <v/>
      </c>
      <c r="GI1" s="2">
        <f>IF(ISNUMBER(B$7),"XLE US "&amp;TEXT(B$3,"mm/dd/yy")&amp;" P"&amp;B$7&amp;" Equity","")</f>
        <v/>
      </c>
      <c r="GZ1" s="2">
        <f>IF(ISNUMBER(B$7),"XLE US "&amp;TEXT(B$3,"mm/dd/yy")&amp;" C"&amp;(B$7+1*B$6)&amp;" Equity","")</f>
        <v/>
      </c>
      <c r="HQ1" s="2">
        <f>IF(ISNUMBER(B$7),"XLE US "&amp;TEXT(B$3,"mm/dd/yy")&amp;" P"&amp;(B$7+1*B$6)&amp;" Equity","")</f>
        <v/>
      </c>
      <c r="IH1" s="2">
        <f>IF(ISNUMBER(B$7),"XLE US "&amp;TEXT(B$3,"mm/dd/yy")&amp;" C"&amp;(B$7+2*B$6)&amp;" Equity","")</f>
        <v/>
      </c>
      <c r="IY1" s="2">
        <f>IF(ISNUMBER(B$7),"XLE US "&amp;TEXT(B$3,"mm/dd/yy")&amp;" P"&amp;(B$7+2*B$6)&amp;" Equity","")</f>
        <v/>
      </c>
      <c r="JP1" s="2">
        <f>IF(ISNUMBER(B$7),"XLE US "&amp;TEXT(B$3,"mm/dd/yy")&amp;" C"&amp;(B$7+3*B$6)&amp;" Equity","")</f>
        <v/>
      </c>
      <c r="KG1" s="2">
        <f>IF(ISNUMBER(B$7),"XLE US "&amp;TEXT(B$3,"mm/dd/yy")&amp;" P"&amp;(B$7+3*B$6)&amp;" Equity","")</f>
        <v/>
      </c>
      <c r="KX1" s="2">
        <f>IF(ISNUMBER(B$7),"XLE US "&amp;TEXT(B$3,"mm/dd/yy")&amp;" C"&amp;(B$7+4*B$6)&amp;" Equity","")</f>
        <v/>
      </c>
      <c r="LO1" s="2">
        <f>IF(ISNUMBER(B$7),"XLE US "&amp;TEXT(B$3,"mm/dd/yy")&amp;" P"&amp;(B$7+4*B$6)&amp;" Equity","")</f>
        <v/>
      </c>
      <c r="MF1" s="2">
        <f>IF(ISNUMBER(B$7),"XLE US "&amp;TEXT(B$3,"mm/dd/yy")&amp;" C"&amp;(B$7+5*B$6)&amp;" Equity","")</f>
        <v/>
      </c>
      <c r="MW1" s="2">
        <f>IF(ISNUMBER(B$7),"XLE US "&amp;TEXT(B$3,"mm/dd/yy")&amp;" P"&amp;(B$7+5*B$6)&amp;" Equity","")</f>
        <v/>
      </c>
    </row>
    <row r="2">
      <c r="A2" s="2" t="inlineStr">
        <is>
          <t>Underlying</t>
        </is>
      </c>
      <c r="B2" s="4">
        <f>IF(Settings!$B$16="Y","XLE US Equity","")</f>
        <v/>
      </c>
      <c r="D2" s="4" t="inlineStr">
        <is>
          <t>call -5 from ATM</t>
        </is>
      </c>
      <c r="U2" s="4" t="inlineStr">
        <is>
          <t>put -5 from ATM</t>
        </is>
      </c>
      <c r="AL2" s="4" t="inlineStr">
        <is>
          <t>call -4 from ATM</t>
        </is>
      </c>
      <c r="BC2" s="4" t="inlineStr">
        <is>
          <t>put -4 from ATM</t>
        </is>
      </c>
      <c r="BT2" s="4" t="inlineStr">
        <is>
          <t>call -3 from ATM</t>
        </is>
      </c>
      <c r="CK2" s="4" t="inlineStr">
        <is>
          <t>put -3 from ATM</t>
        </is>
      </c>
      <c r="DB2" s="4" t="inlineStr">
        <is>
          <t>call -2 from ATM</t>
        </is>
      </c>
      <c r="DS2" s="4" t="inlineStr">
        <is>
          <t>put -2 from ATM</t>
        </is>
      </c>
      <c r="EJ2" s="4" t="inlineStr">
        <is>
          <t>call -1 from ATM</t>
        </is>
      </c>
      <c r="FA2" s="4" t="inlineStr">
        <is>
          <t>put -1 from ATM</t>
        </is>
      </c>
      <c r="FR2" s="4" t="inlineStr">
        <is>
          <t>call +0 from ATM</t>
        </is>
      </c>
      <c r="GI2" s="4" t="inlineStr">
        <is>
          <t>put +0 from ATM</t>
        </is>
      </c>
      <c r="GZ2" s="4" t="inlineStr">
        <is>
          <t>call +1 from ATM</t>
        </is>
      </c>
      <c r="HQ2" s="4" t="inlineStr">
        <is>
          <t>put +1 from ATM</t>
        </is>
      </c>
      <c r="IH2" s="4" t="inlineStr">
        <is>
          <t>call +2 from ATM</t>
        </is>
      </c>
      <c r="IY2" s="4" t="inlineStr">
        <is>
          <t>put +2 from ATM</t>
        </is>
      </c>
      <c r="JP2" s="4" t="inlineStr">
        <is>
          <t>call +3 from ATM</t>
        </is>
      </c>
      <c r="KG2" s="4" t="inlineStr">
        <is>
          <t>put +3 from ATM</t>
        </is>
      </c>
      <c r="KX2" s="4" t="inlineStr">
        <is>
          <t>call +4 from ATM</t>
        </is>
      </c>
      <c r="LO2" s="4" t="inlineStr">
        <is>
          <t>put +4 from ATM</t>
        </is>
      </c>
      <c r="MF2" s="4" t="inlineStr">
        <is>
          <t>call +5 from ATM</t>
        </is>
      </c>
      <c r="MW2" s="4" t="inlineStr">
        <is>
          <t>put +5 from ATM</t>
        </is>
      </c>
    </row>
    <row r="3">
      <c r="A3" s="2" t="inlineStr">
        <is>
          <t>Expiry (3rd Friday)</t>
        </is>
      </c>
      <c r="B3" s="3">
        <f>DATE(Settings!$E$16,B1,15)+MOD(6-WEEKDAY(DATE(Settings!$E$16,B1,15)),7)</f>
        <v/>
      </c>
      <c r="D3" s="5" t="inlineStr">
        <is>
          <t>Date</t>
        </is>
      </c>
      <c r="E3" s="5" t="inlineStr">
        <is>
          <t>PX_BID</t>
        </is>
      </c>
      <c r="F3" s="5" t="inlineStr">
        <is>
          <t>PX_ASK</t>
        </is>
      </c>
      <c r="G3" s="5" t="inlineStr">
        <is>
          <t>PX_MID</t>
        </is>
      </c>
      <c r="H3" s="5" t="inlineStr">
        <is>
          <t>PX_LAST</t>
        </is>
      </c>
      <c r="I3" s="5" t="inlineStr">
        <is>
          <t>PX_SETTLE</t>
        </is>
      </c>
      <c r="J3" s="5" t="inlineStr">
        <is>
          <t>PX_VOLUME</t>
        </is>
      </c>
      <c r="K3" s="5" t="inlineStr">
        <is>
          <t>OPEN_INT</t>
        </is>
      </c>
      <c r="L3" s="5" t="inlineStr">
        <is>
          <t>IVOL_MID</t>
        </is>
      </c>
      <c r="M3" s="5" t="inlineStr">
        <is>
          <t>IVOL_BID</t>
        </is>
      </c>
      <c r="N3" s="5" t="inlineStr">
        <is>
          <t>IVOL_ASK</t>
        </is>
      </c>
      <c r="O3" s="5" t="inlineStr">
        <is>
          <t>DELTA_MID</t>
        </is>
      </c>
      <c r="P3" s="5" t="inlineStr">
        <is>
          <t>GAMMA_MID</t>
        </is>
      </c>
      <c r="Q3" s="5" t="inlineStr">
        <is>
          <t>VEGA_MID</t>
        </is>
      </c>
      <c r="R3" s="5" t="inlineStr">
        <is>
          <t>THETA_MID</t>
        </is>
      </c>
      <c r="S3" s="5" t="inlineStr">
        <is>
          <t>OPT_UNDL_PX</t>
        </is>
      </c>
      <c r="U3" s="5" t="inlineStr">
        <is>
          <t>Date</t>
        </is>
      </c>
      <c r="V3" s="5" t="inlineStr">
        <is>
          <t>PX_BID</t>
        </is>
      </c>
      <c r="W3" s="5" t="inlineStr">
        <is>
          <t>PX_ASK</t>
        </is>
      </c>
      <c r="X3" s="5" t="inlineStr">
        <is>
          <t>PX_MID</t>
        </is>
      </c>
      <c r="Y3" s="5" t="inlineStr">
        <is>
          <t>PX_LAST</t>
        </is>
      </c>
      <c r="Z3" s="5" t="inlineStr">
        <is>
          <t>PX_SETTLE</t>
        </is>
      </c>
      <c r="AA3" s="5" t="inlineStr">
        <is>
          <t>PX_VOLUME</t>
        </is>
      </c>
      <c r="AB3" s="5" t="inlineStr">
        <is>
          <t>OPEN_INT</t>
        </is>
      </c>
      <c r="AC3" s="5" t="inlineStr">
        <is>
          <t>IVOL_MID</t>
        </is>
      </c>
      <c r="AD3" s="5" t="inlineStr">
        <is>
          <t>IVOL_BID</t>
        </is>
      </c>
      <c r="AE3" s="5" t="inlineStr">
        <is>
          <t>IVOL_ASK</t>
        </is>
      </c>
      <c r="AF3" s="5" t="inlineStr">
        <is>
          <t>DELTA_MID</t>
        </is>
      </c>
      <c r="AG3" s="5" t="inlineStr">
        <is>
          <t>GAMMA_MID</t>
        </is>
      </c>
      <c r="AH3" s="5" t="inlineStr">
        <is>
          <t>VEGA_MID</t>
        </is>
      </c>
      <c r="AI3" s="5" t="inlineStr">
        <is>
          <t>THETA_MID</t>
        </is>
      </c>
      <c r="AJ3" s="5" t="inlineStr">
        <is>
          <t>OPT_UNDL_PX</t>
        </is>
      </c>
      <c r="AL3" s="5" t="inlineStr">
        <is>
          <t>Date</t>
        </is>
      </c>
      <c r="AM3" s="5" t="inlineStr">
        <is>
          <t>PX_BID</t>
        </is>
      </c>
      <c r="AN3" s="5" t="inlineStr">
        <is>
          <t>PX_ASK</t>
        </is>
      </c>
      <c r="AO3" s="5" t="inlineStr">
        <is>
          <t>PX_MID</t>
        </is>
      </c>
      <c r="AP3" s="5" t="inlineStr">
        <is>
          <t>PX_LAST</t>
        </is>
      </c>
      <c r="AQ3" s="5" t="inlineStr">
        <is>
          <t>PX_SETTLE</t>
        </is>
      </c>
      <c r="AR3" s="5" t="inlineStr">
        <is>
          <t>PX_VOLUME</t>
        </is>
      </c>
      <c r="AS3" s="5" t="inlineStr">
        <is>
          <t>OPEN_INT</t>
        </is>
      </c>
      <c r="AT3" s="5" t="inlineStr">
        <is>
          <t>IVOL_MID</t>
        </is>
      </c>
      <c r="AU3" s="5" t="inlineStr">
        <is>
          <t>IVOL_BID</t>
        </is>
      </c>
      <c r="AV3" s="5" t="inlineStr">
        <is>
          <t>IVOL_ASK</t>
        </is>
      </c>
      <c r="AW3" s="5" t="inlineStr">
        <is>
          <t>DELTA_MID</t>
        </is>
      </c>
      <c r="AX3" s="5" t="inlineStr">
        <is>
          <t>GAMMA_MID</t>
        </is>
      </c>
      <c r="AY3" s="5" t="inlineStr">
        <is>
          <t>VEGA_MID</t>
        </is>
      </c>
      <c r="AZ3" s="5" t="inlineStr">
        <is>
          <t>THETA_MID</t>
        </is>
      </c>
      <c r="BA3" s="5" t="inlineStr">
        <is>
          <t>OPT_UNDL_PX</t>
        </is>
      </c>
      <c r="BC3" s="5" t="inlineStr">
        <is>
          <t>Date</t>
        </is>
      </c>
      <c r="BD3" s="5" t="inlineStr">
        <is>
          <t>PX_BID</t>
        </is>
      </c>
      <c r="BE3" s="5" t="inlineStr">
        <is>
          <t>PX_ASK</t>
        </is>
      </c>
      <c r="BF3" s="5" t="inlineStr">
        <is>
          <t>PX_MID</t>
        </is>
      </c>
      <c r="BG3" s="5" t="inlineStr">
        <is>
          <t>PX_LAST</t>
        </is>
      </c>
      <c r="BH3" s="5" t="inlineStr">
        <is>
          <t>PX_SETTLE</t>
        </is>
      </c>
      <c r="BI3" s="5" t="inlineStr">
        <is>
          <t>PX_VOLUME</t>
        </is>
      </c>
      <c r="BJ3" s="5" t="inlineStr">
        <is>
          <t>OPEN_INT</t>
        </is>
      </c>
      <c r="BK3" s="5" t="inlineStr">
        <is>
          <t>IVOL_MID</t>
        </is>
      </c>
      <c r="BL3" s="5" t="inlineStr">
        <is>
          <t>IVOL_BID</t>
        </is>
      </c>
      <c r="BM3" s="5" t="inlineStr">
        <is>
          <t>IVOL_ASK</t>
        </is>
      </c>
      <c r="BN3" s="5" t="inlineStr">
        <is>
          <t>DELTA_MID</t>
        </is>
      </c>
      <c r="BO3" s="5" t="inlineStr">
        <is>
          <t>GAMMA_MID</t>
        </is>
      </c>
      <c r="BP3" s="5" t="inlineStr">
        <is>
          <t>VEGA_MID</t>
        </is>
      </c>
      <c r="BQ3" s="5" t="inlineStr">
        <is>
          <t>THETA_MID</t>
        </is>
      </c>
      <c r="BR3" s="5" t="inlineStr">
        <is>
          <t>OPT_UNDL_PX</t>
        </is>
      </c>
      <c r="BT3" s="5" t="inlineStr">
        <is>
          <t>Date</t>
        </is>
      </c>
      <c r="BU3" s="5" t="inlineStr">
        <is>
          <t>PX_BID</t>
        </is>
      </c>
      <c r="BV3" s="5" t="inlineStr">
        <is>
          <t>PX_ASK</t>
        </is>
      </c>
      <c r="BW3" s="5" t="inlineStr">
        <is>
          <t>PX_MID</t>
        </is>
      </c>
      <c r="BX3" s="5" t="inlineStr">
        <is>
          <t>PX_LAST</t>
        </is>
      </c>
      <c r="BY3" s="5" t="inlineStr">
        <is>
          <t>PX_SETTLE</t>
        </is>
      </c>
      <c r="BZ3" s="5" t="inlineStr">
        <is>
          <t>PX_VOLUME</t>
        </is>
      </c>
      <c r="CA3" s="5" t="inlineStr">
        <is>
          <t>OPEN_INT</t>
        </is>
      </c>
      <c r="CB3" s="5" t="inlineStr">
        <is>
          <t>IVOL_MID</t>
        </is>
      </c>
      <c r="CC3" s="5" t="inlineStr">
        <is>
          <t>IVOL_BID</t>
        </is>
      </c>
      <c r="CD3" s="5" t="inlineStr">
        <is>
          <t>IVOL_ASK</t>
        </is>
      </c>
      <c r="CE3" s="5" t="inlineStr">
        <is>
          <t>DELTA_MID</t>
        </is>
      </c>
      <c r="CF3" s="5" t="inlineStr">
        <is>
          <t>GAMMA_MID</t>
        </is>
      </c>
      <c r="CG3" s="5" t="inlineStr">
        <is>
          <t>VEGA_MID</t>
        </is>
      </c>
      <c r="CH3" s="5" t="inlineStr">
        <is>
          <t>THETA_MID</t>
        </is>
      </c>
      <c r="CI3" s="5" t="inlineStr">
        <is>
          <t>OPT_UNDL_PX</t>
        </is>
      </c>
      <c r="CK3" s="5" t="inlineStr">
        <is>
          <t>Date</t>
        </is>
      </c>
      <c r="CL3" s="5" t="inlineStr">
        <is>
          <t>PX_BID</t>
        </is>
      </c>
      <c r="CM3" s="5" t="inlineStr">
        <is>
          <t>PX_ASK</t>
        </is>
      </c>
      <c r="CN3" s="5" t="inlineStr">
        <is>
          <t>PX_MID</t>
        </is>
      </c>
      <c r="CO3" s="5" t="inlineStr">
        <is>
          <t>PX_LAST</t>
        </is>
      </c>
      <c r="CP3" s="5" t="inlineStr">
        <is>
          <t>PX_SETTLE</t>
        </is>
      </c>
      <c r="CQ3" s="5" t="inlineStr">
        <is>
          <t>PX_VOLUME</t>
        </is>
      </c>
      <c r="CR3" s="5" t="inlineStr">
        <is>
          <t>OPEN_INT</t>
        </is>
      </c>
      <c r="CS3" s="5" t="inlineStr">
        <is>
          <t>IVOL_MID</t>
        </is>
      </c>
      <c r="CT3" s="5" t="inlineStr">
        <is>
          <t>IVOL_BID</t>
        </is>
      </c>
      <c r="CU3" s="5" t="inlineStr">
        <is>
          <t>IVOL_ASK</t>
        </is>
      </c>
      <c r="CV3" s="5" t="inlineStr">
        <is>
          <t>DELTA_MID</t>
        </is>
      </c>
      <c r="CW3" s="5" t="inlineStr">
        <is>
          <t>GAMMA_MID</t>
        </is>
      </c>
      <c r="CX3" s="5" t="inlineStr">
        <is>
          <t>VEGA_MID</t>
        </is>
      </c>
      <c r="CY3" s="5" t="inlineStr">
        <is>
          <t>THETA_MID</t>
        </is>
      </c>
      <c r="CZ3" s="5" t="inlineStr">
        <is>
          <t>OPT_UNDL_PX</t>
        </is>
      </c>
      <c r="DB3" s="5" t="inlineStr">
        <is>
          <t>Date</t>
        </is>
      </c>
      <c r="DC3" s="5" t="inlineStr">
        <is>
          <t>PX_BID</t>
        </is>
      </c>
      <c r="DD3" s="5" t="inlineStr">
        <is>
          <t>PX_ASK</t>
        </is>
      </c>
      <c r="DE3" s="5" t="inlineStr">
        <is>
          <t>PX_MID</t>
        </is>
      </c>
      <c r="DF3" s="5" t="inlineStr">
        <is>
          <t>PX_LAST</t>
        </is>
      </c>
      <c r="DG3" s="5" t="inlineStr">
        <is>
          <t>PX_SETTLE</t>
        </is>
      </c>
      <c r="DH3" s="5" t="inlineStr">
        <is>
          <t>PX_VOLUME</t>
        </is>
      </c>
      <c r="DI3" s="5" t="inlineStr">
        <is>
          <t>OPEN_INT</t>
        </is>
      </c>
      <c r="DJ3" s="5" t="inlineStr">
        <is>
          <t>IVOL_MID</t>
        </is>
      </c>
      <c r="DK3" s="5" t="inlineStr">
        <is>
          <t>IVOL_BID</t>
        </is>
      </c>
      <c r="DL3" s="5" t="inlineStr">
        <is>
          <t>IVOL_ASK</t>
        </is>
      </c>
      <c r="DM3" s="5" t="inlineStr">
        <is>
          <t>DELTA_MID</t>
        </is>
      </c>
      <c r="DN3" s="5" t="inlineStr">
        <is>
          <t>GAMMA_MID</t>
        </is>
      </c>
      <c r="DO3" s="5" t="inlineStr">
        <is>
          <t>VEGA_MID</t>
        </is>
      </c>
      <c r="DP3" s="5" t="inlineStr">
        <is>
          <t>THETA_MID</t>
        </is>
      </c>
      <c r="DQ3" s="5" t="inlineStr">
        <is>
          <t>OPT_UNDL_PX</t>
        </is>
      </c>
      <c r="DS3" s="5" t="inlineStr">
        <is>
          <t>Date</t>
        </is>
      </c>
      <c r="DT3" s="5" t="inlineStr">
        <is>
          <t>PX_BID</t>
        </is>
      </c>
      <c r="DU3" s="5" t="inlineStr">
        <is>
          <t>PX_ASK</t>
        </is>
      </c>
      <c r="DV3" s="5" t="inlineStr">
        <is>
          <t>PX_MID</t>
        </is>
      </c>
      <c r="DW3" s="5" t="inlineStr">
        <is>
          <t>PX_LAST</t>
        </is>
      </c>
      <c r="DX3" s="5" t="inlineStr">
        <is>
          <t>PX_SETTLE</t>
        </is>
      </c>
      <c r="DY3" s="5" t="inlineStr">
        <is>
          <t>PX_VOLUME</t>
        </is>
      </c>
      <c r="DZ3" s="5" t="inlineStr">
        <is>
          <t>OPEN_INT</t>
        </is>
      </c>
      <c r="EA3" s="5" t="inlineStr">
        <is>
          <t>IVOL_MID</t>
        </is>
      </c>
      <c r="EB3" s="5" t="inlineStr">
        <is>
          <t>IVOL_BID</t>
        </is>
      </c>
      <c r="EC3" s="5" t="inlineStr">
        <is>
          <t>IVOL_ASK</t>
        </is>
      </c>
      <c r="ED3" s="5" t="inlineStr">
        <is>
          <t>DELTA_MID</t>
        </is>
      </c>
      <c r="EE3" s="5" t="inlineStr">
        <is>
          <t>GAMMA_MID</t>
        </is>
      </c>
      <c r="EF3" s="5" t="inlineStr">
        <is>
          <t>VEGA_MID</t>
        </is>
      </c>
      <c r="EG3" s="5" t="inlineStr">
        <is>
          <t>THETA_MID</t>
        </is>
      </c>
      <c r="EH3" s="5" t="inlineStr">
        <is>
          <t>OPT_UNDL_PX</t>
        </is>
      </c>
      <c r="EJ3" s="5" t="inlineStr">
        <is>
          <t>Date</t>
        </is>
      </c>
      <c r="EK3" s="5" t="inlineStr">
        <is>
          <t>PX_BID</t>
        </is>
      </c>
      <c r="EL3" s="5" t="inlineStr">
        <is>
          <t>PX_ASK</t>
        </is>
      </c>
      <c r="EM3" s="5" t="inlineStr">
        <is>
          <t>PX_MID</t>
        </is>
      </c>
      <c r="EN3" s="5" t="inlineStr">
        <is>
          <t>PX_LAST</t>
        </is>
      </c>
      <c r="EO3" s="5" t="inlineStr">
        <is>
          <t>PX_SETTLE</t>
        </is>
      </c>
      <c r="EP3" s="5" t="inlineStr">
        <is>
          <t>PX_VOLUME</t>
        </is>
      </c>
      <c r="EQ3" s="5" t="inlineStr">
        <is>
          <t>OPEN_INT</t>
        </is>
      </c>
      <c r="ER3" s="5" t="inlineStr">
        <is>
          <t>IVOL_MID</t>
        </is>
      </c>
      <c r="ES3" s="5" t="inlineStr">
        <is>
          <t>IVOL_BID</t>
        </is>
      </c>
      <c r="ET3" s="5" t="inlineStr">
        <is>
          <t>IVOL_ASK</t>
        </is>
      </c>
      <c r="EU3" s="5" t="inlineStr">
        <is>
          <t>DELTA_MID</t>
        </is>
      </c>
      <c r="EV3" s="5" t="inlineStr">
        <is>
          <t>GAMMA_MID</t>
        </is>
      </c>
      <c r="EW3" s="5" t="inlineStr">
        <is>
          <t>VEGA_MID</t>
        </is>
      </c>
      <c r="EX3" s="5" t="inlineStr">
        <is>
          <t>THETA_MID</t>
        </is>
      </c>
      <c r="EY3" s="5" t="inlineStr">
        <is>
          <t>OPT_UNDL_PX</t>
        </is>
      </c>
      <c r="FA3" s="5" t="inlineStr">
        <is>
          <t>Date</t>
        </is>
      </c>
      <c r="FB3" s="5" t="inlineStr">
        <is>
          <t>PX_BID</t>
        </is>
      </c>
      <c r="FC3" s="5" t="inlineStr">
        <is>
          <t>PX_ASK</t>
        </is>
      </c>
      <c r="FD3" s="5" t="inlineStr">
        <is>
          <t>PX_MID</t>
        </is>
      </c>
      <c r="FE3" s="5" t="inlineStr">
        <is>
          <t>PX_LAST</t>
        </is>
      </c>
      <c r="FF3" s="5" t="inlineStr">
        <is>
          <t>PX_SETTLE</t>
        </is>
      </c>
      <c r="FG3" s="5" t="inlineStr">
        <is>
          <t>PX_VOLUME</t>
        </is>
      </c>
      <c r="FH3" s="5" t="inlineStr">
        <is>
          <t>OPEN_INT</t>
        </is>
      </c>
      <c r="FI3" s="5" t="inlineStr">
        <is>
          <t>IVOL_MID</t>
        </is>
      </c>
      <c r="FJ3" s="5" t="inlineStr">
        <is>
          <t>IVOL_BID</t>
        </is>
      </c>
      <c r="FK3" s="5" t="inlineStr">
        <is>
          <t>IVOL_ASK</t>
        </is>
      </c>
      <c r="FL3" s="5" t="inlineStr">
        <is>
          <t>DELTA_MID</t>
        </is>
      </c>
      <c r="FM3" s="5" t="inlineStr">
        <is>
          <t>GAMMA_MID</t>
        </is>
      </c>
      <c r="FN3" s="5" t="inlineStr">
        <is>
          <t>VEGA_MID</t>
        </is>
      </c>
      <c r="FO3" s="5" t="inlineStr">
        <is>
          <t>THETA_MID</t>
        </is>
      </c>
      <c r="FP3" s="5" t="inlineStr">
        <is>
          <t>OPT_UNDL_PX</t>
        </is>
      </c>
      <c r="FR3" s="5" t="inlineStr">
        <is>
          <t>Date</t>
        </is>
      </c>
      <c r="FS3" s="5" t="inlineStr">
        <is>
          <t>PX_BID</t>
        </is>
      </c>
      <c r="FT3" s="5" t="inlineStr">
        <is>
          <t>PX_ASK</t>
        </is>
      </c>
      <c r="FU3" s="5" t="inlineStr">
        <is>
          <t>PX_MID</t>
        </is>
      </c>
      <c r="FV3" s="5" t="inlineStr">
        <is>
          <t>PX_LAST</t>
        </is>
      </c>
      <c r="FW3" s="5" t="inlineStr">
        <is>
          <t>PX_SETTLE</t>
        </is>
      </c>
      <c r="FX3" s="5" t="inlineStr">
        <is>
          <t>PX_VOLUME</t>
        </is>
      </c>
      <c r="FY3" s="5" t="inlineStr">
        <is>
          <t>OPEN_INT</t>
        </is>
      </c>
      <c r="FZ3" s="5" t="inlineStr">
        <is>
          <t>IVOL_MID</t>
        </is>
      </c>
      <c r="GA3" s="5" t="inlineStr">
        <is>
          <t>IVOL_BID</t>
        </is>
      </c>
      <c r="GB3" s="5" t="inlineStr">
        <is>
          <t>IVOL_ASK</t>
        </is>
      </c>
      <c r="GC3" s="5" t="inlineStr">
        <is>
          <t>DELTA_MID</t>
        </is>
      </c>
      <c r="GD3" s="5" t="inlineStr">
        <is>
          <t>GAMMA_MID</t>
        </is>
      </c>
      <c r="GE3" s="5" t="inlineStr">
        <is>
          <t>VEGA_MID</t>
        </is>
      </c>
      <c r="GF3" s="5" t="inlineStr">
        <is>
          <t>THETA_MID</t>
        </is>
      </c>
      <c r="GG3" s="5" t="inlineStr">
        <is>
          <t>OPT_UNDL_PX</t>
        </is>
      </c>
      <c r="GI3" s="5" t="inlineStr">
        <is>
          <t>Date</t>
        </is>
      </c>
      <c r="GJ3" s="5" t="inlineStr">
        <is>
          <t>PX_BID</t>
        </is>
      </c>
      <c r="GK3" s="5" t="inlineStr">
        <is>
          <t>PX_ASK</t>
        </is>
      </c>
      <c r="GL3" s="5" t="inlineStr">
        <is>
          <t>PX_MID</t>
        </is>
      </c>
      <c r="GM3" s="5" t="inlineStr">
        <is>
          <t>PX_LAST</t>
        </is>
      </c>
      <c r="GN3" s="5" t="inlineStr">
        <is>
          <t>PX_SETTLE</t>
        </is>
      </c>
      <c r="GO3" s="5" t="inlineStr">
        <is>
          <t>PX_VOLUME</t>
        </is>
      </c>
      <c r="GP3" s="5" t="inlineStr">
        <is>
          <t>OPEN_INT</t>
        </is>
      </c>
      <c r="GQ3" s="5" t="inlineStr">
        <is>
          <t>IVOL_MID</t>
        </is>
      </c>
      <c r="GR3" s="5" t="inlineStr">
        <is>
          <t>IVOL_BID</t>
        </is>
      </c>
      <c r="GS3" s="5" t="inlineStr">
        <is>
          <t>IVOL_ASK</t>
        </is>
      </c>
      <c r="GT3" s="5" t="inlineStr">
        <is>
          <t>DELTA_MID</t>
        </is>
      </c>
      <c r="GU3" s="5" t="inlineStr">
        <is>
          <t>GAMMA_MID</t>
        </is>
      </c>
      <c r="GV3" s="5" t="inlineStr">
        <is>
          <t>VEGA_MID</t>
        </is>
      </c>
      <c r="GW3" s="5" t="inlineStr">
        <is>
          <t>THETA_MID</t>
        </is>
      </c>
      <c r="GX3" s="5" t="inlineStr">
        <is>
          <t>OPT_UNDL_PX</t>
        </is>
      </c>
      <c r="GZ3" s="5" t="inlineStr">
        <is>
          <t>Date</t>
        </is>
      </c>
      <c r="HA3" s="5" t="inlineStr">
        <is>
          <t>PX_BID</t>
        </is>
      </c>
      <c r="HB3" s="5" t="inlineStr">
        <is>
          <t>PX_ASK</t>
        </is>
      </c>
      <c r="HC3" s="5" t="inlineStr">
        <is>
          <t>PX_MID</t>
        </is>
      </c>
      <c r="HD3" s="5" t="inlineStr">
        <is>
          <t>PX_LAST</t>
        </is>
      </c>
      <c r="HE3" s="5" t="inlineStr">
        <is>
          <t>PX_SETTLE</t>
        </is>
      </c>
      <c r="HF3" s="5" t="inlineStr">
        <is>
          <t>PX_VOLUME</t>
        </is>
      </c>
      <c r="HG3" s="5" t="inlineStr">
        <is>
          <t>OPEN_INT</t>
        </is>
      </c>
      <c r="HH3" s="5" t="inlineStr">
        <is>
          <t>IVOL_MID</t>
        </is>
      </c>
      <c r="HI3" s="5" t="inlineStr">
        <is>
          <t>IVOL_BID</t>
        </is>
      </c>
      <c r="HJ3" s="5" t="inlineStr">
        <is>
          <t>IVOL_ASK</t>
        </is>
      </c>
      <c r="HK3" s="5" t="inlineStr">
        <is>
          <t>DELTA_MID</t>
        </is>
      </c>
      <c r="HL3" s="5" t="inlineStr">
        <is>
          <t>GAMMA_MID</t>
        </is>
      </c>
      <c r="HM3" s="5" t="inlineStr">
        <is>
          <t>VEGA_MID</t>
        </is>
      </c>
      <c r="HN3" s="5" t="inlineStr">
        <is>
          <t>THETA_MID</t>
        </is>
      </c>
      <c r="HO3" s="5" t="inlineStr">
        <is>
          <t>OPT_UNDL_PX</t>
        </is>
      </c>
      <c r="HQ3" s="5" t="inlineStr">
        <is>
          <t>Date</t>
        </is>
      </c>
      <c r="HR3" s="5" t="inlineStr">
        <is>
          <t>PX_BID</t>
        </is>
      </c>
      <c r="HS3" s="5" t="inlineStr">
        <is>
          <t>PX_ASK</t>
        </is>
      </c>
      <c r="HT3" s="5" t="inlineStr">
        <is>
          <t>PX_MID</t>
        </is>
      </c>
      <c r="HU3" s="5" t="inlineStr">
        <is>
          <t>PX_LAST</t>
        </is>
      </c>
      <c r="HV3" s="5" t="inlineStr">
        <is>
          <t>PX_SETTLE</t>
        </is>
      </c>
      <c r="HW3" s="5" t="inlineStr">
        <is>
          <t>PX_VOLUME</t>
        </is>
      </c>
      <c r="HX3" s="5" t="inlineStr">
        <is>
          <t>OPEN_INT</t>
        </is>
      </c>
      <c r="HY3" s="5" t="inlineStr">
        <is>
          <t>IVOL_MID</t>
        </is>
      </c>
      <c r="HZ3" s="5" t="inlineStr">
        <is>
          <t>IVOL_BID</t>
        </is>
      </c>
      <c r="IA3" s="5" t="inlineStr">
        <is>
          <t>IVOL_ASK</t>
        </is>
      </c>
      <c r="IB3" s="5" t="inlineStr">
        <is>
          <t>DELTA_MID</t>
        </is>
      </c>
      <c r="IC3" s="5" t="inlineStr">
        <is>
          <t>GAMMA_MID</t>
        </is>
      </c>
      <c r="ID3" s="5" t="inlineStr">
        <is>
          <t>VEGA_MID</t>
        </is>
      </c>
      <c r="IE3" s="5" t="inlineStr">
        <is>
          <t>THETA_MID</t>
        </is>
      </c>
      <c r="IF3" s="5" t="inlineStr">
        <is>
          <t>OPT_UNDL_PX</t>
        </is>
      </c>
      <c r="IH3" s="5" t="inlineStr">
        <is>
          <t>Date</t>
        </is>
      </c>
      <c r="II3" s="5" t="inlineStr">
        <is>
          <t>PX_BID</t>
        </is>
      </c>
      <c r="IJ3" s="5" t="inlineStr">
        <is>
          <t>PX_ASK</t>
        </is>
      </c>
      <c r="IK3" s="5" t="inlineStr">
        <is>
          <t>PX_MID</t>
        </is>
      </c>
      <c r="IL3" s="5" t="inlineStr">
        <is>
          <t>PX_LAST</t>
        </is>
      </c>
      <c r="IM3" s="5" t="inlineStr">
        <is>
          <t>PX_SETTLE</t>
        </is>
      </c>
      <c r="IN3" s="5" t="inlineStr">
        <is>
          <t>PX_VOLUME</t>
        </is>
      </c>
      <c r="IO3" s="5" t="inlineStr">
        <is>
          <t>OPEN_INT</t>
        </is>
      </c>
      <c r="IP3" s="5" t="inlineStr">
        <is>
          <t>IVOL_MID</t>
        </is>
      </c>
      <c r="IQ3" s="5" t="inlineStr">
        <is>
          <t>IVOL_BID</t>
        </is>
      </c>
      <c r="IR3" s="5" t="inlineStr">
        <is>
          <t>IVOL_ASK</t>
        </is>
      </c>
      <c r="IS3" s="5" t="inlineStr">
        <is>
          <t>DELTA_MID</t>
        </is>
      </c>
      <c r="IT3" s="5" t="inlineStr">
        <is>
          <t>GAMMA_MID</t>
        </is>
      </c>
      <c r="IU3" s="5" t="inlineStr">
        <is>
          <t>VEGA_MID</t>
        </is>
      </c>
      <c r="IV3" s="5" t="inlineStr">
        <is>
          <t>THETA_MID</t>
        </is>
      </c>
      <c r="IW3" s="5" t="inlineStr">
        <is>
          <t>OPT_UNDL_PX</t>
        </is>
      </c>
      <c r="IY3" s="5" t="inlineStr">
        <is>
          <t>Date</t>
        </is>
      </c>
      <c r="IZ3" s="5" t="inlineStr">
        <is>
          <t>PX_BID</t>
        </is>
      </c>
      <c r="JA3" s="5" t="inlineStr">
        <is>
          <t>PX_ASK</t>
        </is>
      </c>
      <c r="JB3" s="5" t="inlineStr">
        <is>
          <t>PX_MID</t>
        </is>
      </c>
      <c r="JC3" s="5" t="inlineStr">
        <is>
          <t>PX_LAST</t>
        </is>
      </c>
      <c r="JD3" s="5" t="inlineStr">
        <is>
          <t>PX_SETTLE</t>
        </is>
      </c>
      <c r="JE3" s="5" t="inlineStr">
        <is>
          <t>PX_VOLUME</t>
        </is>
      </c>
      <c r="JF3" s="5" t="inlineStr">
        <is>
          <t>OPEN_INT</t>
        </is>
      </c>
      <c r="JG3" s="5" t="inlineStr">
        <is>
          <t>IVOL_MID</t>
        </is>
      </c>
      <c r="JH3" s="5" t="inlineStr">
        <is>
          <t>IVOL_BID</t>
        </is>
      </c>
      <c r="JI3" s="5" t="inlineStr">
        <is>
          <t>IVOL_ASK</t>
        </is>
      </c>
      <c r="JJ3" s="5" t="inlineStr">
        <is>
          <t>DELTA_MID</t>
        </is>
      </c>
      <c r="JK3" s="5" t="inlineStr">
        <is>
          <t>GAMMA_MID</t>
        </is>
      </c>
      <c r="JL3" s="5" t="inlineStr">
        <is>
          <t>VEGA_MID</t>
        </is>
      </c>
      <c r="JM3" s="5" t="inlineStr">
        <is>
          <t>THETA_MID</t>
        </is>
      </c>
      <c r="JN3" s="5" t="inlineStr">
        <is>
          <t>OPT_UNDL_PX</t>
        </is>
      </c>
      <c r="JP3" s="5" t="inlineStr">
        <is>
          <t>Date</t>
        </is>
      </c>
      <c r="JQ3" s="5" t="inlineStr">
        <is>
          <t>PX_BID</t>
        </is>
      </c>
      <c r="JR3" s="5" t="inlineStr">
        <is>
          <t>PX_ASK</t>
        </is>
      </c>
      <c r="JS3" s="5" t="inlineStr">
        <is>
          <t>PX_MID</t>
        </is>
      </c>
      <c r="JT3" s="5" t="inlineStr">
        <is>
          <t>PX_LAST</t>
        </is>
      </c>
      <c r="JU3" s="5" t="inlineStr">
        <is>
          <t>PX_SETTLE</t>
        </is>
      </c>
      <c r="JV3" s="5" t="inlineStr">
        <is>
          <t>PX_VOLUME</t>
        </is>
      </c>
      <c r="JW3" s="5" t="inlineStr">
        <is>
          <t>OPEN_INT</t>
        </is>
      </c>
      <c r="JX3" s="5" t="inlineStr">
        <is>
          <t>IVOL_MID</t>
        </is>
      </c>
      <c r="JY3" s="5" t="inlineStr">
        <is>
          <t>IVOL_BID</t>
        </is>
      </c>
      <c r="JZ3" s="5" t="inlineStr">
        <is>
          <t>IVOL_ASK</t>
        </is>
      </c>
      <c r="KA3" s="5" t="inlineStr">
        <is>
          <t>DELTA_MID</t>
        </is>
      </c>
      <c r="KB3" s="5" t="inlineStr">
        <is>
          <t>GAMMA_MID</t>
        </is>
      </c>
      <c r="KC3" s="5" t="inlineStr">
        <is>
          <t>VEGA_MID</t>
        </is>
      </c>
      <c r="KD3" s="5" t="inlineStr">
        <is>
          <t>THETA_MID</t>
        </is>
      </c>
      <c r="KE3" s="5" t="inlineStr">
        <is>
          <t>OPT_UNDL_PX</t>
        </is>
      </c>
      <c r="KG3" s="5" t="inlineStr">
        <is>
          <t>Date</t>
        </is>
      </c>
      <c r="KH3" s="5" t="inlineStr">
        <is>
          <t>PX_BID</t>
        </is>
      </c>
      <c r="KI3" s="5" t="inlineStr">
        <is>
          <t>PX_ASK</t>
        </is>
      </c>
      <c r="KJ3" s="5" t="inlineStr">
        <is>
          <t>PX_MID</t>
        </is>
      </c>
      <c r="KK3" s="5" t="inlineStr">
        <is>
          <t>PX_LAST</t>
        </is>
      </c>
      <c r="KL3" s="5" t="inlineStr">
        <is>
          <t>PX_SETTLE</t>
        </is>
      </c>
      <c r="KM3" s="5" t="inlineStr">
        <is>
          <t>PX_VOLUME</t>
        </is>
      </c>
      <c r="KN3" s="5" t="inlineStr">
        <is>
          <t>OPEN_INT</t>
        </is>
      </c>
      <c r="KO3" s="5" t="inlineStr">
        <is>
          <t>IVOL_MID</t>
        </is>
      </c>
      <c r="KP3" s="5" t="inlineStr">
        <is>
          <t>IVOL_BID</t>
        </is>
      </c>
      <c r="KQ3" s="5" t="inlineStr">
        <is>
          <t>IVOL_ASK</t>
        </is>
      </c>
      <c r="KR3" s="5" t="inlineStr">
        <is>
          <t>DELTA_MID</t>
        </is>
      </c>
      <c r="KS3" s="5" t="inlineStr">
        <is>
          <t>GAMMA_MID</t>
        </is>
      </c>
      <c r="KT3" s="5" t="inlineStr">
        <is>
          <t>VEGA_MID</t>
        </is>
      </c>
      <c r="KU3" s="5" t="inlineStr">
        <is>
          <t>THETA_MID</t>
        </is>
      </c>
      <c r="KV3" s="5" t="inlineStr">
        <is>
          <t>OPT_UNDL_PX</t>
        </is>
      </c>
      <c r="KX3" s="5" t="inlineStr">
        <is>
          <t>Date</t>
        </is>
      </c>
      <c r="KY3" s="5" t="inlineStr">
        <is>
          <t>PX_BID</t>
        </is>
      </c>
      <c r="KZ3" s="5" t="inlineStr">
        <is>
          <t>PX_ASK</t>
        </is>
      </c>
      <c r="LA3" s="5" t="inlineStr">
        <is>
          <t>PX_MID</t>
        </is>
      </c>
      <c r="LB3" s="5" t="inlineStr">
        <is>
          <t>PX_LAST</t>
        </is>
      </c>
      <c r="LC3" s="5" t="inlineStr">
        <is>
          <t>PX_SETTLE</t>
        </is>
      </c>
      <c r="LD3" s="5" t="inlineStr">
        <is>
          <t>PX_VOLUME</t>
        </is>
      </c>
      <c r="LE3" s="5" t="inlineStr">
        <is>
          <t>OPEN_INT</t>
        </is>
      </c>
      <c r="LF3" s="5" t="inlineStr">
        <is>
          <t>IVOL_MID</t>
        </is>
      </c>
      <c r="LG3" s="5" t="inlineStr">
        <is>
          <t>IVOL_BID</t>
        </is>
      </c>
      <c r="LH3" s="5" t="inlineStr">
        <is>
          <t>IVOL_ASK</t>
        </is>
      </c>
      <c r="LI3" s="5" t="inlineStr">
        <is>
          <t>DELTA_MID</t>
        </is>
      </c>
      <c r="LJ3" s="5" t="inlineStr">
        <is>
          <t>GAMMA_MID</t>
        </is>
      </c>
      <c r="LK3" s="5" t="inlineStr">
        <is>
          <t>VEGA_MID</t>
        </is>
      </c>
      <c r="LL3" s="5" t="inlineStr">
        <is>
          <t>THETA_MID</t>
        </is>
      </c>
      <c r="LM3" s="5" t="inlineStr">
        <is>
          <t>OPT_UNDL_PX</t>
        </is>
      </c>
      <c r="LO3" s="5" t="inlineStr">
        <is>
          <t>Date</t>
        </is>
      </c>
      <c r="LP3" s="5" t="inlineStr">
        <is>
          <t>PX_BID</t>
        </is>
      </c>
      <c r="LQ3" s="5" t="inlineStr">
        <is>
          <t>PX_ASK</t>
        </is>
      </c>
      <c r="LR3" s="5" t="inlineStr">
        <is>
          <t>PX_MID</t>
        </is>
      </c>
      <c r="LS3" s="5" t="inlineStr">
        <is>
          <t>PX_LAST</t>
        </is>
      </c>
      <c r="LT3" s="5" t="inlineStr">
        <is>
          <t>PX_SETTLE</t>
        </is>
      </c>
      <c r="LU3" s="5" t="inlineStr">
        <is>
          <t>PX_VOLUME</t>
        </is>
      </c>
      <c r="LV3" s="5" t="inlineStr">
        <is>
          <t>OPEN_INT</t>
        </is>
      </c>
      <c r="LW3" s="5" t="inlineStr">
        <is>
          <t>IVOL_MID</t>
        </is>
      </c>
      <c r="LX3" s="5" t="inlineStr">
        <is>
          <t>IVOL_BID</t>
        </is>
      </c>
      <c r="LY3" s="5" t="inlineStr">
        <is>
          <t>IVOL_ASK</t>
        </is>
      </c>
      <c r="LZ3" s="5" t="inlineStr">
        <is>
          <t>DELTA_MID</t>
        </is>
      </c>
      <c r="MA3" s="5" t="inlineStr">
        <is>
          <t>GAMMA_MID</t>
        </is>
      </c>
      <c r="MB3" s="5" t="inlineStr">
        <is>
          <t>VEGA_MID</t>
        </is>
      </c>
      <c r="MC3" s="5" t="inlineStr">
        <is>
          <t>THETA_MID</t>
        </is>
      </c>
      <c r="MD3" s="5" t="inlineStr">
        <is>
          <t>OPT_UNDL_PX</t>
        </is>
      </c>
      <c r="MF3" s="5" t="inlineStr">
        <is>
          <t>Date</t>
        </is>
      </c>
      <c r="MG3" s="5" t="inlineStr">
        <is>
          <t>PX_BID</t>
        </is>
      </c>
      <c r="MH3" s="5" t="inlineStr">
        <is>
          <t>PX_ASK</t>
        </is>
      </c>
      <c r="MI3" s="5" t="inlineStr">
        <is>
          <t>PX_MID</t>
        </is>
      </c>
      <c r="MJ3" s="5" t="inlineStr">
        <is>
          <t>PX_LAST</t>
        </is>
      </c>
      <c r="MK3" s="5" t="inlineStr">
        <is>
          <t>PX_SETTLE</t>
        </is>
      </c>
      <c r="ML3" s="5" t="inlineStr">
        <is>
          <t>PX_VOLUME</t>
        </is>
      </c>
      <c r="MM3" s="5" t="inlineStr">
        <is>
          <t>OPEN_INT</t>
        </is>
      </c>
      <c r="MN3" s="5" t="inlineStr">
        <is>
          <t>IVOL_MID</t>
        </is>
      </c>
      <c r="MO3" s="5" t="inlineStr">
        <is>
          <t>IVOL_BID</t>
        </is>
      </c>
      <c r="MP3" s="5" t="inlineStr">
        <is>
          <t>IVOL_ASK</t>
        </is>
      </c>
      <c r="MQ3" s="5" t="inlineStr">
        <is>
          <t>DELTA_MID</t>
        </is>
      </c>
      <c r="MR3" s="5" t="inlineStr">
        <is>
          <t>GAMMA_MID</t>
        </is>
      </c>
      <c r="MS3" s="5" t="inlineStr">
        <is>
          <t>VEGA_MID</t>
        </is>
      </c>
      <c r="MT3" s="5" t="inlineStr">
        <is>
          <t>THETA_MID</t>
        </is>
      </c>
      <c r="MU3" s="5" t="inlineStr">
        <is>
          <t>OPT_UNDL_PX</t>
        </is>
      </c>
      <c r="MW3" s="5" t="inlineStr">
        <is>
          <t>Date</t>
        </is>
      </c>
      <c r="MX3" s="5" t="inlineStr">
        <is>
          <t>PX_BID</t>
        </is>
      </c>
      <c r="MY3" s="5" t="inlineStr">
        <is>
          <t>PX_ASK</t>
        </is>
      </c>
      <c r="MZ3" s="5" t="inlineStr">
        <is>
          <t>PX_MID</t>
        </is>
      </c>
      <c r="NA3" s="5" t="inlineStr">
        <is>
          <t>PX_LAST</t>
        </is>
      </c>
      <c r="NB3" s="5" t="inlineStr">
        <is>
          <t>PX_SETTLE</t>
        </is>
      </c>
      <c r="NC3" s="5" t="inlineStr">
        <is>
          <t>PX_VOLUME</t>
        </is>
      </c>
      <c r="ND3" s="5" t="inlineStr">
        <is>
          <t>OPEN_INT</t>
        </is>
      </c>
      <c r="NE3" s="5" t="inlineStr">
        <is>
          <t>IVOL_MID</t>
        </is>
      </c>
      <c r="NF3" s="5" t="inlineStr">
        <is>
          <t>IVOL_BID</t>
        </is>
      </c>
      <c r="NG3" s="5" t="inlineStr">
        <is>
          <t>IVOL_ASK</t>
        </is>
      </c>
      <c r="NH3" s="5" t="inlineStr">
        <is>
          <t>DELTA_MID</t>
        </is>
      </c>
      <c r="NI3" s="5" t="inlineStr">
        <is>
          <t>GAMMA_MID</t>
        </is>
      </c>
      <c r="NJ3" s="5" t="inlineStr">
        <is>
          <t>VEGA_MID</t>
        </is>
      </c>
      <c r="NK3" s="5" t="inlineStr">
        <is>
          <t>THETA_MID</t>
        </is>
      </c>
      <c r="NL3" s="5" t="inlineStr">
        <is>
          <t>OPT_UNDL_PX</t>
        </is>
      </c>
    </row>
    <row r="4">
      <c r="A4" s="2" t="inlineStr">
        <is>
          <t>Strike reference date</t>
        </is>
      </c>
      <c r="B4" s="8">
        <f>B3-45</f>
        <v/>
      </c>
      <c r="D4" s="4">
        <f>BDH(D$1,E$3:S$3,$B$8,$B$9,"Dir=V","Dts=S","Sort=A","Days=T","Fill=B")</f>
        <v/>
      </c>
      <c r="U4" s="4">
        <f>BDH(U$1,V$3:AJ$3,$B$8,$B$9,"Dir=V","Dts=S","Sort=A","Days=T","Fill=B")</f>
        <v/>
      </c>
      <c r="AL4" s="4">
        <f>BDH(AL$1,AM$3:BA$3,$B$8,$B$9,"Dir=V","Dts=S","Sort=A","Days=T","Fill=B")</f>
        <v/>
      </c>
      <c r="BC4" s="4">
        <f>BDH(BC$1,BD$3:BR$3,$B$8,$B$9,"Dir=V","Dts=S","Sort=A","Days=T","Fill=B")</f>
        <v/>
      </c>
      <c r="BT4" s="4">
        <f>BDH(BT$1,BU$3:CI$3,$B$8,$B$9,"Dir=V","Dts=S","Sort=A","Days=T","Fill=B")</f>
        <v/>
      </c>
      <c r="CK4" s="4">
        <f>BDH(CK$1,CL$3:CZ$3,$B$8,$B$9,"Dir=V","Dts=S","Sort=A","Days=T","Fill=B")</f>
        <v/>
      </c>
      <c r="DB4" s="4">
        <f>BDH(DB$1,DC$3:DQ$3,$B$8,$B$9,"Dir=V","Dts=S","Sort=A","Days=T","Fill=B")</f>
        <v/>
      </c>
      <c r="DS4" s="4">
        <f>BDH(DS$1,DT$3:EH$3,$B$8,$B$9,"Dir=V","Dts=S","Sort=A","Days=T","Fill=B")</f>
        <v/>
      </c>
      <c r="EJ4" s="4">
        <f>BDH(EJ$1,EK$3:EY$3,$B$8,$B$9,"Dir=V","Dts=S","Sort=A","Days=T","Fill=B")</f>
        <v/>
      </c>
      <c r="FA4" s="4">
        <f>BDH(FA$1,FB$3:FP$3,$B$8,$B$9,"Dir=V","Dts=S","Sort=A","Days=T","Fill=B")</f>
        <v/>
      </c>
      <c r="FR4" s="4">
        <f>BDH(FR$1,FS$3:GG$3,$B$8,$B$9,"Dir=V","Dts=S","Sort=A","Days=T","Fill=B")</f>
        <v/>
      </c>
      <c r="GI4" s="4">
        <f>BDH(GI$1,GJ$3:GX$3,$B$8,$B$9,"Dir=V","Dts=S","Sort=A","Days=T","Fill=B")</f>
        <v/>
      </c>
      <c r="GZ4" s="4">
        <f>BDH(GZ$1,HA$3:HO$3,$B$8,$B$9,"Dir=V","Dts=S","Sort=A","Days=T","Fill=B")</f>
        <v/>
      </c>
      <c r="HQ4" s="4">
        <f>BDH(HQ$1,HR$3:IF$3,$B$8,$B$9,"Dir=V","Dts=S","Sort=A","Days=T","Fill=B")</f>
        <v/>
      </c>
      <c r="IH4" s="4">
        <f>BDH(IH$1,II$3:IW$3,$B$8,$B$9,"Dir=V","Dts=S","Sort=A","Days=T","Fill=B")</f>
        <v/>
      </c>
      <c r="IY4" s="4">
        <f>BDH(IY$1,IZ$3:JN$3,$B$8,$B$9,"Dir=V","Dts=S","Sort=A","Days=T","Fill=B")</f>
        <v/>
      </c>
      <c r="JP4" s="4">
        <f>BDH(JP$1,JQ$3:KE$3,$B$8,$B$9,"Dir=V","Dts=S","Sort=A","Days=T","Fill=B")</f>
        <v/>
      </c>
      <c r="KG4" s="4">
        <f>BDH(KG$1,KH$3:KV$3,$B$8,$B$9,"Dir=V","Dts=S","Sort=A","Days=T","Fill=B")</f>
        <v/>
      </c>
      <c r="KX4" s="4">
        <f>BDH(KX$1,KY$3:LM$3,$B$8,$B$9,"Dir=V","Dts=S","Sort=A","Days=T","Fill=B")</f>
        <v/>
      </c>
      <c r="LO4" s="4">
        <f>BDH(LO$1,LP$3:MD$3,$B$8,$B$9,"Dir=V","Dts=S","Sort=A","Days=T","Fill=B")</f>
        <v/>
      </c>
      <c r="MF4" s="4">
        <f>BDH(MF$1,MG$3:MU$3,$B$8,$B$9,"Dir=V","Dts=S","Sort=A","Days=T","Fill=B")</f>
        <v/>
      </c>
      <c r="MW4" s="4">
        <f>BDH(MW$1,MX$3:NL$3,$B$8,$B$9,"Dir=V","Dts=S","Sort=A","Days=T","Fill=B")</f>
        <v/>
      </c>
    </row>
    <row r="5">
      <c r="A5" s="2" t="inlineStr">
        <is>
          <t>Unadjusted close then</t>
        </is>
      </c>
      <c r="B5" s="10">
        <f>IF(B2="","",BDH(B2,"PX_LAST",B4,B4,"Days=A","Fill=P","Dts=H","CshAdjNormal=N","CshAdjAbnormal=N","CapChg=N"))</f>
        <v/>
      </c>
    </row>
    <row r="6">
      <c r="A6" s="2" t="inlineStr">
        <is>
          <t>Strike step</t>
        </is>
      </c>
      <c r="B6" s="11">
        <f>IF(ISNUMBER(B5),IF(B5&lt;25,0.5,IF(B5&lt;250,1,5)),"")</f>
        <v/>
      </c>
    </row>
    <row r="7">
      <c r="A7" s="2" t="inlineStr">
        <is>
          <t>ATM strike</t>
        </is>
      </c>
      <c r="B7" s="11">
        <f>IF(ISNUMBER(B5),ROUND(B5/B6,0)*B6,"")</f>
        <v/>
      </c>
    </row>
    <row r="8">
      <c r="A8" s="2" t="inlineStr">
        <is>
          <t>History start</t>
        </is>
      </c>
      <c r="B8" s="8">
        <f>B3-100</f>
        <v/>
      </c>
    </row>
    <row r="9">
      <c r="A9" s="2" t="inlineStr">
        <is>
          <t>History end</t>
        </is>
      </c>
      <c r="B9" s="8">
        <f>B3</f>
        <v/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NL9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2" customWidth="1" min="2" max="2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1" customWidth="1" min="15" max="15"/>
    <col width="11" customWidth="1" min="16" max="16"/>
    <col width="10" customWidth="1" min="17" max="17"/>
    <col width="11" customWidth="1" min="18" max="18"/>
    <col width="13" customWidth="1" min="19" max="19"/>
    <col width="12" customWidth="1" min="21" max="21"/>
    <col width="10" customWidth="1" min="22" max="22"/>
    <col width="10" customWidth="1" min="23" max="23"/>
    <col width="10" customWidth="1" min="24" max="24"/>
    <col width="10" customWidth="1" min="25" max="25"/>
    <col width="11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1" customWidth="1" min="32" max="32"/>
    <col width="11" customWidth="1" min="33" max="33"/>
    <col width="10" customWidth="1" min="34" max="34"/>
    <col width="11" customWidth="1" min="35" max="35"/>
    <col width="13" customWidth="1" min="36" max="36"/>
    <col width="12" customWidth="1" min="38" max="38"/>
    <col width="10" customWidth="1" min="39" max="39"/>
    <col width="10" customWidth="1" min="40" max="40"/>
    <col width="10" customWidth="1" min="41" max="41"/>
    <col width="10" customWidth="1" min="42" max="42"/>
    <col width="11" customWidth="1" min="43" max="43"/>
    <col width="11" customWidth="1" min="44" max="44"/>
    <col width="10" customWidth="1" min="45" max="45"/>
    <col width="10" customWidth="1" min="46" max="46"/>
    <col width="10" customWidth="1" min="47" max="47"/>
    <col width="10" customWidth="1" min="48" max="48"/>
    <col width="11" customWidth="1" min="49" max="49"/>
    <col width="11" customWidth="1" min="50" max="50"/>
    <col width="10" customWidth="1" min="51" max="51"/>
    <col width="11" customWidth="1" min="52" max="52"/>
    <col width="13" customWidth="1" min="53" max="53"/>
    <col width="12" customWidth="1" min="55" max="55"/>
    <col width="10" customWidth="1" min="56" max="56"/>
    <col width="10" customWidth="1" min="57" max="57"/>
    <col width="10" customWidth="1" min="58" max="58"/>
    <col width="10" customWidth="1" min="59" max="59"/>
    <col width="11" customWidth="1" min="60" max="60"/>
    <col width="11" customWidth="1" min="61" max="61"/>
    <col width="10" customWidth="1" min="62" max="62"/>
    <col width="10" customWidth="1" min="63" max="63"/>
    <col width="10" customWidth="1" min="64" max="64"/>
    <col width="10" customWidth="1" min="65" max="65"/>
    <col width="11" customWidth="1" min="66" max="66"/>
    <col width="11" customWidth="1" min="67" max="67"/>
    <col width="10" customWidth="1" min="68" max="68"/>
    <col width="11" customWidth="1" min="69" max="69"/>
    <col width="13" customWidth="1" min="70" max="70"/>
    <col width="12" customWidth="1" min="72" max="72"/>
    <col width="10" customWidth="1" min="73" max="73"/>
    <col width="10" customWidth="1" min="74" max="74"/>
    <col width="10" customWidth="1" min="75" max="75"/>
    <col width="10" customWidth="1" min="76" max="76"/>
    <col width="11" customWidth="1" min="77" max="77"/>
    <col width="11" customWidth="1" min="78" max="78"/>
    <col width="10" customWidth="1" min="79" max="79"/>
    <col width="10" customWidth="1" min="80" max="80"/>
    <col width="10" customWidth="1" min="81" max="81"/>
    <col width="10" customWidth="1" min="82" max="82"/>
    <col width="11" customWidth="1" min="83" max="83"/>
    <col width="11" customWidth="1" min="84" max="84"/>
    <col width="10" customWidth="1" min="85" max="85"/>
    <col width="11" customWidth="1" min="86" max="86"/>
    <col width="13" customWidth="1" min="87" max="87"/>
    <col width="12" customWidth="1" min="89" max="89"/>
    <col width="10" customWidth="1" min="90" max="90"/>
    <col width="10" customWidth="1" min="91" max="91"/>
    <col width="10" customWidth="1" min="92" max="92"/>
    <col width="10" customWidth="1" min="93" max="93"/>
    <col width="11" customWidth="1" min="94" max="94"/>
    <col width="11" customWidth="1" min="95" max="95"/>
    <col width="10" customWidth="1" min="96" max="96"/>
    <col width="10" customWidth="1" min="97" max="97"/>
    <col width="10" customWidth="1" min="98" max="98"/>
    <col width="10" customWidth="1" min="99" max="99"/>
    <col width="11" customWidth="1" min="100" max="100"/>
    <col width="11" customWidth="1" min="101" max="101"/>
    <col width="10" customWidth="1" min="102" max="102"/>
    <col width="11" customWidth="1" min="103" max="103"/>
    <col width="13" customWidth="1" min="104" max="104"/>
    <col width="12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1" customWidth="1" min="111" max="111"/>
    <col width="11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1" customWidth="1" min="117" max="117"/>
    <col width="11" customWidth="1" min="118" max="118"/>
    <col width="10" customWidth="1" min="119" max="119"/>
    <col width="11" customWidth="1" min="120" max="120"/>
    <col width="13" customWidth="1" min="121" max="121"/>
    <col width="12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1" customWidth="1" min="128" max="128"/>
    <col width="11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1" customWidth="1" min="134" max="134"/>
    <col width="11" customWidth="1" min="135" max="135"/>
    <col width="10" customWidth="1" min="136" max="136"/>
    <col width="11" customWidth="1" min="137" max="137"/>
    <col width="13" customWidth="1" min="138" max="138"/>
    <col width="12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1" customWidth="1" min="145" max="145"/>
    <col width="11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1" customWidth="1" min="151" max="151"/>
    <col width="11" customWidth="1" min="152" max="152"/>
    <col width="10" customWidth="1" min="153" max="153"/>
    <col width="11" customWidth="1" min="154" max="154"/>
    <col width="13" customWidth="1" min="155" max="155"/>
    <col width="12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1" customWidth="1" min="162" max="162"/>
    <col width="11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1" customWidth="1" min="168" max="168"/>
    <col width="11" customWidth="1" min="169" max="169"/>
    <col width="10" customWidth="1" min="170" max="170"/>
    <col width="11" customWidth="1" min="171" max="171"/>
    <col width="13" customWidth="1" min="172" max="172"/>
    <col width="12" customWidth="1" min="174" max="174"/>
    <col width="10" customWidth="1" min="175" max="175"/>
    <col width="10" customWidth="1" min="176" max="176"/>
    <col width="10" customWidth="1" min="177" max="177"/>
    <col width="10" customWidth="1" min="178" max="178"/>
    <col width="11" customWidth="1" min="179" max="179"/>
    <col width="11" customWidth="1" min="180" max="180"/>
    <col width="10" customWidth="1" min="181" max="181"/>
    <col width="10" customWidth="1" min="182" max="182"/>
    <col width="10" customWidth="1" min="183" max="183"/>
    <col width="10" customWidth="1" min="184" max="184"/>
    <col width="11" customWidth="1" min="185" max="185"/>
    <col width="11" customWidth="1" min="186" max="186"/>
    <col width="10" customWidth="1" min="187" max="187"/>
    <col width="11" customWidth="1" min="188" max="188"/>
    <col width="13" customWidth="1" min="189" max="189"/>
    <col width="12" customWidth="1" min="191" max="191"/>
    <col width="10" customWidth="1" min="192" max="192"/>
    <col width="10" customWidth="1" min="193" max="193"/>
    <col width="10" customWidth="1" min="194" max="194"/>
    <col width="10" customWidth="1" min="195" max="195"/>
    <col width="11" customWidth="1" min="196" max="196"/>
    <col width="11" customWidth="1" min="197" max="197"/>
    <col width="10" customWidth="1" min="198" max="198"/>
    <col width="10" customWidth="1" min="199" max="199"/>
    <col width="10" customWidth="1" min="200" max="200"/>
    <col width="10" customWidth="1" min="201" max="201"/>
    <col width="11" customWidth="1" min="202" max="202"/>
    <col width="11" customWidth="1" min="203" max="203"/>
    <col width="10" customWidth="1" min="204" max="204"/>
    <col width="11" customWidth="1" min="205" max="205"/>
    <col width="13" customWidth="1" min="206" max="206"/>
    <col width="12" customWidth="1" min="208" max="208"/>
    <col width="10" customWidth="1" min="209" max="209"/>
    <col width="10" customWidth="1" min="210" max="210"/>
    <col width="10" customWidth="1" min="211" max="211"/>
    <col width="10" customWidth="1" min="212" max="212"/>
    <col width="11" customWidth="1" min="213" max="213"/>
    <col width="11" customWidth="1" min="214" max="214"/>
    <col width="10" customWidth="1" min="215" max="215"/>
    <col width="10" customWidth="1" min="216" max="216"/>
    <col width="10" customWidth="1" min="217" max="217"/>
    <col width="10" customWidth="1" min="218" max="218"/>
    <col width="11" customWidth="1" min="219" max="219"/>
    <col width="11" customWidth="1" min="220" max="220"/>
    <col width="10" customWidth="1" min="221" max="221"/>
    <col width="11" customWidth="1" min="222" max="222"/>
    <col width="13" customWidth="1" min="223" max="223"/>
    <col width="12" customWidth="1" min="225" max="225"/>
    <col width="10" customWidth="1" min="226" max="226"/>
    <col width="10" customWidth="1" min="227" max="227"/>
    <col width="10" customWidth="1" min="228" max="228"/>
    <col width="10" customWidth="1" min="229" max="229"/>
    <col width="11" customWidth="1" min="230" max="230"/>
    <col width="11" customWidth="1" min="231" max="231"/>
    <col width="10" customWidth="1" min="232" max="232"/>
    <col width="10" customWidth="1" min="233" max="233"/>
    <col width="10" customWidth="1" min="234" max="234"/>
    <col width="10" customWidth="1" min="235" max="235"/>
    <col width="11" customWidth="1" min="236" max="236"/>
    <col width="11" customWidth="1" min="237" max="237"/>
    <col width="10" customWidth="1" min="238" max="238"/>
    <col width="11" customWidth="1" min="239" max="239"/>
    <col width="13" customWidth="1" min="240" max="240"/>
    <col width="12" customWidth="1" min="242" max="242"/>
    <col width="10" customWidth="1" min="243" max="243"/>
    <col width="10" customWidth="1" min="244" max="244"/>
    <col width="10" customWidth="1" min="245" max="245"/>
    <col width="10" customWidth="1" min="246" max="246"/>
    <col width="11" customWidth="1" min="247" max="247"/>
    <col width="11" customWidth="1" min="248" max="248"/>
    <col width="10" customWidth="1" min="249" max="249"/>
    <col width="10" customWidth="1" min="250" max="250"/>
    <col width="10" customWidth="1" min="251" max="251"/>
    <col width="10" customWidth="1" min="252" max="252"/>
    <col width="11" customWidth="1" min="253" max="253"/>
    <col width="11" customWidth="1" min="254" max="254"/>
    <col width="10" customWidth="1" min="255" max="255"/>
    <col width="11" customWidth="1" min="256" max="256"/>
    <col width="13" customWidth="1" min="257" max="257"/>
    <col width="12" customWidth="1" min="259" max="259"/>
    <col width="10" customWidth="1" min="260" max="260"/>
    <col width="10" customWidth="1" min="261" max="261"/>
    <col width="10" customWidth="1" min="262" max="262"/>
    <col width="10" customWidth="1" min="263" max="263"/>
    <col width="11" customWidth="1" min="264" max="264"/>
    <col width="11" customWidth="1" min="265" max="265"/>
    <col width="10" customWidth="1" min="266" max="266"/>
    <col width="10" customWidth="1" min="267" max="267"/>
    <col width="10" customWidth="1" min="268" max="268"/>
    <col width="10" customWidth="1" min="269" max="269"/>
    <col width="11" customWidth="1" min="270" max="270"/>
    <col width="11" customWidth="1" min="271" max="271"/>
    <col width="10" customWidth="1" min="272" max="272"/>
    <col width="11" customWidth="1" min="273" max="273"/>
    <col width="13" customWidth="1" min="274" max="274"/>
    <col width="12" customWidth="1" min="276" max="276"/>
    <col width="10" customWidth="1" min="277" max="277"/>
    <col width="10" customWidth="1" min="278" max="278"/>
    <col width="10" customWidth="1" min="279" max="279"/>
    <col width="10" customWidth="1" min="280" max="280"/>
    <col width="11" customWidth="1" min="281" max="281"/>
    <col width="11" customWidth="1" min="282" max="282"/>
    <col width="10" customWidth="1" min="283" max="283"/>
    <col width="10" customWidth="1" min="284" max="284"/>
    <col width="10" customWidth="1" min="285" max="285"/>
    <col width="10" customWidth="1" min="286" max="286"/>
    <col width="11" customWidth="1" min="287" max="287"/>
    <col width="11" customWidth="1" min="288" max="288"/>
    <col width="10" customWidth="1" min="289" max="289"/>
    <col width="11" customWidth="1" min="290" max="290"/>
    <col width="13" customWidth="1" min="291" max="291"/>
    <col width="12" customWidth="1" min="293" max="293"/>
    <col width="10" customWidth="1" min="294" max="294"/>
    <col width="10" customWidth="1" min="295" max="295"/>
    <col width="10" customWidth="1" min="296" max="296"/>
    <col width="10" customWidth="1" min="297" max="297"/>
    <col width="11" customWidth="1" min="298" max="298"/>
    <col width="11" customWidth="1" min="299" max="299"/>
    <col width="10" customWidth="1" min="300" max="300"/>
    <col width="10" customWidth="1" min="301" max="301"/>
    <col width="10" customWidth="1" min="302" max="302"/>
    <col width="10" customWidth="1" min="303" max="303"/>
    <col width="11" customWidth="1" min="304" max="304"/>
    <col width="11" customWidth="1" min="305" max="305"/>
    <col width="10" customWidth="1" min="306" max="306"/>
    <col width="11" customWidth="1" min="307" max="307"/>
    <col width="13" customWidth="1" min="308" max="308"/>
    <col width="12" customWidth="1" min="310" max="310"/>
    <col width="10" customWidth="1" min="311" max="311"/>
    <col width="10" customWidth="1" min="312" max="312"/>
    <col width="10" customWidth="1" min="313" max="313"/>
    <col width="10" customWidth="1" min="314" max="314"/>
    <col width="11" customWidth="1" min="315" max="315"/>
    <col width="11" customWidth="1" min="316" max="316"/>
    <col width="10" customWidth="1" min="317" max="317"/>
    <col width="10" customWidth="1" min="318" max="318"/>
    <col width="10" customWidth="1" min="319" max="319"/>
    <col width="10" customWidth="1" min="320" max="320"/>
    <col width="11" customWidth="1" min="321" max="321"/>
    <col width="11" customWidth="1" min="322" max="322"/>
    <col width="10" customWidth="1" min="323" max="323"/>
    <col width="11" customWidth="1" min="324" max="324"/>
    <col width="13" customWidth="1" min="325" max="325"/>
    <col width="12" customWidth="1" min="327" max="327"/>
    <col width="10" customWidth="1" min="328" max="328"/>
    <col width="10" customWidth="1" min="329" max="329"/>
    <col width="10" customWidth="1" min="330" max="330"/>
    <col width="10" customWidth="1" min="331" max="331"/>
    <col width="11" customWidth="1" min="332" max="332"/>
    <col width="11" customWidth="1" min="333" max="333"/>
    <col width="10" customWidth="1" min="334" max="334"/>
    <col width="10" customWidth="1" min="335" max="335"/>
    <col width="10" customWidth="1" min="336" max="336"/>
    <col width="10" customWidth="1" min="337" max="337"/>
    <col width="11" customWidth="1" min="338" max="338"/>
    <col width="11" customWidth="1" min="339" max="339"/>
    <col width="10" customWidth="1" min="340" max="340"/>
    <col width="11" customWidth="1" min="341" max="341"/>
    <col width="13" customWidth="1" min="342" max="342"/>
    <col width="12" customWidth="1" min="344" max="344"/>
    <col width="10" customWidth="1" min="345" max="345"/>
    <col width="10" customWidth="1" min="346" max="346"/>
    <col width="10" customWidth="1" min="347" max="347"/>
    <col width="10" customWidth="1" min="348" max="348"/>
    <col width="11" customWidth="1" min="349" max="349"/>
    <col width="11" customWidth="1" min="350" max="350"/>
    <col width="10" customWidth="1" min="351" max="351"/>
    <col width="10" customWidth="1" min="352" max="352"/>
    <col width="10" customWidth="1" min="353" max="353"/>
    <col width="10" customWidth="1" min="354" max="354"/>
    <col width="11" customWidth="1" min="355" max="355"/>
    <col width="11" customWidth="1" min="356" max="356"/>
    <col width="10" customWidth="1" min="357" max="357"/>
    <col width="11" customWidth="1" min="358" max="358"/>
    <col width="13" customWidth="1" min="359" max="359"/>
    <col width="12" customWidth="1" min="361" max="361"/>
    <col width="10" customWidth="1" min="362" max="362"/>
    <col width="10" customWidth="1" min="363" max="363"/>
    <col width="10" customWidth="1" min="364" max="364"/>
    <col width="10" customWidth="1" min="365" max="365"/>
    <col width="11" customWidth="1" min="366" max="366"/>
    <col width="11" customWidth="1" min="367" max="367"/>
    <col width="10" customWidth="1" min="368" max="368"/>
    <col width="10" customWidth="1" min="369" max="369"/>
    <col width="10" customWidth="1" min="370" max="370"/>
    <col width="10" customWidth="1" min="371" max="371"/>
    <col width="11" customWidth="1" min="372" max="372"/>
    <col width="11" customWidth="1" min="373" max="373"/>
    <col width="10" customWidth="1" min="374" max="374"/>
    <col width="11" customWidth="1" min="375" max="375"/>
    <col width="13" customWidth="1" min="376" max="376"/>
  </cols>
  <sheetData>
    <row r="1">
      <c r="A1" s="2" t="inlineStr">
        <is>
          <t>Month</t>
        </is>
      </c>
      <c r="B1" s="9" t="n">
        <v>5</v>
      </c>
      <c r="D1" s="2">
        <f>IF(ISNUMBER(B$7),"XLE US "&amp;TEXT(B$3,"mm/dd/yy")&amp;" C"&amp;(B$7-5*B$6)&amp;" Equity","")</f>
        <v/>
      </c>
      <c r="U1" s="2">
        <f>IF(ISNUMBER(B$7),"XLE US "&amp;TEXT(B$3,"mm/dd/yy")&amp;" P"&amp;(B$7-5*B$6)&amp;" Equity","")</f>
        <v/>
      </c>
      <c r="AL1" s="2">
        <f>IF(ISNUMBER(B$7),"XLE US "&amp;TEXT(B$3,"mm/dd/yy")&amp;" C"&amp;(B$7-4*B$6)&amp;" Equity","")</f>
        <v/>
      </c>
      <c r="BC1" s="2">
        <f>IF(ISNUMBER(B$7),"XLE US "&amp;TEXT(B$3,"mm/dd/yy")&amp;" P"&amp;(B$7-4*B$6)&amp;" Equity","")</f>
        <v/>
      </c>
      <c r="BT1" s="2">
        <f>IF(ISNUMBER(B$7),"XLE US "&amp;TEXT(B$3,"mm/dd/yy")&amp;" C"&amp;(B$7-3*B$6)&amp;" Equity","")</f>
        <v/>
      </c>
      <c r="CK1" s="2">
        <f>IF(ISNUMBER(B$7),"XLE US "&amp;TEXT(B$3,"mm/dd/yy")&amp;" P"&amp;(B$7-3*B$6)&amp;" Equity","")</f>
        <v/>
      </c>
      <c r="DB1" s="2">
        <f>IF(ISNUMBER(B$7),"XLE US "&amp;TEXT(B$3,"mm/dd/yy")&amp;" C"&amp;(B$7-2*B$6)&amp;" Equity","")</f>
        <v/>
      </c>
      <c r="DS1" s="2">
        <f>IF(ISNUMBER(B$7),"XLE US "&amp;TEXT(B$3,"mm/dd/yy")&amp;" P"&amp;(B$7-2*B$6)&amp;" Equity","")</f>
        <v/>
      </c>
      <c r="EJ1" s="2">
        <f>IF(ISNUMBER(B$7),"XLE US "&amp;TEXT(B$3,"mm/dd/yy")&amp;" C"&amp;(B$7-1*B$6)&amp;" Equity","")</f>
        <v/>
      </c>
      <c r="FA1" s="2">
        <f>IF(ISNUMBER(B$7),"XLE US "&amp;TEXT(B$3,"mm/dd/yy")&amp;" P"&amp;(B$7-1*B$6)&amp;" Equity","")</f>
        <v/>
      </c>
      <c r="FR1" s="2">
        <f>IF(ISNUMBER(B$7),"XLE US "&amp;TEXT(B$3,"mm/dd/yy")&amp;" C"&amp;B$7&amp;" Equity","")</f>
        <v/>
      </c>
      <c r="GI1" s="2">
        <f>IF(ISNUMBER(B$7),"XLE US "&amp;TEXT(B$3,"mm/dd/yy")&amp;" P"&amp;B$7&amp;" Equity","")</f>
        <v/>
      </c>
      <c r="GZ1" s="2">
        <f>IF(ISNUMBER(B$7),"XLE US "&amp;TEXT(B$3,"mm/dd/yy")&amp;" C"&amp;(B$7+1*B$6)&amp;" Equity","")</f>
        <v/>
      </c>
      <c r="HQ1" s="2">
        <f>IF(ISNUMBER(B$7),"XLE US "&amp;TEXT(B$3,"mm/dd/yy")&amp;" P"&amp;(B$7+1*B$6)&amp;" Equity","")</f>
        <v/>
      </c>
      <c r="IH1" s="2">
        <f>IF(ISNUMBER(B$7),"XLE US "&amp;TEXT(B$3,"mm/dd/yy")&amp;" C"&amp;(B$7+2*B$6)&amp;" Equity","")</f>
        <v/>
      </c>
      <c r="IY1" s="2">
        <f>IF(ISNUMBER(B$7),"XLE US "&amp;TEXT(B$3,"mm/dd/yy")&amp;" P"&amp;(B$7+2*B$6)&amp;" Equity","")</f>
        <v/>
      </c>
      <c r="JP1" s="2">
        <f>IF(ISNUMBER(B$7),"XLE US "&amp;TEXT(B$3,"mm/dd/yy")&amp;" C"&amp;(B$7+3*B$6)&amp;" Equity","")</f>
        <v/>
      </c>
      <c r="KG1" s="2">
        <f>IF(ISNUMBER(B$7),"XLE US "&amp;TEXT(B$3,"mm/dd/yy")&amp;" P"&amp;(B$7+3*B$6)&amp;" Equity","")</f>
        <v/>
      </c>
      <c r="KX1" s="2">
        <f>IF(ISNUMBER(B$7),"XLE US "&amp;TEXT(B$3,"mm/dd/yy")&amp;" C"&amp;(B$7+4*B$6)&amp;" Equity","")</f>
        <v/>
      </c>
      <c r="LO1" s="2">
        <f>IF(ISNUMBER(B$7),"XLE US "&amp;TEXT(B$3,"mm/dd/yy")&amp;" P"&amp;(B$7+4*B$6)&amp;" Equity","")</f>
        <v/>
      </c>
      <c r="MF1" s="2">
        <f>IF(ISNUMBER(B$7),"XLE US "&amp;TEXT(B$3,"mm/dd/yy")&amp;" C"&amp;(B$7+5*B$6)&amp;" Equity","")</f>
        <v/>
      </c>
      <c r="MW1" s="2">
        <f>IF(ISNUMBER(B$7),"XLE US "&amp;TEXT(B$3,"mm/dd/yy")&amp;" P"&amp;(B$7+5*B$6)&amp;" Equity","")</f>
        <v/>
      </c>
    </row>
    <row r="2">
      <c r="A2" s="2" t="inlineStr">
        <is>
          <t>Underlying</t>
        </is>
      </c>
      <c r="B2" s="4">
        <f>IF(Settings!$B$16="Y","XLE US Equity","")</f>
        <v/>
      </c>
      <c r="D2" s="4" t="inlineStr">
        <is>
          <t>call -5 from ATM</t>
        </is>
      </c>
      <c r="U2" s="4" t="inlineStr">
        <is>
          <t>put -5 from ATM</t>
        </is>
      </c>
      <c r="AL2" s="4" t="inlineStr">
        <is>
          <t>call -4 from ATM</t>
        </is>
      </c>
      <c r="BC2" s="4" t="inlineStr">
        <is>
          <t>put -4 from ATM</t>
        </is>
      </c>
      <c r="BT2" s="4" t="inlineStr">
        <is>
          <t>call -3 from ATM</t>
        </is>
      </c>
      <c r="CK2" s="4" t="inlineStr">
        <is>
          <t>put -3 from ATM</t>
        </is>
      </c>
      <c r="DB2" s="4" t="inlineStr">
        <is>
          <t>call -2 from ATM</t>
        </is>
      </c>
      <c r="DS2" s="4" t="inlineStr">
        <is>
          <t>put -2 from ATM</t>
        </is>
      </c>
      <c r="EJ2" s="4" t="inlineStr">
        <is>
          <t>call -1 from ATM</t>
        </is>
      </c>
      <c r="FA2" s="4" t="inlineStr">
        <is>
          <t>put -1 from ATM</t>
        </is>
      </c>
      <c r="FR2" s="4" t="inlineStr">
        <is>
          <t>call +0 from ATM</t>
        </is>
      </c>
      <c r="GI2" s="4" t="inlineStr">
        <is>
          <t>put +0 from ATM</t>
        </is>
      </c>
      <c r="GZ2" s="4" t="inlineStr">
        <is>
          <t>call +1 from ATM</t>
        </is>
      </c>
      <c r="HQ2" s="4" t="inlineStr">
        <is>
          <t>put +1 from ATM</t>
        </is>
      </c>
      <c r="IH2" s="4" t="inlineStr">
        <is>
          <t>call +2 from ATM</t>
        </is>
      </c>
      <c r="IY2" s="4" t="inlineStr">
        <is>
          <t>put +2 from ATM</t>
        </is>
      </c>
      <c r="JP2" s="4" t="inlineStr">
        <is>
          <t>call +3 from ATM</t>
        </is>
      </c>
      <c r="KG2" s="4" t="inlineStr">
        <is>
          <t>put +3 from ATM</t>
        </is>
      </c>
      <c r="KX2" s="4" t="inlineStr">
        <is>
          <t>call +4 from ATM</t>
        </is>
      </c>
      <c r="LO2" s="4" t="inlineStr">
        <is>
          <t>put +4 from ATM</t>
        </is>
      </c>
      <c r="MF2" s="4" t="inlineStr">
        <is>
          <t>call +5 from ATM</t>
        </is>
      </c>
      <c r="MW2" s="4" t="inlineStr">
        <is>
          <t>put +5 from ATM</t>
        </is>
      </c>
    </row>
    <row r="3">
      <c r="A3" s="2" t="inlineStr">
        <is>
          <t>Expiry (3rd Friday)</t>
        </is>
      </c>
      <c r="B3" s="3">
        <f>DATE(Settings!$E$16,B1,15)+MOD(6-WEEKDAY(DATE(Settings!$E$16,B1,15)),7)</f>
        <v/>
      </c>
      <c r="D3" s="5" t="inlineStr">
        <is>
          <t>Date</t>
        </is>
      </c>
      <c r="E3" s="5" t="inlineStr">
        <is>
          <t>PX_BID</t>
        </is>
      </c>
      <c r="F3" s="5" t="inlineStr">
        <is>
          <t>PX_ASK</t>
        </is>
      </c>
      <c r="G3" s="5" t="inlineStr">
        <is>
          <t>PX_MID</t>
        </is>
      </c>
      <c r="H3" s="5" t="inlineStr">
        <is>
          <t>PX_LAST</t>
        </is>
      </c>
      <c r="I3" s="5" t="inlineStr">
        <is>
          <t>PX_SETTLE</t>
        </is>
      </c>
      <c r="J3" s="5" t="inlineStr">
        <is>
          <t>PX_VOLUME</t>
        </is>
      </c>
      <c r="K3" s="5" t="inlineStr">
        <is>
          <t>OPEN_INT</t>
        </is>
      </c>
      <c r="L3" s="5" t="inlineStr">
        <is>
          <t>IVOL_MID</t>
        </is>
      </c>
      <c r="M3" s="5" t="inlineStr">
        <is>
          <t>IVOL_BID</t>
        </is>
      </c>
      <c r="N3" s="5" t="inlineStr">
        <is>
          <t>IVOL_ASK</t>
        </is>
      </c>
      <c r="O3" s="5" t="inlineStr">
        <is>
          <t>DELTA_MID</t>
        </is>
      </c>
      <c r="P3" s="5" t="inlineStr">
        <is>
          <t>GAMMA_MID</t>
        </is>
      </c>
      <c r="Q3" s="5" t="inlineStr">
        <is>
          <t>VEGA_MID</t>
        </is>
      </c>
      <c r="R3" s="5" t="inlineStr">
        <is>
          <t>THETA_MID</t>
        </is>
      </c>
      <c r="S3" s="5" t="inlineStr">
        <is>
          <t>OPT_UNDL_PX</t>
        </is>
      </c>
      <c r="U3" s="5" t="inlineStr">
        <is>
          <t>Date</t>
        </is>
      </c>
      <c r="V3" s="5" t="inlineStr">
        <is>
          <t>PX_BID</t>
        </is>
      </c>
      <c r="W3" s="5" t="inlineStr">
        <is>
          <t>PX_ASK</t>
        </is>
      </c>
      <c r="X3" s="5" t="inlineStr">
        <is>
          <t>PX_MID</t>
        </is>
      </c>
      <c r="Y3" s="5" t="inlineStr">
        <is>
          <t>PX_LAST</t>
        </is>
      </c>
      <c r="Z3" s="5" t="inlineStr">
        <is>
          <t>PX_SETTLE</t>
        </is>
      </c>
      <c r="AA3" s="5" t="inlineStr">
        <is>
          <t>PX_VOLUME</t>
        </is>
      </c>
      <c r="AB3" s="5" t="inlineStr">
        <is>
          <t>OPEN_INT</t>
        </is>
      </c>
      <c r="AC3" s="5" t="inlineStr">
        <is>
          <t>IVOL_MID</t>
        </is>
      </c>
      <c r="AD3" s="5" t="inlineStr">
        <is>
          <t>IVOL_BID</t>
        </is>
      </c>
      <c r="AE3" s="5" t="inlineStr">
        <is>
          <t>IVOL_ASK</t>
        </is>
      </c>
      <c r="AF3" s="5" t="inlineStr">
        <is>
          <t>DELTA_MID</t>
        </is>
      </c>
      <c r="AG3" s="5" t="inlineStr">
        <is>
          <t>GAMMA_MID</t>
        </is>
      </c>
      <c r="AH3" s="5" t="inlineStr">
        <is>
          <t>VEGA_MID</t>
        </is>
      </c>
      <c r="AI3" s="5" t="inlineStr">
        <is>
          <t>THETA_MID</t>
        </is>
      </c>
      <c r="AJ3" s="5" t="inlineStr">
        <is>
          <t>OPT_UNDL_PX</t>
        </is>
      </c>
      <c r="AL3" s="5" t="inlineStr">
        <is>
          <t>Date</t>
        </is>
      </c>
      <c r="AM3" s="5" t="inlineStr">
        <is>
          <t>PX_BID</t>
        </is>
      </c>
      <c r="AN3" s="5" t="inlineStr">
        <is>
          <t>PX_ASK</t>
        </is>
      </c>
      <c r="AO3" s="5" t="inlineStr">
        <is>
          <t>PX_MID</t>
        </is>
      </c>
      <c r="AP3" s="5" t="inlineStr">
        <is>
          <t>PX_LAST</t>
        </is>
      </c>
      <c r="AQ3" s="5" t="inlineStr">
        <is>
          <t>PX_SETTLE</t>
        </is>
      </c>
      <c r="AR3" s="5" t="inlineStr">
        <is>
          <t>PX_VOLUME</t>
        </is>
      </c>
      <c r="AS3" s="5" t="inlineStr">
        <is>
          <t>OPEN_INT</t>
        </is>
      </c>
      <c r="AT3" s="5" t="inlineStr">
        <is>
          <t>IVOL_MID</t>
        </is>
      </c>
      <c r="AU3" s="5" t="inlineStr">
        <is>
          <t>IVOL_BID</t>
        </is>
      </c>
      <c r="AV3" s="5" t="inlineStr">
        <is>
          <t>IVOL_ASK</t>
        </is>
      </c>
      <c r="AW3" s="5" t="inlineStr">
        <is>
          <t>DELTA_MID</t>
        </is>
      </c>
      <c r="AX3" s="5" t="inlineStr">
        <is>
          <t>GAMMA_MID</t>
        </is>
      </c>
      <c r="AY3" s="5" t="inlineStr">
        <is>
          <t>VEGA_MID</t>
        </is>
      </c>
      <c r="AZ3" s="5" t="inlineStr">
        <is>
          <t>THETA_MID</t>
        </is>
      </c>
      <c r="BA3" s="5" t="inlineStr">
        <is>
          <t>OPT_UNDL_PX</t>
        </is>
      </c>
      <c r="BC3" s="5" t="inlineStr">
        <is>
          <t>Date</t>
        </is>
      </c>
      <c r="BD3" s="5" t="inlineStr">
        <is>
          <t>PX_BID</t>
        </is>
      </c>
      <c r="BE3" s="5" t="inlineStr">
        <is>
          <t>PX_ASK</t>
        </is>
      </c>
      <c r="BF3" s="5" t="inlineStr">
        <is>
          <t>PX_MID</t>
        </is>
      </c>
      <c r="BG3" s="5" t="inlineStr">
        <is>
          <t>PX_LAST</t>
        </is>
      </c>
      <c r="BH3" s="5" t="inlineStr">
        <is>
          <t>PX_SETTLE</t>
        </is>
      </c>
      <c r="BI3" s="5" t="inlineStr">
        <is>
          <t>PX_VOLUME</t>
        </is>
      </c>
      <c r="BJ3" s="5" t="inlineStr">
        <is>
          <t>OPEN_INT</t>
        </is>
      </c>
      <c r="BK3" s="5" t="inlineStr">
        <is>
          <t>IVOL_MID</t>
        </is>
      </c>
      <c r="BL3" s="5" t="inlineStr">
        <is>
          <t>IVOL_BID</t>
        </is>
      </c>
      <c r="BM3" s="5" t="inlineStr">
        <is>
          <t>IVOL_ASK</t>
        </is>
      </c>
      <c r="BN3" s="5" t="inlineStr">
        <is>
          <t>DELTA_MID</t>
        </is>
      </c>
      <c r="BO3" s="5" t="inlineStr">
        <is>
          <t>GAMMA_MID</t>
        </is>
      </c>
      <c r="BP3" s="5" t="inlineStr">
        <is>
          <t>VEGA_MID</t>
        </is>
      </c>
      <c r="BQ3" s="5" t="inlineStr">
        <is>
          <t>THETA_MID</t>
        </is>
      </c>
      <c r="BR3" s="5" t="inlineStr">
        <is>
          <t>OPT_UNDL_PX</t>
        </is>
      </c>
      <c r="BT3" s="5" t="inlineStr">
        <is>
          <t>Date</t>
        </is>
      </c>
      <c r="BU3" s="5" t="inlineStr">
        <is>
          <t>PX_BID</t>
        </is>
      </c>
      <c r="BV3" s="5" t="inlineStr">
        <is>
          <t>PX_ASK</t>
        </is>
      </c>
      <c r="BW3" s="5" t="inlineStr">
        <is>
          <t>PX_MID</t>
        </is>
      </c>
      <c r="BX3" s="5" t="inlineStr">
        <is>
          <t>PX_LAST</t>
        </is>
      </c>
      <c r="BY3" s="5" t="inlineStr">
        <is>
          <t>PX_SETTLE</t>
        </is>
      </c>
      <c r="BZ3" s="5" t="inlineStr">
        <is>
          <t>PX_VOLUME</t>
        </is>
      </c>
      <c r="CA3" s="5" t="inlineStr">
        <is>
          <t>OPEN_INT</t>
        </is>
      </c>
      <c r="CB3" s="5" t="inlineStr">
        <is>
          <t>IVOL_MID</t>
        </is>
      </c>
      <c r="CC3" s="5" t="inlineStr">
        <is>
          <t>IVOL_BID</t>
        </is>
      </c>
      <c r="CD3" s="5" t="inlineStr">
        <is>
          <t>IVOL_ASK</t>
        </is>
      </c>
      <c r="CE3" s="5" t="inlineStr">
        <is>
          <t>DELTA_MID</t>
        </is>
      </c>
      <c r="CF3" s="5" t="inlineStr">
        <is>
          <t>GAMMA_MID</t>
        </is>
      </c>
      <c r="CG3" s="5" t="inlineStr">
        <is>
          <t>VEGA_MID</t>
        </is>
      </c>
      <c r="CH3" s="5" t="inlineStr">
        <is>
          <t>THETA_MID</t>
        </is>
      </c>
      <c r="CI3" s="5" t="inlineStr">
        <is>
          <t>OPT_UNDL_PX</t>
        </is>
      </c>
      <c r="CK3" s="5" t="inlineStr">
        <is>
          <t>Date</t>
        </is>
      </c>
      <c r="CL3" s="5" t="inlineStr">
        <is>
          <t>PX_BID</t>
        </is>
      </c>
      <c r="CM3" s="5" t="inlineStr">
        <is>
          <t>PX_ASK</t>
        </is>
      </c>
      <c r="CN3" s="5" t="inlineStr">
        <is>
          <t>PX_MID</t>
        </is>
      </c>
      <c r="CO3" s="5" t="inlineStr">
        <is>
          <t>PX_LAST</t>
        </is>
      </c>
      <c r="CP3" s="5" t="inlineStr">
        <is>
          <t>PX_SETTLE</t>
        </is>
      </c>
      <c r="CQ3" s="5" t="inlineStr">
        <is>
          <t>PX_VOLUME</t>
        </is>
      </c>
      <c r="CR3" s="5" t="inlineStr">
        <is>
          <t>OPEN_INT</t>
        </is>
      </c>
      <c r="CS3" s="5" t="inlineStr">
        <is>
          <t>IVOL_MID</t>
        </is>
      </c>
      <c r="CT3" s="5" t="inlineStr">
        <is>
          <t>IVOL_BID</t>
        </is>
      </c>
      <c r="CU3" s="5" t="inlineStr">
        <is>
          <t>IVOL_ASK</t>
        </is>
      </c>
      <c r="CV3" s="5" t="inlineStr">
        <is>
          <t>DELTA_MID</t>
        </is>
      </c>
      <c r="CW3" s="5" t="inlineStr">
        <is>
          <t>GAMMA_MID</t>
        </is>
      </c>
      <c r="CX3" s="5" t="inlineStr">
        <is>
          <t>VEGA_MID</t>
        </is>
      </c>
      <c r="CY3" s="5" t="inlineStr">
        <is>
          <t>THETA_MID</t>
        </is>
      </c>
      <c r="CZ3" s="5" t="inlineStr">
        <is>
          <t>OPT_UNDL_PX</t>
        </is>
      </c>
      <c r="DB3" s="5" t="inlineStr">
        <is>
          <t>Date</t>
        </is>
      </c>
      <c r="DC3" s="5" t="inlineStr">
        <is>
          <t>PX_BID</t>
        </is>
      </c>
      <c r="DD3" s="5" t="inlineStr">
        <is>
          <t>PX_ASK</t>
        </is>
      </c>
      <c r="DE3" s="5" t="inlineStr">
        <is>
          <t>PX_MID</t>
        </is>
      </c>
      <c r="DF3" s="5" t="inlineStr">
        <is>
          <t>PX_LAST</t>
        </is>
      </c>
      <c r="DG3" s="5" t="inlineStr">
        <is>
          <t>PX_SETTLE</t>
        </is>
      </c>
      <c r="DH3" s="5" t="inlineStr">
        <is>
          <t>PX_VOLUME</t>
        </is>
      </c>
      <c r="DI3" s="5" t="inlineStr">
        <is>
          <t>OPEN_INT</t>
        </is>
      </c>
      <c r="DJ3" s="5" t="inlineStr">
        <is>
          <t>IVOL_MID</t>
        </is>
      </c>
      <c r="DK3" s="5" t="inlineStr">
        <is>
          <t>IVOL_BID</t>
        </is>
      </c>
      <c r="DL3" s="5" t="inlineStr">
        <is>
          <t>IVOL_ASK</t>
        </is>
      </c>
      <c r="DM3" s="5" t="inlineStr">
        <is>
          <t>DELTA_MID</t>
        </is>
      </c>
      <c r="DN3" s="5" t="inlineStr">
        <is>
          <t>GAMMA_MID</t>
        </is>
      </c>
      <c r="DO3" s="5" t="inlineStr">
        <is>
          <t>VEGA_MID</t>
        </is>
      </c>
      <c r="DP3" s="5" t="inlineStr">
        <is>
          <t>THETA_MID</t>
        </is>
      </c>
      <c r="DQ3" s="5" t="inlineStr">
        <is>
          <t>OPT_UNDL_PX</t>
        </is>
      </c>
      <c r="DS3" s="5" t="inlineStr">
        <is>
          <t>Date</t>
        </is>
      </c>
      <c r="DT3" s="5" t="inlineStr">
        <is>
          <t>PX_BID</t>
        </is>
      </c>
      <c r="DU3" s="5" t="inlineStr">
        <is>
          <t>PX_ASK</t>
        </is>
      </c>
      <c r="DV3" s="5" t="inlineStr">
        <is>
          <t>PX_MID</t>
        </is>
      </c>
      <c r="DW3" s="5" t="inlineStr">
        <is>
          <t>PX_LAST</t>
        </is>
      </c>
      <c r="DX3" s="5" t="inlineStr">
        <is>
          <t>PX_SETTLE</t>
        </is>
      </c>
      <c r="DY3" s="5" t="inlineStr">
        <is>
          <t>PX_VOLUME</t>
        </is>
      </c>
      <c r="DZ3" s="5" t="inlineStr">
        <is>
          <t>OPEN_INT</t>
        </is>
      </c>
      <c r="EA3" s="5" t="inlineStr">
        <is>
          <t>IVOL_MID</t>
        </is>
      </c>
      <c r="EB3" s="5" t="inlineStr">
        <is>
          <t>IVOL_BID</t>
        </is>
      </c>
      <c r="EC3" s="5" t="inlineStr">
        <is>
          <t>IVOL_ASK</t>
        </is>
      </c>
      <c r="ED3" s="5" t="inlineStr">
        <is>
          <t>DELTA_MID</t>
        </is>
      </c>
      <c r="EE3" s="5" t="inlineStr">
        <is>
          <t>GAMMA_MID</t>
        </is>
      </c>
      <c r="EF3" s="5" t="inlineStr">
        <is>
          <t>VEGA_MID</t>
        </is>
      </c>
      <c r="EG3" s="5" t="inlineStr">
        <is>
          <t>THETA_MID</t>
        </is>
      </c>
      <c r="EH3" s="5" t="inlineStr">
        <is>
          <t>OPT_UNDL_PX</t>
        </is>
      </c>
      <c r="EJ3" s="5" t="inlineStr">
        <is>
          <t>Date</t>
        </is>
      </c>
      <c r="EK3" s="5" t="inlineStr">
        <is>
          <t>PX_BID</t>
        </is>
      </c>
      <c r="EL3" s="5" t="inlineStr">
        <is>
          <t>PX_ASK</t>
        </is>
      </c>
      <c r="EM3" s="5" t="inlineStr">
        <is>
          <t>PX_MID</t>
        </is>
      </c>
      <c r="EN3" s="5" t="inlineStr">
        <is>
          <t>PX_LAST</t>
        </is>
      </c>
      <c r="EO3" s="5" t="inlineStr">
        <is>
          <t>PX_SETTLE</t>
        </is>
      </c>
      <c r="EP3" s="5" t="inlineStr">
        <is>
          <t>PX_VOLUME</t>
        </is>
      </c>
      <c r="EQ3" s="5" t="inlineStr">
        <is>
          <t>OPEN_INT</t>
        </is>
      </c>
      <c r="ER3" s="5" t="inlineStr">
        <is>
          <t>IVOL_MID</t>
        </is>
      </c>
      <c r="ES3" s="5" t="inlineStr">
        <is>
          <t>IVOL_BID</t>
        </is>
      </c>
      <c r="ET3" s="5" t="inlineStr">
        <is>
          <t>IVOL_ASK</t>
        </is>
      </c>
      <c r="EU3" s="5" t="inlineStr">
        <is>
          <t>DELTA_MID</t>
        </is>
      </c>
      <c r="EV3" s="5" t="inlineStr">
        <is>
          <t>GAMMA_MID</t>
        </is>
      </c>
      <c r="EW3" s="5" t="inlineStr">
        <is>
          <t>VEGA_MID</t>
        </is>
      </c>
      <c r="EX3" s="5" t="inlineStr">
        <is>
          <t>THETA_MID</t>
        </is>
      </c>
      <c r="EY3" s="5" t="inlineStr">
        <is>
          <t>OPT_UNDL_PX</t>
        </is>
      </c>
      <c r="FA3" s="5" t="inlineStr">
        <is>
          <t>Date</t>
        </is>
      </c>
      <c r="FB3" s="5" t="inlineStr">
        <is>
          <t>PX_BID</t>
        </is>
      </c>
      <c r="FC3" s="5" t="inlineStr">
        <is>
          <t>PX_ASK</t>
        </is>
      </c>
      <c r="FD3" s="5" t="inlineStr">
        <is>
          <t>PX_MID</t>
        </is>
      </c>
      <c r="FE3" s="5" t="inlineStr">
        <is>
          <t>PX_LAST</t>
        </is>
      </c>
      <c r="FF3" s="5" t="inlineStr">
        <is>
          <t>PX_SETTLE</t>
        </is>
      </c>
      <c r="FG3" s="5" t="inlineStr">
        <is>
          <t>PX_VOLUME</t>
        </is>
      </c>
      <c r="FH3" s="5" t="inlineStr">
        <is>
          <t>OPEN_INT</t>
        </is>
      </c>
      <c r="FI3" s="5" t="inlineStr">
        <is>
          <t>IVOL_MID</t>
        </is>
      </c>
      <c r="FJ3" s="5" t="inlineStr">
        <is>
          <t>IVOL_BID</t>
        </is>
      </c>
      <c r="FK3" s="5" t="inlineStr">
        <is>
          <t>IVOL_ASK</t>
        </is>
      </c>
      <c r="FL3" s="5" t="inlineStr">
        <is>
          <t>DELTA_MID</t>
        </is>
      </c>
      <c r="FM3" s="5" t="inlineStr">
        <is>
          <t>GAMMA_MID</t>
        </is>
      </c>
      <c r="FN3" s="5" t="inlineStr">
        <is>
          <t>VEGA_MID</t>
        </is>
      </c>
      <c r="FO3" s="5" t="inlineStr">
        <is>
          <t>THETA_MID</t>
        </is>
      </c>
      <c r="FP3" s="5" t="inlineStr">
        <is>
          <t>OPT_UNDL_PX</t>
        </is>
      </c>
      <c r="FR3" s="5" t="inlineStr">
        <is>
          <t>Date</t>
        </is>
      </c>
      <c r="FS3" s="5" t="inlineStr">
        <is>
          <t>PX_BID</t>
        </is>
      </c>
      <c r="FT3" s="5" t="inlineStr">
        <is>
          <t>PX_ASK</t>
        </is>
      </c>
      <c r="FU3" s="5" t="inlineStr">
        <is>
          <t>PX_MID</t>
        </is>
      </c>
      <c r="FV3" s="5" t="inlineStr">
        <is>
          <t>PX_LAST</t>
        </is>
      </c>
      <c r="FW3" s="5" t="inlineStr">
        <is>
          <t>PX_SETTLE</t>
        </is>
      </c>
      <c r="FX3" s="5" t="inlineStr">
        <is>
          <t>PX_VOLUME</t>
        </is>
      </c>
      <c r="FY3" s="5" t="inlineStr">
        <is>
          <t>OPEN_INT</t>
        </is>
      </c>
      <c r="FZ3" s="5" t="inlineStr">
        <is>
          <t>IVOL_MID</t>
        </is>
      </c>
      <c r="GA3" s="5" t="inlineStr">
        <is>
          <t>IVOL_BID</t>
        </is>
      </c>
      <c r="GB3" s="5" t="inlineStr">
        <is>
          <t>IVOL_ASK</t>
        </is>
      </c>
      <c r="GC3" s="5" t="inlineStr">
        <is>
          <t>DELTA_MID</t>
        </is>
      </c>
      <c r="GD3" s="5" t="inlineStr">
        <is>
          <t>GAMMA_MID</t>
        </is>
      </c>
      <c r="GE3" s="5" t="inlineStr">
        <is>
          <t>VEGA_MID</t>
        </is>
      </c>
      <c r="GF3" s="5" t="inlineStr">
        <is>
          <t>THETA_MID</t>
        </is>
      </c>
      <c r="GG3" s="5" t="inlineStr">
        <is>
          <t>OPT_UNDL_PX</t>
        </is>
      </c>
      <c r="GI3" s="5" t="inlineStr">
        <is>
          <t>Date</t>
        </is>
      </c>
      <c r="GJ3" s="5" t="inlineStr">
        <is>
          <t>PX_BID</t>
        </is>
      </c>
      <c r="GK3" s="5" t="inlineStr">
        <is>
          <t>PX_ASK</t>
        </is>
      </c>
      <c r="GL3" s="5" t="inlineStr">
        <is>
          <t>PX_MID</t>
        </is>
      </c>
      <c r="GM3" s="5" t="inlineStr">
        <is>
          <t>PX_LAST</t>
        </is>
      </c>
      <c r="GN3" s="5" t="inlineStr">
        <is>
          <t>PX_SETTLE</t>
        </is>
      </c>
      <c r="GO3" s="5" t="inlineStr">
        <is>
          <t>PX_VOLUME</t>
        </is>
      </c>
      <c r="GP3" s="5" t="inlineStr">
        <is>
          <t>OPEN_INT</t>
        </is>
      </c>
      <c r="GQ3" s="5" t="inlineStr">
        <is>
          <t>IVOL_MID</t>
        </is>
      </c>
      <c r="GR3" s="5" t="inlineStr">
        <is>
          <t>IVOL_BID</t>
        </is>
      </c>
      <c r="GS3" s="5" t="inlineStr">
        <is>
          <t>IVOL_ASK</t>
        </is>
      </c>
      <c r="GT3" s="5" t="inlineStr">
        <is>
          <t>DELTA_MID</t>
        </is>
      </c>
      <c r="GU3" s="5" t="inlineStr">
        <is>
          <t>GAMMA_MID</t>
        </is>
      </c>
      <c r="GV3" s="5" t="inlineStr">
        <is>
          <t>VEGA_MID</t>
        </is>
      </c>
      <c r="GW3" s="5" t="inlineStr">
        <is>
          <t>THETA_MID</t>
        </is>
      </c>
      <c r="GX3" s="5" t="inlineStr">
        <is>
          <t>OPT_UNDL_PX</t>
        </is>
      </c>
      <c r="GZ3" s="5" t="inlineStr">
        <is>
          <t>Date</t>
        </is>
      </c>
      <c r="HA3" s="5" t="inlineStr">
        <is>
          <t>PX_BID</t>
        </is>
      </c>
      <c r="HB3" s="5" t="inlineStr">
        <is>
          <t>PX_ASK</t>
        </is>
      </c>
      <c r="HC3" s="5" t="inlineStr">
        <is>
          <t>PX_MID</t>
        </is>
      </c>
      <c r="HD3" s="5" t="inlineStr">
        <is>
          <t>PX_LAST</t>
        </is>
      </c>
      <c r="HE3" s="5" t="inlineStr">
        <is>
          <t>PX_SETTLE</t>
        </is>
      </c>
      <c r="HF3" s="5" t="inlineStr">
        <is>
          <t>PX_VOLUME</t>
        </is>
      </c>
      <c r="HG3" s="5" t="inlineStr">
        <is>
          <t>OPEN_INT</t>
        </is>
      </c>
      <c r="HH3" s="5" t="inlineStr">
        <is>
          <t>IVOL_MID</t>
        </is>
      </c>
      <c r="HI3" s="5" t="inlineStr">
        <is>
          <t>IVOL_BID</t>
        </is>
      </c>
      <c r="HJ3" s="5" t="inlineStr">
        <is>
          <t>IVOL_ASK</t>
        </is>
      </c>
      <c r="HK3" s="5" t="inlineStr">
        <is>
          <t>DELTA_MID</t>
        </is>
      </c>
      <c r="HL3" s="5" t="inlineStr">
        <is>
          <t>GAMMA_MID</t>
        </is>
      </c>
      <c r="HM3" s="5" t="inlineStr">
        <is>
          <t>VEGA_MID</t>
        </is>
      </c>
      <c r="HN3" s="5" t="inlineStr">
        <is>
          <t>THETA_MID</t>
        </is>
      </c>
      <c r="HO3" s="5" t="inlineStr">
        <is>
          <t>OPT_UNDL_PX</t>
        </is>
      </c>
      <c r="HQ3" s="5" t="inlineStr">
        <is>
          <t>Date</t>
        </is>
      </c>
      <c r="HR3" s="5" t="inlineStr">
        <is>
          <t>PX_BID</t>
        </is>
      </c>
      <c r="HS3" s="5" t="inlineStr">
        <is>
          <t>PX_ASK</t>
        </is>
      </c>
      <c r="HT3" s="5" t="inlineStr">
        <is>
          <t>PX_MID</t>
        </is>
      </c>
      <c r="HU3" s="5" t="inlineStr">
        <is>
          <t>PX_LAST</t>
        </is>
      </c>
      <c r="HV3" s="5" t="inlineStr">
        <is>
          <t>PX_SETTLE</t>
        </is>
      </c>
      <c r="HW3" s="5" t="inlineStr">
        <is>
          <t>PX_VOLUME</t>
        </is>
      </c>
      <c r="HX3" s="5" t="inlineStr">
        <is>
          <t>OPEN_INT</t>
        </is>
      </c>
      <c r="HY3" s="5" t="inlineStr">
        <is>
          <t>IVOL_MID</t>
        </is>
      </c>
      <c r="HZ3" s="5" t="inlineStr">
        <is>
          <t>IVOL_BID</t>
        </is>
      </c>
      <c r="IA3" s="5" t="inlineStr">
        <is>
          <t>IVOL_ASK</t>
        </is>
      </c>
      <c r="IB3" s="5" t="inlineStr">
        <is>
          <t>DELTA_MID</t>
        </is>
      </c>
      <c r="IC3" s="5" t="inlineStr">
        <is>
          <t>GAMMA_MID</t>
        </is>
      </c>
      <c r="ID3" s="5" t="inlineStr">
        <is>
          <t>VEGA_MID</t>
        </is>
      </c>
      <c r="IE3" s="5" t="inlineStr">
        <is>
          <t>THETA_MID</t>
        </is>
      </c>
      <c r="IF3" s="5" t="inlineStr">
        <is>
          <t>OPT_UNDL_PX</t>
        </is>
      </c>
      <c r="IH3" s="5" t="inlineStr">
        <is>
          <t>Date</t>
        </is>
      </c>
      <c r="II3" s="5" t="inlineStr">
        <is>
          <t>PX_BID</t>
        </is>
      </c>
      <c r="IJ3" s="5" t="inlineStr">
        <is>
          <t>PX_ASK</t>
        </is>
      </c>
      <c r="IK3" s="5" t="inlineStr">
        <is>
          <t>PX_MID</t>
        </is>
      </c>
      <c r="IL3" s="5" t="inlineStr">
        <is>
          <t>PX_LAST</t>
        </is>
      </c>
      <c r="IM3" s="5" t="inlineStr">
        <is>
          <t>PX_SETTLE</t>
        </is>
      </c>
      <c r="IN3" s="5" t="inlineStr">
        <is>
          <t>PX_VOLUME</t>
        </is>
      </c>
      <c r="IO3" s="5" t="inlineStr">
        <is>
          <t>OPEN_INT</t>
        </is>
      </c>
      <c r="IP3" s="5" t="inlineStr">
        <is>
          <t>IVOL_MID</t>
        </is>
      </c>
      <c r="IQ3" s="5" t="inlineStr">
        <is>
          <t>IVOL_BID</t>
        </is>
      </c>
      <c r="IR3" s="5" t="inlineStr">
        <is>
          <t>IVOL_ASK</t>
        </is>
      </c>
      <c r="IS3" s="5" t="inlineStr">
        <is>
          <t>DELTA_MID</t>
        </is>
      </c>
      <c r="IT3" s="5" t="inlineStr">
        <is>
          <t>GAMMA_MID</t>
        </is>
      </c>
      <c r="IU3" s="5" t="inlineStr">
        <is>
          <t>VEGA_MID</t>
        </is>
      </c>
      <c r="IV3" s="5" t="inlineStr">
        <is>
          <t>THETA_MID</t>
        </is>
      </c>
      <c r="IW3" s="5" t="inlineStr">
        <is>
          <t>OPT_UNDL_PX</t>
        </is>
      </c>
      <c r="IY3" s="5" t="inlineStr">
        <is>
          <t>Date</t>
        </is>
      </c>
      <c r="IZ3" s="5" t="inlineStr">
        <is>
          <t>PX_BID</t>
        </is>
      </c>
      <c r="JA3" s="5" t="inlineStr">
        <is>
          <t>PX_ASK</t>
        </is>
      </c>
      <c r="JB3" s="5" t="inlineStr">
        <is>
          <t>PX_MID</t>
        </is>
      </c>
      <c r="JC3" s="5" t="inlineStr">
        <is>
          <t>PX_LAST</t>
        </is>
      </c>
      <c r="JD3" s="5" t="inlineStr">
        <is>
          <t>PX_SETTLE</t>
        </is>
      </c>
      <c r="JE3" s="5" t="inlineStr">
        <is>
          <t>PX_VOLUME</t>
        </is>
      </c>
      <c r="JF3" s="5" t="inlineStr">
        <is>
          <t>OPEN_INT</t>
        </is>
      </c>
      <c r="JG3" s="5" t="inlineStr">
        <is>
          <t>IVOL_MID</t>
        </is>
      </c>
      <c r="JH3" s="5" t="inlineStr">
        <is>
          <t>IVOL_BID</t>
        </is>
      </c>
      <c r="JI3" s="5" t="inlineStr">
        <is>
          <t>IVOL_ASK</t>
        </is>
      </c>
      <c r="JJ3" s="5" t="inlineStr">
        <is>
          <t>DELTA_MID</t>
        </is>
      </c>
      <c r="JK3" s="5" t="inlineStr">
        <is>
          <t>GAMMA_MID</t>
        </is>
      </c>
      <c r="JL3" s="5" t="inlineStr">
        <is>
          <t>VEGA_MID</t>
        </is>
      </c>
      <c r="JM3" s="5" t="inlineStr">
        <is>
          <t>THETA_MID</t>
        </is>
      </c>
      <c r="JN3" s="5" t="inlineStr">
        <is>
          <t>OPT_UNDL_PX</t>
        </is>
      </c>
      <c r="JP3" s="5" t="inlineStr">
        <is>
          <t>Date</t>
        </is>
      </c>
      <c r="JQ3" s="5" t="inlineStr">
        <is>
          <t>PX_BID</t>
        </is>
      </c>
      <c r="JR3" s="5" t="inlineStr">
        <is>
          <t>PX_ASK</t>
        </is>
      </c>
      <c r="JS3" s="5" t="inlineStr">
        <is>
          <t>PX_MID</t>
        </is>
      </c>
      <c r="JT3" s="5" t="inlineStr">
        <is>
          <t>PX_LAST</t>
        </is>
      </c>
      <c r="JU3" s="5" t="inlineStr">
        <is>
          <t>PX_SETTLE</t>
        </is>
      </c>
      <c r="JV3" s="5" t="inlineStr">
        <is>
          <t>PX_VOLUME</t>
        </is>
      </c>
      <c r="JW3" s="5" t="inlineStr">
        <is>
          <t>OPEN_INT</t>
        </is>
      </c>
      <c r="JX3" s="5" t="inlineStr">
        <is>
          <t>IVOL_MID</t>
        </is>
      </c>
      <c r="JY3" s="5" t="inlineStr">
        <is>
          <t>IVOL_BID</t>
        </is>
      </c>
      <c r="JZ3" s="5" t="inlineStr">
        <is>
          <t>IVOL_ASK</t>
        </is>
      </c>
      <c r="KA3" s="5" t="inlineStr">
        <is>
          <t>DELTA_MID</t>
        </is>
      </c>
      <c r="KB3" s="5" t="inlineStr">
        <is>
          <t>GAMMA_MID</t>
        </is>
      </c>
      <c r="KC3" s="5" t="inlineStr">
        <is>
          <t>VEGA_MID</t>
        </is>
      </c>
      <c r="KD3" s="5" t="inlineStr">
        <is>
          <t>THETA_MID</t>
        </is>
      </c>
      <c r="KE3" s="5" t="inlineStr">
        <is>
          <t>OPT_UNDL_PX</t>
        </is>
      </c>
      <c r="KG3" s="5" t="inlineStr">
        <is>
          <t>Date</t>
        </is>
      </c>
      <c r="KH3" s="5" t="inlineStr">
        <is>
          <t>PX_BID</t>
        </is>
      </c>
      <c r="KI3" s="5" t="inlineStr">
        <is>
          <t>PX_ASK</t>
        </is>
      </c>
      <c r="KJ3" s="5" t="inlineStr">
        <is>
          <t>PX_MID</t>
        </is>
      </c>
      <c r="KK3" s="5" t="inlineStr">
        <is>
          <t>PX_LAST</t>
        </is>
      </c>
      <c r="KL3" s="5" t="inlineStr">
        <is>
          <t>PX_SETTLE</t>
        </is>
      </c>
      <c r="KM3" s="5" t="inlineStr">
        <is>
          <t>PX_VOLUME</t>
        </is>
      </c>
      <c r="KN3" s="5" t="inlineStr">
        <is>
          <t>OPEN_INT</t>
        </is>
      </c>
      <c r="KO3" s="5" t="inlineStr">
        <is>
          <t>IVOL_MID</t>
        </is>
      </c>
      <c r="KP3" s="5" t="inlineStr">
        <is>
          <t>IVOL_BID</t>
        </is>
      </c>
      <c r="KQ3" s="5" t="inlineStr">
        <is>
          <t>IVOL_ASK</t>
        </is>
      </c>
      <c r="KR3" s="5" t="inlineStr">
        <is>
          <t>DELTA_MID</t>
        </is>
      </c>
      <c r="KS3" s="5" t="inlineStr">
        <is>
          <t>GAMMA_MID</t>
        </is>
      </c>
      <c r="KT3" s="5" t="inlineStr">
        <is>
          <t>VEGA_MID</t>
        </is>
      </c>
      <c r="KU3" s="5" t="inlineStr">
        <is>
          <t>THETA_MID</t>
        </is>
      </c>
      <c r="KV3" s="5" t="inlineStr">
        <is>
          <t>OPT_UNDL_PX</t>
        </is>
      </c>
      <c r="KX3" s="5" t="inlineStr">
        <is>
          <t>Date</t>
        </is>
      </c>
      <c r="KY3" s="5" t="inlineStr">
        <is>
          <t>PX_BID</t>
        </is>
      </c>
      <c r="KZ3" s="5" t="inlineStr">
        <is>
          <t>PX_ASK</t>
        </is>
      </c>
      <c r="LA3" s="5" t="inlineStr">
        <is>
          <t>PX_MID</t>
        </is>
      </c>
      <c r="LB3" s="5" t="inlineStr">
        <is>
          <t>PX_LAST</t>
        </is>
      </c>
      <c r="LC3" s="5" t="inlineStr">
        <is>
          <t>PX_SETTLE</t>
        </is>
      </c>
      <c r="LD3" s="5" t="inlineStr">
        <is>
          <t>PX_VOLUME</t>
        </is>
      </c>
      <c r="LE3" s="5" t="inlineStr">
        <is>
          <t>OPEN_INT</t>
        </is>
      </c>
      <c r="LF3" s="5" t="inlineStr">
        <is>
          <t>IVOL_MID</t>
        </is>
      </c>
      <c r="LG3" s="5" t="inlineStr">
        <is>
          <t>IVOL_BID</t>
        </is>
      </c>
      <c r="LH3" s="5" t="inlineStr">
        <is>
          <t>IVOL_ASK</t>
        </is>
      </c>
      <c r="LI3" s="5" t="inlineStr">
        <is>
          <t>DELTA_MID</t>
        </is>
      </c>
      <c r="LJ3" s="5" t="inlineStr">
        <is>
          <t>GAMMA_MID</t>
        </is>
      </c>
      <c r="LK3" s="5" t="inlineStr">
        <is>
          <t>VEGA_MID</t>
        </is>
      </c>
      <c r="LL3" s="5" t="inlineStr">
        <is>
          <t>THETA_MID</t>
        </is>
      </c>
      <c r="LM3" s="5" t="inlineStr">
        <is>
          <t>OPT_UNDL_PX</t>
        </is>
      </c>
      <c r="LO3" s="5" t="inlineStr">
        <is>
          <t>Date</t>
        </is>
      </c>
      <c r="LP3" s="5" t="inlineStr">
        <is>
          <t>PX_BID</t>
        </is>
      </c>
      <c r="LQ3" s="5" t="inlineStr">
        <is>
          <t>PX_ASK</t>
        </is>
      </c>
      <c r="LR3" s="5" t="inlineStr">
        <is>
          <t>PX_MID</t>
        </is>
      </c>
      <c r="LS3" s="5" t="inlineStr">
        <is>
          <t>PX_LAST</t>
        </is>
      </c>
      <c r="LT3" s="5" t="inlineStr">
        <is>
          <t>PX_SETTLE</t>
        </is>
      </c>
      <c r="LU3" s="5" t="inlineStr">
        <is>
          <t>PX_VOLUME</t>
        </is>
      </c>
      <c r="LV3" s="5" t="inlineStr">
        <is>
          <t>OPEN_INT</t>
        </is>
      </c>
      <c r="LW3" s="5" t="inlineStr">
        <is>
          <t>IVOL_MID</t>
        </is>
      </c>
      <c r="LX3" s="5" t="inlineStr">
        <is>
          <t>IVOL_BID</t>
        </is>
      </c>
      <c r="LY3" s="5" t="inlineStr">
        <is>
          <t>IVOL_ASK</t>
        </is>
      </c>
      <c r="LZ3" s="5" t="inlineStr">
        <is>
          <t>DELTA_MID</t>
        </is>
      </c>
      <c r="MA3" s="5" t="inlineStr">
        <is>
          <t>GAMMA_MID</t>
        </is>
      </c>
      <c r="MB3" s="5" t="inlineStr">
        <is>
          <t>VEGA_MID</t>
        </is>
      </c>
      <c r="MC3" s="5" t="inlineStr">
        <is>
          <t>THETA_MID</t>
        </is>
      </c>
      <c r="MD3" s="5" t="inlineStr">
        <is>
          <t>OPT_UNDL_PX</t>
        </is>
      </c>
      <c r="MF3" s="5" t="inlineStr">
        <is>
          <t>Date</t>
        </is>
      </c>
      <c r="MG3" s="5" t="inlineStr">
        <is>
          <t>PX_BID</t>
        </is>
      </c>
      <c r="MH3" s="5" t="inlineStr">
        <is>
          <t>PX_ASK</t>
        </is>
      </c>
      <c r="MI3" s="5" t="inlineStr">
        <is>
          <t>PX_MID</t>
        </is>
      </c>
      <c r="MJ3" s="5" t="inlineStr">
        <is>
          <t>PX_LAST</t>
        </is>
      </c>
      <c r="MK3" s="5" t="inlineStr">
        <is>
          <t>PX_SETTLE</t>
        </is>
      </c>
      <c r="ML3" s="5" t="inlineStr">
        <is>
          <t>PX_VOLUME</t>
        </is>
      </c>
      <c r="MM3" s="5" t="inlineStr">
        <is>
          <t>OPEN_INT</t>
        </is>
      </c>
      <c r="MN3" s="5" t="inlineStr">
        <is>
          <t>IVOL_MID</t>
        </is>
      </c>
      <c r="MO3" s="5" t="inlineStr">
        <is>
          <t>IVOL_BID</t>
        </is>
      </c>
      <c r="MP3" s="5" t="inlineStr">
        <is>
          <t>IVOL_ASK</t>
        </is>
      </c>
      <c r="MQ3" s="5" t="inlineStr">
        <is>
          <t>DELTA_MID</t>
        </is>
      </c>
      <c r="MR3" s="5" t="inlineStr">
        <is>
          <t>GAMMA_MID</t>
        </is>
      </c>
      <c r="MS3" s="5" t="inlineStr">
        <is>
          <t>VEGA_MID</t>
        </is>
      </c>
      <c r="MT3" s="5" t="inlineStr">
        <is>
          <t>THETA_MID</t>
        </is>
      </c>
      <c r="MU3" s="5" t="inlineStr">
        <is>
          <t>OPT_UNDL_PX</t>
        </is>
      </c>
      <c r="MW3" s="5" t="inlineStr">
        <is>
          <t>Date</t>
        </is>
      </c>
      <c r="MX3" s="5" t="inlineStr">
        <is>
          <t>PX_BID</t>
        </is>
      </c>
      <c r="MY3" s="5" t="inlineStr">
        <is>
          <t>PX_ASK</t>
        </is>
      </c>
      <c r="MZ3" s="5" t="inlineStr">
        <is>
          <t>PX_MID</t>
        </is>
      </c>
      <c r="NA3" s="5" t="inlineStr">
        <is>
          <t>PX_LAST</t>
        </is>
      </c>
      <c r="NB3" s="5" t="inlineStr">
        <is>
          <t>PX_SETTLE</t>
        </is>
      </c>
      <c r="NC3" s="5" t="inlineStr">
        <is>
          <t>PX_VOLUME</t>
        </is>
      </c>
      <c r="ND3" s="5" t="inlineStr">
        <is>
          <t>OPEN_INT</t>
        </is>
      </c>
      <c r="NE3" s="5" t="inlineStr">
        <is>
          <t>IVOL_MID</t>
        </is>
      </c>
      <c r="NF3" s="5" t="inlineStr">
        <is>
          <t>IVOL_BID</t>
        </is>
      </c>
      <c r="NG3" s="5" t="inlineStr">
        <is>
          <t>IVOL_ASK</t>
        </is>
      </c>
      <c r="NH3" s="5" t="inlineStr">
        <is>
          <t>DELTA_MID</t>
        </is>
      </c>
      <c r="NI3" s="5" t="inlineStr">
        <is>
          <t>GAMMA_MID</t>
        </is>
      </c>
      <c r="NJ3" s="5" t="inlineStr">
        <is>
          <t>VEGA_MID</t>
        </is>
      </c>
      <c r="NK3" s="5" t="inlineStr">
        <is>
          <t>THETA_MID</t>
        </is>
      </c>
      <c r="NL3" s="5" t="inlineStr">
        <is>
          <t>OPT_UNDL_PX</t>
        </is>
      </c>
    </row>
    <row r="4">
      <c r="A4" s="2" t="inlineStr">
        <is>
          <t>Strike reference date</t>
        </is>
      </c>
      <c r="B4" s="8">
        <f>B3-45</f>
        <v/>
      </c>
      <c r="D4" s="4">
        <f>BDH(D$1,E$3:S$3,$B$8,$B$9,"Dir=V","Dts=S","Sort=A","Days=T","Fill=B")</f>
        <v/>
      </c>
      <c r="U4" s="4">
        <f>BDH(U$1,V$3:AJ$3,$B$8,$B$9,"Dir=V","Dts=S","Sort=A","Days=T","Fill=B")</f>
        <v/>
      </c>
      <c r="AL4" s="4">
        <f>BDH(AL$1,AM$3:BA$3,$B$8,$B$9,"Dir=V","Dts=S","Sort=A","Days=T","Fill=B")</f>
        <v/>
      </c>
      <c r="BC4" s="4">
        <f>BDH(BC$1,BD$3:BR$3,$B$8,$B$9,"Dir=V","Dts=S","Sort=A","Days=T","Fill=B")</f>
        <v/>
      </c>
      <c r="BT4" s="4">
        <f>BDH(BT$1,BU$3:CI$3,$B$8,$B$9,"Dir=V","Dts=S","Sort=A","Days=T","Fill=B")</f>
        <v/>
      </c>
      <c r="CK4" s="4">
        <f>BDH(CK$1,CL$3:CZ$3,$B$8,$B$9,"Dir=V","Dts=S","Sort=A","Days=T","Fill=B")</f>
        <v/>
      </c>
      <c r="DB4" s="4">
        <f>BDH(DB$1,DC$3:DQ$3,$B$8,$B$9,"Dir=V","Dts=S","Sort=A","Days=T","Fill=B")</f>
        <v/>
      </c>
      <c r="DS4" s="4">
        <f>BDH(DS$1,DT$3:EH$3,$B$8,$B$9,"Dir=V","Dts=S","Sort=A","Days=T","Fill=B")</f>
        <v/>
      </c>
      <c r="EJ4" s="4">
        <f>BDH(EJ$1,EK$3:EY$3,$B$8,$B$9,"Dir=V","Dts=S","Sort=A","Days=T","Fill=B")</f>
        <v/>
      </c>
      <c r="FA4" s="4">
        <f>BDH(FA$1,FB$3:FP$3,$B$8,$B$9,"Dir=V","Dts=S","Sort=A","Days=T","Fill=B")</f>
        <v/>
      </c>
      <c r="FR4" s="4">
        <f>BDH(FR$1,FS$3:GG$3,$B$8,$B$9,"Dir=V","Dts=S","Sort=A","Days=T","Fill=B")</f>
        <v/>
      </c>
      <c r="GI4" s="4">
        <f>BDH(GI$1,GJ$3:GX$3,$B$8,$B$9,"Dir=V","Dts=S","Sort=A","Days=T","Fill=B")</f>
        <v/>
      </c>
      <c r="GZ4" s="4">
        <f>BDH(GZ$1,HA$3:HO$3,$B$8,$B$9,"Dir=V","Dts=S","Sort=A","Days=T","Fill=B")</f>
        <v/>
      </c>
      <c r="HQ4" s="4">
        <f>BDH(HQ$1,HR$3:IF$3,$B$8,$B$9,"Dir=V","Dts=S","Sort=A","Days=T","Fill=B")</f>
        <v/>
      </c>
      <c r="IH4" s="4">
        <f>BDH(IH$1,II$3:IW$3,$B$8,$B$9,"Dir=V","Dts=S","Sort=A","Days=T","Fill=B")</f>
        <v/>
      </c>
      <c r="IY4" s="4">
        <f>BDH(IY$1,IZ$3:JN$3,$B$8,$B$9,"Dir=V","Dts=S","Sort=A","Days=T","Fill=B")</f>
        <v/>
      </c>
      <c r="JP4" s="4">
        <f>BDH(JP$1,JQ$3:KE$3,$B$8,$B$9,"Dir=V","Dts=S","Sort=A","Days=T","Fill=B")</f>
        <v/>
      </c>
      <c r="KG4" s="4">
        <f>BDH(KG$1,KH$3:KV$3,$B$8,$B$9,"Dir=V","Dts=S","Sort=A","Days=T","Fill=B")</f>
        <v/>
      </c>
      <c r="KX4" s="4">
        <f>BDH(KX$1,KY$3:LM$3,$B$8,$B$9,"Dir=V","Dts=S","Sort=A","Days=T","Fill=B")</f>
        <v/>
      </c>
      <c r="LO4" s="4">
        <f>BDH(LO$1,LP$3:MD$3,$B$8,$B$9,"Dir=V","Dts=S","Sort=A","Days=T","Fill=B")</f>
        <v/>
      </c>
      <c r="MF4" s="4">
        <f>BDH(MF$1,MG$3:MU$3,$B$8,$B$9,"Dir=V","Dts=S","Sort=A","Days=T","Fill=B")</f>
        <v/>
      </c>
      <c r="MW4" s="4">
        <f>BDH(MW$1,MX$3:NL$3,$B$8,$B$9,"Dir=V","Dts=S","Sort=A","Days=T","Fill=B")</f>
        <v/>
      </c>
    </row>
    <row r="5">
      <c r="A5" s="2" t="inlineStr">
        <is>
          <t>Unadjusted close then</t>
        </is>
      </c>
      <c r="B5" s="10">
        <f>IF(B2="","",BDH(B2,"PX_LAST",B4,B4,"Days=A","Fill=P","Dts=H","CshAdjNormal=N","CshAdjAbnormal=N","CapChg=N"))</f>
        <v/>
      </c>
    </row>
    <row r="6">
      <c r="A6" s="2" t="inlineStr">
        <is>
          <t>Strike step</t>
        </is>
      </c>
      <c r="B6" s="11">
        <f>IF(ISNUMBER(B5),IF(B5&lt;25,0.5,IF(B5&lt;250,1,5)),"")</f>
        <v/>
      </c>
    </row>
    <row r="7">
      <c r="A7" s="2" t="inlineStr">
        <is>
          <t>ATM strike</t>
        </is>
      </c>
      <c r="B7" s="11">
        <f>IF(ISNUMBER(B5),ROUND(B5/B6,0)*B6,"")</f>
        <v/>
      </c>
    </row>
    <row r="8">
      <c r="A8" s="2" t="inlineStr">
        <is>
          <t>History start</t>
        </is>
      </c>
      <c r="B8" s="8">
        <f>B3-100</f>
        <v/>
      </c>
    </row>
    <row r="9">
      <c r="A9" s="2" t="inlineStr">
        <is>
          <t>History end</t>
        </is>
      </c>
      <c r="B9" s="8">
        <f>B3</f>
        <v/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NL9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2" customWidth="1" min="2" max="2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1" customWidth="1" min="15" max="15"/>
    <col width="11" customWidth="1" min="16" max="16"/>
    <col width="10" customWidth="1" min="17" max="17"/>
    <col width="11" customWidth="1" min="18" max="18"/>
    <col width="13" customWidth="1" min="19" max="19"/>
    <col width="12" customWidth="1" min="21" max="21"/>
    <col width="10" customWidth="1" min="22" max="22"/>
    <col width="10" customWidth="1" min="23" max="23"/>
    <col width="10" customWidth="1" min="24" max="24"/>
    <col width="10" customWidth="1" min="25" max="25"/>
    <col width="11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1" customWidth="1" min="32" max="32"/>
    <col width="11" customWidth="1" min="33" max="33"/>
    <col width="10" customWidth="1" min="34" max="34"/>
    <col width="11" customWidth="1" min="35" max="35"/>
    <col width="13" customWidth="1" min="36" max="36"/>
    <col width="12" customWidth="1" min="38" max="38"/>
    <col width="10" customWidth="1" min="39" max="39"/>
    <col width="10" customWidth="1" min="40" max="40"/>
    <col width="10" customWidth="1" min="41" max="41"/>
    <col width="10" customWidth="1" min="42" max="42"/>
    <col width="11" customWidth="1" min="43" max="43"/>
    <col width="11" customWidth="1" min="44" max="44"/>
    <col width="10" customWidth="1" min="45" max="45"/>
    <col width="10" customWidth="1" min="46" max="46"/>
    <col width="10" customWidth="1" min="47" max="47"/>
    <col width="10" customWidth="1" min="48" max="48"/>
    <col width="11" customWidth="1" min="49" max="49"/>
    <col width="11" customWidth="1" min="50" max="50"/>
    <col width="10" customWidth="1" min="51" max="51"/>
    <col width="11" customWidth="1" min="52" max="52"/>
    <col width="13" customWidth="1" min="53" max="53"/>
    <col width="12" customWidth="1" min="55" max="55"/>
    <col width="10" customWidth="1" min="56" max="56"/>
    <col width="10" customWidth="1" min="57" max="57"/>
    <col width="10" customWidth="1" min="58" max="58"/>
    <col width="10" customWidth="1" min="59" max="59"/>
    <col width="11" customWidth="1" min="60" max="60"/>
    <col width="11" customWidth="1" min="61" max="61"/>
    <col width="10" customWidth="1" min="62" max="62"/>
    <col width="10" customWidth="1" min="63" max="63"/>
    <col width="10" customWidth="1" min="64" max="64"/>
    <col width="10" customWidth="1" min="65" max="65"/>
    <col width="11" customWidth="1" min="66" max="66"/>
    <col width="11" customWidth="1" min="67" max="67"/>
    <col width="10" customWidth="1" min="68" max="68"/>
    <col width="11" customWidth="1" min="69" max="69"/>
    <col width="13" customWidth="1" min="70" max="70"/>
    <col width="12" customWidth="1" min="72" max="72"/>
    <col width="10" customWidth="1" min="73" max="73"/>
    <col width="10" customWidth="1" min="74" max="74"/>
    <col width="10" customWidth="1" min="75" max="75"/>
    <col width="10" customWidth="1" min="76" max="76"/>
    <col width="11" customWidth="1" min="77" max="77"/>
    <col width="11" customWidth="1" min="78" max="78"/>
    <col width="10" customWidth="1" min="79" max="79"/>
    <col width="10" customWidth="1" min="80" max="80"/>
    <col width="10" customWidth="1" min="81" max="81"/>
    <col width="10" customWidth="1" min="82" max="82"/>
    <col width="11" customWidth="1" min="83" max="83"/>
    <col width="11" customWidth="1" min="84" max="84"/>
    <col width="10" customWidth="1" min="85" max="85"/>
    <col width="11" customWidth="1" min="86" max="86"/>
    <col width="13" customWidth="1" min="87" max="87"/>
    <col width="12" customWidth="1" min="89" max="89"/>
    <col width="10" customWidth="1" min="90" max="90"/>
    <col width="10" customWidth="1" min="91" max="91"/>
    <col width="10" customWidth="1" min="92" max="92"/>
    <col width="10" customWidth="1" min="93" max="93"/>
    <col width="11" customWidth="1" min="94" max="94"/>
    <col width="11" customWidth="1" min="95" max="95"/>
    <col width="10" customWidth="1" min="96" max="96"/>
    <col width="10" customWidth="1" min="97" max="97"/>
    <col width="10" customWidth="1" min="98" max="98"/>
    <col width="10" customWidth="1" min="99" max="99"/>
    <col width="11" customWidth="1" min="100" max="100"/>
    <col width="11" customWidth="1" min="101" max="101"/>
    <col width="10" customWidth="1" min="102" max="102"/>
    <col width="11" customWidth="1" min="103" max="103"/>
    <col width="13" customWidth="1" min="104" max="104"/>
    <col width="12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1" customWidth="1" min="111" max="111"/>
    <col width="11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1" customWidth="1" min="117" max="117"/>
    <col width="11" customWidth="1" min="118" max="118"/>
    <col width="10" customWidth="1" min="119" max="119"/>
    <col width="11" customWidth="1" min="120" max="120"/>
    <col width="13" customWidth="1" min="121" max="121"/>
    <col width="12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1" customWidth="1" min="128" max="128"/>
    <col width="11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1" customWidth="1" min="134" max="134"/>
    <col width="11" customWidth="1" min="135" max="135"/>
    <col width="10" customWidth="1" min="136" max="136"/>
    <col width="11" customWidth="1" min="137" max="137"/>
    <col width="13" customWidth="1" min="138" max="138"/>
    <col width="12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1" customWidth="1" min="145" max="145"/>
    <col width="11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1" customWidth="1" min="151" max="151"/>
    <col width="11" customWidth="1" min="152" max="152"/>
    <col width="10" customWidth="1" min="153" max="153"/>
    <col width="11" customWidth="1" min="154" max="154"/>
    <col width="13" customWidth="1" min="155" max="155"/>
    <col width="12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1" customWidth="1" min="162" max="162"/>
    <col width="11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1" customWidth="1" min="168" max="168"/>
    <col width="11" customWidth="1" min="169" max="169"/>
    <col width="10" customWidth="1" min="170" max="170"/>
    <col width="11" customWidth="1" min="171" max="171"/>
    <col width="13" customWidth="1" min="172" max="172"/>
    <col width="12" customWidth="1" min="174" max="174"/>
    <col width="10" customWidth="1" min="175" max="175"/>
    <col width="10" customWidth="1" min="176" max="176"/>
    <col width="10" customWidth="1" min="177" max="177"/>
    <col width="10" customWidth="1" min="178" max="178"/>
    <col width="11" customWidth="1" min="179" max="179"/>
    <col width="11" customWidth="1" min="180" max="180"/>
    <col width="10" customWidth="1" min="181" max="181"/>
    <col width="10" customWidth="1" min="182" max="182"/>
    <col width="10" customWidth="1" min="183" max="183"/>
    <col width="10" customWidth="1" min="184" max="184"/>
    <col width="11" customWidth="1" min="185" max="185"/>
    <col width="11" customWidth="1" min="186" max="186"/>
    <col width="10" customWidth="1" min="187" max="187"/>
    <col width="11" customWidth="1" min="188" max="188"/>
    <col width="13" customWidth="1" min="189" max="189"/>
    <col width="12" customWidth="1" min="191" max="191"/>
    <col width="10" customWidth="1" min="192" max="192"/>
    <col width="10" customWidth="1" min="193" max="193"/>
    <col width="10" customWidth="1" min="194" max="194"/>
    <col width="10" customWidth="1" min="195" max="195"/>
    <col width="11" customWidth="1" min="196" max="196"/>
    <col width="11" customWidth="1" min="197" max="197"/>
    <col width="10" customWidth="1" min="198" max="198"/>
    <col width="10" customWidth="1" min="199" max="199"/>
    <col width="10" customWidth="1" min="200" max="200"/>
    <col width="10" customWidth="1" min="201" max="201"/>
    <col width="11" customWidth="1" min="202" max="202"/>
    <col width="11" customWidth="1" min="203" max="203"/>
    <col width="10" customWidth="1" min="204" max="204"/>
    <col width="11" customWidth="1" min="205" max="205"/>
    <col width="13" customWidth="1" min="206" max="206"/>
    <col width="12" customWidth="1" min="208" max="208"/>
    <col width="10" customWidth="1" min="209" max="209"/>
    <col width="10" customWidth="1" min="210" max="210"/>
    <col width="10" customWidth="1" min="211" max="211"/>
    <col width="10" customWidth="1" min="212" max="212"/>
    <col width="11" customWidth="1" min="213" max="213"/>
    <col width="11" customWidth="1" min="214" max="214"/>
    <col width="10" customWidth="1" min="215" max="215"/>
    <col width="10" customWidth="1" min="216" max="216"/>
    <col width="10" customWidth="1" min="217" max="217"/>
    <col width="10" customWidth="1" min="218" max="218"/>
    <col width="11" customWidth="1" min="219" max="219"/>
    <col width="11" customWidth="1" min="220" max="220"/>
    <col width="10" customWidth="1" min="221" max="221"/>
    <col width="11" customWidth="1" min="222" max="222"/>
    <col width="13" customWidth="1" min="223" max="223"/>
    <col width="12" customWidth="1" min="225" max="225"/>
    <col width="10" customWidth="1" min="226" max="226"/>
    <col width="10" customWidth="1" min="227" max="227"/>
    <col width="10" customWidth="1" min="228" max="228"/>
    <col width="10" customWidth="1" min="229" max="229"/>
    <col width="11" customWidth="1" min="230" max="230"/>
    <col width="11" customWidth="1" min="231" max="231"/>
    <col width="10" customWidth="1" min="232" max="232"/>
    <col width="10" customWidth="1" min="233" max="233"/>
    <col width="10" customWidth="1" min="234" max="234"/>
    <col width="10" customWidth="1" min="235" max="235"/>
    <col width="11" customWidth="1" min="236" max="236"/>
    <col width="11" customWidth="1" min="237" max="237"/>
    <col width="10" customWidth="1" min="238" max="238"/>
    <col width="11" customWidth="1" min="239" max="239"/>
    <col width="13" customWidth="1" min="240" max="240"/>
    <col width="12" customWidth="1" min="242" max="242"/>
    <col width="10" customWidth="1" min="243" max="243"/>
    <col width="10" customWidth="1" min="244" max="244"/>
    <col width="10" customWidth="1" min="245" max="245"/>
    <col width="10" customWidth="1" min="246" max="246"/>
    <col width="11" customWidth="1" min="247" max="247"/>
    <col width="11" customWidth="1" min="248" max="248"/>
    <col width="10" customWidth="1" min="249" max="249"/>
    <col width="10" customWidth="1" min="250" max="250"/>
    <col width="10" customWidth="1" min="251" max="251"/>
    <col width="10" customWidth="1" min="252" max="252"/>
    <col width="11" customWidth="1" min="253" max="253"/>
    <col width="11" customWidth="1" min="254" max="254"/>
    <col width="10" customWidth="1" min="255" max="255"/>
    <col width="11" customWidth="1" min="256" max="256"/>
    <col width="13" customWidth="1" min="257" max="257"/>
    <col width="12" customWidth="1" min="259" max="259"/>
    <col width="10" customWidth="1" min="260" max="260"/>
    <col width="10" customWidth="1" min="261" max="261"/>
    <col width="10" customWidth="1" min="262" max="262"/>
    <col width="10" customWidth="1" min="263" max="263"/>
    <col width="11" customWidth="1" min="264" max="264"/>
    <col width="11" customWidth="1" min="265" max="265"/>
    <col width="10" customWidth="1" min="266" max="266"/>
    <col width="10" customWidth="1" min="267" max="267"/>
    <col width="10" customWidth="1" min="268" max="268"/>
    <col width="10" customWidth="1" min="269" max="269"/>
    <col width="11" customWidth="1" min="270" max="270"/>
    <col width="11" customWidth="1" min="271" max="271"/>
    <col width="10" customWidth="1" min="272" max="272"/>
    <col width="11" customWidth="1" min="273" max="273"/>
    <col width="13" customWidth="1" min="274" max="274"/>
    <col width="12" customWidth="1" min="276" max="276"/>
    <col width="10" customWidth="1" min="277" max="277"/>
    <col width="10" customWidth="1" min="278" max="278"/>
    <col width="10" customWidth="1" min="279" max="279"/>
    <col width="10" customWidth="1" min="280" max="280"/>
    <col width="11" customWidth="1" min="281" max="281"/>
    <col width="11" customWidth="1" min="282" max="282"/>
    <col width="10" customWidth="1" min="283" max="283"/>
    <col width="10" customWidth="1" min="284" max="284"/>
    <col width="10" customWidth="1" min="285" max="285"/>
    <col width="10" customWidth="1" min="286" max="286"/>
    <col width="11" customWidth="1" min="287" max="287"/>
    <col width="11" customWidth="1" min="288" max="288"/>
    <col width="10" customWidth="1" min="289" max="289"/>
    <col width="11" customWidth="1" min="290" max="290"/>
    <col width="13" customWidth="1" min="291" max="291"/>
    <col width="12" customWidth="1" min="293" max="293"/>
    <col width="10" customWidth="1" min="294" max="294"/>
    <col width="10" customWidth="1" min="295" max="295"/>
    <col width="10" customWidth="1" min="296" max="296"/>
    <col width="10" customWidth="1" min="297" max="297"/>
    <col width="11" customWidth="1" min="298" max="298"/>
    <col width="11" customWidth="1" min="299" max="299"/>
    <col width="10" customWidth="1" min="300" max="300"/>
    <col width="10" customWidth="1" min="301" max="301"/>
    <col width="10" customWidth="1" min="302" max="302"/>
    <col width="10" customWidth="1" min="303" max="303"/>
    <col width="11" customWidth="1" min="304" max="304"/>
    <col width="11" customWidth="1" min="305" max="305"/>
    <col width="10" customWidth="1" min="306" max="306"/>
    <col width="11" customWidth="1" min="307" max="307"/>
    <col width="13" customWidth="1" min="308" max="308"/>
    <col width="12" customWidth="1" min="310" max="310"/>
    <col width="10" customWidth="1" min="311" max="311"/>
    <col width="10" customWidth="1" min="312" max="312"/>
    <col width="10" customWidth="1" min="313" max="313"/>
    <col width="10" customWidth="1" min="314" max="314"/>
    <col width="11" customWidth="1" min="315" max="315"/>
    <col width="11" customWidth="1" min="316" max="316"/>
    <col width="10" customWidth="1" min="317" max="317"/>
    <col width="10" customWidth="1" min="318" max="318"/>
    <col width="10" customWidth="1" min="319" max="319"/>
    <col width="10" customWidth="1" min="320" max="320"/>
    <col width="11" customWidth="1" min="321" max="321"/>
    <col width="11" customWidth="1" min="322" max="322"/>
    <col width="10" customWidth="1" min="323" max="323"/>
    <col width="11" customWidth="1" min="324" max="324"/>
    <col width="13" customWidth="1" min="325" max="325"/>
    <col width="12" customWidth="1" min="327" max="327"/>
    <col width="10" customWidth="1" min="328" max="328"/>
    <col width="10" customWidth="1" min="329" max="329"/>
    <col width="10" customWidth="1" min="330" max="330"/>
    <col width="10" customWidth="1" min="331" max="331"/>
    <col width="11" customWidth="1" min="332" max="332"/>
    <col width="11" customWidth="1" min="333" max="333"/>
    <col width="10" customWidth="1" min="334" max="334"/>
    <col width="10" customWidth="1" min="335" max="335"/>
    <col width="10" customWidth="1" min="336" max="336"/>
    <col width="10" customWidth="1" min="337" max="337"/>
    <col width="11" customWidth="1" min="338" max="338"/>
    <col width="11" customWidth="1" min="339" max="339"/>
    <col width="10" customWidth="1" min="340" max="340"/>
    <col width="11" customWidth="1" min="341" max="341"/>
    <col width="13" customWidth="1" min="342" max="342"/>
    <col width="12" customWidth="1" min="344" max="344"/>
    <col width="10" customWidth="1" min="345" max="345"/>
    <col width="10" customWidth="1" min="346" max="346"/>
    <col width="10" customWidth="1" min="347" max="347"/>
    <col width="10" customWidth="1" min="348" max="348"/>
    <col width="11" customWidth="1" min="349" max="349"/>
    <col width="11" customWidth="1" min="350" max="350"/>
    <col width="10" customWidth="1" min="351" max="351"/>
    <col width="10" customWidth="1" min="352" max="352"/>
    <col width="10" customWidth="1" min="353" max="353"/>
    <col width="10" customWidth="1" min="354" max="354"/>
    <col width="11" customWidth="1" min="355" max="355"/>
    <col width="11" customWidth="1" min="356" max="356"/>
    <col width="10" customWidth="1" min="357" max="357"/>
    <col width="11" customWidth="1" min="358" max="358"/>
    <col width="13" customWidth="1" min="359" max="359"/>
    <col width="12" customWidth="1" min="361" max="361"/>
    <col width="10" customWidth="1" min="362" max="362"/>
    <col width="10" customWidth="1" min="363" max="363"/>
    <col width="10" customWidth="1" min="364" max="364"/>
    <col width="10" customWidth="1" min="365" max="365"/>
    <col width="11" customWidth="1" min="366" max="366"/>
    <col width="11" customWidth="1" min="367" max="367"/>
    <col width="10" customWidth="1" min="368" max="368"/>
    <col width="10" customWidth="1" min="369" max="369"/>
    <col width="10" customWidth="1" min="370" max="370"/>
    <col width="10" customWidth="1" min="371" max="371"/>
    <col width="11" customWidth="1" min="372" max="372"/>
    <col width="11" customWidth="1" min="373" max="373"/>
    <col width="10" customWidth="1" min="374" max="374"/>
    <col width="11" customWidth="1" min="375" max="375"/>
    <col width="13" customWidth="1" min="376" max="376"/>
  </cols>
  <sheetData>
    <row r="1">
      <c r="A1" s="2" t="inlineStr">
        <is>
          <t>Month</t>
        </is>
      </c>
      <c r="B1" s="9" t="n">
        <v>6</v>
      </c>
      <c r="D1" s="2">
        <f>IF(ISNUMBER(B$7),"XLE US "&amp;TEXT(B$3,"mm/dd/yy")&amp;" C"&amp;(B$7-5*B$6)&amp;" Equity","")</f>
        <v/>
      </c>
      <c r="U1" s="2">
        <f>IF(ISNUMBER(B$7),"XLE US "&amp;TEXT(B$3,"mm/dd/yy")&amp;" P"&amp;(B$7-5*B$6)&amp;" Equity","")</f>
        <v/>
      </c>
      <c r="AL1" s="2">
        <f>IF(ISNUMBER(B$7),"XLE US "&amp;TEXT(B$3,"mm/dd/yy")&amp;" C"&amp;(B$7-4*B$6)&amp;" Equity","")</f>
        <v/>
      </c>
      <c r="BC1" s="2">
        <f>IF(ISNUMBER(B$7),"XLE US "&amp;TEXT(B$3,"mm/dd/yy")&amp;" P"&amp;(B$7-4*B$6)&amp;" Equity","")</f>
        <v/>
      </c>
      <c r="BT1" s="2">
        <f>IF(ISNUMBER(B$7),"XLE US "&amp;TEXT(B$3,"mm/dd/yy")&amp;" C"&amp;(B$7-3*B$6)&amp;" Equity","")</f>
        <v/>
      </c>
      <c r="CK1" s="2">
        <f>IF(ISNUMBER(B$7),"XLE US "&amp;TEXT(B$3,"mm/dd/yy")&amp;" P"&amp;(B$7-3*B$6)&amp;" Equity","")</f>
        <v/>
      </c>
      <c r="DB1" s="2">
        <f>IF(ISNUMBER(B$7),"XLE US "&amp;TEXT(B$3,"mm/dd/yy")&amp;" C"&amp;(B$7-2*B$6)&amp;" Equity","")</f>
        <v/>
      </c>
      <c r="DS1" s="2">
        <f>IF(ISNUMBER(B$7),"XLE US "&amp;TEXT(B$3,"mm/dd/yy")&amp;" P"&amp;(B$7-2*B$6)&amp;" Equity","")</f>
        <v/>
      </c>
      <c r="EJ1" s="2">
        <f>IF(ISNUMBER(B$7),"XLE US "&amp;TEXT(B$3,"mm/dd/yy")&amp;" C"&amp;(B$7-1*B$6)&amp;" Equity","")</f>
        <v/>
      </c>
      <c r="FA1" s="2">
        <f>IF(ISNUMBER(B$7),"XLE US "&amp;TEXT(B$3,"mm/dd/yy")&amp;" P"&amp;(B$7-1*B$6)&amp;" Equity","")</f>
        <v/>
      </c>
      <c r="FR1" s="2">
        <f>IF(ISNUMBER(B$7),"XLE US "&amp;TEXT(B$3,"mm/dd/yy")&amp;" C"&amp;B$7&amp;" Equity","")</f>
        <v/>
      </c>
      <c r="GI1" s="2">
        <f>IF(ISNUMBER(B$7),"XLE US "&amp;TEXT(B$3,"mm/dd/yy")&amp;" P"&amp;B$7&amp;" Equity","")</f>
        <v/>
      </c>
      <c r="GZ1" s="2">
        <f>IF(ISNUMBER(B$7),"XLE US "&amp;TEXT(B$3,"mm/dd/yy")&amp;" C"&amp;(B$7+1*B$6)&amp;" Equity","")</f>
        <v/>
      </c>
      <c r="HQ1" s="2">
        <f>IF(ISNUMBER(B$7),"XLE US "&amp;TEXT(B$3,"mm/dd/yy")&amp;" P"&amp;(B$7+1*B$6)&amp;" Equity","")</f>
        <v/>
      </c>
      <c r="IH1" s="2">
        <f>IF(ISNUMBER(B$7),"XLE US "&amp;TEXT(B$3,"mm/dd/yy")&amp;" C"&amp;(B$7+2*B$6)&amp;" Equity","")</f>
        <v/>
      </c>
      <c r="IY1" s="2">
        <f>IF(ISNUMBER(B$7),"XLE US "&amp;TEXT(B$3,"mm/dd/yy")&amp;" P"&amp;(B$7+2*B$6)&amp;" Equity","")</f>
        <v/>
      </c>
      <c r="JP1" s="2">
        <f>IF(ISNUMBER(B$7),"XLE US "&amp;TEXT(B$3,"mm/dd/yy")&amp;" C"&amp;(B$7+3*B$6)&amp;" Equity","")</f>
        <v/>
      </c>
      <c r="KG1" s="2">
        <f>IF(ISNUMBER(B$7),"XLE US "&amp;TEXT(B$3,"mm/dd/yy")&amp;" P"&amp;(B$7+3*B$6)&amp;" Equity","")</f>
        <v/>
      </c>
      <c r="KX1" s="2">
        <f>IF(ISNUMBER(B$7),"XLE US "&amp;TEXT(B$3,"mm/dd/yy")&amp;" C"&amp;(B$7+4*B$6)&amp;" Equity","")</f>
        <v/>
      </c>
      <c r="LO1" s="2">
        <f>IF(ISNUMBER(B$7),"XLE US "&amp;TEXT(B$3,"mm/dd/yy")&amp;" P"&amp;(B$7+4*B$6)&amp;" Equity","")</f>
        <v/>
      </c>
      <c r="MF1" s="2">
        <f>IF(ISNUMBER(B$7),"XLE US "&amp;TEXT(B$3,"mm/dd/yy")&amp;" C"&amp;(B$7+5*B$6)&amp;" Equity","")</f>
        <v/>
      </c>
      <c r="MW1" s="2">
        <f>IF(ISNUMBER(B$7),"XLE US "&amp;TEXT(B$3,"mm/dd/yy")&amp;" P"&amp;(B$7+5*B$6)&amp;" Equity","")</f>
        <v/>
      </c>
    </row>
    <row r="2">
      <c r="A2" s="2" t="inlineStr">
        <is>
          <t>Underlying</t>
        </is>
      </c>
      <c r="B2" s="4">
        <f>IF(Settings!$B$16="Y","XLE US Equity","")</f>
        <v/>
      </c>
      <c r="D2" s="4" t="inlineStr">
        <is>
          <t>call -5 from ATM</t>
        </is>
      </c>
      <c r="U2" s="4" t="inlineStr">
        <is>
          <t>put -5 from ATM</t>
        </is>
      </c>
      <c r="AL2" s="4" t="inlineStr">
        <is>
          <t>call -4 from ATM</t>
        </is>
      </c>
      <c r="BC2" s="4" t="inlineStr">
        <is>
          <t>put -4 from ATM</t>
        </is>
      </c>
      <c r="BT2" s="4" t="inlineStr">
        <is>
          <t>call -3 from ATM</t>
        </is>
      </c>
      <c r="CK2" s="4" t="inlineStr">
        <is>
          <t>put -3 from ATM</t>
        </is>
      </c>
      <c r="DB2" s="4" t="inlineStr">
        <is>
          <t>call -2 from ATM</t>
        </is>
      </c>
      <c r="DS2" s="4" t="inlineStr">
        <is>
          <t>put -2 from ATM</t>
        </is>
      </c>
      <c r="EJ2" s="4" t="inlineStr">
        <is>
          <t>call -1 from ATM</t>
        </is>
      </c>
      <c r="FA2" s="4" t="inlineStr">
        <is>
          <t>put -1 from ATM</t>
        </is>
      </c>
      <c r="FR2" s="4" t="inlineStr">
        <is>
          <t>call +0 from ATM</t>
        </is>
      </c>
      <c r="GI2" s="4" t="inlineStr">
        <is>
          <t>put +0 from ATM</t>
        </is>
      </c>
      <c r="GZ2" s="4" t="inlineStr">
        <is>
          <t>call +1 from ATM</t>
        </is>
      </c>
      <c r="HQ2" s="4" t="inlineStr">
        <is>
          <t>put +1 from ATM</t>
        </is>
      </c>
      <c r="IH2" s="4" t="inlineStr">
        <is>
          <t>call +2 from ATM</t>
        </is>
      </c>
      <c r="IY2" s="4" t="inlineStr">
        <is>
          <t>put +2 from ATM</t>
        </is>
      </c>
      <c r="JP2" s="4" t="inlineStr">
        <is>
          <t>call +3 from ATM</t>
        </is>
      </c>
      <c r="KG2" s="4" t="inlineStr">
        <is>
          <t>put +3 from ATM</t>
        </is>
      </c>
      <c r="KX2" s="4" t="inlineStr">
        <is>
          <t>call +4 from ATM</t>
        </is>
      </c>
      <c r="LO2" s="4" t="inlineStr">
        <is>
          <t>put +4 from ATM</t>
        </is>
      </c>
      <c r="MF2" s="4" t="inlineStr">
        <is>
          <t>call +5 from ATM</t>
        </is>
      </c>
      <c r="MW2" s="4" t="inlineStr">
        <is>
          <t>put +5 from ATM</t>
        </is>
      </c>
    </row>
    <row r="3">
      <c r="A3" s="2" t="inlineStr">
        <is>
          <t>Expiry (3rd Friday)</t>
        </is>
      </c>
      <c r="B3" s="3">
        <f>DATE(Settings!$E$16,B1,15)+MOD(6-WEEKDAY(DATE(Settings!$E$16,B1,15)),7)</f>
        <v/>
      </c>
      <c r="D3" s="5" t="inlineStr">
        <is>
          <t>Date</t>
        </is>
      </c>
      <c r="E3" s="5" t="inlineStr">
        <is>
          <t>PX_BID</t>
        </is>
      </c>
      <c r="F3" s="5" t="inlineStr">
        <is>
          <t>PX_ASK</t>
        </is>
      </c>
      <c r="G3" s="5" t="inlineStr">
        <is>
          <t>PX_MID</t>
        </is>
      </c>
      <c r="H3" s="5" t="inlineStr">
        <is>
          <t>PX_LAST</t>
        </is>
      </c>
      <c r="I3" s="5" t="inlineStr">
        <is>
          <t>PX_SETTLE</t>
        </is>
      </c>
      <c r="J3" s="5" t="inlineStr">
        <is>
          <t>PX_VOLUME</t>
        </is>
      </c>
      <c r="K3" s="5" t="inlineStr">
        <is>
          <t>OPEN_INT</t>
        </is>
      </c>
      <c r="L3" s="5" t="inlineStr">
        <is>
          <t>IVOL_MID</t>
        </is>
      </c>
      <c r="M3" s="5" t="inlineStr">
        <is>
          <t>IVOL_BID</t>
        </is>
      </c>
      <c r="N3" s="5" t="inlineStr">
        <is>
          <t>IVOL_ASK</t>
        </is>
      </c>
      <c r="O3" s="5" t="inlineStr">
        <is>
          <t>DELTA_MID</t>
        </is>
      </c>
      <c r="P3" s="5" t="inlineStr">
        <is>
          <t>GAMMA_MID</t>
        </is>
      </c>
      <c r="Q3" s="5" t="inlineStr">
        <is>
          <t>VEGA_MID</t>
        </is>
      </c>
      <c r="R3" s="5" t="inlineStr">
        <is>
          <t>THETA_MID</t>
        </is>
      </c>
      <c r="S3" s="5" t="inlineStr">
        <is>
          <t>OPT_UNDL_PX</t>
        </is>
      </c>
      <c r="U3" s="5" t="inlineStr">
        <is>
          <t>Date</t>
        </is>
      </c>
      <c r="V3" s="5" t="inlineStr">
        <is>
          <t>PX_BID</t>
        </is>
      </c>
      <c r="W3" s="5" t="inlineStr">
        <is>
          <t>PX_ASK</t>
        </is>
      </c>
      <c r="X3" s="5" t="inlineStr">
        <is>
          <t>PX_MID</t>
        </is>
      </c>
      <c r="Y3" s="5" t="inlineStr">
        <is>
          <t>PX_LAST</t>
        </is>
      </c>
      <c r="Z3" s="5" t="inlineStr">
        <is>
          <t>PX_SETTLE</t>
        </is>
      </c>
      <c r="AA3" s="5" t="inlineStr">
        <is>
          <t>PX_VOLUME</t>
        </is>
      </c>
      <c r="AB3" s="5" t="inlineStr">
        <is>
          <t>OPEN_INT</t>
        </is>
      </c>
      <c r="AC3" s="5" t="inlineStr">
        <is>
          <t>IVOL_MID</t>
        </is>
      </c>
      <c r="AD3" s="5" t="inlineStr">
        <is>
          <t>IVOL_BID</t>
        </is>
      </c>
      <c r="AE3" s="5" t="inlineStr">
        <is>
          <t>IVOL_ASK</t>
        </is>
      </c>
      <c r="AF3" s="5" t="inlineStr">
        <is>
          <t>DELTA_MID</t>
        </is>
      </c>
      <c r="AG3" s="5" t="inlineStr">
        <is>
          <t>GAMMA_MID</t>
        </is>
      </c>
      <c r="AH3" s="5" t="inlineStr">
        <is>
          <t>VEGA_MID</t>
        </is>
      </c>
      <c r="AI3" s="5" t="inlineStr">
        <is>
          <t>THETA_MID</t>
        </is>
      </c>
      <c r="AJ3" s="5" t="inlineStr">
        <is>
          <t>OPT_UNDL_PX</t>
        </is>
      </c>
      <c r="AL3" s="5" t="inlineStr">
        <is>
          <t>Date</t>
        </is>
      </c>
      <c r="AM3" s="5" t="inlineStr">
        <is>
          <t>PX_BID</t>
        </is>
      </c>
      <c r="AN3" s="5" t="inlineStr">
        <is>
          <t>PX_ASK</t>
        </is>
      </c>
      <c r="AO3" s="5" t="inlineStr">
        <is>
          <t>PX_MID</t>
        </is>
      </c>
      <c r="AP3" s="5" t="inlineStr">
        <is>
          <t>PX_LAST</t>
        </is>
      </c>
      <c r="AQ3" s="5" t="inlineStr">
        <is>
          <t>PX_SETTLE</t>
        </is>
      </c>
      <c r="AR3" s="5" t="inlineStr">
        <is>
          <t>PX_VOLUME</t>
        </is>
      </c>
      <c r="AS3" s="5" t="inlineStr">
        <is>
          <t>OPEN_INT</t>
        </is>
      </c>
      <c r="AT3" s="5" t="inlineStr">
        <is>
          <t>IVOL_MID</t>
        </is>
      </c>
      <c r="AU3" s="5" t="inlineStr">
        <is>
          <t>IVOL_BID</t>
        </is>
      </c>
      <c r="AV3" s="5" t="inlineStr">
        <is>
          <t>IVOL_ASK</t>
        </is>
      </c>
      <c r="AW3" s="5" t="inlineStr">
        <is>
          <t>DELTA_MID</t>
        </is>
      </c>
      <c r="AX3" s="5" t="inlineStr">
        <is>
          <t>GAMMA_MID</t>
        </is>
      </c>
      <c r="AY3" s="5" t="inlineStr">
        <is>
          <t>VEGA_MID</t>
        </is>
      </c>
      <c r="AZ3" s="5" t="inlineStr">
        <is>
          <t>THETA_MID</t>
        </is>
      </c>
      <c r="BA3" s="5" t="inlineStr">
        <is>
          <t>OPT_UNDL_PX</t>
        </is>
      </c>
      <c r="BC3" s="5" t="inlineStr">
        <is>
          <t>Date</t>
        </is>
      </c>
      <c r="BD3" s="5" t="inlineStr">
        <is>
          <t>PX_BID</t>
        </is>
      </c>
      <c r="BE3" s="5" t="inlineStr">
        <is>
          <t>PX_ASK</t>
        </is>
      </c>
      <c r="BF3" s="5" t="inlineStr">
        <is>
          <t>PX_MID</t>
        </is>
      </c>
      <c r="BG3" s="5" t="inlineStr">
        <is>
          <t>PX_LAST</t>
        </is>
      </c>
      <c r="BH3" s="5" t="inlineStr">
        <is>
          <t>PX_SETTLE</t>
        </is>
      </c>
      <c r="BI3" s="5" t="inlineStr">
        <is>
          <t>PX_VOLUME</t>
        </is>
      </c>
      <c r="BJ3" s="5" t="inlineStr">
        <is>
          <t>OPEN_INT</t>
        </is>
      </c>
      <c r="BK3" s="5" t="inlineStr">
        <is>
          <t>IVOL_MID</t>
        </is>
      </c>
      <c r="BL3" s="5" t="inlineStr">
        <is>
          <t>IVOL_BID</t>
        </is>
      </c>
      <c r="BM3" s="5" t="inlineStr">
        <is>
          <t>IVOL_ASK</t>
        </is>
      </c>
      <c r="BN3" s="5" t="inlineStr">
        <is>
          <t>DELTA_MID</t>
        </is>
      </c>
      <c r="BO3" s="5" t="inlineStr">
        <is>
          <t>GAMMA_MID</t>
        </is>
      </c>
      <c r="BP3" s="5" t="inlineStr">
        <is>
          <t>VEGA_MID</t>
        </is>
      </c>
      <c r="BQ3" s="5" t="inlineStr">
        <is>
          <t>THETA_MID</t>
        </is>
      </c>
      <c r="BR3" s="5" t="inlineStr">
        <is>
          <t>OPT_UNDL_PX</t>
        </is>
      </c>
      <c r="BT3" s="5" t="inlineStr">
        <is>
          <t>Date</t>
        </is>
      </c>
      <c r="BU3" s="5" t="inlineStr">
        <is>
          <t>PX_BID</t>
        </is>
      </c>
      <c r="BV3" s="5" t="inlineStr">
        <is>
          <t>PX_ASK</t>
        </is>
      </c>
      <c r="BW3" s="5" t="inlineStr">
        <is>
          <t>PX_MID</t>
        </is>
      </c>
      <c r="BX3" s="5" t="inlineStr">
        <is>
          <t>PX_LAST</t>
        </is>
      </c>
      <c r="BY3" s="5" t="inlineStr">
        <is>
          <t>PX_SETTLE</t>
        </is>
      </c>
      <c r="BZ3" s="5" t="inlineStr">
        <is>
          <t>PX_VOLUME</t>
        </is>
      </c>
      <c r="CA3" s="5" t="inlineStr">
        <is>
          <t>OPEN_INT</t>
        </is>
      </c>
      <c r="CB3" s="5" t="inlineStr">
        <is>
          <t>IVOL_MID</t>
        </is>
      </c>
      <c r="CC3" s="5" t="inlineStr">
        <is>
          <t>IVOL_BID</t>
        </is>
      </c>
      <c r="CD3" s="5" t="inlineStr">
        <is>
          <t>IVOL_ASK</t>
        </is>
      </c>
      <c r="CE3" s="5" t="inlineStr">
        <is>
          <t>DELTA_MID</t>
        </is>
      </c>
      <c r="CF3" s="5" t="inlineStr">
        <is>
          <t>GAMMA_MID</t>
        </is>
      </c>
      <c r="CG3" s="5" t="inlineStr">
        <is>
          <t>VEGA_MID</t>
        </is>
      </c>
      <c r="CH3" s="5" t="inlineStr">
        <is>
          <t>THETA_MID</t>
        </is>
      </c>
      <c r="CI3" s="5" t="inlineStr">
        <is>
          <t>OPT_UNDL_PX</t>
        </is>
      </c>
      <c r="CK3" s="5" t="inlineStr">
        <is>
          <t>Date</t>
        </is>
      </c>
      <c r="CL3" s="5" t="inlineStr">
        <is>
          <t>PX_BID</t>
        </is>
      </c>
      <c r="CM3" s="5" t="inlineStr">
        <is>
          <t>PX_ASK</t>
        </is>
      </c>
      <c r="CN3" s="5" t="inlineStr">
        <is>
          <t>PX_MID</t>
        </is>
      </c>
      <c r="CO3" s="5" t="inlineStr">
        <is>
          <t>PX_LAST</t>
        </is>
      </c>
      <c r="CP3" s="5" t="inlineStr">
        <is>
          <t>PX_SETTLE</t>
        </is>
      </c>
      <c r="CQ3" s="5" t="inlineStr">
        <is>
          <t>PX_VOLUME</t>
        </is>
      </c>
      <c r="CR3" s="5" t="inlineStr">
        <is>
          <t>OPEN_INT</t>
        </is>
      </c>
      <c r="CS3" s="5" t="inlineStr">
        <is>
          <t>IVOL_MID</t>
        </is>
      </c>
      <c r="CT3" s="5" t="inlineStr">
        <is>
          <t>IVOL_BID</t>
        </is>
      </c>
      <c r="CU3" s="5" t="inlineStr">
        <is>
          <t>IVOL_ASK</t>
        </is>
      </c>
      <c r="CV3" s="5" t="inlineStr">
        <is>
          <t>DELTA_MID</t>
        </is>
      </c>
      <c r="CW3" s="5" t="inlineStr">
        <is>
          <t>GAMMA_MID</t>
        </is>
      </c>
      <c r="CX3" s="5" t="inlineStr">
        <is>
          <t>VEGA_MID</t>
        </is>
      </c>
      <c r="CY3" s="5" t="inlineStr">
        <is>
          <t>THETA_MID</t>
        </is>
      </c>
      <c r="CZ3" s="5" t="inlineStr">
        <is>
          <t>OPT_UNDL_PX</t>
        </is>
      </c>
      <c r="DB3" s="5" t="inlineStr">
        <is>
          <t>Date</t>
        </is>
      </c>
      <c r="DC3" s="5" t="inlineStr">
        <is>
          <t>PX_BID</t>
        </is>
      </c>
      <c r="DD3" s="5" t="inlineStr">
        <is>
          <t>PX_ASK</t>
        </is>
      </c>
      <c r="DE3" s="5" t="inlineStr">
        <is>
          <t>PX_MID</t>
        </is>
      </c>
      <c r="DF3" s="5" t="inlineStr">
        <is>
          <t>PX_LAST</t>
        </is>
      </c>
      <c r="DG3" s="5" t="inlineStr">
        <is>
          <t>PX_SETTLE</t>
        </is>
      </c>
      <c r="DH3" s="5" t="inlineStr">
        <is>
          <t>PX_VOLUME</t>
        </is>
      </c>
      <c r="DI3" s="5" t="inlineStr">
        <is>
          <t>OPEN_INT</t>
        </is>
      </c>
      <c r="DJ3" s="5" t="inlineStr">
        <is>
          <t>IVOL_MID</t>
        </is>
      </c>
      <c r="DK3" s="5" t="inlineStr">
        <is>
          <t>IVOL_BID</t>
        </is>
      </c>
      <c r="DL3" s="5" t="inlineStr">
        <is>
          <t>IVOL_ASK</t>
        </is>
      </c>
      <c r="DM3" s="5" t="inlineStr">
        <is>
          <t>DELTA_MID</t>
        </is>
      </c>
      <c r="DN3" s="5" t="inlineStr">
        <is>
          <t>GAMMA_MID</t>
        </is>
      </c>
      <c r="DO3" s="5" t="inlineStr">
        <is>
          <t>VEGA_MID</t>
        </is>
      </c>
      <c r="DP3" s="5" t="inlineStr">
        <is>
          <t>THETA_MID</t>
        </is>
      </c>
      <c r="DQ3" s="5" t="inlineStr">
        <is>
          <t>OPT_UNDL_PX</t>
        </is>
      </c>
      <c r="DS3" s="5" t="inlineStr">
        <is>
          <t>Date</t>
        </is>
      </c>
      <c r="DT3" s="5" t="inlineStr">
        <is>
          <t>PX_BID</t>
        </is>
      </c>
      <c r="DU3" s="5" t="inlineStr">
        <is>
          <t>PX_ASK</t>
        </is>
      </c>
      <c r="DV3" s="5" t="inlineStr">
        <is>
          <t>PX_MID</t>
        </is>
      </c>
      <c r="DW3" s="5" t="inlineStr">
        <is>
          <t>PX_LAST</t>
        </is>
      </c>
      <c r="DX3" s="5" t="inlineStr">
        <is>
          <t>PX_SETTLE</t>
        </is>
      </c>
      <c r="DY3" s="5" t="inlineStr">
        <is>
          <t>PX_VOLUME</t>
        </is>
      </c>
      <c r="DZ3" s="5" t="inlineStr">
        <is>
          <t>OPEN_INT</t>
        </is>
      </c>
      <c r="EA3" s="5" t="inlineStr">
        <is>
          <t>IVOL_MID</t>
        </is>
      </c>
      <c r="EB3" s="5" t="inlineStr">
        <is>
          <t>IVOL_BID</t>
        </is>
      </c>
      <c r="EC3" s="5" t="inlineStr">
        <is>
          <t>IVOL_ASK</t>
        </is>
      </c>
      <c r="ED3" s="5" t="inlineStr">
        <is>
          <t>DELTA_MID</t>
        </is>
      </c>
      <c r="EE3" s="5" t="inlineStr">
        <is>
          <t>GAMMA_MID</t>
        </is>
      </c>
      <c r="EF3" s="5" t="inlineStr">
        <is>
          <t>VEGA_MID</t>
        </is>
      </c>
      <c r="EG3" s="5" t="inlineStr">
        <is>
          <t>THETA_MID</t>
        </is>
      </c>
      <c r="EH3" s="5" t="inlineStr">
        <is>
          <t>OPT_UNDL_PX</t>
        </is>
      </c>
      <c r="EJ3" s="5" t="inlineStr">
        <is>
          <t>Date</t>
        </is>
      </c>
      <c r="EK3" s="5" t="inlineStr">
        <is>
          <t>PX_BID</t>
        </is>
      </c>
      <c r="EL3" s="5" t="inlineStr">
        <is>
          <t>PX_ASK</t>
        </is>
      </c>
      <c r="EM3" s="5" t="inlineStr">
        <is>
          <t>PX_MID</t>
        </is>
      </c>
      <c r="EN3" s="5" t="inlineStr">
        <is>
          <t>PX_LAST</t>
        </is>
      </c>
      <c r="EO3" s="5" t="inlineStr">
        <is>
          <t>PX_SETTLE</t>
        </is>
      </c>
      <c r="EP3" s="5" t="inlineStr">
        <is>
          <t>PX_VOLUME</t>
        </is>
      </c>
      <c r="EQ3" s="5" t="inlineStr">
        <is>
          <t>OPEN_INT</t>
        </is>
      </c>
      <c r="ER3" s="5" t="inlineStr">
        <is>
          <t>IVOL_MID</t>
        </is>
      </c>
      <c r="ES3" s="5" t="inlineStr">
        <is>
          <t>IVOL_BID</t>
        </is>
      </c>
      <c r="ET3" s="5" t="inlineStr">
        <is>
          <t>IVOL_ASK</t>
        </is>
      </c>
      <c r="EU3" s="5" t="inlineStr">
        <is>
          <t>DELTA_MID</t>
        </is>
      </c>
      <c r="EV3" s="5" t="inlineStr">
        <is>
          <t>GAMMA_MID</t>
        </is>
      </c>
      <c r="EW3" s="5" t="inlineStr">
        <is>
          <t>VEGA_MID</t>
        </is>
      </c>
      <c r="EX3" s="5" t="inlineStr">
        <is>
          <t>THETA_MID</t>
        </is>
      </c>
      <c r="EY3" s="5" t="inlineStr">
        <is>
          <t>OPT_UNDL_PX</t>
        </is>
      </c>
      <c r="FA3" s="5" t="inlineStr">
        <is>
          <t>Date</t>
        </is>
      </c>
      <c r="FB3" s="5" t="inlineStr">
        <is>
          <t>PX_BID</t>
        </is>
      </c>
      <c r="FC3" s="5" t="inlineStr">
        <is>
          <t>PX_ASK</t>
        </is>
      </c>
      <c r="FD3" s="5" t="inlineStr">
        <is>
          <t>PX_MID</t>
        </is>
      </c>
      <c r="FE3" s="5" t="inlineStr">
        <is>
          <t>PX_LAST</t>
        </is>
      </c>
      <c r="FF3" s="5" t="inlineStr">
        <is>
          <t>PX_SETTLE</t>
        </is>
      </c>
      <c r="FG3" s="5" t="inlineStr">
        <is>
          <t>PX_VOLUME</t>
        </is>
      </c>
      <c r="FH3" s="5" t="inlineStr">
        <is>
          <t>OPEN_INT</t>
        </is>
      </c>
      <c r="FI3" s="5" t="inlineStr">
        <is>
          <t>IVOL_MID</t>
        </is>
      </c>
      <c r="FJ3" s="5" t="inlineStr">
        <is>
          <t>IVOL_BID</t>
        </is>
      </c>
      <c r="FK3" s="5" t="inlineStr">
        <is>
          <t>IVOL_ASK</t>
        </is>
      </c>
      <c r="FL3" s="5" t="inlineStr">
        <is>
          <t>DELTA_MID</t>
        </is>
      </c>
      <c r="FM3" s="5" t="inlineStr">
        <is>
          <t>GAMMA_MID</t>
        </is>
      </c>
      <c r="FN3" s="5" t="inlineStr">
        <is>
          <t>VEGA_MID</t>
        </is>
      </c>
      <c r="FO3" s="5" t="inlineStr">
        <is>
          <t>THETA_MID</t>
        </is>
      </c>
      <c r="FP3" s="5" t="inlineStr">
        <is>
          <t>OPT_UNDL_PX</t>
        </is>
      </c>
      <c r="FR3" s="5" t="inlineStr">
        <is>
          <t>Date</t>
        </is>
      </c>
      <c r="FS3" s="5" t="inlineStr">
        <is>
          <t>PX_BID</t>
        </is>
      </c>
      <c r="FT3" s="5" t="inlineStr">
        <is>
          <t>PX_ASK</t>
        </is>
      </c>
      <c r="FU3" s="5" t="inlineStr">
        <is>
          <t>PX_MID</t>
        </is>
      </c>
      <c r="FV3" s="5" t="inlineStr">
        <is>
          <t>PX_LAST</t>
        </is>
      </c>
      <c r="FW3" s="5" t="inlineStr">
        <is>
          <t>PX_SETTLE</t>
        </is>
      </c>
      <c r="FX3" s="5" t="inlineStr">
        <is>
          <t>PX_VOLUME</t>
        </is>
      </c>
      <c r="FY3" s="5" t="inlineStr">
        <is>
          <t>OPEN_INT</t>
        </is>
      </c>
      <c r="FZ3" s="5" t="inlineStr">
        <is>
          <t>IVOL_MID</t>
        </is>
      </c>
      <c r="GA3" s="5" t="inlineStr">
        <is>
          <t>IVOL_BID</t>
        </is>
      </c>
      <c r="GB3" s="5" t="inlineStr">
        <is>
          <t>IVOL_ASK</t>
        </is>
      </c>
      <c r="GC3" s="5" t="inlineStr">
        <is>
          <t>DELTA_MID</t>
        </is>
      </c>
      <c r="GD3" s="5" t="inlineStr">
        <is>
          <t>GAMMA_MID</t>
        </is>
      </c>
      <c r="GE3" s="5" t="inlineStr">
        <is>
          <t>VEGA_MID</t>
        </is>
      </c>
      <c r="GF3" s="5" t="inlineStr">
        <is>
          <t>THETA_MID</t>
        </is>
      </c>
      <c r="GG3" s="5" t="inlineStr">
        <is>
          <t>OPT_UNDL_PX</t>
        </is>
      </c>
      <c r="GI3" s="5" t="inlineStr">
        <is>
          <t>Date</t>
        </is>
      </c>
      <c r="GJ3" s="5" t="inlineStr">
        <is>
          <t>PX_BID</t>
        </is>
      </c>
      <c r="GK3" s="5" t="inlineStr">
        <is>
          <t>PX_ASK</t>
        </is>
      </c>
      <c r="GL3" s="5" t="inlineStr">
        <is>
          <t>PX_MID</t>
        </is>
      </c>
      <c r="GM3" s="5" t="inlineStr">
        <is>
          <t>PX_LAST</t>
        </is>
      </c>
      <c r="GN3" s="5" t="inlineStr">
        <is>
          <t>PX_SETTLE</t>
        </is>
      </c>
      <c r="GO3" s="5" t="inlineStr">
        <is>
          <t>PX_VOLUME</t>
        </is>
      </c>
      <c r="GP3" s="5" t="inlineStr">
        <is>
          <t>OPEN_INT</t>
        </is>
      </c>
      <c r="GQ3" s="5" t="inlineStr">
        <is>
          <t>IVOL_MID</t>
        </is>
      </c>
      <c r="GR3" s="5" t="inlineStr">
        <is>
          <t>IVOL_BID</t>
        </is>
      </c>
      <c r="GS3" s="5" t="inlineStr">
        <is>
          <t>IVOL_ASK</t>
        </is>
      </c>
      <c r="GT3" s="5" t="inlineStr">
        <is>
          <t>DELTA_MID</t>
        </is>
      </c>
      <c r="GU3" s="5" t="inlineStr">
        <is>
          <t>GAMMA_MID</t>
        </is>
      </c>
      <c r="GV3" s="5" t="inlineStr">
        <is>
          <t>VEGA_MID</t>
        </is>
      </c>
      <c r="GW3" s="5" t="inlineStr">
        <is>
          <t>THETA_MID</t>
        </is>
      </c>
      <c r="GX3" s="5" t="inlineStr">
        <is>
          <t>OPT_UNDL_PX</t>
        </is>
      </c>
      <c r="GZ3" s="5" t="inlineStr">
        <is>
          <t>Date</t>
        </is>
      </c>
      <c r="HA3" s="5" t="inlineStr">
        <is>
          <t>PX_BID</t>
        </is>
      </c>
      <c r="HB3" s="5" t="inlineStr">
        <is>
          <t>PX_ASK</t>
        </is>
      </c>
      <c r="HC3" s="5" t="inlineStr">
        <is>
          <t>PX_MID</t>
        </is>
      </c>
      <c r="HD3" s="5" t="inlineStr">
        <is>
          <t>PX_LAST</t>
        </is>
      </c>
      <c r="HE3" s="5" t="inlineStr">
        <is>
          <t>PX_SETTLE</t>
        </is>
      </c>
      <c r="HF3" s="5" t="inlineStr">
        <is>
          <t>PX_VOLUME</t>
        </is>
      </c>
      <c r="HG3" s="5" t="inlineStr">
        <is>
          <t>OPEN_INT</t>
        </is>
      </c>
      <c r="HH3" s="5" t="inlineStr">
        <is>
          <t>IVOL_MID</t>
        </is>
      </c>
      <c r="HI3" s="5" t="inlineStr">
        <is>
          <t>IVOL_BID</t>
        </is>
      </c>
      <c r="HJ3" s="5" t="inlineStr">
        <is>
          <t>IVOL_ASK</t>
        </is>
      </c>
      <c r="HK3" s="5" t="inlineStr">
        <is>
          <t>DELTA_MID</t>
        </is>
      </c>
      <c r="HL3" s="5" t="inlineStr">
        <is>
          <t>GAMMA_MID</t>
        </is>
      </c>
      <c r="HM3" s="5" t="inlineStr">
        <is>
          <t>VEGA_MID</t>
        </is>
      </c>
      <c r="HN3" s="5" t="inlineStr">
        <is>
          <t>THETA_MID</t>
        </is>
      </c>
      <c r="HO3" s="5" t="inlineStr">
        <is>
          <t>OPT_UNDL_PX</t>
        </is>
      </c>
      <c r="HQ3" s="5" t="inlineStr">
        <is>
          <t>Date</t>
        </is>
      </c>
      <c r="HR3" s="5" t="inlineStr">
        <is>
          <t>PX_BID</t>
        </is>
      </c>
      <c r="HS3" s="5" t="inlineStr">
        <is>
          <t>PX_ASK</t>
        </is>
      </c>
      <c r="HT3" s="5" t="inlineStr">
        <is>
          <t>PX_MID</t>
        </is>
      </c>
      <c r="HU3" s="5" t="inlineStr">
        <is>
          <t>PX_LAST</t>
        </is>
      </c>
      <c r="HV3" s="5" t="inlineStr">
        <is>
          <t>PX_SETTLE</t>
        </is>
      </c>
      <c r="HW3" s="5" t="inlineStr">
        <is>
          <t>PX_VOLUME</t>
        </is>
      </c>
      <c r="HX3" s="5" t="inlineStr">
        <is>
          <t>OPEN_INT</t>
        </is>
      </c>
      <c r="HY3" s="5" t="inlineStr">
        <is>
          <t>IVOL_MID</t>
        </is>
      </c>
      <c r="HZ3" s="5" t="inlineStr">
        <is>
          <t>IVOL_BID</t>
        </is>
      </c>
      <c r="IA3" s="5" t="inlineStr">
        <is>
          <t>IVOL_ASK</t>
        </is>
      </c>
      <c r="IB3" s="5" t="inlineStr">
        <is>
          <t>DELTA_MID</t>
        </is>
      </c>
      <c r="IC3" s="5" t="inlineStr">
        <is>
          <t>GAMMA_MID</t>
        </is>
      </c>
      <c r="ID3" s="5" t="inlineStr">
        <is>
          <t>VEGA_MID</t>
        </is>
      </c>
      <c r="IE3" s="5" t="inlineStr">
        <is>
          <t>THETA_MID</t>
        </is>
      </c>
      <c r="IF3" s="5" t="inlineStr">
        <is>
          <t>OPT_UNDL_PX</t>
        </is>
      </c>
      <c r="IH3" s="5" t="inlineStr">
        <is>
          <t>Date</t>
        </is>
      </c>
      <c r="II3" s="5" t="inlineStr">
        <is>
          <t>PX_BID</t>
        </is>
      </c>
      <c r="IJ3" s="5" t="inlineStr">
        <is>
          <t>PX_ASK</t>
        </is>
      </c>
      <c r="IK3" s="5" t="inlineStr">
        <is>
          <t>PX_MID</t>
        </is>
      </c>
      <c r="IL3" s="5" t="inlineStr">
        <is>
          <t>PX_LAST</t>
        </is>
      </c>
      <c r="IM3" s="5" t="inlineStr">
        <is>
          <t>PX_SETTLE</t>
        </is>
      </c>
      <c r="IN3" s="5" t="inlineStr">
        <is>
          <t>PX_VOLUME</t>
        </is>
      </c>
      <c r="IO3" s="5" t="inlineStr">
        <is>
          <t>OPEN_INT</t>
        </is>
      </c>
      <c r="IP3" s="5" t="inlineStr">
        <is>
          <t>IVOL_MID</t>
        </is>
      </c>
      <c r="IQ3" s="5" t="inlineStr">
        <is>
          <t>IVOL_BID</t>
        </is>
      </c>
      <c r="IR3" s="5" t="inlineStr">
        <is>
          <t>IVOL_ASK</t>
        </is>
      </c>
      <c r="IS3" s="5" t="inlineStr">
        <is>
          <t>DELTA_MID</t>
        </is>
      </c>
      <c r="IT3" s="5" t="inlineStr">
        <is>
          <t>GAMMA_MID</t>
        </is>
      </c>
      <c r="IU3" s="5" t="inlineStr">
        <is>
          <t>VEGA_MID</t>
        </is>
      </c>
      <c r="IV3" s="5" t="inlineStr">
        <is>
          <t>THETA_MID</t>
        </is>
      </c>
      <c r="IW3" s="5" t="inlineStr">
        <is>
          <t>OPT_UNDL_PX</t>
        </is>
      </c>
      <c r="IY3" s="5" t="inlineStr">
        <is>
          <t>Date</t>
        </is>
      </c>
      <c r="IZ3" s="5" t="inlineStr">
        <is>
          <t>PX_BID</t>
        </is>
      </c>
      <c r="JA3" s="5" t="inlineStr">
        <is>
          <t>PX_ASK</t>
        </is>
      </c>
      <c r="JB3" s="5" t="inlineStr">
        <is>
          <t>PX_MID</t>
        </is>
      </c>
      <c r="JC3" s="5" t="inlineStr">
        <is>
          <t>PX_LAST</t>
        </is>
      </c>
      <c r="JD3" s="5" t="inlineStr">
        <is>
          <t>PX_SETTLE</t>
        </is>
      </c>
      <c r="JE3" s="5" t="inlineStr">
        <is>
          <t>PX_VOLUME</t>
        </is>
      </c>
      <c r="JF3" s="5" t="inlineStr">
        <is>
          <t>OPEN_INT</t>
        </is>
      </c>
      <c r="JG3" s="5" t="inlineStr">
        <is>
          <t>IVOL_MID</t>
        </is>
      </c>
      <c r="JH3" s="5" t="inlineStr">
        <is>
          <t>IVOL_BID</t>
        </is>
      </c>
      <c r="JI3" s="5" t="inlineStr">
        <is>
          <t>IVOL_ASK</t>
        </is>
      </c>
      <c r="JJ3" s="5" t="inlineStr">
        <is>
          <t>DELTA_MID</t>
        </is>
      </c>
      <c r="JK3" s="5" t="inlineStr">
        <is>
          <t>GAMMA_MID</t>
        </is>
      </c>
      <c r="JL3" s="5" t="inlineStr">
        <is>
          <t>VEGA_MID</t>
        </is>
      </c>
      <c r="JM3" s="5" t="inlineStr">
        <is>
          <t>THETA_MID</t>
        </is>
      </c>
      <c r="JN3" s="5" t="inlineStr">
        <is>
          <t>OPT_UNDL_PX</t>
        </is>
      </c>
      <c r="JP3" s="5" t="inlineStr">
        <is>
          <t>Date</t>
        </is>
      </c>
      <c r="JQ3" s="5" t="inlineStr">
        <is>
          <t>PX_BID</t>
        </is>
      </c>
      <c r="JR3" s="5" t="inlineStr">
        <is>
          <t>PX_ASK</t>
        </is>
      </c>
      <c r="JS3" s="5" t="inlineStr">
        <is>
          <t>PX_MID</t>
        </is>
      </c>
      <c r="JT3" s="5" t="inlineStr">
        <is>
          <t>PX_LAST</t>
        </is>
      </c>
      <c r="JU3" s="5" t="inlineStr">
        <is>
          <t>PX_SETTLE</t>
        </is>
      </c>
      <c r="JV3" s="5" t="inlineStr">
        <is>
          <t>PX_VOLUME</t>
        </is>
      </c>
      <c r="JW3" s="5" t="inlineStr">
        <is>
          <t>OPEN_INT</t>
        </is>
      </c>
      <c r="JX3" s="5" t="inlineStr">
        <is>
          <t>IVOL_MID</t>
        </is>
      </c>
      <c r="JY3" s="5" t="inlineStr">
        <is>
          <t>IVOL_BID</t>
        </is>
      </c>
      <c r="JZ3" s="5" t="inlineStr">
        <is>
          <t>IVOL_ASK</t>
        </is>
      </c>
      <c r="KA3" s="5" t="inlineStr">
        <is>
          <t>DELTA_MID</t>
        </is>
      </c>
      <c r="KB3" s="5" t="inlineStr">
        <is>
          <t>GAMMA_MID</t>
        </is>
      </c>
      <c r="KC3" s="5" t="inlineStr">
        <is>
          <t>VEGA_MID</t>
        </is>
      </c>
      <c r="KD3" s="5" t="inlineStr">
        <is>
          <t>THETA_MID</t>
        </is>
      </c>
      <c r="KE3" s="5" t="inlineStr">
        <is>
          <t>OPT_UNDL_PX</t>
        </is>
      </c>
      <c r="KG3" s="5" t="inlineStr">
        <is>
          <t>Date</t>
        </is>
      </c>
      <c r="KH3" s="5" t="inlineStr">
        <is>
          <t>PX_BID</t>
        </is>
      </c>
      <c r="KI3" s="5" t="inlineStr">
        <is>
          <t>PX_ASK</t>
        </is>
      </c>
      <c r="KJ3" s="5" t="inlineStr">
        <is>
          <t>PX_MID</t>
        </is>
      </c>
      <c r="KK3" s="5" t="inlineStr">
        <is>
          <t>PX_LAST</t>
        </is>
      </c>
      <c r="KL3" s="5" t="inlineStr">
        <is>
          <t>PX_SETTLE</t>
        </is>
      </c>
      <c r="KM3" s="5" t="inlineStr">
        <is>
          <t>PX_VOLUME</t>
        </is>
      </c>
      <c r="KN3" s="5" t="inlineStr">
        <is>
          <t>OPEN_INT</t>
        </is>
      </c>
      <c r="KO3" s="5" t="inlineStr">
        <is>
          <t>IVOL_MID</t>
        </is>
      </c>
      <c r="KP3" s="5" t="inlineStr">
        <is>
          <t>IVOL_BID</t>
        </is>
      </c>
      <c r="KQ3" s="5" t="inlineStr">
        <is>
          <t>IVOL_ASK</t>
        </is>
      </c>
      <c r="KR3" s="5" t="inlineStr">
        <is>
          <t>DELTA_MID</t>
        </is>
      </c>
      <c r="KS3" s="5" t="inlineStr">
        <is>
          <t>GAMMA_MID</t>
        </is>
      </c>
      <c r="KT3" s="5" t="inlineStr">
        <is>
          <t>VEGA_MID</t>
        </is>
      </c>
      <c r="KU3" s="5" t="inlineStr">
        <is>
          <t>THETA_MID</t>
        </is>
      </c>
      <c r="KV3" s="5" t="inlineStr">
        <is>
          <t>OPT_UNDL_PX</t>
        </is>
      </c>
      <c r="KX3" s="5" t="inlineStr">
        <is>
          <t>Date</t>
        </is>
      </c>
      <c r="KY3" s="5" t="inlineStr">
        <is>
          <t>PX_BID</t>
        </is>
      </c>
      <c r="KZ3" s="5" t="inlineStr">
        <is>
          <t>PX_ASK</t>
        </is>
      </c>
      <c r="LA3" s="5" t="inlineStr">
        <is>
          <t>PX_MID</t>
        </is>
      </c>
      <c r="LB3" s="5" t="inlineStr">
        <is>
          <t>PX_LAST</t>
        </is>
      </c>
      <c r="LC3" s="5" t="inlineStr">
        <is>
          <t>PX_SETTLE</t>
        </is>
      </c>
      <c r="LD3" s="5" t="inlineStr">
        <is>
          <t>PX_VOLUME</t>
        </is>
      </c>
      <c r="LE3" s="5" t="inlineStr">
        <is>
          <t>OPEN_INT</t>
        </is>
      </c>
      <c r="LF3" s="5" t="inlineStr">
        <is>
          <t>IVOL_MID</t>
        </is>
      </c>
      <c r="LG3" s="5" t="inlineStr">
        <is>
          <t>IVOL_BID</t>
        </is>
      </c>
      <c r="LH3" s="5" t="inlineStr">
        <is>
          <t>IVOL_ASK</t>
        </is>
      </c>
      <c r="LI3" s="5" t="inlineStr">
        <is>
          <t>DELTA_MID</t>
        </is>
      </c>
      <c r="LJ3" s="5" t="inlineStr">
        <is>
          <t>GAMMA_MID</t>
        </is>
      </c>
      <c r="LK3" s="5" t="inlineStr">
        <is>
          <t>VEGA_MID</t>
        </is>
      </c>
      <c r="LL3" s="5" t="inlineStr">
        <is>
          <t>THETA_MID</t>
        </is>
      </c>
      <c r="LM3" s="5" t="inlineStr">
        <is>
          <t>OPT_UNDL_PX</t>
        </is>
      </c>
      <c r="LO3" s="5" t="inlineStr">
        <is>
          <t>Date</t>
        </is>
      </c>
      <c r="LP3" s="5" t="inlineStr">
        <is>
          <t>PX_BID</t>
        </is>
      </c>
      <c r="LQ3" s="5" t="inlineStr">
        <is>
          <t>PX_ASK</t>
        </is>
      </c>
      <c r="LR3" s="5" t="inlineStr">
        <is>
          <t>PX_MID</t>
        </is>
      </c>
      <c r="LS3" s="5" t="inlineStr">
        <is>
          <t>PX_LAST</t>
        </is>
      </c>
      <c r="LT3" s="5" t="inlineStr">
        <is>
          <t>PX_SETTLE</t>
        </is>
      </c>
      <c r="LU3" s="5" t="inlineStr">
        <is>
          <t>PX_VOLUME</t>
        </is>
      </c>
      <c r="LV3" s="5" t="inlineStr">
        <is>
          <t>OPEN_INT</t>
        </is>
      </c>
      <c r="LW3" s="5" t="inlineStr">
        <is>
          <t>IVOL_MID</t>
        </is>
      </c>
      <c r="LX3" s="5" t="inlineStr">
        <is>
          <t>IVOL_BID</t>
        </is>
      </c>
      <c r="LY3" s="5" t="inlineStr">
        <is>
          <t>IVOL_ASK</t>
        </is>
      </c>
      <c r="LZ3" s="5" t="inlineStr">
        <is>
          <t>DELTA_MID</t>
        </is>
      </c>
      <c r="MA3" s="5" t="inlineStr">
        <is>
          <t>GAMMA_MID</t>
        </is>
      </c>
      <c r="MB3" s="5" t="inlineStr">
        <is>
          <t>VEGA_MID</t>
        </is>
      </c>
      <c r="MC3" s="5" t="inlineStr">
        <is>
          <t>THETA_MID</t>
        </is>
      </c>
      <c r="MD3" s="5" t="inlineStr">
        <is>
          <t>OPT_UNDL_PX</t>
        </is>
      </c>
      <c r="MF3" s="5" t="inlineStr">
        <is>
          <t>Date</t>
        </is>
      </c>
      <c r="MG3" s="5" t="inlineStr">
        <is>
          <t>PX_BID</t>
        </is>
      </c>
      <c r="MH3" s="5" t="inlineStr">
        <is>
          <t>PX_ASK</t>
        </is>
      </c>
      <c r="MI3" s="5" t="inlineStr">
        <is>
          <t>PX_MID</t>
        </is>
      </c>
      <c r="MJ3" s="5" t="inlineStr">
        <is>
          <t>PX_LAST</t>
        </is>
      </c>
      <c r="MK3" s="5" t="inlineStr">
        <is>
          <t>PX_SETTLE</t>
        </is>
      </c>
      <c r="ML3" s="5" t="inlineStr">
        <is>
          <t>PX_VOLUME</t>
        </is>
      </c>
      <c r="MM3" s="5" t="inlineStr">
        <is>
          <t>OPEN_INT</t>
        </is>
      </c>
      <c r="MN3" s="5" t="inlineStr">
        <is>
          <t>IVOL_MID</t>
        </is>
      </c>
      <c r="MO3" s="5" t="inlineStr">
        <is>
          <t>IVOL_BID</t>
        </is>
      </c>
      <c r="MP3" s="5" t="inlineStr">
        <is>
          <t>IVOL_ASK</t>
        </is>
      </c>
      <c r="MQ3" s="5" t="inlineStr">
        <is>
          <t>DELTA_MID</t>
        </is>
      </c>
      <c r="MR3" s="5" t="inlineStr">
        <is>
          <t>GAMMA_MID</t>
        </is>
      </c>
      <c r="MS3" s="5" t="inlineStr">
        <is>
          <t>VEGA_MID</t>
        </is>
      </c>
      <c r="MT3" s="5" t="inlineStr">
        <is>
          <t>THETA_MID</t>
        </is>
      </c>
      <c r="MU3" s="5" t="inlineStr">
        <is>
          <t>OPT_UNDL_PX</t>
        </is>
      </c>
      <c r="MW3" s="5" t="inlineStr">
        <is>
          <t>Date</t>
        </is>
      </c>
      <c r="MX3" s="5" t="inlineStr">
        <is>
          <t>PX_BID</t>
        </is>
      </c>
      <c r="MY3" s="5" t="inlineStr">
        <is>
          <t>PX_ASK</t>
        </is>
      </c>
      <c r="MZ3" s="5" t="inlineStr">
        <is>
          <t>PX_MID</t>
        </is>
      </c>
      <c r="NA3" s="5" t="inlineStr">
        <is>
          <t>PX_LAST</t>
        </is>
      </c>
      <c r="NB3" s="5" t="inlineStr">
        <is>
          <t>PX_SETTLE</t>
        </is>
      </c>
      <c r="NC3" s="5" t="inlineStr">
        <is>
          <t>PX_VOLUME</t>
        </is>
      </c>
      <c r="ND3" s="5" t="inlineStr">
        <is>
          <t>OPEN_INT</t>
        </is>
      </c>
      <c r="NE3" s="5" t="inlineStr">
        <is>
          <t>IVOL_MID</t>
        </is>
      </c>
      <c r="NF3" s="5" t="inlineStr">
        <is>
          <t>IVOL_BID</t>
        </is>
      </c>
      <c r="NG3" s="5" t="inlineStr">
        <is>
          <t>IVOL_ASK</t>
        </is>
      </c>
      <c r="NH3" s="5" t="inlineStr">
        <is>
          <t>DELTA_MID</t>
        </is>
      </c>
      <c r="NI3" s="5" t="inlineStr">
        <is>
          <t>GAMMA_MID</t>
        </is>
      </c>
      <c r="NJ3" s="5" t="inlineStr">
        <is>
          <t>VEGA_MID</t>
        </is>
      </c>
      <c r="NK3" s="5" t="inlineStr">
        <is>
          <t>THETA_MID</t>
        </is>
      </c>
      <c r="NL3" s="5" t="inlineStr">
        <is>
          <t>OPT_UNDL_PX</t>
        </is>
      </c>
    </row>
    <row r="4">
      <c r="A4" s="2" t="inlineStr">
        <is>
          <t>Strike reference date</t>
        </is>
      </c>
      <c r="B4" s="8">
        <f>B3-45</f>
        <v/>
      </c>
      <c r="D4" s="4">
        <f>BDH(D$1,E$3:S$3,$B$8,$B$9,"Dir=V","Dts=S","Sort=A","Days=T","Fill=B")</f>
        <v/>
      </c>
      <c r="U4" s="4">
        <f>BDH(U$1,V$3:AJ$3,$B$8,$B$9,"Dir=V","Dts=S","Sort=A","Days=T","Fill=B")</f>
        <v/>
      </c>
      <c r="AL4" s="4">
        <f>BDH(AL$1,AM$3:BA$3,$B$8,$B$9,"Dir=V","Dts=S","Sort=A","Days=T","Fill=B")</f>
        <v/>
      </c>
      <c r="BC4" s="4">
        <f>BDH(BC$1,BD$3:BR$3,$B$8,$B$9,"Dir=V","Dts=S","Sort=A","Days=T","Fill=B")</f>
        <v/>
      </c>
      <c r="BT4" s="4">
        <f>BDH(BT$1,BU$3:CI$3,$B$8,$B$9,"Dir=V","Dts=S","Sort=A","Days=T","Fill=B")</f>
        <v/>
      </c>
      <c r="CK4" s="4">
        <f>BDH(CK$1,CL$3:CZ$3,$B$8,$B$9,"Dir=V","Dts=S","Sort=A","Days=T","Fill=B")</f>
        <v/>
      </c>
      <c r="DB4" s="4">
        <f>BDH(DB$1,DC$3:DQ$3,$B$8,$B$9,"Dir=V","Dts=S","Sort=A","Days=T","Fill=B")</f>
        <v/>
      </c>
      <c r="DS4" s="4">
        <f>BDH(DS$1,DT$3:EH$3,$B$8,$B$9,"Dir=V","Dts=S","Sort=A","Days=T","Fill=B")</f>
        <v/>
      </c>
      <c r="EJ4" s="4">
        <f>BDH(EJ$1,EK$3:EY$3,$B$8,$B$9,"Dir=V","Dts=S","Sort=A","Days=T","Fill=B")</f>
        <v/>
      </c>
      <c r="FA4" s="4">
        <f>BDH(FA$1,FB$3:FP$3,$B$8,$B$9,"Dir=V","Dts=S","Sort=A","Days=T","Fill=B")</f>
        <v/>
      </c>
      <c r="FR4" s="4">
        <f>BDH(FR$1,FS$3:GG$3,$B$8,$B$9,"Dir=V","Dts=S","Sort=A","Days=T","Fill=B")</f>
        <v/>
      </c>
      <c r="GI4" s="4">
        <f>BDH(GI$1,GJ$3:GX$3,$B$8,$B$9,"Dir=V","Dts=S","Sort=A","Days=T","Fill=B")</f>
        <v/>
      </c>
      <c r="GZ4" s="4">
        <f>BDH(GZ$1,HA$3:HO$3,$B$8,$B$9,"Dir=V","Dts=S","Sort=A","Days=T","Fill=B")</f>
        <v/>
      </c>
      <c r="HQ4" s="4">
        <f>BDH(HQ$1,HR$3:IF$3,$B$8,$B$9,"Dir=V","Dts=S","Sort=A","Days=T","Fill=B")</f>
        <v/>
      </c>
      <c r="IH4" s="4">
        <f>BDH(IH$1,II$3:IW$3,$B$8,$B$9,"Dir=V","Dts=S","Sort=A","Days=T","Fill=B")</f>
        <v/>
      </c>
      <c r="IY4" s="4">
        <f>BDH(IY$1,IZ$3:JN$3,$B$8,$B$9,"Dir=V","Dts=S","Sort=A","Days=T","Fill=B")</f>
        <v/>
      </c>
      <c r="JP4" s="4">
        <f>BDH(JP$1,JQ$3:KE$3,$B$8,$B$9,"Dir=V","Dts=S","Sort=A","Days=T","Fill=B")</f>
        <v/>
      </c>
      <c r="KG4" s="4">
        <f>BDH(KG$1,KH$3:KV$3,$B$8,$B$9,"Dir=V","Dts=S","Sort=A","Days=T","Fill=B")</f>
        <v/>
      </c>
      <c r="KX4" s="4">
        <f>BDH(KX$1,KY$3:LM$3,$B$8,$B$9,"Dir=V","Dts=S","Sort=A","Days=T","Fill=B")</f>
        <v/>
      </c>
      <c r="LO4" s="4">
        <f>BDH(LO$1,LP$3:MD$3,$B$8,$B$9,"Dir=V","Dts=S","Sort=A","Days=T","Fill=B")</f>
        <v/>
      </c>
      <c r="MF4" s="4">
        <f>BDH(MF$1,MG$3:MU$3,$B$8,$B$9,"Dir=V","Dts=S","Sort=A","Days=T","Fill=B")</f>
        <v/>
      </c>
      <c r="MW4" s="4">
        <f>BDH(MW$1,MX$3:NL$3,$B$8,$B$9,"Dir=V","Dts=S","Sort=A","Days=T","Fill=B")</f>
        <v/>
      </c>
    </row>
    <row r="5">
      <c r="A5" s="2" t="inlineStr">
        <is>
          <t>Unadjusted close then</t>
        </is>
      </c>
      <c r="B5" s="10">
        <f>IF(B2="","",BDH(B2,"PX_LAST",B4,B4,"Days=A","Fill=P","Dts=H","CshAdjNormal=N","CshAdjAbnormal=N","CapChg=N"))</f>
        <v/>
      </c>
    </row>
    <row r="6">
      <c r="A6" s="2" t="inlineStr">
        <is>
          <t>Strike step</t>
        </is>
      </c>
      <c r="B6" s="11">
        <f>IF(ISNUMBER(B5),IF(B5&lt;25,0.5,IF(B5&lt;250,1,5)),"")</f>
        <v/>
      </c>
    </row>
    <row r="7">
      <c r="A7" s="2" t="inlineStr">
        <is>
          <t>ATM strike</t>
        </is>
      </c>
      <c r="B7" s="11">
        <f>IF(ISNUMBER(B5),ROUND(B5/B6,0)*B6,"")</f>
        <v/>
      </c>
    </row>
    <row r="8">
      <c r="A8" s="2" t="inlineStr">
        <is>
          <t>History start</t>
        </is>
      </c>
      <c r="B8" s="8">
        <f>B3-100</f>
        <v/>
      </c>
    </row>
    <row r="9">
      <c r="A9" s="2" t="inlineStr">
        <is>
          <t>History end</t>
        </is>
      </c>
      <c r="B9" s="8">
        <f>B3</f>
        <v/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NL9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2" customWidth="1" min="2" max="2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1" customWidth="1" min="15" max="15"/>
    <col width="11" customWidth="1" min="16" max="16"/>
    <col width="10" customWidth="1" min="17" max="17"/>
    <col width="11" customWidth="1" min="18" max="18"/>
    <col width="13" customWidth="1" min="19" max="19"/>
    <col width="12" customWidth="1" min="21" max="21"/>
    <col width="10" customWidth="1" min="22" max="22"/>
    <col width="10" customWidth="1" min="23" max="23"/>
    <col width="10" customWidth="1" min="24" max="24"/>
    <col width="10" customWidth="1" min="25" max="25"/>
    <col width="11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1" customWidth="1" min="32" max="32"/>
    <col width="11" customWidth="1" min="33" max="33"/>
    <col width="10" customWidth="1" min="34" max="34"/>
    <col width="11" customWidth="1" min="35" max="35"/>
    <col width="13" customWidth="1" min="36" max="36"/>
    <col width="12" customWidth="1" min="38" max="38"/>
    <col width="10" customWidth="1" min="39" max="39"/>
    <col width="10" customWidth="1" min="40" max="40"/>
    <col width="10" customWidth="1" min="41" max="41"/>
    <col width="10" customWidth="1" min="42" max="42"/>
    <col width="11" customWidth="1" min="43" max="43"/>
    <col width="11" customWidth="1" min="44" max="44"/>
    <col width="10" customWidth="1" min="45" max="45"/>
    <col width="10" customWidth="1" min="46" max="46"/>
    <col width="10" customWidth="1" min="47" max="47"/>
    <col width="10" customWidth="1" min="48" max="48"/>
    <col width="11" customWidth="1" min="49" max="49"/>
    <col width="11" customWidth="1" min="50" max="50"/>
    <col width="10" customWidth="1" min="51" max="51"/>
    <col width="11" customWidth="1" min="52" max="52"/>
    <col width="13" customWidth="1" min="53" max="53"/>
    <col width="12" customWidth="1" min="55" max="55"/>
    <col width="10" customWidth="1" min="56" max="56"/>
    <col width="10" customWidth="1" min="57" max="57"/>
    <col width="10" customWidth="1" min="58" max="58"/>
    <col width="10" customWidth="1" min="59" max="59"/>
    <col width="11" customWidth="1" min="60" max="60"/>
    <col width="11" customWidth="1" min="61" max="61"/>
    <col width="10" customWidth="1" min="62" max="62"/>
    <col width="10" customWidth="1" min="63" max="63"/>
    <col width="10" customWidth="1" min="64" max="64"/>
    <col width="10" customWidth="1" min="65" max="65"/>
    <col width="11" customWidth="1" min="66" max="66"/>
    <col width="11" customWidth="1" min="67" max="67"/>
    <col width="10" customWidth="1" min="68" max="68"/>
    <col width="11" customWidth="1" min="69" max="69"/>
    <col width="13" customWidth="1" min="70" max="70"/>
    <col width="12" customWidth="1" min="72" max="72"/>
    <col width="10" customWidth="1" min="73" max="73"/>
    <col width="10" customWidth="1" min="74" max="74"/>
    <col width="10" customWidth="1" min="75" max="75"/>
    <col width="10" customWidth="1" min="76" max="76"/>
    <col width="11" customWidth="1" min="77" max="77"/>
    <col width="11" customWidth="1" min="78" max="78"/>
    <col width="10" customWidth="1" min="79" max="79"/>
    <col width="10" customWidth="1" min="80" max="80"/>
    <col width="10" customWidth="1" min="81" max="81"/>
    <col width="10" customWidth="1" min="82" max="82"/>
    <col width="11" customWidth="1" min="83" max="83"/>
    <col width="11" customWidth="1" min="84" max="84"/>
    <col width="10" customWidth="1" min="85" max="85"/>
    <col width="11" customWidth="1" min="86" max="86"/>
    <col width="13" customWidth="1" min="87" max="87"/>
    <col width="12" customWidth="1" min="89" max="89"/>
    <col width="10" customWidth="1" min="90" max="90"/>
    <col width="10" customWidth="1" min="91" max="91"/>
    <col width="10" customWidth="1" min="92" max="92"/>
    <col width="10" customWidth="1" min="93" max="93"/>
    <col width="11" customWidth="1" min="94" max="94"/>
    <col width="11" customWidth="1" min="95" max="95"/>
    <col width="10" customWidth="1" min="96" max="96"/>
    <col width="10" customWidth="1" min="97" max="97"/>
    <col width="10" customWidth="1" min="98" max="98"/>
    <col width="10" customWidth="1" min="99" max="99"/>
    <col width="11" customWidth="1" min="100" max="100"/>
    <col width="11" customWidth="1" min="101" max="101"/>
    <col width="10" customWidth="1" min="102" max="102"/>
    <col width="11" customWidth="1" min="103" max="103"/>
    <col width="13" customWidth="1" min="104" max="104"/>
    <col width="12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1" customWidth="1" min="111" max="111"/>
    <col width="11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1" customWidth="1" min="117" max="117"/>
    <col width="11" customWidth="1" min="118" max="118"/>
    <col width="10" customWidth="1" min="119" max="119"/>
    <col width="11" customWidth="1" min="120" max="120"/>
    <col width="13" customWidth="1" min="121" max="121"/>
    <col width="12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1" customWidth="1" min="128" max="128"/>
    <col width="11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1" customWidth="1" min="134" max="134"/>
    <col width="11" customWidth="1" min="135" max="135"/>
    <col width="10" customWidth="1" min="136" max="136"/>
    <col width="11" customWidth="1" min="137" max="137"/>
    <col width="13" customWidth="1" min="138" max="138"/>
    <col width="12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1" customWidth="1" min="145" max="145"/>
    <col width="11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1" customWidth="1" min="151" max="151"/>
    <col width="11" customWidth="1" min="152" max="152"/>
    <col width="10" customWidth="1" min="153" max="153"/>
    <col width="11" customWidth="1" min="154" max="154"/>
    <col width="13" customWidth="1" min="155" max="155"/>
    <col width="12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1" customWidth="1" min="162" max="162"/>
    <col width="11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1" customWidth="1" min="168" max="168"/>
    <col width="11" customWidth="1" min="169" max="169"/>
    <col width="10" customWidth="1" min="170" max="170"/>
    <col width="11" customWidth="1" min="171" max="171"/>
    <col width="13" customWidth="1" min="172" max="172"/>
    <col width="12" customWidth="1" min="174" max="174"/>
    <col width="10" customWidth="1" min="175" max="175"/>
    <col width="10" customWidth="1" min="176" max="176"/>
    <col width="10" customWidth="1" min="177" max="177"/>
    <col width="10" customWidth="1" min="178" max="178"/>
    <col width="11" customWidth="1" min="179" max="179"/>
    <col width="11" customWidth="1" min="180" max="180"/>
    <col width="10" customWidth="1" min="181" max="181"/>
    <col width="10" customWidth="1" min="182" max="182"/>
    <col width="10" customWidth="1" min="183" max="183"/>
    <col width="10" customWidth="1" min="184" max="184"/>
    <col width="11" customWidth="1" min="185" max="185"/>
    <col width="11" customWidth="1" min="186" max="186"/>
    <col width="10" customWidth="1" min="187" max="187"/>
    <col width="11" customWidth="1" min="188" max="188"/>
    <col width="13" customWidth="1" min="189" max="189"/>
    <col width="12" customWidth="1" min="191" max="191"/>
    <col width="10" customWidth="1" min="192" max="192"/>
    <col width="10" customWidth="1" min="193" max="193"/>
    <col width="10" customWidth="1" min="194" max="194"/>
    <col width="10" customWidth="1" min="195" max="195"/>
    <col width="11" customWidth="1" min="196" max="196"/>
    <col width="11" customWidth="1" min="197" max="197"/>
    <col width="10" customWidth="1" min="198" max="198"/>
    <col width="10" customWidth="1" min="199" max="199"/>
    <col width="10" customWidth="1" min="200" max="200"/>
    <col width="10" customWidth="1" min="201" max="201"/>
    <col width="11" customWidth="1" min="202" max="202"/>
    <col width="11" customWidth="1" min="203" max="203"/>
    <col width="10" customWidth="1" min="204" max="204"/>
    <col width="11" customWidth="1" min="205" max="205"/>
    <col width="13" customWidth="1" min="206" max="206"/>
    <col width="12" customWidth="1" min="208" max="208"/>
    <col width="10" customWidth="1" min="209" max="209"/>
    <col width="10" customWidth="1" min="210" max="210"/>
    <col width="10" customWidth="1" min="211" max="211"/>
    <col width="10" customWidth="1" min="212" max="212"/>
    <col width="11" customWidth="1" min="213" max="213"/>
    <col width="11" customWidth="1" min="214" max="214"/>
    <col width="10" customWidth="1" min="215" max="215"/>
    <col width="10" customWidth="1" min="216" max="216"/>
    <col width="10" customWidth="1" min="217" max="217"/>
    <col width="10" customWidth="1" min="218" max="218"/>
    <col width="11" customWidth="1" min="219" max="219"/>
    <col width="11" customWidth="1" min="220" max="220"/>
    <col width="10" customWidth="1" min="221" max="221"/>
    <col width="11" customWidth="1" min="222" max="222"/>
    <col width="13" customWidth="1" min="223" max="223"/>
    <col width="12" customWidth="1" min="225" max="225"/>
    <col width="10" customWidth="1" min="226" max="226"/>
    <col width="10" customWidth="1" min="227" max="227"/>
    <col width="10" customWidth="1" min="228" max="228"/>
    <col width="10" customWidth="1" min="229" max="229"/>
    <col width="11" customWidth="1" min="230" max="230"/>
    <col width="11" customWidth="1" min="231" max="231"/>
    <col width="10" customWidth="1" min="232" max="232"/>
    <col width="10" customWidth="1" min="233" max="233"/>
    <col width="10" customWidth="1" min="234" max="234"/>
    <col width="10" customWidth="1" min="235" max="235"/>
    <col width="11" customWidth="1" min="236" max="236"/>
    <col width="11" customWidth="1" min="237" max="237"/>
    <col width="10" customWidth="1" min="238" max="238"/>
    <col width="11" customWidth="1" min="239" max="239"/>
    <col width="13" customWidth="1" min="240" max="240"/>
    <col width="12" customWidth="1" min="242" max="242"/>
    <col width="10" customWidth="1" min="243" max="243"/>
    <col width="10" customWidth="1" min="244" max="244"/>
    <col width="10" customWidth="1" min="245" max="245"/>
    <col width="10" customWidth="1" min="246" max="246"/>
    <col width="11" customWidth="1" min="247" max="247"/>
    <col width="11" customWidth="1" min="248" max="248"/>
    <col width="10" customWidth="1" min="249" max="249"/>
    <col width="10" customWidth="1" min="250" max="250"/>
    <col width="10" customWidth="1" min="251" max="251"/>
    <col width="10" customWidth="1" min="252" max="252"/>
    <col width="11" customWidth="1" min="253" max="253"/>
    <col width="11" customWidth="1" min="254" max="254"/>
    <col width="10" customWidth="1" min="255" max="255"/>
    <col width="11" customWidth="1" min="256" max="256"/>
    <col width="13" customWidth="1" min="257" max="257"/>
    <col width="12" customWidth="1" min="259" max="259"/>
    <col width="10" customWidth="1" min="260" max="260"/>
    <col width="10" customWidth="1" min="261" max="261"/>
    <col width="10" customWidth="1" min="262" max="262"/>
    <col width="10" customWidth="1" min="263" max="263"/>
    <col width="11" customWidth="1" min="264" max="264"/>
    <col width="11" customWidth="1" min="265" max="265"/>
    <col width="10" customWidth="1" min="266" max="266"/>
    <col width="10" customWidth="1" min="267" max="267"/>
    <col width="10" customWidth="1" min="268" max="268"/>
    <col width="10" customWidth="1" min="269" max="269"/>
    <col width="11" customWidth="1" min="270" max="270"/>
    <col width="11" customWidth="1" min="271" max="271"/>
    <col width="10" customWidth="1" min="272" max="272"/>
    <col width="11" customWidth="1" min="273" max="273"/>
    <col width="13" customWidth="1" min="274" max="274"/>
    <col width="12" customWidth="1" min="276" max="276"/>
    <col width="10" customWidth="1" min="277" max="277"/>
    <col width="10" customWidth="1" min="278" max="278"/>
    <col width="10" customWidth="1" min="279" max="279"/>
    <col width="10" customWidth="1" min="280" max="280"/>
    <col width="11" customWidth="1" min="281" max="281"/>
    <col width="11" customWidth="1" min="282" max="282"/>
    <col width="10" customWidth="1" min="283" max="283"/>
    <col width="10" customWidth="1" min="284" max="284"/>
    <col width="10" customWidth="1" min="285" max="285"/>
    <col width="10" customWidth="1" min="286" max="286"/>
    <col width="11" customWidth="1" min="287" max="287"/>
    <col width="11" customWidth="1" min="288" max="288"/>
    <col width="10" customWidth="1" min="289" max="289"/>
    <col width="11" customWidth="1" min="290" max="290"/>
    <col width="13" customWidth="1" min="291" max="291"/>
    <col width="12" customWidth="1" min="293" max="293"/>
    <col width="10" customWidth="1" min="294" max="294"/>
    <col width="10" customWidth="1" min="295" max="295"/>
    <col width="10" customWidth="1" min="296" max="296"/>
    <col width="10" customWidth="1" min="297" max="297"/>
    <col width="11" customWidth="1" min="298" max="298"/>
    <col width="11" customWidth="1" min="299" max="299"/>
    <col width="10" customWidth="1" min="300" max="300"/>
    <col width="10" customWidth="1" min="301" max="301"/>
    <col width="10" customWidth="1" min="302" max="302"/>
    <col width="10" customWidth="1" min="303" max="303"/>
    <col width="11" customWidth="1" min="304" max="304"/>
    <col width="11" customWidth="1" min="305" max="305"/>
    <col width="10" customWidth="1" min="306" max="306"/>
    <col width="11" customWidth="1" min="307" max="307"/>
    <col width="13" customWidth="1" min="308" max="308"/>
    <col width="12" customWidth="1" min="310" max="310"/>
    <col width="10" customWidth="1" min="311" max="311"/>
    <col width="10" customWidth="1" min="312" max="312"/>
    <col width="10" customWidth="1" min="313" max="313"/>
    <col width="10" customWidth="1" min="314" max="314"/>
    <col width="11" customWidth="1" min="315" max="315"/>
    <col width="11" customWidth="1" min="316" max="316"/>
    <col width="10" customWidth="1" min="317" max="317"/>
    <col width="10" customWidth="1" min="318" max="318"/>
    <col width="10" customWidth="1" min="319" max="319"/>
    <col width="10" customWidth="1" min="320" max="320"/>
    <col width="11" customWidth="1" min="321" max="321"/>
    <col width="11" customWidth="1" min="322" max="322"/>
    <col width="10" customWidth="1" min="323" max="323"/>
    <col width="11" customWidth="1" min="324" max="324"/>
    <col width="13" customWidth="1" min="325" max="325"/>
    <col width="12" customWidth="1" min="327" max="327"/>
    <col width="10" customWidth="1" min="328" max="328"/>
    <col width="10" customWidth="1" min="329" max="329"/>
    <col width="10" customWidth="1" min="330" max="330"/>
    <col width="10" customWidth="1" min="331" max="331"/>
    <col width="11" customWidth="1" min="332" max="332"/>
    <col width="11" customWidth="1" min="333" max="333"/>
    <col width="10" customWidth="1" min="334" max="334"/>
    <col width="10" customWidth="1" min="335" max="335"/>
    <col width="10" customWidth="1" min="336" max="336"/>
    <col width="10" customWidth="1" min="337" max="337"/>
    <col width="11" customWidth="1" min="338" max="338"/>
    <col width="11" customWidth="1" min="339" max="339"/>
    <col width="10" customWidth="1" min="340" max="340"/>
    <col width="11" customWidth="1" min="341" max="341"/>
    <col width="13" customWidth="1" min="342" max="342"/>
    <col width="12" customWidth="1" min="344" max="344"/>
    <col width="10" customWidth="1" min="345" max="345"/>
    <col width="10" customWidth="1" min="346" max="346"/>
    <col width="10" customWidth="1" min="347" max="347"/>
    <col width="10" customWidth="1" min="348" max="348"/>
    <col width="11" customWidth="1" min="349" max="349"/>
    <col width="11" customWidth="1" min="350" max="350"/>
    <col width="10" customWidth="1" min="351" max="351"/>
    <col width="10" customWidth="1" min="352" max="352"/>
    <col width="10" customWidth="1" min="353" max="353"/>
    <col width="10" customWidth="1" min="354" max="354"/>
    <col width="11" customWidth="1" min="355" max="355"/>
    <col width="11" customWidth="1" min="356" max="356"/>
    <col width="10" customWidth="1" min="357" max="357"/>
    <col width="11" customWidth="1" min="358" max="358"/>
    <col width="13" customWidth="1" min="359" max="359"/>
    <col width="12" customWidth="1" min="361" max="361"/>
    <col width="10" customWidth="1" min="362" max="362"/>
    <col width="10" customWidth="1" min="363" max="363"/>
    <col width="10" customWidth="1" min="364" max="364"/>
    <col width="10" customWidth="1" min="365" max="365"/>
    <col width="11" customWidth="1" min="366" max="366"/>
    <col width="11" customWidth="1" min="367" max="367"/>
    <col width="10" customWidth="1" min="368" max="368"/>
    <col width="10" customWidth="1" min="369" max="369"/>
    <col width="10" customWidth="1" min="370" max="370"/>
    <col width="10" customWidth="1" min="371" max="371"/>
    <col width="11" customWidth="1" min="372" max="372"/>
    <col width="11" customWidth="1" min="373" max="373"/>
    <col width="10" customWidth="1" min="374" max="374"/>
    <col width="11" customWidth="1" min="375" max="375"/>
    <col width="13" customWidth="1" min="376" max="376"/>
  </cols>
  <sheetData>
    <row r="1">
      <c r="A1" s="2" t="inlineStr">
        <is>
          <t>Month</t>
        </is>
      </c>
      <c r="B1" s="9" t="n">
        <v>7</v>
      </c>
      <c r="D1" s="2">
        <f>IF(ISNUMBER(B$7),"XLE US "&amp;TEXT(B$3,"mm/dd/yy")&amp;" C"&amp;(B$7-5*B$6)&amp;" Equity","")</f>
        <v/>
      </c>
      <c r="U1" s="2">
        <f>IF(ISNUMBER(B$7),"XLE US "&amp;TEXT(B$3,"mm/dd/yy")&amp;" P"&amp;(B$7-5*B$6)&amp;" Equity","")</f>
        <v/>
      </c>
      <c r="AL1" s="2">
        <f>IF(ISNUMBER(B$7),"XLE US "&amp;TEXT(B$3,"mm/dd/yy")&amp;" C"&amp;(B$7-4*B$6)&amp;" Equity","")</f>
        <v/>
      </c>
      <c r="BC1" s="2">
        <f>IF(ISNUMBER(B$7),"XLE US "&amp;TEXT(B$3,"mm/dd/yy")&amp;" P"&amp;(B$7-4*B$6)&amp;" Equity","")</f>
        <v/>
      </c>
      <c r="BT1" s="2">
        <f>IF(ISNUMBER(B$7),"XLE US "&amp;TEXT(B$3,"mm/dd/yy")&amp;" C"&amp;(B$7-3*B$6)&amp;" Equity","")</f>
        <v/>
      </c>
      <c r="CK1" s="2">
        <f>IF(ISNUMBER(B$7),"XLE US "&amp;TEXT(B$3,"mm/dd/yy")&amp;" P"&amp;(B$7-3*B$6)&amp;" Equity","")</f>
        <v/>
      </c>
      <c r="DB1" s="2">
        <f>IF(ISNUMBER(B$7),"XLE US "&amp;TEXT(B$3,"mm/dd/yy")&amp;" C"&amp;(B$7-2*B$6)&amp;" Equity","")</f>
        <v/>
      </c>
      <c r="DS1" s="2">
        <f>IF(ISNUMBER(B$7),"XLE US "&amp;TEXT(B$3,"mm/dd/yy")&amp;" P"&amp;(B$7-2*B$6)&amp;" Equity","")</f>
        <v/>
      </c>
      <c r="EJ1" s="2">
        <f>IF(ISNUMBER(B$7),"XLE US "&amp;TEXT(B$3,"mm/dd/yy")&amp;" C"&amp;(B$7-1*B$6)&amp;" Equity","")</f>
        <v/>
      </c>
      <c r="FA1" s="2">
        <f>IF(ISNUMBER(B$7),"XLE US "&amp;TEXT(B$3,"mm/dd/yy")&amp;" P"&amp;(B$7-1*B$6)&amp;" Equity","")</f>
        <v/>
      </c>
      <c r="FR1" s="2">
        <f>IF(ISNUMBER(B$7),"XLE US "&amp;TEXT(B$3,"mm/dd/yy")&amp;" C"&amp;B$7&amp;" Equity","")</f>
        <v/>
      </c>
      <c r="GI1" s="2">
        <f>IF(ISNUMBER(B$7),"XLE US "&amp;TEXT(B$3,"mm/dd/yy")&amp;" P"&amp;B$7&amp;" Equity","")</f>
        <v/>
      </c>
      <c r="GZ1" s="2">
        <f>IF(ISNUMBER(B$7),"XLE US "&amp;TEXT(B$3,"mm/dd/yy")&amp;" C"&amp;(B$7+1*B$6)&amp;" Equity","")</f>
        <v/>
      </c>
      <c r="HQ1" s="2">
        <f>IF(ISNUMBER(B$7),"XLE US "&amp;TEXT(B$3,"mm/dd/yy")&amp;" P"&amp;(B$7+1*B$6)&amp;" Equity","")</f>
        <v/>
      </c>
      <c r="IH1" s="2">
        <f>IF(ISNUMBER(B$7),"XLE US "&amp;TEXT(B$3,"mm/dd/yy")&amp;" C"&amp;(B$7+2*B$6)&amp;" Equity","")</f>
        <v/>
      </c>
      <c r="IY1" s="2">
        <f>IF(ISNUMBER(B$7),"XLE US "&amp;TEXT(B$3,"mm/dd/yy")&amp;" P"&amp;(B$7+2*B$6)&amp;" Equity","")</f>
        <v/>
      </c>
      <c r="JP1" s="2">
        <f>IF(ISNUMBER(B$7),"XLE US "&amp;TEXT(B$3,"mm/dd/yy")&amp;" C"&amp;(B$7+3*B$6)&amp;" Equity","")</f>
        <v/>
      </c>
      <c r="KG1" s="2">
        <f>IF(ISNUMBER(B$7),"XLE US "&amp;TEXT(B$3,"mm/dd/yy")&amp;" P"&amp;(B$7+3*B$6)&amp;" Equity","")</f>
        <v/>
      </c>
      <c r="KX1" s="2">
        <f>IF(ISNUMBER(B$7),"XLE US "&amp;TEXT(B$3,"mm/dd/yy")&amp;" C"&amp;(B$7+4*B$6)&amp;" Equity","")</f>
        <v/>
      </c>
      <c r="LO1" s="2">
        <f>IF(ISNUMBER(B$7),"XLE US "&amp;TEXT(B$3,"mm/dd/yy")&amp;" P"&amp;(B$7+4*B$6)&amp;" Equity","")</f>
        <v/>
      </c>
      <c r="MF1" s="2">
        <f>IF(ISNUMBER(B$7),"XLE US "&amp;TEXT(B$3,"mm/dd/yy")&amp;" C"&amp;(B$7+5*B$6)&amp;" Equity","")</f>
        <v/>
      </c>
      <c r="MW1" s="2">
        <f>IF(ISNUMBER(B$7),"XLE US "&amp;TEXT(B$3,"mm/dd/yy")&amp;" P"&amp;(B$7+5*B$6)&amp;" Equity","")</f>
        <v/>
      </c>
    </row>
    <row r="2">
      <c r="A2" s="2" t="inlineStr">
        <is>
          <t>Underlying</t>
        </is>
      </c>
      <c r="B2" s="4">
        <f>IF(Settings!$B$16="Y","XLE US Equity","")</f>
        <v/>
      </c>
      <c r="D2" s="4" t="inlineStr">
        <is>
          <t>call -5 from ATM</t>
        </is>
      </c>
      <c r="U2" s="4" t="inlineStr">
        <is>
          <t>put -5 from ATM</t>
        </is>
      </c>
      <c r="AL2" s="4" t="inlineStr">
        <is>
          <t>call -4 from ATM</t>
        </is>
      </c>
      <c r="BC2" s="4" t="inlineStr">
        <is>
          <t>put -4 from ATM</t>
        </is>
      </c>
      <c r="BT2" s="4" t="inlineStr">
        <is>
          <t>call -3 from ATM</t>
        </is>
      </c>
      <c r="CK2" s="4" t="inlineStr">
        <is>
          <t>put -3 from ATM</t>
        </is>
      </c>
      <c r="DB2" s="4" t="inlineStr">
        <is>
          <t>call -2 from ATM</t>
        </is>
      </c>
      <c r="DS2" s="4" t="inlineStr">
        <is>
          <t>put -2 from ATM</t>
        </is>
      </c>
      <c r="EJ2" s="4" t="inlineStr">
        <is>
          <t>call -1 from ATM</t>
        </is>
      </c>
      <c r="FA2" s="4" t="inlineStr">
        <is>
          <t>put -1 from ATM</t>
        </is>
      </c>
      <c r="FR2" s="4" t="inlineStr">
        <is>
          <t>call +0 from ATM</t>
        </is>
      </c>
      <c r="GI2" s="4" t="inlineStr">
        <is>
          <t>put +0 from ATM</t>
        </is>
      </c>
      <c r="GZ2" s="4" t="inlineStr">
        <is>
          <t>call +1 from ATM</t>
        </is>
      </c>
      <c r="HQ2" s="4" t="inlineStr">
        <is>
          <t>put +1 from ATM</t>
        </is>
      </c>
      <c r="IH2" s="4" t="inlineStr">
        <is>
          <t>call +2 from ATM</t>
        </is>
      </c>
      <c r="IY2" s="4" t="inlineStr">
        <is>
          <t>put +2 from ATM</t>
        </is>
      </c>
      <c r="JP2" s="4" t="inlineStr">
        <is>
          <t>call +3 from ATM</t>
        </is>
      </c>
      <c r="KG2" s="4" t="inlineStr">
        <is>
          <t>put +3 from ATM</t>
        </is>
      </c>
      <c r="KX2" s="4" t="inlineStr">
        <is>
          <t>call +4 from ATM</t>
        </is>
      </c>
      <c r="LO2" s="4" t="inlineStr">
        <is>
          <t>put +4 from ATM</t>
        </is>
      </c>
      <c r="MF2" s="4" t="inlineStr">
        <is>
          <t>call +5 from ATM</t>
        </is>
      </c>
      <c r="MW2" s="4" t="inlineStr">
        <is>
          <t>put +5 from ATM</t>
        </is>
      </c>
    </row>
    <row r="3">
      <c r="A3" s="2" t="inlineStr">
        <is>
          <t>Expiry (3rd Friday)</t>
        </is>
      </c>
      <c r="B3" s="3">
        <f>DATE(Settings!$E$16,B1,15)+MOD(6-WEEKDAY(DATE(Settings!$E$16,B1,15)),7)</f>
        <v/>
      </c>
      <c r="D3" s="5" t="inlineStr">
        <is>
          <t>Date</t>
        </is>
      </c>
      <c r="E3" s="5" t="inlineStr">
        <is>
          <t>PX_BID</t>
        </is>
      </c>
      <c r="F3" s="5" t="inlineStr">
        <is>
          <t>PX_ASK</t>
        </is>
      </c>
      <c r="G3" s="5" t="inlineStr">
        <is>
          <t>PX_MID</t>
        </is>
      </c>
      <c r="H3" s="5" t="inlineStr">
        <is>
          <t>PX_LAST</t>
        </is>
      </c>
      <c r="I3" s="5" t="inlineStr">
        <is>
          <t>PX_SETTLE</t>
        </is>
      </c>
      <c r="J3" s="5" t="inlineStr">
        <is>
          <t>PX_VOLUME</t>
        </is>
      </c>
      <c r="K3" s="5" t="inlineStr">
        <is>
          <t>OPEN_INT</t>
        </is>
      </c>
      <c r="L3" s="5" t="inlineStr">
        <is>
          <t>IVOL_MID</t>
        </is>
      </c>
      <c r="M3" s="5" t="inlineStr">
        <is>
          <t>IVOL_BID</t>
        </is>
      </c>
      <c r="N3" s="5" t="inlineStr">
        <is>
          <t>IVOL_ASK</t>
        </is>
      </c>
      <c r="O3" s="5" t="inlineStr">
        <is>
          <t>DELTA_MID</t>
        </is>
      </c>
      <c r="P3" s="5" t="inlineStr">
        <is>
          <t>GAMMA_MID</t>
        </is>
      </c>
      <c r="Q3" s="5" t="inlineStr">
        <is>
          <t>VEGA_MID</t>
        </is>
      </c>
      <c r="R3" s="5" t="inlineStr">
        <is>
          <t>THETA_MID</t>
        </is>
      </c>
      <c r="S3" s="5" t="inlineStr">
        <is>
          <t>OPT_UNDL_PX</t>
        </is>
      </c>
      <c r="U3" s="5" t="inlineStr">
        <is>
          <t>Date</t>
        </is>
      </c>
      <c r="V3" s="5" t="inlineStr">
        <is>
          <t>PX_BID</t>
        </is>
      </c>
      <c r="W3" s="5" t="inlineStr">
        <is>
          <t>PX_ASK</t>
        </is>
      </c>
      <c r="X3" s="5" t="inlineStr">
        <is>
          <t>PX_MID</t>
        </is>
      </c>
      <c r="Y3" s="5" t="inlineStr">
        <is>
          <t>PX_LAST</t>
        </is>
      </c>
      <c r="Z3" s="5" t="inlineStr">
        <is>
          <t>PX_SETTLE</t>
        </is>
      </c>
      <c r="AA3" s="5" t="inlineStr">
        <is>
          <t>PX_VOLUME</t>
        </is>
      </c>
      <c r="AB3" s="5" t="inlineStr">
        <is>
          <t>OPEN_INT</t>
        </is>
      </c>
      <c r="AC3" s="5" t="inlineStr">
        <is>
          <t>IVOL_MID</t>
        </is>
      </c>
      <c r="AD3" s="5" t="inlineStr">
        <is>
          <t>IVOL_BID</t>
        </is>
      </c>
      <c r="AE3" s="5" t="inlineStr">
        <is>
          <t>IVOL_ASK</t>
        </is>
      </c>
      <c r="AF3" s="5" t="inlineStr">
        <is>
          <t>DELTA_MID</t>
        </is>
      </c>
      <c r="AG3" s="5" t="inlineStr">
        <is>
          <t>GAMMA_MID</t>
        </is>
      </c>
      <c r="AH3" s="5" t="inlineStr">
        <is>
          <t>VEGA_MID</t>
        </is>
      </c>
      <c r="AI3" s="5" t="inlineStr">
        <is>
          <t>THETA_MID</t>
        </is>
      </c>
      <c r="AJ3" s="5" t="inlineStr">
        <is>
          <t>OPT_UNDL_PX</t>
        </is>
      </c>
      <c r="AL3" s="5" t="inlineStr">
        <is>
          <t>Date</t>
        </is>
      </c>
      <c r="AM3" s="5" t="inlineStr">
        <is>
          <t>PX_BID</t>
        </is>
      </c>
      <c r="AN3" s="5" t="inlineStr">
        <is>
          <t>PX_ASK</t>
        </is>
      </c>
      <c r="AO3" s="5" t="inlineStr">
        <is>
          <t>PX_MID</t>
        </is>
      </c>
      <c r="AP3" s="5" t="inlineStr">
        <is>
          <t>PX_LAST</t>
        </is>
      </c>
      <c r="AQ3" s="5" t="inlineStr">
        <is>
          <t>PX_SETTLE</t>
        </is>
      </c>
      <c r="AR3" s="5" t="inlineStr">
        <is>
          <t>PX_VOLUME</t>
        </is>
      </c>
      <c r="AS3" s="5" t="inlineStr">
        <is>
          <t>OPEN_INT</t>
        </is>
      </c>
      <c r="AT3" s="5" t="inlineStr">
        <is>
          <t>IVOL_MID</t>
        </is>
      </c>
      <c r="AU3" s="5" t="inlineStr">
        <is>
          <t>IVOL_BID</t>
        </is>
      </c>
      <c r="AV3" s="5" t="inlineStr">
        <is>
          <t>IVOL_ASK</t>
        </is>
      </c>
      <c r="AW3" s="5" t="inlineStr">
        <is>
          <t>DELTA_MID</t>
        </is>
      </c>
      <c r="AX3" s="5" t="inlineStr">
        <is>
          <t>GAMMA_MID</t>
        </is>
      </c>
      <c r="AY3" s="5" t="inlineStr">
        <is>
          <t>VEGA_MID</t>
        </is>
      </c>
      <c r="AZ3" s="5" t="inlineStr">
        <is>
          <t>THETA_MID</t>
        </is>
      </c>
      <c r="BA3" s="5" t="inlineStr">
        <is>
          <t>OPT_UNDL_PX</t>
        </is>
      </c>
      <c r="BC3" s="5" t="inlineStr">
        <is>
          <t>Date</t>
        </is>
      </c>
      <c r="BD3" s="5" t="inlineStr">
        <is>
          <t>PX_BID</t>
        </is>
      </c>
      <c r="BE3" s="5" t="inlineStr">
        <is>
          <t>PX_ASK</t>
        </is>
      </c>
      <c r="BF3" s="5" t="inlineStr">
        <is>
          <t>PX_MID</t>
        </is>
      </c>
      <c r="BG3" s="5" t="inlineStr">
        <is>
          <t>PX_LAST</t>
        </is>
      </c>
      <c r="BH3" s="5" t="inlineStr">
        <is>
          <t>PX_SETTLE</t>
        </is>
      </c>
      <c r="BI3" s="5" t="inlineStr">
        <is>
          <t>PX_VOLUME</t>
        </is>
      </c>
      <c r="BJ3" s="5" t="inlineStr">
        <is>
          <t>OPEN_INT</t>
        </is>
      </c>
      <c r="BK3" s="5" t="inlineStr">
        <is>
          <t>IVOL_MID</t>
        </is>
      </c>
      <c r="BL3" s="5" t="inlineStr">
        <is>
          <t>IVOL_BID</t>
        </is>
      </c>
      <c r="BM3" s="5" t="inlineStr">
        <is>
          <t>IVOL_ASK</t>
        </is>
      </c>
      <c r="BN3" s="5" t="inlineStr">
        <is>
          <t>DELTA_MID</t>
        </is>
      </c>
      <c r="BO3" s="5" t="inlineStr">
        <is>
          <t>GAMMA_MID</t>
        </is>
      </c>
      <c r="BP3" s="5" t="inlineStr">
        <is>
          <t>VEGA_MID</t>
        </is>
      </c>
      <c r="BQ3" s="5" t="inlineStr">
        <is>
          <t>THETA_MID</t>
        </is>
      </c>
      <c r="BR3" s="5" t="inlineStr">
        <is>
          <t>OPT_UNDL_PX</t>
        </is>
      </c>
      <c r="BT3" s="5" t="inlineStr">
        <is>
          <t>Date</t>
        </is>
      </c>
      <c r="BU3" s="5" t="inlineStr">
        <is>
          <t>PX_BID</t>
        </is>
      </c>
      <c r="BV3" s="5" t="inlineStr">
        <is>
          <t>PX_ASK</t>
        </is>
      </c>
      <c r="BW3" s="5" t="inlineStr">
        <is>
          <t>PX_MID</t>
        </is>
      </c>
      <c r="BX3" s="5" t="inlineStr">
        <is>
          <t>PX_LAST</t>
        </is>
      </c>
      <c r="BY3" s="5" t="inlineStr">
        <is>
          <t>PX_SETTLE</t>
        </is>
      </c>
      <c r="BZ3" s="5" t="inlineStr">
        <is>
          <t>PX_VOLUME</t>
        </is>
      </c>
      <c r="CA3" s="5" t="inlineStr">
        <is>
          <t>OPEN_INT</t>
        </is>
      </c>
      <c r="CB3" s="5" t="inlineStr">
        <is>
          <t>IVOL_MID</t>
        </is>
      </c>
      <c r="CC3" s="5" t="inlineStr">
        <is>
          <t>IVOL_BID</t>
        </is>
      </c>
      <c r="CD3" s="5" t="inlineStr">
        <is>
          <t>IVOL_ASK</t>
        </is>
      </c>
      <c r="CE3" s="5" t="inlineStr">
        <is>
          <t>DELTA_MID</t>
        </is>
      </c>
      <c r="CF3" s="5" t="inlineStr">
        <is>
          <t>GAMMA_MID</t>
        </is>
      </c>
      <c r="CG3" s="5" t="inlineStr">
        <is>
          <t>VEGA_MID</t>
        </is>
      </c>
      <c r="CH3" s="5" t="inlineStr">
        <is>
          <t>THETA_MID</t>
        </is>
      </c>
      <c r="CI3" s="5" t="inlineStr">
        <is>
          <t>OPT_UNDL_PX</t>
        </is>
      </c>
      <c r="CK3" s="5" t="inlineStr">
        <is>
          <t>Date</t>
        </is>
      </c>
      <c r="CL3" s="5" t="inlineStr">
        <is>
          <t>PX_BID</t>
        </is>
      </c>
      <c r="CM3" s="5" t="inlineStr">
        <is>
          <t>PX_ASK</t>
        </is>
      </c>
      <c r="CN3" s="5" t="inlineStr">
        <is>
          <t>PX_MID</t>
        </is>
      </c>
      <c r="CO3" s="5" t="inlineStr">
        <is>
          <t>PX_LAST</t>
        </is>
      </c>
      <c r="CP3" s="5" t="inlineStr">
        <is>
          <t>PX_SETTLE</t>
        </is>
      </c>
      <c r="CQ3" s="5" t="inlineStr">
        <is>
          <t>PX_VOLUME</t>
        </is>
      </c>
      <c r="CR3" s="5" t="inlineStr">
        <is>
          <t>OPEN_INT</t>
        </is>
      </c>
      <c r="CS3" s="5" t="inlineStr">
        <is>
          <t>IVOL_MID</t>
        </is>
      </c>
      <c r="CT3" s="5" t="inlineStr">
        <is>
          <t>IVOL_BID</t>
        </is>
      </c>
      <c r="CU3" s="5" t="inlineStr">
        <is>
          <t>IVOL_ASK</t>
        </is>
      </c>
      <c r="CV3" s="5" t="inlineStr">
        <is>
          <t>DELTA_MID</t>
        </is>
      </c>
      <c r="CW3" s="5" t="inlineStr">
        <is>
          <t>GAMMA_MID</t>
        </is>
      </c>
      <c r="CX3" s="5" t="inlineStr">
        <is>
          <t>VEGA_MID</t>
        </is>
      </c>
      <c r="CY3" s="5" t="inlineStr">
        <is>
          <t>THETA_MID</t>
        </is>
      </c>
      <c r="CZ3" s="5" t="inlineStr">
        <is>
          <t>OPT_UNDL_PX</t>
        </is>
      </c>
      <c r="DB3" s="5" t="inlineStr">
        <is>
          <t>Date</t>
        </is>
      </c>
      <c r="DC3" s="5" t="inlineStr">
        <is>
          <t>PX_BID</t>
        </is>
      </c>
      <c r="DD3" s="5" t="inlineStr">
        <is>
          <t>PX_ASK</t>
        </is>
      </c>
      <c r="DE3" s="5" t="inlineStr">
        <is>
          <t>PX_MID</t>
        </is>
      </c>
      <c r="DF3" s="5" t="inlineStr">
        <is>
          <t>PX_LAST</t>
        </is>
      </c>
      <c r="DG3" s="5" t="inlineStr">
        <is>
          <t>PX_SETTLE</t>
        </is>
      </c>
      <c r="DH3" s="5" t="inlineStr">
        <is>
          <t>PX_VOLUME</t>
        </is>
      </c>
      <c r="DI3" s="5" t="inlineStr">
        <is>
          <t>OPEN_INT</t>
        </is>
      </c>
      <c r="DJ3" s="5" t="inlineStr">
        <is>
          <t>IVOL_MID</t>
        </is>
      </c>
      <c r="DK3" s="5" t="inlineStr">
        <is>
          <t>IVOL_BID</t>
        </is>
      </c>
      <c r="DL3" s="5" t="inlineStr">
        <is>
          <t>IVOL_ASK</t>
        </is>
      </c>
      <c r="DM3" s="5" t="inlineStr">
        <is>
          <t>DELTA_MID</t>
        </is>
      </c>
      <c r="DN3" s="5" t="inlineStr">
        <is>
          <t>GAMMA_MID</t>
        </is>
      </c>
      <c r="DO3" s="5" t="inlineStr">
        <is>
          <t>VEGA_MID</t>
        </is>
      </c>
      <c r="DP3" s="5" t="inlineStr">
        <is>
          <t>THETA_MID</t>
        </is>
      </c>
      <c r="DQ3" s="5" t="inlineStr">
        <is>
          <t>OPT_UNDL_PX</t>
        </is>
      </c>
      <c r="DS3" s="5" t="inlineStr">
        <is>
          <t>Date</t>
        </is>
      </c>
      <c r="DT3" s="5" t="inlineStr">
        <is>
          <t>PX_BID</t>
        </is>
      </c>
      <c r="DU3" s="5" t="inlineStr">
        <is>
          <t>PX_ASK</t>
        </is>
      </c>
      <c r="DV3" s="5" t="inlineStr">
        <is>
          <t>PX_MID</t>
        </is>
      </c>
      <c r="DW3" s="5" t="inlineStr">
        <is>
          <t>PX_LAST</t>
        </is>
      </c>
      <c r="DX3" s="5" t="inlineStr">
        <is>
          <t>PX_SETTLE</t>
        </is>
      </c>
      <c r="DY3" s="5" t="inlineStr">
        <is>
          <t>PX_VOLUME</t>
        </is>
      </c>
      <c r="DZ3" s="5" t="inlineStr">
        <is>
          <t>OPEN_INT</t>
        </is>
      </c>
      <c r="EA3" s="5" t="inlineStr">
        <is>
          <t>IVOL_MID</t>
        </is>
      </c>
      <c r="EB3" s="5" t="inlineStr">
        <is>
          <t>IVOL_BID</t>
        </is>
      </c>
      <c r="EC3" s="5" t="inlineStr">
        <is>
          <t>IVOL_ASK</t>
        </is>
      </c>
      <c r="ED3" s="5" t="inlineStr">
        <is>
          <t>DELTA_MID</t>
        </is>
      </c>
      <c r="EE3" s="5" t="inlineStr">
        <is>
          <t>GAMMA_MID</t>
        </is>
      </c>
      <c r="EF3" s="5" t="inlineStr">
        <is>
          <t>VEGA_MID</t>
        </is>
      </c>
      <c r="EG3" s="5" t="inlineStr">
        <is>
          <t>THETA_MID</t>
        </is>
      </c>
      <c r="EH3" s="5" t="inlineStr">
        <is>
          <t>OPT_UNDL_PX</t>
        </is>
      </c>
      <c r="EJ3" s="5" t="inlineStr">
        <is>
          <t>Date</t>
        </is>
      </c>
      <c r="EK3" s="5" t="inlineStr">
        <is>
          <t>PX_BID</t>
        </is>
      </c>
      <c r="EL3" s="5" t="inlineStr">
        <is>
          <t>PX_ASK</t>
        </is>
      </c>
      <c r="EM3" s="5" t="inlineStr">
        <is>
          <t>PX_MID</t>
        </is>
      </c>
      <c r="EN3" s="5" t="inlineStr">
        <is>
          <t>PX_LAST</t>
        </is>
      </c>
      <c r="EO3" s="5" t="inlineStr">
        <is>
          <t>PX_SETTLE</t>
        </is>
      </c>
      <c r="EP3" s="5" t="inlineStr">
        <is>
          <t>PX_VOLUME</t>
        </is>
      </c>
      <c r="EQ3" s="5" t="inlineStr">
        <is>
          <t>OPEN_INT</t>
        </is>
      </c>
      <c r="ER3" s="5" t="inlineStr">
        <is>
          <t>IVOL_MID</t>
        </is>
      </c>
      <c r="ES3" s="5" t="inlineStr">
        <is>
          <t>IVOL_BID</t>
        </is>
      </c>
      <c r="ET3" s="5" t="inlineStr">
        <is>
          <t>IVOL_ASK</t>
        </is>
      </c>
      <c r="EU3" s="5" t="inlineStr">
        <is>
          <t>DELTA_MID</t>
        </is>
      </c>
      <c r="EV3" s="5" t="inlineStr">
        <is>
          <t>GAMMA_MID</t>
        </is>
      </c>
      <c r="EW3" s="5" t="inlineStr">
        <is>
          <t>VEGA_MID</t>
        </is>
      </c>
      <c r="EX3" s="5" t="inlineStr">
        <is>
          <t>THETA_MID</t>
        </is>
      </c>
      <c r="EY3" s="5" t="inlineStr">
        <is>
          <t>OPT_UNDL_PX</t>
        </is>
      </c>
      <c r="FA3" s="5" t="inlineStr">
        <is>
          <t>Date</t>
        </is>
      </c>
      <c r="FB3" s="5" t="inlineStr">
        <is>
          <t>PX_BID</t>
        </is>
      </c>
      <c r="FC3" s="5" t="inlineStr">
        <is>
          <t>PX_ASK</t>
        </is>
      </c>
      <c r="FD3" s="5" t="inlineStr">
        <is>
          <t>PX_MID</t>
        </is>
      </c>
      <c r="FE3" s="5" t="inlineStr">
        <is>
          <t>PX_LAST</t>
        </is>
      </c>
      <c r="FF3" s="5" t="inlineStr">
        <is>
          <t>PX_SETTLE</t>
        </is>
      </c>
      <c r="FG3" s="5" t="inlineStr">
        <is>
          <t>PX_VOLUME</t>
        </is>
      </c>
      <c r="FH3" s="5" t="inlineStr">
        <is>
          <t>OPEN_INT</t>
        </is>
      </c>
      <c r="FI3" s="5" t="inlineStr">
        <is>
          <t>IVOL_MID</t>
        </is>
      </c>
      <c r="FJ3" s="5" t="inlineStr">
        <is>
          <t>IVOL_BID</t>
        </is>
      </c>
      <c r="FK3" s="5" t="inlineStr">
        <is>
          <t>IVOL_ASK</t>
        </is>
      </c>
      <c r="FL3" s="5" t="inlineStr">
        <is>
          <t>DELTA_MID</t>
        </is>
      </c>
      <c r="FM3" s="5" t="inlineStr">
        <is>
          <t>GAMMA_MID</t>
        </is>
      </c>
      <c r="FN3" s="5" t="inlineStr">
        <is>
          <t>VEGA_MID</t>
        </is>
      </c>
      <c r="FO3" s="5" t="inlineStr">
        <is>
          <t>THETA_MID</t>
        </is>
      </c>
      <c r="FP3" s="5" t="inlineStr">
        <is>
          <t>OPT_UNDL_PX</t>
        </is>
      </c>
      <c r="FR3" s="5" t="inlineStr">
        <is>
          <t>Date</t>
        </is>
      </c>
      <c r="FS3" s="5" t="inlineStr">
        <is>
          <t>PX_BID</t>
        </is>
      </c>
      <c r="FT3" s="5" t="inlineStr">
        <is>
          <t>PX_ASK</t>
        </is>
      </c>
      <c r="FU3" s="5" t="inlineStr">
        <is>
          <t>PX_MID</t>
        </is>
      </c>
      <c r="FV3" s="5" t="inlineStr">
        <is>
          <t>PX_LAST</t>
        </is>
      </c>
      <c r="FW3" s="5" t="inlineStr">
        <is>
          <t>PX_SETTLE</t>
        </is>
      </c>
      <c r="FX3" s="5" t="inlineStr">
        <is>
          <t>PX_VOLUME</t>
        </is>
      </c>
      <c r="FY3" s="5" t="inlineStr">
        <is>
          <t>OPEN_INT</t>
        </is>
      </c>
      <c r="FZ3" s="5" t="inlineStr">
        <is>
          <t>IVOL_MID</t>
        </is>
      </c>
      <c r="GA3" s="5" t="inlineStr">
        <is>
          <t>IVOL_BID</t>
        </is>
      </c>
      <c r="GB3" s="5" t="inlineStr">
        <is>
          <t>IVOL_ASK</t>
        </is>
      </c>
      <c r="GC3" s="5" t="inlineStr">
        <is>
          <t>DELTA_MID</t>
        </is>
      </c>
      <c r="GD3" s="5" t="inlineStr">
        <is>
          <t>GAMMA_MID</t>
        </is>
      </c>
      <c r="GE3" s="5" t="inlineStr">
        <is>
          <t>VEGA_MID</t>
        </is>
      </c>
      <c r="GF3" s="5" t="inlineStr">
        <is>
          <t>THETA_MID</t>
        </is>
      </c>
      <c r="GG3" s="5" t="inlineStr">
        <is>
          <t>OPT_UNDL_PX</t>
        </is>
      </c>
      <c r="GI3" s="5" t="inlineStr">
        <is>
          <t>Date</t>
        </is>
      </c>
      <c r="GJ3" s="5" t="inlineStr">
        <is>
          <t>PX_BID</t>
        </is>
      </c>
      <c r="GK3" s="5" t="inlineStr">
        <is>
          <t>PX_ASK</t>
        </is>
      </c>
      <c r="GL3" s="5" t="inlineStr">
        <is>
          <t>PX_MID</t>
        </is>
      </c>
      <c r="GM3" s="5" t="inlineStr">
        <is>
          <t>PX_LAST</t>
        </is>
      </c>
      <c r="GN3" s="5" t="inlineStr">
        <is>
          <t>PX_SETTLE</t>
        </is>
      </c>
      <c r="GO3" s="5" t="inlineStr">
        <is>
          <t>PX_VOLUME</t>
        </is>
      </c>
      <c r="GP3" s="5" t="inlineStr">
        <is>
          <t>OPEN_INT</t>
        </is>
      </c>
      <c r="GQ3" s="5" t="inlineStr">
        <is>
          <t>IVOL_MID</t>
        </is>
      </c>
      <c r="GR3" s="5" t="inlineStr">
        <is>
          <t>IVOL_BID</t>
        </is>
      </c>
      <c r="GS3" s="5" t="inlineStr">
        <is>
          <t>IVOL_ASK</t>
        </is>
      </c>
      <c r="GT3" s="5" t="inlineStr">
        <is>
          <t>DELTA_MID</t>
        </is>
      </c>
      <c r="GU3" s="5" t="inlineStr">
        <is>
          <t>GAMMA_MID</t>
        </is>
      </c>
      <c r="GV3" s="5" t="inlineStr">
        <is>
          <t>VEGA_MID</t>
        </is>
      </c>
      <c r="GW3" s="5" t="inlineStr">
        <is>
          <t>THETA_MID</t>
        </is>
      </c>
      <c r="GX3" s="5" t="inlineStr">
        <is>
          <t>OPT_UNDL_PX</t>
        </is>
      </c>
      <c r="GZ3" s="5" t="inlineStr">
        <is>
          <t>Date</t>
        </is>
      </c>
      <c r="HA3" s="5" t="inlineStr">
        <is>
          <t>PX_BID</t>
        </is>
      </c>
      <c r="HB3" s="5" t="inlineStr">
        <is>
          <t>PX_ASK</t>
        </is>
      </c>
      <c r="HC3" s="5" t="inlineStr">
        <is>
          <t>PX_MID</t>
        </is>
      </c>
      <c r="HD3" s="5" t="inlineStr">
        <is>
          <t>PX_LAST</t>
        </is>
      </c>
      <c r="HE3" s="5" t="inlineStr">
        <is>
          <t>PX_SETTLE</t>
        </is>
      </c>
      <c r="HF3" s="5" t="inlineStr">
        <is>
          <t>PX_VOLUME</t>
        </is>
      </c>
      <c r="HG3" s="5" t="inlineStr">
        <is>
          <t>OPEN_INT</t>
        </is>
      </c>
      <c r="HH3" s="5" t="inlineStr">
        <is>
          <t>IVOL_MID</t>
        </is>
      </c>
      <c r="HI3" s="5" t="inlineStr">
        <is>
          <t>IVOL_BID</t>
        </is>
      </c>
      <c r="HJ3" s="5" t="inlineStr">
        <is>
          <t>IVOL_ASK</t>
        </is>
      </c>
      <c r="HK3" s="5" t="inlineStr">
        <is>
          <t>DELTA_MID</t>
        </is>
      </c>
      <c r="HL3" s="5" t="inlineStr">
        <is>
          <t>GAMMA_MID</t>
        </is>
      </c>
      <c r="HM3" s="5" t="inlineStr">
        <is>
          <t>VEGA_MID</t>
        </is>
      </c>
      <c r="HN3" s="5" t="inlineStr">
        <is>
          <t>THETA_MID</t>
        </is>
      </c>
      <c r="HO3" s="5" t="inlineStr">
        <is>
          <t>OPT_UNDL_PX</t>
        </is>
      </c>
      <c r="HQ3" s="5" t="inlineStr">
        <is>
          <t>Date</t>
        </is>
      </c>
      <c r="HR3" s="5" t="inlineStr">
        <is>
          <t>PX_BID</t>
        </is>
      </c>
      <c r="HS3" s="5" t="inlineStr">
        <is>
          <t>PX_ASK</t>
        </is>
      </c>
      <c r="HT3" s="5" t="inlineStr">
        <is>
          <t>PX_MID</t>
        </is>
      </c>
      <c r="HU3" s="5" t="inlineStr">
        <is>
          <t>PX_LAST</t>
        </is>
      </c>
      <c r="HV3" s="5" t="inlineStr">
        <is>
          <t>PX_SETTLE</t>
        </is>
      </c>
      <c r="HW3" s="5" t="inlineStr">
        <is>
          <t>PX_VOLUME</t>
        </is>
      </c>
      <c r="HX3" s="5" t="inlineStr">
        <is>
          <t>OPEN_INT</t>
        </is>
      </c>
      <c r="HY3" s="5" t="inlineStr">
        <is>
          <t>IVOL_MID</t>
        </is>
      </c>
      <c r="HZ3" s="5" t="inlineStr">
        <is>
          <t>IVOL_BID</t>
        </is>
      </c>
      <c r="IA3" s="5" t="inlineStr">
        <is>
          <t>IVOL_ASK</t>
        </is>
      </c>
      <c r="IB3" s="5" t="inlineStr">
        <is>
          <t>DELTA_MID</t>
        </is>
      </c>
      <c r="IC3" s="5" t="inlineStr">
        <is>
          <t>GAMMA_MID</t>
        </is>
      </c>
      <c r="ID3" s="5" t="inlineStr">
        <is>
          <t>VEGA_MID</t>
        </is>
      </c>
      <c r="IE3" s="5" t="inlineStr">
        <is>
          <t>THETA_MID</t>
        </is>
      </c>
      <c r="IF3" s="5" t="inlineStr">
        <is>
          <t>OPT_UNDL_PX</t>
        </is>
      </c>
      <c r="IH3" s="5" t="inlineStr">
        <is>
          <t>Date</t>
        </is>
      </c>
      <c r="II3" s="5" t="inlineStr">
        <is>
          <t>PX_BID</t>
        </is>
      </c>
      <c r="IJ3" s="5" t="inlineStr">
        <is>
          <t>PX_ASK</t>
        </is>
      </c>
      <c r="IK3" s="5" t="inlineStr">
        <is>
          <t>PX_MID</t>
        </is>
      </c>
      <c r="IL3" s="5" t="inlineStr">
        <is>
          <t>PX_LAST</t>
        </is>
      </c>
      <c r="IM3" s="5" t="inlineStr">
        <is>
          <t>PX_SETTLE</t>
        </is>
      </c>
      <c r="IN3" s="5" t="inlineStr">
        <is>
          <t>PX_VOLUME</t>
        </is>
      </c>
      <c r="IO3" s="5" t="inlineStr">
        <is>
          <t>OPEN_INT</t>
        </is>
      </c>
      <c r="IP3" s="5" t="inlineStr">
        <is>
          <t>IVOL_MID</t>
        </is>
      </c>
      <c r="IQ3" s="5" t="inlineStr">
        <is>
          <t>IVOL_BID</t>
        </is>
      </c>
      <c r="IR3" s="5" t="inlineStr">
        <is>
          <t>IVOL_ASK</t>
        </is>
      </c>
      <c r="IS3" s="5" t="inlineStr">
        <is>
          <t>DELTA_MID</t>
        </is>
      </c>
      <c r="IT3" s="5" t="inlineStr">
        <is>
          <t>GAMMA_MID</t>
        </is>
      </c>
      <c r="IU3" s="5" t="inlineStr">
        <is>
          <t>VEGA_MID</t>
        </is>
      </c>
      <c r="IV3" s="5" t="inlineStr">
        <is>
          <t>THETA_MID</t>
        </is>
      </c>
      <c r="IW3" s="5" t="inlineStr">
        <is>
          <t>OPT_UNDL_PX</t>
        </is>
      </c>
      <c r="IY3" s="5" t="inlineStr">
        <is>
          <t>Date</t>
        </is>
      </c>
      <c r="IZ3" s="5" t="inlineStr">
        <is>
          <t>PX_BID</t>
        </is>
      </c>
      <c r="JA3" s="5" t="inlineStr">
        <is>
          <t>PX_ASK</t>
        </is>
      </c>
      <c r="JB3" s="5" t="inlineStr">
        <is>
          <t>PX_MID</t>
        </is>
      </c>
      <c r="JC3" s="5" t="inlineStr">
        <is>
          <t>PX_LAST</t>
        </is>
      </c>
      <c r="JD3" s="5" t="inlineStr">
        <is>
          <t>PX_SETTLE</t>
        </is>
      </c>
      <c r="JE3" s="5" t="inlineStr">
        <is>
          <t>PX_VOLUME</t>
        </is>
      </c>
      <c r="JF3" s="5" t="inlineStr">
        <is>
          <t>OPEN_INT</t>
        </is>
      </c>
      <c r="JG3" s="5" t="inlineStr">
        <is>
          <t>IVOL_MID</t>
        </is>
      </c>
      <c r="JH3" s="5" t="inlineStr">
        <is>
          <t>IVOL_BID</t>
        </is>
      </c>
      <c r="JI3" s="5" t="inlineStr">
        <is>
          <t>IVOL_ASK</t>
        </is>
      </c>
      <c r="JJ3" s="5" t="inlineStr">
        <is>
          <t>DELTA_MID</t>
        </is>
      </c>
      <c r="JK3" s="5" t="inlineStr">
        <is>
          <t>GAMMA_MID</t>
        </is>
      </c>
      <c r="JL3" s="5" t="inlineStr">
        <is>
          <t>VEGA_MID</t>
        </is>
      </c>
      <c r="JM3" s="5" t="inlineStr">
        <is>
          <t>THETA_MID</t>
        </is>
      </c>
      <c r="JN3" s="5" t="inlineStr">
        <is>
          <t>OPT_UNDL_PX</t>
        </is>
      </c>
      <c r="JP3" s="5" t="inlineStr">
        <is>
          <t>Date</t>
        </is>
      </c>
      <c r="JQ3" s="5" t="inlineStr">
        <is>
          <t>PX_BID</t>
        </is>
      </c>
      <c r="JR3" s="5" t="inlineStr">
        <is>
          <t>PX_ASK</t>
        </is>
      </c>
      <c r="JS3" s="5" t="inlineStr">
        <is>
          <t>PX_MID</t>
        </is>
      </c>
      <c r="JT3" s="5" t="inlineStr">
        <is>
          <t>PX_LAST</t>
        </is>
      </c>
      <c r="JU3" s="5" t="inlineStr">
        <is>
          <t>PX_SETTLE</t>
        </is>
      </c>
      <c r="JV3" s="5" t="inlineStr">
        <is>
          <t>PX_VOLUME</t>
        </is>
      </c>
      <c r="JW3" s="5" t="inlineStr">
        <is>
          <t>OPEN_INT</t>
        </is>
      </c>
      <c r="JX3" s="5" t="inlineStr">
        <is>
          <t>IVOL_MID</t>
        </is>
      </c>
      <c r="JY3" s="5" t="inlineStr">
        <is>
          <t>IVOL_BID</t>
        </is>
      </c>
      <c r="JZ3" s="5" t="inlineStr">
        <is>
          <t>IVOL_ASK</t>
        </is>
      </c>
      <c r="KA3" s="5" t="inlineStr">
        <is>
          <t>DELTA_MID</t>
        </is>
      </c>
      <c r="KB3" s="5" t="inlineStr">
        <is>
          <t>GAMMA_MID</t>
        </is>
      </c>
      <c r="KC3" s="5" t="inlineStr">
        <is>
          <t>VEGA_MID</t>
        </is>
      </c>
      <c r="KD3" s="5" t="inlineStr">
        <is>
          <t>THETA_MID</t>
        </is>
      </c>
      <c r="KE3" s="5" t="inlineStr">
        <is>
          <t>OPT_UNDL_PX</t>
        </is>
      </c>
      <c r="KG3" s="5" t="inlineStr">
        <is>
          <t>Date</t>
        </is>
      </c>
      <c r="KH3" s="5" t="inlineStr">
        <is>
          <t>PX_BID</t>
        </is>
      </c>
      <c r="KI3" s="5" t="inlineStr">
        <is>
          <t>PX_ASK</t>
        </is>
      </c>
      <c r="KJ3" s="5" t="inlineStr">
        <is>
          <t>PX_MID</t>
        </is>
      </c>
      <c r="KK3" s="5" t="inlineStr">
        <is>
          <t>PX_LAST</t>
        </is>
      </c>
      <c r="KL3" s="5" t="inlineStr">
        <is>
          <t>PX_SETTLE</t>
        </is>
      </c>
      <c r="KM3" s="5" t="inlineStr">
        <is>
          <t>PX_VOLUME</t>
        </is>
      </c>
      <c r="KN3" s="5" t="inlineStr">
        <is>
          <t>OPEN_INT</t>
        </is>
      </c>
      <c r="KO3" s="5" t="inlineStr">
        <is>
          <t>IVOL_MID</t>
        </is>
      </c>
      <c r="KP3" s="5" t="inlineStr">
        <is>
          <t>IVOL_BID</t>
        </is>
      </c>
      <c r="KQ3" s="5" t="inlineStr">
        <is>
          <t>IVOL_ASK</t>
        </is>
      </c>
      <c r="KR3" s="5" t="inlineStr">
        <is>
          <t>DELTA_MID</t>
        </is>
      </c>
      <c r="KS3" s="5" t="inlineStr">
        <is>
          <t>GAMMA_MID</t>
        </is>
      </c>
      <c r="KT3" s="5" t="inlineStr">
        <is>
          <t>VEGA_MID</t>
        </is>
      </c>
      <c r="KU3" s="5" t="inlineStr">
        <is>
          <t>THETA_MID</t>
        </is>
      </c>
      <c r="KV3" s="5" t="inlineStr">
        <is>
          <t>OPT_UNDL_PX</t>
        </is>
      </c>
      <c r="KX3" s="5" t="inlineStr">
        <is>
          <t>Date</t>
        </is>
      </c>
      <c r="KY3" s="5" t="inlineStr">
        <is>
          <t>PX_BID</t>
        </is>
      </c>
      <c r="KZ3" s="5" t="inlineStr">
        <is>
          <t>PX_ASK</t>
        </is>
      </c>
      <c r="LA3" s="5" t="inlineStr">
        <is>
          <t>PX_MID</t>
        </is>
      </c>
      <c r="LB3" s="5" t="inlineStr">
        <is>
          <t>PX_LAST</t>
        </is>
      </c>
      <c r="LC3" s="5" t="inlineStr">
        <is>
          <t>PX_SETTLE</t>
        </is>
      </c>
      <c r="LD3" s="5" t="inlineStr">
        <is>
          <t>PX_VOLUME</t>
        </is>
      </c>
      <c r="LE3" s="5" t="inlineStr">
        <is>
          <t>OPEN_INT</t>
        </is>
      </c>
      <c r="LF3" s="5" t="inlineStr">
        <is>
          <t>IVOL_MID</t>
        </is>
      </c>
      <c r="LG3" s="5" t="inlineStr">
        <is>
          <t>IVOL_BID</t>
        </is>
      </c>
      <c r="LH3" s="5" t="inlineStr">
        <is>
          <t>IVOL_ASK</t>
        </is>
      </c>
      <c r="LI3" s="5" t="inlineStr">
        <is>
          <t>DELTA_MID</t>
        </is>
      </c>
      <c r="LJ3" s="5" t="inlineStr">
        <is>
          <t>GAMMA_MID</t>
        </is>
      </c>
      <c r="LK3" s="5" t="inlineStr">
        <is>
          <t>VEGA_MID</t>
        </is>
      </c>
      <c r="LL3" s="5" t="inlineStr">
        <is>
          <t>THETA_MID</t>
        </is>
      </c>
      <c r="LM3" s="5" t="inlineStr">
        <is>
          <t>OPT_UNDL_PX</t>
        </is>
      </c>
      <c r="LO3" s="5" t="inlineStr">
        <is>
          <t>Date</t>
        </is>
      </c>
      <c r="LP3" s="5" t="inlineStr">
        <is>
          <t>PX_BID</t>
        </is>
      </c>
      <c r="LQ3" s="5" t="inlineStr">
        <is>
          <t>PX_ASK</t>
        </is>
      </c>
      <c r="LR3" s="5" t="inlineStr">
        <is>
          <t>PX_MID</t>
        </is>
      </c>
      <c r="LS3" s="5" t="inlineStr">
        <is>
          <t>PX_LAST</t>
        </is>
      </c>
      <c r="LT3" s="5" t="inlineStr">
        <is>
          <t>PX_SETTLE</t>
        </is>
      </c>
      <c r="LU3" s="5" t="inlineStr">
        <is>
          <t>PX_VOLUME</t>
        </is>
      </c>
      <c r="LV3" s="5" t="inlineStr">
        <is>
          <t>OPEN_INT</t>
        </is>
      </c>
      <c r="LW3" s="5" t="inlineStr">
        <is>
          <t>IVOL_MID</t>
        </is>
      </c>
      <c r="LX3" s="5" t="inlineStr">
        <is>
          <t>IVOL_BID</t>
        </is>
      </c>
      <c r="LY3" s="5" t="inlineStr">
        <is>
          <t>IVOL_ASK</t>
        </is>
      </c>
      <c r="LZ3" s="5" t="inlineStr">
        <is>
          <t>DELTA_MID</t>
        </is>
      </c>
      <c r="MA3" s="5" t="inlineStr">
        <is>
          <t>GAMMA_MID</t>
        </is>
      </c>
      <c r="MB3" s="5" t="inlineStr">
        <is>
          <t>VEGA_MID</t>
        </is>
      </c>
      <c r="MC3" s="5" t="inlineStr">
        <is>
          <t>THETA_MID</t>
        </is>
      </c>
      <c r="MD3" s="5" t="inlineStr">
        <is>
          <t>OPT_UNDL_PX</t>
        </is>
      </c>
      <c r="MF3" s="5" t="inlineStr">
        <is>
          <t>Date</t>
        </is>
      </c>
      <c r="MG3" s="5" t="inlineStr">
        <is>
          <t>PX_BID</t>
        </is>
      </c>
      <c r="MH3" s="5" t="inlineStr">
        <is>
          <t>PX_ASK</t>
        </is>
      </c>
      <c r="MI3" s="5" t="inlineStr">
        <is>
          <t>PX_MID</t>
        </is>
      </c>
      <c r="MJ3" s="5" t="inlineStr">
        <is>
          <t>PX_LAST</t>
        </is>
      </c>
      <c r="MK3" s="5" t="inlineStr">
        <is>
          <t>PX_SETTLE</t>
        </is>
      </c>
      <c r="ML3" s="5" t="inlineStr">
        <is>
          <t>PX_VOLUME</t>
        </is>
      </c>
      <c r="MM3" s="5" t="inlineStr">
        <is>
          <t>OPEN_INT</t>
        </is>
      </c>
      <c r="MN3" s="5" t="inlineStr">
        <is>
          <t>IVOL_MID</t>
        </is>
      </c>
      <c r="MO3" s="5" t="inlineStr">
        <is>
          <t>IVOL_BID</t>
        </is>
      </c>
      <c r="MP3" s="5" t="inlineStr">
        <is>
          <t>IVOL_ASK</t>
        </is>
      </c>
      <c r="MQ3" s="5" t="inlineStr">
        <is>
          <t>DELTA_MID</t>
        </is>
      </c>
      <c r="MR3" s="5" t="inlineStr">
        <is>
          <t>GAMMA_MID</t>
        </is>
      </c>
      <c r="MS3" s="5" t="inlineStr">
        <is>
          <t>VEGA_MID</t>
        </is>
      </c>
      <c r="MT3" s="5" t="inlineStr">
        <is>
          <t>THETA_MID</t>
        </is>
      </c>
      <c r="MU3" s="5" t="inlineStr">
        <is>
          <t>OPT_UNDL_PX</t>
        </is>
      </c>
      <c r="MW3" s="5" t="inlineStr">
        <is>
          <t>Date</t>
        </is>
      </c>
      <c r="MX3" s="5" t="inlineStr">
        <is>
          <t>PX_BID</t>
        </is>
      </c>
      <c r="MY3" s="5" t="inlineStr">
        <is>
          <t>PX_ASK</t>
        </is>
      </c>
      <c r="MZ3" s="5" t="inlineStr">
        <is>
          <t>PX_MID</t>
        </is>
      </c>
      <c r="NA3" s="5" t="inlineStr">
        <is>
          <t>PX_LAST</t>
        </is>
      </c>
      <c r="NB3" s="5" t="inlineStr">
        <is>
          <t>PX_SETTLE</t>
        </is>
      </c>
      <c r="NC3" s="5" t="inlineStr">
        <is>
          <t>PX_VOLUME</t>
        </is>
      </c>
      <c r="ND3" s="5" t="inlineStr">
        <is>
          <t>OPEN_INT</t>
        </is>
      </c>
      <c r="NE3" s="5" t="inlineStr">
        <is>
          <t>IVOL_MID</t>
        </is>
      </c>
      <c r="NF3" s="5" t="inlineStr">
        <is>
          <t>IVOL_BID</t>
        </is>
      </c>
      <c r="NG3" s="5" t="inlineStr">
        <is>
          <t>IVOL_ASK</t>
        </is>
      </c>
      <c r="NH3" s="5" t="inlineStr">
        <is>
          <t>DELTA_MID</t>
        </is>
      </c>
      <c r="NI3" s="5" t="inlineStr">
        <is>
          <t>GAMMA_MID</t>
        </is>
      </c>
      <c r="NJ3" s="5" t="inlineStr">
        <is>
          <t>VEGA_MID</t>
        </is>
      </c>
      <c r="NK3" s="5" t="inlineStr">
        <is>
          <t>THETA_MID</t>
        </is>
      </c>
      <c r="NL3" s="5" t="inlineStr">
        <is>
          <t>OPT_UNDL_PX</t>
        </is>
      </c>
    </row>
    <row r="4">
      <c r="A4" s="2" t="inlineStr">
        <is>
          <t>Strike reference date</t>
        </is>
      </c>
      <c r="B4" s="8">
        <f>B3-45</f>
        <v/>
      </c>
      <c r="D4" s="4">
        <f>BDH(D$1,E$3:S$3,$B$8,$B$9,"Dir=V","Dts=S","Sort=A","Days=T","Fill=B")</f>
        <v/>
      </c>
      <c r="U4" s="4">
        <f>BDH(U$1,V$3:AJ$3,$B$8,$B$9,"Dir=V","Dts=S","Sort=A","Days=T","Fill=B")</f>
        <v/>
      </c>
      <c r="AL4" s="4">
        <f>BDH(AL$1,AM$3:BA$3,$B$8,$B$9,"Dir=V","Dts=S","Sort=A","Days=T","Fill=B")</f>
        <v/>
      </c>
      <c r="BC4" s="4">
        <f>BDH(BC$1,BD$3:BR$3,$B$8,$B$9,"Dir=V","Dts=S","Sort=A","Days=T","Fill=B")</f>
        <v/>
      </c>
      <c r="BT4" s="4">
        <f>BDH(BT$1,BU$3:CI$3,$B$8,$B$9,"Dir=V","Dts=S","Sort=A","Days=T","Fill=B")</f>
        <v/>
      </c>
      <c r="CK4" s="4">
        <f>BDH(CK$1,CL$3:CZ$3,$B$8,$B$9,"Dir=V","Dts=S","Sort=A","Days=T","Fill=B")</f>
        <v/>
      </c>
      <c r="DB4" s="4">
        <f>BDH(DB$1,DC$3:DQ$3,$B$8,$B$9,"Dir=V","Dts=S","Sort=A","Days=T","Fill=B")</f>
        <v/>
      </c>
      <c r="DS4" s="4">
        <f>BDH(DS$1,DT$3:EH$3,$B$8,$B$9,"Dir=V","Dts=S","Sort=A","Days=T","Fill=B")</f>
        <v/>
      </c>
      <c r="EJ4" s="4">
        <f>BDH(EJ$1,EK$3:EY$3,$B$8,$B$9,"Dir=V","Dts=S","Sort=A","Days=T","Fill=B")</f>
        <v/>
      </c>
      <c r="FA4" s="4">
        <f>BDH(FA$1,FB$3:FP$3,$B$8,$B$9,"Dir=V","Dts=S","Sort=A","Days=T","Fill=B")</f>
        <v/>
      </c>
      <c r="FR4" s="4">
        <f>BDH(FR$1,FS$3:GG$3,$B$8,$B$9,"Dir=V","Dts=S","Sort=A","Days=T","Fill=B")</f>
        <v/>
      </c>
      <c r="GI4" s="4">
        <f>BDH(GI$1,GJ$3:GX$3,$B$8,$B$9,"Dir=V","Dts=S","Sort=A","Days=T","Fill=B")</f>
        <v/>
      </c>
      <c r="GZ4" s="4">
        <f>BDH(GZ$1,HA$3:HO$3,$B$8,$B$9,"Dir=V","Dts=S","Sort=A","Days=T","Fill=B")</f>
        <v/>
      </c>
      <c r="HQ4" s="4">
        <f>BDH(HQ$1,HR$3:IF$3,$B$8,$B$9,"Dir=V","Dts=S","Sort=A","Days=T","Fill=B")</f>
        <v/>
      </c>
      <c r="IH4" s="4">
        <f>BDH(IH$1,II$3:IW$3,$B$8,$B$9,"Dir=V","Dts=S","Sort=A","Days=T","Fill=B")</f>
        <v/>
      </c>
      <c r="IY4" s="4">
        <f>BDH(IY$1,IZ$3:JN$3,$B$8,$B$9,"Dir=V","Dts=S","Sort=A","Days=T","Fill=B")</f>
        <v/>
      </c>
      <c r="JP4" s="4">
        <f>BDH(JP$1,JQ$3:KE$3,$B$8,$B$9,"Dir=V","Dts=S","Sort=A","Days=T","Fill=B")</f>
        <v/>
      </c>
      <c r="KG4" s="4">
        <f>BDH(KG$1,KH$3:KV$3,$B$8,$B$9,"Dir=V","Dts=S","Sort=A","Days=T","Fill=B")</f>
        <v/>
      </c>
      <c r="KX4" s="4">
        <f>BDH(KX$1,KY$3:LM$3,$B$8,$B$9,"Dir=V","Dts=S","Sort=A","Days=T","Fill=B")</f>
        <v/>
      </c>
      <c r="LO4" s="4">
        <f>BDH(LO$1,LP$3:MD$3,$B$8,$B$9,"Dir=V","Dts=S","Sort=A","Days=T","Fill=B")</f>
        <v/>
      </c>
      <c r="MF4" s="4">
        <f>BDH(MF$1,MG$3:MU$3,$B$8,$B$9,"Dir=V","Dts=S","Sort=A","Days=T","Fill=B")</f>
        <v/>
      </c>
      <c r="MW4" s="4">
        <f>BDH(MW$1,MX$3:NL$3,$B$8,$B$9,"Dir=V","Dts=S","Sort=A","Days=T","Fill=B")</f>
        <v/>
      </c>
    </row>
    <row r="5">
      <c r="A5" s="2" t="inlineStr">
        <is>
          <t>Unadjusted close then</t>
        </is>
      </c>
      <c r="B5" s="10">
        <f>IF(B2="","",BDH(B2,"PX_LAST",B4,B4,"Days=A","Fill=P","Dts=H","CshAdjNormal=N","CshAdjAbnormal=N","CapChg=N"))</f>
        <v/>
      </c>
    </row>
    <row r="6">
      <c r="A6" s="2" t="inlineStr">
        <is>
          <t>Strike step</t>
        </is>
      </c>
      <c r="B6" s="11">
        <f>IF(ISNUMBER(B5),IF(B5&lt;25,0.5,IF(B5&lt;250,1,5)),"")</f>
        <v/>
      </c>
    </row>
    <row r="7">
      <c r="A7" s="2" t="inlineStr">
        <is>
          <t>ATM strike</t>
        </is>
      </c>
      <c r="B7" s="11">
        <f>IF(ISNUMBER(B5),ROUND(B5/B6,0)*B6,"")</f>
        <v/>
      </c>
    </row>
    <row r="8">
      <c r="A8" s="2" t="inlineStr">
        <is>
          <t>History start</t>
        </is>
      </c>
      <c r="B8" s="8">
        <f>B3-100</f>
        <v/>
      </c>
    </row>
    <row r="9">
      <c r="A9" s="2" t="inlineStr">
        <is>
          <t>History end</t>
        </is>
      </c>
      <c r="B9" s="8">
        <f>B3</f>
        <v/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NL9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2" customWidth="1" min="2" max="2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1" customWidth="1" min="15" max="15"/>
    <col width="11" customWidth="1" min="16" max="16"/>
    <col width="10" customWidth="1" min="17" max="17"/>
    <col width="11" customWidth="1" min="18" max="18"/>
    <col width="13" customWidth="1" min="19" max="19"/>
    <col width="12" customWidth="1" min="21" max="21"/>
    <col width="10" customWidth="1" min="22" max="22"/>
    <col width="10" customWidth="1" min="23" max="23"/>
    <col width="10" customWidth="1" min="24" max="24"/>
    <col width="10" customWidth="1" min="25" max="25"/>
    <col width="11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1" customWidth="1" min="32" max="32"/>
    <col width="11" customWidth="1" min="33" max="33"/>
    <col width="10" customWidth="1" min="34" max="34"/>
    <col width="11" customWidth="1" min="35" max="35"/>
    <col width="13" customWidth="1" min="36" max="36"/>
    <col width="12" customWidth="1" min="38" max="38"/>
    <col width="10" customWidth="1" min="39" max="39"/>
    <col width="10" customWidth="1" min="40" max="40"/>
    <col width="10" customWidth="1" min="41" max="41"/>
    <col width="10" customWidth="1" min="42" max="42"/>
    <col width="11" customWidth="1" min="43" max="43"/>
    <col width="11" customWidth="1" min="44" max="44"/>
    <col width="10" customWidth="1" min="45" max="45"/>
    <col width="10" customWidth="1" min="46" max="46"/>
    <col width="10" customWidth="1" min="47" max="47"/>
    <col width="10" customWidth="1" min="48" max="48"/>
    <col width="11" customWidth="1" min="49" max="49"/>
    <col width="11" customWidth="1" min="50" max="50"/>
    <col width="10" customWidth="1" min="51" max="51"/>
    <col width="11" customWidth="1" min="52" max="52"/>
    <col width="13" customWidth="1" min="53" max="53"/>
    <col width="12" customWidth="1" min="55" max="55"/>
    <col width="10" customWidth="1" min="56" max="56"/>
    <col width="10" customWidth="1" min="57" max="57"/>
    <col width="10" customWidth="1" min="58" max="58"/>
    <col width="10" customWidth="1" min="59" max="59"/>
    <col width="11" customWidth="1" min="60" max="60"/>
    <col width="11" customWidth="1" min="61" max="61"/>
    <col width="10" customWidth="1" min="62" max="62"/>
    <col width="10" customWidth="1" min="63" max="63"/>
    <col width="10" customWidth="1" min="64" max="64"/>
    <col width="10" customWidth="1" min="65" max="65"/>
    <col width="11" customWidth="1" min="66" max="66"/>
    <col width="11" customWidth="1" min="67" max="67"/>
    <col width="10" customWidth="1" min="68" max="68"/>
    <col width="11" customWidth="1" min="69" max="69"/>
    <col width="13" customWidth="1" min="70" max="70"/>
    <col width="12" customWidth="1" min="72" max="72"/>
    <col width="10" customWidth="1" min="73" max="73"/>
    <col width="10" customWidth="1" min="74" max="74"/>
    <col width="10" customWidth="1" min="75" max="75"/>
    <col width="10" customWidth="1" min="76" max="76"/>
    <col width="11" customWidth="1" min="77" max="77"/>
    <col width="11" customWidth="1" min="78" max="78"/>
    <col width="10" customWidth="1" min="79" max="79"/>
    <col width="10" customWidth="1" min="80" max="80"/>
    <col width="10" customWidth="1" min="81" max="81"/>
    <col width="10" customWidth="1" min="82" max="82"/>
    <col width="11" customWidth="1" min="83" max="83"/>
    <col width="11" customWidth="1" min="84" max="84"/>
    <col width="10" customWidth="1" min="85" max="85"/>
    <col width="11" customWidth="1" min="86" max="86"/>
    <col width="13" customWidth="1" min="87" max="87"/>
    <col width="12" customWidth="1" min="89" max="89"/>
    <col width="10" customWidth="1" min="90" max="90"/>
    <col width="10" customWidth="1" min="91" max="91"/>
    <col width="10" customWidth="1" min="92" max="92"/>
    <col width="10" customWidth="1" min="93" max="93"/>
    <col width="11" customWidth="1" min="94" max="94"/>
    <col width="11" customWidth="1" min="95" max="95"/>
    <col width="10" customWidth="1" min="96" max="96"/>
    <col width="10" customWidth="1" min="97" max="97"/>
    <col width="10" customWidth="1" min="98" max="98"/>
    <col width="10" customWidth="1" min="99" max="99"/>
    <col width="11" customWidth="1" min="100" max="100"/>
    <col width="11" customWidth="1" min="101" max="101"/>
    <col width="10" customWidth="1" min="102" max="102"/>
    <col width="11" customWidth="1" min="103" max="103"/>
    <col width="13" customWidth="1" min="104" max="104"/>
    <col width="12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1" customWidth="1" min="111" max="111"/>
    <col width="11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1" customWidth="1" min="117" max="117"/>
    <col width="11" customWidth="1" min="118" max="118"/>
    <col width="10" customWidth="1" min="119" max="119"/>
    <col width="11" customWidth="1" min="120" max="120"/>
    <col width="13" customWidth="1" min="121" max="121"/>
    <col width="12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1" customWidth="1" min="128" max="128"/>
    <col width="11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1" customWidth="1" min="134" max="134"/>
    <col width="11" customWidth="1" min="135" max="135"/>
    <col width="10" customWidth="1" min="136" max="136"/>
    <col width="11" customWidth="1" min="137" max="137"/>
    <col width="13" customWidth="1" min="138" max="138"/>
    <col width="12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1" customWidth="1" min="145" max="145"/>
    <col width="11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1" customWidth="1" min="151" max="151"/>
    <col width="11" customWidth="1" min="152" max="152"/>
    <col width="10" customWidth="1" min="153" max="153"/>
    <col width="11" customWidth="1" min="154" max="154"/>
    <col width="13" customWidth="1" min="155" max="155"/>
    <col width="12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1" customWidth="1" min="162" max="162"/>
    <col width="11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1" customWidth="1" min="168" max="168"/>
    <col width="11" customWidth="1" min="169" max="169"/>
    <col width="10" customWidth="1" min="170" max="170"/>
    <col width="11" customWidth="1" min="171" max="171"/>
    <col width="13" customWidth="1" min="172" max="172"/>
    <col width="12" customWidth="1" min="174" max="174"/>
    <col width="10" customWidth="1" min="175" max="175"/>
    <col width="10" customWidth="1" min="176" max="176"/>
    <col width="10" customWidth="1" min="177" max="177"/>
    <col width="10" customWidth="1" min="178" max="178"/>
    <col width="11" customWidth="1" min="179" max="179"/>
    <col width="11" customWidth="1" min="180" max="180"/>
    <col width="10" customWidth="1" min="181" max="181"/>
    <col width="10" customWidth="1" min="182" max="182"/>
    <col width="10" customWidth="1" min="183" max="183"/>
    <col width="10" customWidth="1" min="184" max="184"/>
    <col width="11" customWidth="1" min="185" max="185"/>
    <col width="11" customWidth="1" min="186" max="186"/>
    <col width="10" customWidth="1" min="187" max="187"/>
    <col width="11" customWidth="1" min="188" max="188"/>
    <col width="13" customWidth="1" min="189" max="189"/>
    <col width="12" customWidth="1" min="191" max="191"/>
    <col width="10" customWidth="1" min="192" max="192"/>
    <col width="10" customWidth="1" min="193" max="193"/>
    <col width="10" customWidth="1" min="194" max="194"/>
    <col width="10" customWidth="1" min="195" max="195"/>
    <col width="11" customWidth="1" min="196" max="196"/>
    <col width="11" customWidth="1" min="197" max="197"/>
    <col width="10" customWidth="1" min="198" max="198"/>
    <col width="10" customWidth="1" min="199" max="199"/>
    <col width="10" customWidth="1" min="200" max="200"/>
    <col width="10" customWidth="1" min="201" max="201"/>
    <col width="11" customWidth="1" min="202" max="202"/>
    <col width="11" customWidth="1" min="203" max="203"/>
    <col width="10" customWidth="1" min="204" max="204"/>
    <col width="11" customWidth="1" min="205" max="205"/>
    <col width="13" customWidth="1" min="206" max="206"/>
    <col width="12" customWidth="1" min="208" max="208"/>
    <col width="10" customWidth="1" min="209" max="209"/>
    <col width="10" customWidth="1" min="210" max="210"/>
    <col width="10" customWidth="1" min="211" max="211"/>
    <col width="10" customWidth="1" min="212" max="212"/>
    <col width="11" customWidth="1" min="213" max="213"/>
    <col width="11" customWidth="1" min="214" max="214"/>
    <col width="10" customWidth="1" min="215" max="215"/>
    <col width="10" customWidth="1" min="216" max="216"/>
    <col width="10" customWidth="1" min="217" max="217"/>
    <col width="10" customWidth="1" min="218" max="218"/>
    <col width="11" customWidth="1" min="219" max="219"/>
    <col width="11" customWidth="1" min="220" max="220"/>
    <col width="10" customWidth="1" min="221" max="221"/>
    <col width="11" customWidth="1" min="222" max="222"/>
    <col width="13" customWidth="1" min="223" max="223"/>
    <col width="12" customWidth="1" min="225" max="225"/>
    <col width="10" customWidth="1" min="226" max="226"/>
    <col width="10" customWidth="1" min="227" max="227"/>
    <col width="10" customWidth="1" min="228" max="228"/>
    <col width="10" customWidth="1" min="229" max="229"/>
    <col width="11" customWidth="1" min="230" max="230"/>
    <col width="11" customWidth="1" min="231" max="231"/>
    <col width="10" customWidth="1" min="232" max="232"/>
    <col width="10" customWidth="1" min="233" max="233"/>
    <col width="10" customWidth="1" min="234" max="234"/>
    <col width="10" customWidth="1" min="235" max="235"/>
    <col width="11" customWidth="1" min="236" max="236"/>
    <col width="11" customWidth="1" min="237" max="237"/>
    <col width="10" customWidth="1" min="238" max="238"/>
    <col width="11" customWidth="1" min="239" max="239"/>
    <col width="13" customWidth="1" min="240" max="240"/>
    <col width="12" customWidth="1" min="242" max="242"/>
    <col width="10" customWidth="1" min="243" max="243"/>
    <col width="10" customWidth="1" min="244" max="244"/>
    <col width="10" customWidth="1" min="245" max="245"/>
    <col width="10" customWidth="1" min="246" max="246"/>
    <col width="11" customWidth="1" min="247" max="247"/>
    <col width="11" customWidth="1" min="248" max="248"/>
    <col width="10" customWidth="1" min="249" max="249"/>
    <col width="10" customWidth="1" min="250" max="250"/>
    <col width="10" customWidth="1" min="251" max="251"/>
    <col width="10" customWidth="1" min="252" max="252"/>
    <col width="11" customWidth="1" min="253" max="253"/>
    <col width="11" customWidth="1" min="254" max="254"/>
    <col width="10" customWidth="1" min="255" max="255"/>
    <col width="11" customWidth="1" min="256" max="256"/>
    <col width="13" customWidth="1" min="257" max="257"/>
    <col width="12" customWidth="1" min="259" max="259"/>
    <col width="10" customWidth="1" min="260" max="260"/>
    <col width="10" customWidth="1" min="261" max="261"/>
    <col width="10" customWidth="1" min="262" max="262"/>
    <col width="10" customWidth="1" min="263" max="263"/>
    <col width="11" customWidth="1" min="264" max="264"/>
    <col width="11" customWidth="1" min="265" max="265"/>
    <col width="10" customWidth="1" min="266" max="266"/>
    <col width="10" customWidth="1" min="267" max="267"/>
    <col width="10" customWidth="1" min="268" max="268"/>
    <col width="10" customWidth="1" min="269" max="269"/>
    <col width="11" customWidth="1" min="270" max="270"/>
    <col width="11" customWidth="1" min="271" max="271"/>
    <col width="10" customWidth="1" min="272" max="272"/>
    <col width="11" customWidth="1" min="273" max="273"/>
    <col width="13" customWidth="1" min="274" max="274"/>
    <col width="12" customWidth="1" min="276" max="276"/>
    <col width="10" customWidth="1" min="277" max="277"/>
    <col width="10" customWidth="1" min="278" max="278"/>
    <col width="10" customWidth="1" min="279" max="279"/>
    <col width="10" customWidth="1" min="280" max="280"/>
    <col width="11" customWidth="1" min="281" max="281"/>
    <col width="11" customWidth="1" min="282" max="282"/>
    <col width="10" customWidth="1" min="283" max="283"/>
    <col width="10" customWidth="1" min="284" max="284"/>
    <col width="10" customWidth="1" min="285" max="285"/>
    <col width="10" customWidth="1" min="286" max="286"/>
    <col width="11" customWidth="1" min="287" max="287"/>
    <col width="11" customWidth="1" min="288" max="288"/>
    <col width="10" customWidth="1" min="289" max="289"/>
    <col width="11" customWidth="1" min="290" max="290"/>
    <col width="13" customWidth="1" min="291" max="291"/>
    <col width="12" customWidth="1" min="293" max="293"/>
    <col width="10" customWidth="1" min="294" max="294"/>
    <col width="10" customWidth="1" min="295" max="295"/>
    <col width="10" customWidth="1" min="296" max="296"/>
    <col width="10" customWidth="1" min="297" max="297"/>
    <col width="11" customWidth="1" min="298" max="298"/>
    <col width="11" customWidth="1" min="299" max="299"/>
    <col width="10" customWidth="1" min="300" max="300"/>
    <col width="10" customWidth="1" min="301" max="301"/>
    <col width="10" customWidth="1" min="302" max="302"/>
    <col width="10" customWidth="1" min="303" max="303"/>
    <col width="11" customWidth="1" min="304" max="304"/>
    <col width="11" customWidth="1" min="305" max="305"/>
    <col width="10" customWidth="1" min="306" max="306"/>
    <col width="11" customWidth="1" min="307" max="307"/>
    <col width="13" customWidth="1" min="308" max="308"/>
    <col width="12" customWidth="1" min="310" max="310"/>
    <col width="10" customWidth="1" min="311" max="311"/>
    <col width="10" customWidth="1" min="312" max="312"/>
    <col width="10" customWidth="1" min="313" max="313"/>
    <col width="10" customWidth="1" min="314" max="314"/>
    <col width="11" customWidth="1" min="315" max="315"/>
    <col width="11" customWidth="1" min="316" max="316"/>
    <col width="10" customWidth="1" min="317" max="317"/>
    <col width="10" customWidth="1" min="318" max="318"/>
    <col width="10" customWidth="1" min="319" max="319"/>
    <col width="10" customWidth="1" min="320" max="320"/>
    <col width="11" customWidth="1" min="321" max="321"/>
    <col width="11" customWidth="1" min="322" max="322"/>
    <col width="10" customWidth="1" min="323" max="323"/>
    <col width="11" customWidth="1" min="324" max="324"/>
    <col width="13" customWidth="1" min="325" max="325"/>
    <col width="12" customWidth="1" min="327" max="327"/>
    <col width="10" customWidth="1" min="328" max="328"/>
    <col width="10" customWidth="1" min="329" max="329"/>
    <col width="10" customWidth="1" min="330" max="330"/>
    <col width="10" customWidth="1" min="331" max="331"/>
    <col width="11" customWidth="1" min="332" max="332"/>
    <col width="11" customWidth="1" min="333" max="333"/>
    <col width="10" customWidth="1" min="334" max="334"/>
    <col width="10" customWidth="1" min="335" max="335"/>
    <col width="10" customWidth="1" min="336" max="336"/>
    <col width="10" customWidth="1" min="337" max="337"/>
    <col width="11" customWidth="1" min="338" max="338"/>
    <col width="11" customWidth="1" min="339" max="339"/>
    <col width="10" customWidth="1" min="340" max="340"/>
    <col width="11" customWidth="1" min="341" max="341"/>
    <col width="13" customWidth="1" min="342" max="342"/>
    <col width="12" customWidth="1" min="344" max="344"/>
    <col width="10" customWidth="1" min="345" max="345"/>
    <col width="10" customWidth="1" min="346" max="346"/>
    <col width="10" customWidth="1" min="347" max="347"/>
    <col width="10" customWidth="1" min="348" max="348"/>
    <col width="11" customWidth="1" min="349" max="349"/>
    <col width="11" customWidth="1" min="350" max="350"/>
    <col width="10" customWidth="1" min="351" max="351"/>
    <col width="10" customWidth="1" min="352" max="352"/>
    <col width="10" customWidth="1" min="353" max="353"/>
    <col width="10" customWidth="1" min="354" max="354"/>
    <col width="11" customWidth="1" min="355" max="355"/>
    <col width="11" customWidth="1" min="356" max="356"/>
    <col width="10" customWidth="1" min="357" max="357"/>
    <col width="11" customWidth="1" min="358" max="358"/>
    <col width="13" customWidth="1" min="359" max="359"/>
    <col width="12" customWidth="1" min="361" max="361"/>
    <col width="10" customWidth="1" min="362" max="362"/>
    <col width="10" customWidth="1" min="363" max="363"/>
    <col width="10" customWidth="1" min="364" max="364"/>
    <col width="10" customWidth="1" min="365" max="365"/>
    <col width="11" customWidth="1" min="366" max="366"/>
    <col width="11" customWidth="1" min="367" max="367"/>
    <col width="10" customWidth="1" min="368" max="368"/>
    <col width="10" customWidth="1" min="369" max="369"/>
    <col width="10" customWidth="1" min="370" max="370"/>
    <col width="10" customWidth="1" min="371" max="371"/>
    <col width="11" customWidth="1" min="372" max="372"/>
    <col width="11" customWidth="1" min="373" max="373"/>
    <col width="10" customWidth="1" min="374" max="374"/>
    <col width="11" customWidth="1" min="375" max="375"/>
    <col width="13" customWidth="1" min="376" max="376"/>
  </cols>
  <sheetData>
    <row r="1">
      <c r="A1" s="2" t="inlineStr">
        <is>
          <t>Month</t>
        </is>
      </c>
      <c r="B1" s="9" t="n">
        <v>8</v>
      </c>
      <c r="D1" s="2">
        <f>IF(ISNUMBER(B$7),"XLE US "&amp;TEXT(B$3,"mm/dd/yy")&amp;" C"&amp;(B$7-5*B$6)&amp;" Equity","")</f>
        <v/>
      </c>
      <c r="U1" s="2">
        <f>IF(ISNUMBER(B$7),"XLE US "&amp;TEXT(B$3,"mm/dd/yy")&amp;" P"&amp;(B$7-5*B$6)&amp;" Equity","")</f>
        <v/>
      </c>
      <c r="AL1" s="2">
        <f>IF(ISNUMBER(B$7),"XLE US "&amp;TEXT(B$3,"mm/dd/yy")&amp;" C"&amp;(B$7-4*B$6)&amp;" Equity","")</f>
        <v/>
      </c>
      <c r="BC1" s="2">
        <f>IF(ISNUMBER(B$7),"XLE US "&amp;TEXT(B$3,"mm/dd/yy")&amp;" P"&amp;(B$7-4*B$6)&amp;" Equity","")</f>
        <v/>
      </c>
      <c r="BT1" s="2">
        <f>IF(ISNUMBER(B$7),"XLE US "&amp;TEXT(B$3,"mm/dd/yy")&amp;" C"&amp;(B$7-3*B$6)&amp;" Equity","")</f>
        <v/>
      </c>
      <c r="CK1" s="2">
        <f>IF(ISNUMBER(B$7),"XLE US "&amp;TEXT(B$3,"mm/dd/yy")&amp;" P"&amp;(B$7-3*B$6)&amp;" Equity","")</f>
        <v/>
      </c>
      <c r="DB1" s="2">
        <f>IF(ISNUMBER(B$7),"XLE US "&amp;TEXT(B$3,"mm/dd/yy")&amp;" C"&amp;(B$7-2*B$6)&amp;" Equity","")</f>
        <v/>
      </c>
      <c r="DS1" s="2">
        <f>IF(ISNUMBER(B$7),"XLE US "&amp;TEXT(B$3,"mm/dd/yy")&amp;" P"&amp;(B$7-2*B$6)&amp;" Equity","")</f>
        <v/>
      </c>
      <c r="EJ1" s="2">
        <f>IF(ISNUMBER(B$7),"XLE US "&amp;TEXT(B$3,"mm/dd/yy")&amp;" C"&amp;(B$7-1*B$6)&amp;" Equity","")</f>
        <v/>
      </c>
      <c r="FA1" s="2">
        <f>IF(ISNUMBER(B$7),"XLE US "&amp;TEXT(B$3,"mm/dd/yy")&amp;" P"&amp;(B$7-1*B$6)&amp;" Equity","")</f>
        <v/>
      </c>
      <c r="FR1" s="2">
        <f>IF(ISNUMBER(B$7),"XLE US "&amp;TEXT(B$3,"mm/dd/yy")&amp;" C"&amp;B$7&amp;" Equity","")</f>
        <v/>
      </c>
      <c r="GI1" s="2">
        <f>IF(ISNUMBER(B$7),"XLE US "&amp;TEXT(B$3,"mm/dd/yy")&amp;" P"&amp;B$7&amp;" Equity","")</f>
        <v/>
      </c>
      <c r="GZ1" s="2">
        <f>IF(ISNUMBER(B$7),"XLE US "&amp;TEXT(B$3,"mm/dd/yy")&amp;" C"&amp;(B$7+1*B$6)&amp;" Equity","")</f>
        <v/>
      </c>
      <c r="HQ1" s="2">
        <f>IF(ISNUMBER(B$7),"XLE US "&amp;TEXT(B$3,"mm/dd/yy")&amp;" P"&amp;(B$7+1*B$6)&amp;" Equity","")</f>
        <v/>
      </c>
      <c r="IH1" s="2">
        <f>IF(ISNUMBER(B$7),"XLE US "&amp;TEXT(B$3,"mm/dd/yy")&amp;" C"&amp;(B$7+2*B$6)&amp;" Equity","")</f>
        <v/>
      </c>
      <c r="IY1" s="2">
        <f>IF(ISNUMBER(B$7),"XLE US "&amp;TEXT(B$3,"mm/dd/yy")&amp;" P"&amp;(B$7+2*B$6)&amp;" Equity","")</f>
        <v/>
      </c>
      <c r="JP1" s="2">
        <f>IF(ISNUMBER(B$7),"XLE US "&amp;TEXT(B$3,"mm/dd/yy")&amp;" C"&amp;(B$7+3*B$6)&amp;" Equity","")</f>
        <v/>
      </c>
      <c r="KG1" s="2">
        <f>IF(ISNUMBER(B$7),"XLE US "&amp;TEXT(B$3,"mm/dd/yy")&amp;" P"&amp;(B$7+3*B$6)&amp;" Equity","")</f>
        <v/>
      </c>
      <c r="KX1" s="2">
        <f>IF(ISNUMBER(B$7),"XLE US "&amp;TEXT(B$3,"mm/dd/yy")&amp;" C"&amp;(B$7+4*B$6)&amp;" Equity","")</f>
        <v/>
      </c>
      <c r="LO1" s="2">
        <f>IF(ISNUMBER(B$7),"XLE US "&amp;TEXT(B$3,"mm/dd/yy")&amp;" P"&amp;(B$7+4*B$6)&amp;" Equity","")</f>
        <v/>
      </c>
      <c r="MF1" s="2">
        <f>IF(ISNUMBER(B$7),"XLE US "&amp;TEXT(B$3,"mm/dd/yy")&amp;" C"&amp;(B$7+5*B$6)&amp;" Equity","")</f>
        <v/>
      </c>
      <c r="MW1" s="2">
        <f>IF(ISNUMBER(B$7),"XLE US "&amp;TEXT(B$3,"mm/dd/yy")&amp;" P"&amp;(B$7+5*B$6)&amp;" Equity","")</f>
        <v/>
      </c>
    </row>
    <row r="2">
      <c r="A2" s="2" t="inlineStr">
        <is>
          <t>Underlying</t>
        </is>
      </c>
      <c r="B2" s="4">
        <f>IF(Settings!$B$16="Y","XLE US Equity","")</f>
        <v/>
      </c>
      <c r="D2" s="4" t="inlineStr">
        <is>
          <t>call -5 from ATM</t>
        </is>
      </c>
      <c r="U2" s="4" t="inlineStr">
        <is>
          <t>put -5 from ATM</t>
        </is>
      </c>
      <c r="AL2" s="4" t="inlineStr">
        <is>
          <t>call -4 from ATM</t>
        </is>
      </c>
      <c r="BC2" s="4" t="inlineStr">
        <is>
          <t>put -4 from ATM</t>
        </is>
      </c>
      <c r="BT2" s="4" t="inlineStr">
        <is>
          <t>call -3 from ATM</t>
        </is>
      </c>
      <c r="CK2" s="4" t="inlineStr">
        <is>
          <t>put -3 from ATM</t>
        </is>
      </c>
      <c r="DB2" s="4" t="inlineStr">
        <is>
          <t>call -2 from ATM</t>
        </is>
      </c>
      <c r="DS2" s="4" t="inlineStr">
        <is>
          <t>put -2 from ATM</t>
        </is>
      </c>
      <c r="EJ2" s="4" t="inlineStr">
        <is>
          <t>call -1 from ATM</t>
        </is>
      </c>
      <c r="FA2" s="4" t="inlineStr">
        <is>
          <t>put -1 from ATM</t>
        </is>
      </c>
      <c r="FR2" s="4" t="inlineStr">
        <is>
          <t>call +0 from ATM</t>
        </is>
      </c>
      <c r="GI2" s="4" t="inlineStr">
        <is>
          <t>put +0 from ATM</t>
        </is>
      </c>
      <c r="GZ2" s="4" t="inlineStr">
        <is>
          <t>call +1 from ATM</t>
        </is>
      </c>
      <c r="HQ2" s="4" t="inlineStr">
        <is>
          <t>put +1 from ATM</t>
        </is>
      </c>
      <c r="IH2" s="4" t="inlineStr">
        <is>
          <t>call +2 from ATM</t>
        </is>
      </c>
      <c r="IY2" s="4" t="inlineStr">
        <is>
          <t>put +2 from ATM</t>
        </is>
      </c>
      <c r="JP2" s="4" t="inlineStr">
        <is>
          <t>call +3 from ATM</t>
        </is>
      </c>
      <c r="KG2" s="4" t="inlineStr">
        <is>
          <t>put +3 from ATM</t>
        </is>
      </c>
      <c r="KX2" s="4" t="inlineStr">
        <is>
          <t>call +4 from ATM</t>
        </is>
      </c>
      <c r="LO2" s="4" t="inlineStr">
        <is>
          <t>put +4 from ATM</t>
        </is>
      </c>
      <c r="MF2" s="4" t="inlineStr">
        <is>
          <t>call +5 from ATM</t>
        </is>
      </c>
      <c r="MW2" s="4" t="inlineStr">
        <is>
          <t>put +5 from ATM</t>
        </is>
      </c>
    </row>
    <row r="3">
      <c r="A3" s="2" t="inlineStr">
        <is>
          <t>Expiry (3rd Friday)</t>
        </is>
      </c>
      <c r="B3" s="3">
        <f>DATE(Settings!$E$16,B1,15)+MOD(6-WEEKDAY(DATE(Settings!$E$16,B1,15)),7)</f>
        <v/>
      </c>
      <c r="D3" s="5" t="inlineStr">
        <is>
          <t>Date</t>
        </is>
      </c>
      <c r="E3" s="5" t="inlineStr">
        <is>
          <t>PX_BID</t>
        </is>
      </c>
      <c r="F3" s="5" t="inlineStr">
        <is>
          <t>PX_ASK</t>
        </is>
      </c>
      <c r="G3" s="5" t="inlineStr">
        <is>
          <t>PX_MID</t>
        </is>
      </c>
      <c r="H3" s="5" t="inlineStr">
        <is>
          <t>PX_LAST</t>
        </is>
      </c>
      <c r="I3" s="5" t="inlineStr">
        <is>
          <t>PX_SETTLE</t>
        </is>
      </c>
      <c r="J3" s="5" t="inlineStr">
        <is>
          <t>PX_VOLUME</t>
        </is>
      </c>
      <c r="K3" s="5" t="inlineStr">
        <is>
          <t>OPEN_INT</t>
        </is>
      </c>
      <c r="L3" s="5" t="inlineStr">
        <is>
          <t>IVOL_MID</t>
        </is>
      </c>
      <c r="M3" s="5" t="inlineStr">
        <is>
          <t>IVOL_BID</t>
        </is>
      </c>
      <c r="N3" s="5" t="inlineStr">
        <is>
          <t>IVOL_ASK</t>
        </is>
      </c>
      <c r="O3" s="5" t="inlineStr">
        <is>
          <t>DELTA_MID</t>
        </is>
      </c>
      <c r="P3" s="5" t="inlineStr">
        <is>
          <t>GAMMA_MID</t>
        </is>
      </c>
      <c r="Q3" s="5" t="inlineStr">
        <is>
          <t>VEGA_MID</t>
        </is>
      </c>
      <c r="R3" s="5" t="inlineStr">
        <is>
          <t>THETA_MID</t>
        </is>
      </c>
      <c r="S3" s="5" t="inlineStr">
        <is>
          <t>OPT_UNDL_PX</t>
        </is>
      </c>
      <c r="U3" s="5" t="inlineStr">
        <is>
          <t>Date</t>
        </is>
      </c>
      <c r="V3" s="5" t="inlineStr">
        <is>
          <t>PX_BID</t>
        </is>
      </c>
      <c r="W3" s="5" t="inlineStr">
        <is>
          <t>PX_ASK</t>
        </is>
      </c>
      <c r="X3" s="5" t="inlineStr">
        <is>
          <t>PX_MID</t>
        </is>
      </c>
      <c r="Y3" s="5" t="inlineStr">
        <is>
          <t>PX_LAST</t>
        </is>
      </c>
      <c r="Z3" s="5" t="inlineStr">
        <is>
          <t>PX_SETTLE</t>
        </is>
      </c>
      <c r="AA3" s="5" t="inlineStr">
        <is>
          <t>PX_VOLUME</t>
        </is>
      </c>
      <c r="AB3" s="5" t="inlineStr">
        <is>
          <t>OPEN_INT</t>
        </is>
      </c>
      <c r="AC3" s="5" t="inlineStr">
        <is>
          <t>IVOL_MID</t>
        </is>
      </c>
      <c r="AD3" s="5" t="inlineStr">
        <is>
          <t>IVOL_BID</t>
        </is>
      </c>
      <c r="AE3" s="5" t="inlineStr">
        <is>
          <t>IVOL_ASK</t>
        </is>
      </c>
      <c r="AF3" s="5" t="inlineStr">
        <is>
          <t>DELTA_MID</t>
        </is>
      </c>
      <c r="AG3" s="5" t="inlineStr">
        <is>
          <t>GAMMA_MID</t>
        </is>
      </c>
      <c r="AH3" s="5" t="inlineStr">
        <is>
          <t>VEGA_MID</t>
        </is>
      </c>
      <c r="AI3" s="5" t="inlineStr">
        <is>
          <t>THETA_MID</t>
        </is>
      </c>
      <c r="AJ3" s="5" t="inlineStr">
        <is>
          <t>OPT_UNDL_PX</t>
        </is>
      </c>
      <c r="AL3" s="5" t="inlineStr">
        <is>
          <t>Date</t>
        </is>
      </c>
      <c r="AM3" s="5" t="inlineStr">
        <is>
          <t>PX_BID</t>
        </is>
      </c>
      <c r="AN3" s="5" t="inlineStr">
        <is>
          <t>PX_ASK</t>
        </is>
      </c>
      <c r="AO3" s="5" t="inlineStr">
        <is>
          <t>PX_MID</t>
        </is>
      </c>
      <c r="AP3" s="5" t="inlineStr">
        <is>
          <t>PX_LAST</t>
        </is>
      </c>
      <c r="AQ3" s="5" t="inlineStr">
        <is>
          <t>PX_SETTLE</t>
        </is>
      </c>
      <c r="AR3" s="5" t="inlineStr">
        <is>
          <t>PX_VOLUME</t>
        </is>
      </c>
      <c r="AS3" s="5" t="inlineStr">
        <is>
          <t>OPEN_INT</t>
        </is>
      </c>
      <c r="AT3" s="5" t="inlineStr">
        <is>
          <t>IVOL_MID</t>
        </is>
      </c>
      <c r="AU3" s="5" t="inlineStr">
        <is>
          <t>IVOL_BID</t>
        </is>
      </c>
      <c r="AV3" s="5" t="inlineStr">
        <is>
          <t>IVOL_ASK</t>
        </is>
      </c>
      <c r="AW3" s="5" t="inlineStr">
        <is>
          <t>DELTA_MID</t>
        </is>
      </c>
      <c r="AX3" s="5" t="inlineStr">
        <is>
          <t>GAMMA_MID</t>
        </is>
      </c>
      <c r="AY3" s="5" t="inlineStr">
        <is>
          <t>VEGA_MID</t>
        </is>
      </c>
      <c r="AZ3" s="5" t="inlineStr">
        <is>
          <t>THETA_MID</t>
        </is>
      </c>
      <c r="BA3" s="5" t="inlineStr">
        <is>
          <t>OPT_UNDL_PX</t>
        </is>
      </c>
      <c r="BC3" s="5" t="inlineStr">
        <is>
          <t>Date</t>
        </is>
      </c>
      <c r="BD3" s="5" t="inlineStr">
        <is>
          <t>PX_BID</t>
        </is>
      </c>
      <c r="BE3" s="5" t="inlineStr">
        <is>
          <t>PX_ASK</t>
        </is>
      </c>
      <c r="BF3" s="5" t="inlineStr">
        <is>
          <t>PX_MID</t>
        </is>
      </c>
      <c r="BG3" s="5" t="inlineStr">
        <is>
          <t>PX_LAST</t>
        </is>
      </c>
      <c r="BH3" s="5" t="inlineStr">
        <is>
          <t>PX_SETTLE</t>
        </is>
      </c>
      <c r="BI3" s="5" t="inlineStr">
        <is>
          <t>PX_VOLUME</t>
        </is>
      </c>
      <c r="BJ3" s="5" t="inlineStr">
        <is>
          <t>OPEN_INT</t>
        </is>
      </c>
      <c r="BK3" s="5" t="inlineStr">
        <is>
          <t>IVOL_MID</t>
        </is>
      </c>
      <c r="BL3" s="5" t="inlineStr">
        <is>
          <t>IVOL_BID</t>
        </is>
      </c>
      <c r="BM3" s="5" t="inlineStr">
        <is>
          <t>IVOL_ASK</t>
        </is>
      </c>
      <c r="BN3" s="5" t="inlineStr">
        <is>
          <t>DELTA_MID</t>
        </is>
      </c>
      <c r="BO3" s="5" t="inlineStr">
        <is>
          <t>GAMMA_MID</t>
        </is>
      </c>
      <c r="BP3" s="5" t="inlineStr">
        <is>
          <t>VEGA_MID</t>
        </is>
      </c>
      <c r="BQ3" s="5" t="inlineStr">
        <is>
          <t>THETA_MID</t>
        </is>
      </c>
      <c r="BR3" s="5" t="inlineStr">
        <is>
          <t>OPT_UNDL_PX</t>
        </is>
      </c>
      <c r="BT3" s="5" t="inlineStr">
        <is>
          <t>Date</t>
        </is>
      </c>
      <c r="BU3" s="5" t="inlineStr">
        <is>
          <t>PX_BID</t>
        </is>
      </c>
      <c r="BV3" s="5" t="inlineStr">
        <is>
          <t>PX_ASK</t>
        </is>
      </c>
      <c r="BW3" s="5" t="inlineStr">
        <is>
          <t>PX_MID</t>
        </is>
      </c>
      <c r="BX3" s="5" t="inlineStr">
        <is>
          <t>PX_LAST</t>
        </is>
      </c>
      <c r="BY3" s="5" t="inlineStr">
        <is>
          <t>PX_SETTLE</t>
        </is>
      </c>
      <c r="BZ3" s="5" t="inlineStr">
        <is>
          <t>PX_VOLUME</t>
        </is>
      </c>
      <c r="CA3" s="5" t="inlineStr">
        <is>
          <t>OPEN_INT</t>
        </is>
      </c>
      <c r="CB3" s="5" t="inlineStr">
        <is>
          <t>IVOL_MID</t>
        </is>
      </c>
      <c r="CC3" s="5" t="inlineStr">
        <is>
          <t>IVOL_BID</t>
        </is>
      </c>
      <c r="CD3" s="5" t="inlineStr">
        <is>
          <t>IVOL_ASK</t>
        </is>
      </c>
      <c r="CE3" s="5" t="inlineStr">
        <is>
          <t>DELTA_MID</t>
        </is>
      </c>
      <c r="CF3" s="5" t="inlineStr">
        <is>
          <t>GAMMA_MID</t>
        </is>
      </c>
      <c r="CG3" s="5" t="inlineStr">
        <is>
          <t>VEGA_MID</t>
        </is>
      </c>
      <c r="CH3" s="5" t="inlineStr">
        <is>
          <t>THETA_MID</t>
        </is>
      </c>
      <c r="CI3" s="5" t="inlineStr">
        <is>
          <t>OPT_UNDL_PX</t>
        </is>
      </c>
      <c r="CK3" s="5" t="inlineStr">
        <is>
          <t>Date</t>
        </is>
      </c>
      <c r="CL3" s="5" t="inlineStr">
        <is>
          <t>PX_BID</t>
        </is>
      </c>
      <c r="CM3" s="5" t="inlineStr">
        <is>
          <t>PX_ASK</t>
        </is>
      </c>
      <c r="CN3" s="5" t="inlineStr">
        <is>
          <t>PX_MID</t>
        </is>
      </c>
      <c r="CO3" s="5" t="inlineStr">
        <is>
          <t>PX_LAST</t>
        </is>
      </c>
      <c r="CP3" s="5" t="inlineStr">
        <is>
          <t>PX_SETTLE</t>
        </is>
      </c>
      <c r="CQ3" s="5" t="inlineStr">
        <is>
          <t>PX_VOLUME</t>
        </is>
      </c>
      <c r="CR3" s="5" t="inlineStr">
        <is>
          <t>OPEN_INT</t>
        </is>
      </c>
      <c r="CS3" s="5" t="inlineStr">
        <is>
          <t>IVOL_MID</t>
        </is>
      </c>
      <c r="CT3" s="5" t="inlineStr">
        <is>
          <t>IVOL_BID</t>
        </is>
      </c>
      <c r="CU3" s="5" t="inlineStr">
        <is>
          <t>IVOL_ASK</t>
        </is>
      </c>
      <c r="CV3" s="5" t="inlineStr">
        <is>
          <t>DELTA_MID</t>
        </is>
      </c>
      <c r="CW3" s="5" t="inlineStr">
        <is>
          <t>GAMMA_MID</t>
        </is>
      </c>
      <c r="CX3" s="5" t="inlineStr">
        <is>
          <t>VEGA_MID</t>
        </is>
      </c>
      <c r="CY3" s="5" t="inlineStr">
        <is>
          <t>THETA_MID</t>
        </is>
      </c>
      <c r="CZ3" s="5" t="inlineStr">
        <is>
          <t>OPT_UNDL_PX</t>
        </is>
      </c>
      <c r="DB3" s="5" t="inlineStr">
        <is>
          <t>Date</t>
        </is>
      </c>
      <c r="DC3" s="5" t="inlineStr">
        <is>
          <t>PX_BID</t>
        </is>
      </c>
      <c r="DD3" s="5" t="inlineStr">
        <is>
          <t>PX_ASK</t>
        </is>
      </c>
      <c r="DE3" s="5" t="inlineStr">
        <is>
          <t>PX_MID</t>
        </is>
      </c>
      <c r="DF3" s="5" t="inlineStr">
        <is>
          <t>PX_LAST</t>
        </is>
      </c>
      <c r="DG3" s="5" t="inlineStr">
        <is>
          <t>PX_SETTLE</t>
        </is>
      </c>
      <c r="DH3" s="5" t="inlineStr">
        <is>
          <t>PX_VOLUME</t>
        </is>
      </c>
      <c r="DI3" s="5" t="inlineStr">
        <is>
          <t>OPEN_INT</t>
        </is>
      </c>
      <c r="DJ3" s="5" t="inlineStr">
        <is>
          <t>IVOL_MID</t>
        </is>
      </c>
      <c r="DK3" s="5" t="inlineStr">
        <is>
          <t>IVOL_BID</t>
        </is>
      </c>
      <c r="DL3" s="5" t="inlineStr">
        <is>
          <t>IVOL_ASK</t>
        </is>
      </c>
      <c r="DM3" s="5" t="inlineStr">
        <is>
          <t>DELTA_MID</t>
        </is>
      </c>
      <c r="DN3" s="5" t="inlineStr">
        <is>
          <t>GAMMA_MID</t>
        </is>
      </c>
      <c r="DO3" s="5" t="inlineStr">
        <is>
          <t>VEGA_MID</t>
        </is>
      </c>
      <c r="DP3" s="5" t="inlineStr">
        <is>
          <t>THETA_MID</t>
        </is>
      </c>
      <c r="DQ3" s="5" t="inlineStr">
        <is>
          <t>OPT_UNDL_PX</t>
        </is>
      </c>
      <c r="DS3" s="5" t="inlineStr">
        <is>
          <t>Date</t>
        </is>
      </c>
      <c r="DT3" s="5" t="inlineStr">
        <is>
          <t>PX_BID</t>
        </is>
      </c>
      <c r="DU3" s="5" t="inlineStr">
        <is>
          <t>PX_ASK</t>
        </is>
      </c>
      <c r="DV3" s="5" t="inlineStr">
        <is>
          <t>PX_MID</t>
        </is>
      </c>
      <c r="DW3" s="5" t="inlineStr">
        <is>
          <t>PX_LAST</t>
        </is>
      </c>
      <c r="DX3" s="5" t="inlineStr">
        <is>
          <t>PX_SETTLE</t>
        </is>
      </c>
      <c r="DY3" s="5" t="inlineStr">
        <is>
          <t>PX_VOLUME</t>
        </is>
      </c>
      <c r="DZ3" s="5" t="inlineStr">
        <is>
          <t>OPEN_INT</t>
        </is>
      </c>
      <c r="EA3" s="5" t="inlineStr">
        <is>
          <t>IVOL_MID</t>
        </is>
      </c>
      <c r="EB3" s="5" t="inlineStr">
        <is>
          <t>IVOL_BID</t>
        </is>
      </c>
      <c r="EC3" s="5" t="inlineStr">
        <is>
          <t>IVOL_ASK</t>
        </is>
      </c>
      <c r="ED3" s="5" t="inlineStr">
        <is>
          <t>DELTA_MID</t>
        </is>
      </c>
      <c r="EE3" s="5" t="inlineStr">
        <is>
          <t>GAMMA_MID</t>
        </is>
      </c>
      <c r="EF3" s="5" t="inlineStr">
        <is>
          <t>VEGA_MID</t>
        </is>
      </c>
      <c r="EG3" s="5" t="inlineStr">
        <is>
          <t>THETA_MID</t>
        </is>
      </c>
      <c r="EH3" s="5" t="inlineStr">
        <is>
          <t>OPT_UNDL_PX</t>
        </is>
      </c>
      <c r="EJ3" s="5" t="inlineStr">
        <is>
          <t>Date</t>
        </is>
      </c>
      <c r="EK3" s="5" t="inlineStr">
        <is>
          <t>PX_BID</t>
        </is>
      </c>
      <c r="EL3" s="5" t="inlineStr">
        <is>
          <t>PX_ASK</t>
        </is>
      </c>
      <c r="EM3" s="5" t="inlineStr">
        <is>
          <t>PX_MID</t>
        </is>
      </c>
      <c r="EN3" s="5" t="inlineStr">
        <is>
          <t>PX_LAST</t>
        </is>
      </c>
      <c r="EO3" s="5" t="inlineStr">
        <is>
          <t>PX_SETTLE</t>
        </is>
      </c>
      <c r="EP3" s="5" t="inlineStr">
        <is>
          <t>PX_VOLUME</t>
        </is>
      </c>
      <c r="EQ3" s="5" t="inlineStr">
        <is>
          <t>OPEN_INT</t>
        </is>
      </c>
      <c r="ER3" s="5" t="inlineStr">
        <is>
          <t>IVOL_MID</t>
        </is>
      </c>
      <c r="ES3" s="5" t="inlineStr">
        <is>
          <t>IVOL_BID</t>
        </is>
      </c>
      <c r="ET3" s="5" t="inlineStr">
        <is>
          <t>IVOL_ASK</t>
        </is>
      </c>
      <c r="EU3" s="5" t="inlineStr">
        <is>
          <t>DELTA_MID</t>
        </is>
      </c>
      <c r="EV3" s="5" t="inlineStr">
        <is>
          <t>GAMMA_MID</t>
        </is>
      </c>
      <c r="EW3" s="5" t="inlineStr">
        <is>
          <t>VEGA_MID</t>
        </is>
      </c>
      <c r="EX3" s="5" t="inlineStr">
        <is>
          <t>THETA_MID</t>
        </is>
      </c>
      <c r="EY3" s="5" t="inlineStr">
        <is>
          <t>OPT_UNDL_PX</t>
        </is>
      </c>
      <c r="FA3" s="5" t="inlineStr">
        <is>
          <t>Date</t>
        </is>
      </c>
      <c r="FB3" s="5" t="inlineStr">
        <is>
          <t>PX_BID</t>
        </is>
      </c>
      <c r="FC3" s="5" t="inlineStr">
        <is>
          <t>PX_ASK</t>
        </is>
      </c>
      <c r="FD3" s="5" t="inlineStr">
        <is>
          <t>PX_MID</t>
        </is>
      </c>
      <c r="FE3" s="5" t="inlineStr">
        <is>
          <t>PX_LAST</t>
        </is>
      </c>
      <c r="FF3" s="5" t="inlineStr">
        <is>
          <t>PX_SETTLE</t>
        </is>
      </c>
      <c r="FG3" s="5" t="inlineStr">
        <is>
          <t>PX_VOLUME</t>
        </is>
      </c>
      <c r="FH3" s="5" t="inlineStr">
        <is>
          <t>OPEN_INT</t>
        </is>
      </c>
      <c r="FI3" s="5" t="inlineStr">
        <is>
          <t>IVOL_MID</t>
        </is>
      </c>
      <c r="FJ3" s="5" t="inlineStr">
        <is>
          <t>IVOL_BID</t>
        </is>
      </c>
      <c r="FK3" s="5" t="inlineStr">
        <is>
          <t>IVOL_ASK</t>
        </is>
      </c>
      <c r="FL3" s="5" t="inlineStr">
        <is>
          <t>DELTA_MID</t>
        </is>
      </c>
      <c r="FM3" s="5" t="inlineStr">
        <is>
          <t>GAMMA_MID</t>
        </is>
      </c>
      <c r="FN3" s="5" t="inlineStr">
        <is>
          <t>VEGA_MID</t>
        </is>
      </c>
      <c r="FO3" s="5" t="inlineStr">
        <is>
          <t>THETA_MID</t>
        </is>
      </c>
      <c r="FP3" s="5" t="inlineStr">
        <is>
          <t>OPT_UNDL_PX</t>
        </is>
      </c>
      <c r="FR3" s="5" t="inlineStr">
        <is>
          <t>Date</t>
        </is>
      </c>
      <c r="FS3" s="5" t="inlineStr">
        <is>
          <t>PX_BID</t>
        </is>
      </c>
      <c r="FT3" s="5" t="inlineStr">
        <is>
          <t>PX_ASK</t>
        </is>
      </c>
      <c r="FU3" s="5" t="inlineStr">
        <is>
          <t>PX_MID</t>
        </is>
      </c>
      <c r="FV3" s="5" t="inlineStr">
        <is>
          <t>PX_LAST</t>
        </is>
      </c>
      <c r="FW3" s="5" t="inlineStr">
        <is>
          <t>PX_SETTLE</t>
        </is>
      </c>
      <c r="FX3" s="5" t="inlineStr">
        <is>
          <t>PX_VOLUME</t>
        </is>
      </c>
      <c r="FY3" s="5" t="inlineStr">
        <is>
          <t>OPEN_INT</t>
        </is>
      </c>
      <c r="FZ3" s="5" t="inlineStr">
        <is>
          <t>IVOL_MID</t>
        </is>
      </c>
      <c r="GA3" s="5" t="inlineStr">
        <is>
          <t>IVOL_BID</t>
        </is>
      </c>
      <c r="GB3" s="5" t="inlineStr">
        <is>
          <t>IVOL_ASK</t>
        </is>
      </c>
      <c r="GC3" s="5" t="inlineStr">
        <is>
          <t>DELTA_MID</t>
        </is>
      </c>
      <c r="GD3" s="5" t="inlineStr">
        <is>
          <t>GAMMA_MID</t>
        </is>
      </c>
      <c r="GE3" s="5" t="inlineStr">
        <is>
          <t>VEGA_MID</t>
        </is>
      </c>
      <c r="GF3" s="5" t="inlineStr">
        <is>
          <t>THETA_MID</t>
        </is>
      </c>
      <c r="GG3" s="5" t="inlineStr">
        <is>
          <t>OPT_UNDL_PX</t>
        </is>
      </c>
      <c r="GI3" s="5" t="inlineStr">
        <is>
          <t>Date</t>
        </is>
      </c>
      <c r="GJ3" s="5" t="inlineStr">
        <is>
          <t>PX_BID</t>
        </is>
      </c>
      <c r="GK3" s="5" t="inlineStr">
        <is>
          <t>PX_ASK</t>
        </is>
      </c>
      <c r="GL3" s="5" t="inlineStr">
        <is>
          <t>PX_MID</t>
        </is>
      </c>
      <c r="GM3" s="5" t="inlineStr">
        <is>
          <t>PX_LAST</t>
        </is>
      </c>
      <c r="GN3" s="5" t="inlineStr">
        <is>
          <t>PX_SETTLE</t>
        </is>
      </c>
      <c r="GO3" s="5" t="inlineStr">
        <is>
          <t>PX_VOLUME</t>
        </is>
      </c>
      <c r="GP3" s="5" t="inlineStr">
        <is>
          <t>OPEN_INT</t>
        </is>
      </c>
      <c r="GQ3" s="5" t="inlineStr">
        <is>
          <t>IVOL_MID</t>
        </is>
      </c>
      <c r="GR3" s="5" t="inlineStr">
        <is>
          <t>IVOL_BID</t>
        </is>
      </c>
      <c r="GS3" s="5" t="inlineStr">
        <is>
          <t>IVOL_ASK</t>
        </is>
      </c>
      <c r="GT3" s="5" t="inlineStr">
        <is>
          <t>DELTA_MID</t>
        </is>
      </c>
      <c r="GU3" s="5" t="inlineStr">
        <is>
          <t>GAMMA_MID</t>
        </is>
      </c>
      <c r="GV3" s="5" t="inlineStr">
        <is>
          <t>VEGA_MID</t>
        </is>
      </c>
      <c r="GW3" s="5" t="inlineStr">
        <is>
          <t>THETA_MID</t>
        </is>
      </c>
      <c r="GX3" s="5" t="inlineStr">
        <is>
          <t>OPT_UNDL_PX</t>
        </is>
      </c>
      <c r="GZ3" s="5" t="inlineStr">
        <is>
          <t>Date</t>
        </is>
      </c>
      <c r="HA3" s="5" t="inlineStr">
        <is>
          <t>PX_BID</t>
        </is>
      </c>
      <c r="HB3" s="5" t="inlineStr">
        <is>
          <t>PX_ASK</t>
        </is>
      </c>
      <c r="HC3" s="5" t="inlineStr">
        <is>
          <t>PX_MID</t>
        </is>
      </c>
      <c r="HD3" s="5" t="inlineStr">
        <is>
          <t>PX_LAST</t>
        </is>
      </c>
      <c r="HE3" s="5" t="inlineStr">
        <is>
          <t>PX_SETTLE</t>
        </is>
      </c>
      <c r="HF3" s="5" t="inlineStr">
        <is>
          <t>PX_VOLUME</t>
        </is>
      </c>
      <c r="HG3" s="5" t="inlineStr">
        <is>
          <t>OPEN_INT</t>
        </is>
      </c>
      <c r="HH3" s="5" t="inlineStr">
        <is>
          <t>IVOL_MID</t>
        </is>
      </c>
      <c r="HI3" s="5" t="inlineStr">
        <is>
          <t>IVOL_BID</t>
        </is>
      </c>
      <c r="HJ3" s="5" t="inlineStr">
        <is>
          <t>IVOL_ASK</t>
        </is>
      </c>
      <c r="HK3" s="5" t="inlineStr">
        <is>
          <t>DELTA_MID</t>
        </is>
      </c>
      <c r="HL3" s="5" t="inlineStr">
        <is>
          <t>GAMMA_MID</t>
        </is>
      </c>
      <c r="HM3" s="5" t="inlineStr">
        <is>
          <t>VEGA_MID</t>
        </is>
      </c>
      <c r="HN3" s="5" t="inlineStr">
        <is>
          <t>THETA_MID</t>
        </is>
      </c>
      <c r="HO3" s="5" t="inlineStr">
        <is>
          <t>OPT_UNDL_PX</t>
        </is>
      </c>
      <c r="HQ3" s="5" t="inlineStr">
        <is>
          <t>Date</t>
        </is>
      </c>
      <c r="HR3" s="5" t="inlineStr">
        <is>
          <t>PX_BID</t>
        </is>
      </c>
      <c r="HS3" s="5" t="inlineStr">
        <is>
          <t>PX_ASK</t>
        </is>
      </c>
      <c r="HT3" s="5" t="inlineStr">
        <is>
          <t>PX_MID</t>
        </is>
      </c>
      <c r="HU3" s="5" t="inlineStr">
        <is>
          <t>PX_LAST</t>
        </is>
      </c>
      <c r="HV3" s="5" t="inlineStr">
        <is>
          <t>PX_SETTLE</t>
        </is>
      </c>
      <c r="HW3" s="5" t="inlineStr">
        <is>
          <t>PX_VOLUME</t>
        </is>
      </c>
      <c r="HX3" s="5" t="inlineStr">
        <is>
          <t>OPEN_INT</t>
        </is>
      </c>
      <c r="HY3" s="5" t="inlineStr">
        <is>
          <t>IVOL_MID</t>
        </is>
      </c>
      <c r="HZ3" s="5" t="inlineStr">
        <is>
          <t>IVOL_BID</t>
        </is>
      </c>
      <c r="IA3" s="5" t="inlineStr">
        <is>
          <t>IVOL_ASK</t>
        </is>
      </c>
      <c r="IB3" s="5" t="inlineStr">
        <is>
          <t>DELTA_MID</t>
        </is>
      </c>
      <c r="IC3" s="5" t="inlineStr">
        <is>
          <t>GAMMA_MID</t>
        </is>
      </c>
      <c r="ID3" s="5" t="inlineStr">
        <is>
          <t>VEGA_MID</t>
        </is>
      </c>
      <c r="IE3" s="5" t="inlineStr">
        <is>
          <t>THETA_MID</t>
        </is>
      </c>
      <c r="IF3" s="5" t="inlineStr">
        <is>
          <t>OPT_UNDL_PX</t>
        </is>
      </c>
      <c r="IH3" s="5" t="inlineStr">
        <is>
          <t>Date</t>
        </is>
      </c>
      <c r="II3" s="5" t="inlineStr">
        <is>
          <t>PX_BID</t>
        </is>
      </c>
      <c r="IJ3" s="5" t="inlineStr">
        <is>
          <t>PX_ASK</t>
        </is>
      </c>
      <c r="IK3" s="5" t="inlineStr">
        <is>
          <t>PX_MID</t>
        </is>
      </c>
      <c r="IL3" s="5" t="inlineStr">
        <is>
          <t>PX_LAST</t>
        </is>
      </c>
      <c r="IM3" s="5" t="inlineStr">
        <is>
          <t>PX_SETTLE</t>
        </is>
      </c>
      <c r="IN3" s="5" t="inlineStr">
        <is>
          <t>PX_VOLUME</t>
        </is>
      </c>
      <c r="IO3" s="5" t="inlineStr">
        <is>
          <t>OPEN_INT</t>
        </is>
      </c>
      <c r="IP3" s="5" t="inlineStr">
        <is>
          <t>IVOL_MID</t>
        </is>
      </c>
      <c r="IQ3" s="5" t="inlineStr">
        <is>
          <t>IVOL_BID</t>
        </is>
      </c>
      <c r="IR3" s="5" t="inlineStr">
        <is>
          <t>IVOL_ASK</t>
        </is>
      </c>
      <c r="IS3" s="5" t="inlineStr">
        <is>
          <t>DELTA_MID</t>
        </is>
      </c>
      <c r="IT3" s="5" t="inlineStr">
        <is>
          <t>GAMMA_MID</t>
        </is>
      </c>
      <c r="IU3" s="5" t="inlineStr">
        <is>
          <t>VEGA_MID</t>
        </is>
      </c>
      <c r="IV3" s="5" t="inlineStr">
        <is>
          <t>THETA_MID</t>
        </is>
      </c>
      <c r="IW3" s="5" t="inlineStr">
        <is>
          <t>OPT_UNDL_PX</t>
        </is>
      </c>
      <c r="IY3" s="5" t="inlineStr">
        <is>
          <t>Date</t>
        </is>
      </c>
      <c r="IZ3" s="5" t="inlineStr">
        <is>
          <t>PX_BID</t>
        </is>
      </c>
      <c r="JA3" s="5" t="inlineStr">
        <is>
          <t>PX_ASK</t>
        </is>
      </c>
      <c r="JB3" s="5" t="inlineStr">
        <is>
          <t>PX_MID</t>
        </is>
      </c>
      <c r="JC3" s="5" t="inlineStr">
        <is>
          <t>PX_LAST</t>
        </is>
      </c>
      <c r="JD3" s="5" t="inlineStr">
        <is>
          <t>PX_SETTLE</t>
        </is>
      </c>
      <c r="JE3" s="5" t="inlineStr">
        <is>
          <t>PX_VOLUME</t>
        </is>
      </c>
      <c r="JF3" s="5" t="inlineStr">
        <is>
          <t>OPEN_INT</t>
        </is>
      </c>
      <c r="JG3" s="5" t="inlineStr">
        <is>
          <t>IVOL_MID</t>
        </is>
      </c>
      <c r="JH3" s="5" t="inlineStr">
        <is>
          <t>IVOL_BID</t>
        </is>
      </c>
      <c r="JI3" s="5" t="inlineStr">
        <is>
          <t>IVOL_ASK</t>
        </is>
      </c>
      <c r="JJ3" s="5" t="inlineStr">
        <is>
          <t>DELTA_MID</t>
        </is>
      </c>
      <c r="JK3" s="5" t="inlineStr">
        <is>
          <t>GAMMA_MID</t>
        </is>
      </c>
      <c r="JL3" s="5" t="inlineStr">
        <is>
          <t>VEGA_MID</t>
        </is>
      </c>
      <c r="JM3" s="5" t="inlineStr">
        <is>
          <t>THETA_MID</t>
        </is>
      </c>
      <c r="JN3" s="5" t="inlineStr">
        <is>
          <t>OPT_UNDL_PX</t>
        </is>
      </c>
      <c r="JP3" s="5" t="inlineStr">
        <is>
          <t>Date</t>
        </is>
      </c>
      <c r="JQ3" s="5" t="inlineStr">
        <is>
          <t>PX_BID</t>
        </is>
      </c>
      <c r="JR3" s="5" t="inlineStr">
        <is>
          <t>PX_ASK</t>
        </is>
      </c>
      <c r="JS3" s="5" t="inlineStr">
        <is>
          <t>PX_MID</t>
        </is>
      </c>
      <c r="JT3" s="5" t="inlineStr">
        <is>
          <t>PX_LAST</t>
        </is>
      </c>
      <c r="JU3" s="5" t="inlineStr">
        <is>
          <t>PX_SETTLE</t>
        </is>
      </c>
      <c r="JV3" s="5" t="inlineStr">
        <is>
          <t>PX_VOLUME</t>
        </is>
      </c>
      <c r="JW3" s="5" t="inlineStr">
        <is>
          <t>OPEN_INT</t>
        </is>
      </c>
      <c r="JX3" s="5" t="inlineStr">
        <is>
          <t>IVOL_MID</t>
        </is>
      </c>
      <c r="JY3" s="5" t="inlineStr">
        <is>
          <t>IVOL_BID</t>
        </is>
      </c>
      <c r="JZ3" s="5" t="inlineStr">
        <is>
          <t>IVOL_ASK</t>
        </is>
      </c>
      <c r="KA3" s="5" t="inlineStr">
        <is>
          <t>DELTA_MID</t>
        </is>
      </c>
      <c r="KB3" s="5" t="inlineStr">
        <is>
          <t>GAMMA_MID</t>
        </is>
      </c>
      <c r="KC3" s="5" t="inlineStr">
        <is>
          <t>VEGA_MID</t>
        </is>
      </c>
      <c r="KD3" s="5" t="inlineStr">
        <is>
          <t>THETA_MID</t>
        </is>
      </c>
      <c r="KE3" s="5" t="inlineStr">
        <is>
          <t>OPT_UNDL_PX</t>
        </is>
      </c>
      <c r="KG3" s="5" t="inlineStr">
        <is>
          <t>Date</t>
        </is>
      </c>
      <c r="KH3" s="5" t="inlineStr">
        <is>
          <t>PX_BID</t>
        </is>
      </c>
      <c r="KI3" s="5" t="inlineStr">
        <is>
          <t>PX_ASK</t>
        </is>
      </c>
      <c r="KJ3" s="5" t="inlineStr">
        <is>
          <t>PX_MID</t>
        </is>
      </c>
      <c r="KK3" s="5" t="inlineStr">
        <is>
          <t>PX_LAST</t>
        </is>
      </c>
      <c r="KL3" s="5" t="inlineStr">
        <is>
          <t>PX_SETTLE</t>
        </is>
      </c>
      <c r="KM3" s="5" t="inlineStr">
        <is>
          <t>PX_VOLUME</t>
        </is>
      </c>
      <c r="KN3" s="5" t="inlineStr">
        <is>
          <t>OPEN_INT</t>
        </is>
      </c>
      <c r="KO3" s="5" t="inlineStr">
        <is>
          <t>IVOL_MID</t>
        </is>
      </c>
      <c r="KP3" s="5" t="inlineStr">
        <is>
          <t>IVOL_BID</t>
        </is>
      </c>
      <c r="KQ3" s="5" t="inlineStr">
        <is>
          <t>IVOL_ASK</t>
        </is>
      </c>
      <c r="KR3" s="5" t="inlineStr">
        <is>
          <t>DELTA_MID</t>
        </is>
      </c>
      <c r="KS3" s="5" t="inlineStr">
        <is>
          <t>GAMMA_MID</t>
        </is>
      </c>
      <c r="KT3" s="5" t="inlineStr">
        <is>
          <t>VEGA_MID</t>
        </is>
      </c>
      <c r="KU3" s="5" t="inlineStr">
        <is>
          <t>THETA_MID</t>
        </is>
      </c>
      <c r="KV3" s="5" t="inlineStr">
        <is>
          <t>OPT_UNDL_PX</t>
        </is>
      </c>
      <c r="KX3" s="5" t="inlineStr">
        <is>
          <t>Date</t>
        </is>
      </c>
      <c r="KY3" s="5" t="inlineStr">
        <is>
          <t>PX_BID</t>
        </is>
      </c>
      <c r="KZ3" s="5" t="inlineStr">
        <is>
          <t>PX_ASK</t>
        </is>
      </c>
      <c r="LA3" s="5" t="inlineStr">
        <is>
          <t>PX_MID</t>
        </is>
      </c>
      <c r="LB3" s="5" t="inlineStr">
        <is>
          <t>PX_LAST</t>
        </is>
      </c>
      <c r="LC3" s="5" t="inlineStr">
        <is>
          <t>PX_SETTLE</t>
        </is>
      </c>
      <c r="LD3" s="5" t="inlineStr">
        <is>
          <t>PX_VOLUME</t>
        </is>
      </c>
      <c r="LE3" s="5" t="inlineStr">
        <is>
          <t>OPEN_INT</t>
        </is>
      </c>
      <c r="LF3" s="5" t="inlineStr">
        <is>
          <t>IVOL_MID</t>
        </is>
      </c>
      <c r="LG3" s="5" t="inlineStr">
        <is>
          <t>IVOL_BID</t>
        </is>
      </c>
      <c r="LH3" s="5" t="inlineStr">
        <is>
          <t>IVOL_ASK</t>
        </is>
      </c>
      <c r="LI3" s="5" t="inlineStr">
        <is>
          <t>DELTA_MID</t>
        </is>
      </c>
      <c r="LJ3" s="5" t="inlineStr">
        <is>
          <t>GAMMA_MID</t>
        </is>
      </c>
      <c r="LK3" s="5" t="inlineStr">
        <is>
          <t>VEGA_MID</t>
        </is>
      </c>
      <c r="LL3" s="5" t="inlineStr">
        <is>
          <t>THETA_MID</t>
        </is>
      </c>
      <c r="LM3" s="5" t="inlineStr">
        <is>
          <t>OPT_UNDL_PX</t>
        </is>
      </c>
      <c r="LO3" s="5" t="inlineStr">
        <is>
          <t>Date</t>
        </is>
      </c>
      <c r="LP3" s="5" t="inlineStr">
        <is>
          <t>PX_BID</t>
        </is>
      </c>
      <c r="LQ3" s="5" t="inlineStr">
        <is>
          <t>PX_ASK</t>
        </is>
      </c>
      <c r="LR3" s="5" t="inlineStr">
        <is>
          <t>PX_MID</t>
        </is>
      </c>
      <c r="LS3" s="5" t="inlineStr">
        <is>
          <t>PX_LAST</t>
        </is>
      </c>
      <c r="LT3" s="5" t="inlineStr">
        <is>
          <t>PX_SETTLE</t>
        </is>
      </c>
      <c r="LU3" s="5" t="inlineStr">
        <is>
          <t>PX_VOLUME</t>
        </is>
      </c>
      <c r="LV3" s="5" t="inlineStr">
        <is>
          <t>OPEN_INT</t>
        </is>
      </c>
      <c r="LW3" s="5" t="inlineStr">
        <is>
          <t>IVOL_MID</t>
        </is>
      </c>
      <c r="LX3" s="5" t="inlineStr">
        <is>
          <t>IVOL_BID</t>
        </is>
      </c>
      <c r="LY3" s="5" t="inlineStr">
        <is>
          <t>IVOL_ASK</t>
        </is>
      </c>
      <c r="LZ3" s="5" t="inlineStr">
        <is>
          <t>DELTA_MID</t>
        </is>
      </c>
      <c r="MA3" s="5" t="inlineStr">
        <is>
          <t>GAMMA_MID</t>
        </is>
      </c>
      <c r="MB3" s="5" t="inlineStr">
        <is>
          <t>VEGA_MID</t>
        </is>
      </c>
      <c r="MC3" s="5" t="inlineStr">
        <is>
          <t>THETA_MID</t>
        </is>
      </c>
      <c r="MD3" s="5" t="inlineStr">
        <is>
          <t>OPT_UNDL_PX</t>
        </is>
      </c>
      <c r="MF3" s="5" t="inlineStr">
        <is>
          <t>Date</t>
        </is>
      </c>
      <c r="MG3" s="5" t="inlineStr">
        <is>
          <t>PX_BID</t>
        </is>
      </c>
      <c r="MH3" s="5" t="inlineStr">
        <is>
          <t>PX_ASK</t>
        </is>
      </c>
      <c r="MI3" s="5" t="inlineStr">
        <is>
          <t>PX_MID</t>
        </is>
      </c>
      <c r="MJ3" s="5" t="inlineStr">
        <is>
          <t>PX_LAST</t>
        </is>
      </c>
      <c r="MK3" s="5" t="inlineStr">
        <is>
          <t>PX_SETTLE</t>
        </is>
      </c>
      <c r="ML3" s="5" t="inlineStr">
        <is>
          <t>PX_VOLUME</t>
        </is>
      </c>
      <c r="MM3" s="5" t="inlineStr">
        <is>
          <t>OPEN_INT</t>
        </is>
      </c>
      <c r="MN3" s="5" t="inlineStr">
        <is>
          <t>IVOL_MID</t>
        </is>
      </c>
      <c r="MO3" s="5" t="inlineStr">
        <is>
          <t>IVOL_BID</t>
        </is>
      </c>
      <c r="MP3" s="5" t="inlineStr">
        <is>
          <t>IVOL_ASK</t>
        </is>
      </c>
      <c r="MQ3" s="5" t="inlineStr">
        <is>
          <t>DELTA_MID</t>
        </is>
      </c>
      <c r="MR3" s="5" t="inlineStr">
        <is>
          <t>GAMMA_MID</t>
        </is>
      </c>
      <c r="MS3" s="5" t="inlineStr">
        <is>
          <t>VEGA_MID</t>
        </is>
      </c>
      <c r="MT3" s="5" t="inlineStr">
        <is>
          <t>THETA_MID</t>
        </is>
      </c>
      <c r="MU3" s="5" t="inlineStr">
        <is>
          <t>OPT_UNDL_PX</t>
        </is>
      </c>
      <c r="MW3" s="5" t="inlineStr">
        <is>
          <t>Date</t>
        </is>
      </c>
      <c r="MX3" s="5" t="inlineStr">
        <is>
          <t>PX_BID</t>
        </is>
      </c>
      <c r="MY3" s="5" t="inlineStr">
        <is>
          <t>PX_ASK</t>
        </is>
      </c>
      <c r="MZ3" s="5" t="inlineStr">
        <is>
          <t>PX_MID</t>
        </is>
      </c>
      <c r="NA3" s="5" t="inlineStr">
        <is>
          <t>PX_LAST</t>
        </is>
      </c>
      <c r="NB3" s="5" t="inlineStr">
        <is>
          <t>PX_SETTLE</t>
        </is>
      </c>
      <c r="NC3" s="5" t="inlineStr">
        <is>
          <t>PX_VOLUME</t>
        </is>
      </c>
      <c r="ND3" s="5" t="inlineStr">
        <is>
          <t>OPEN_INT</t>
        </is>
      </c>
      <c r="NE3" s="5" t="inlineStr">
        <is>
          <t>IVOL_MID</t>
        </is>
      </c>
      <c r="NF3" s="5" t="inlineStr">
        <is>
          <t>IVOL_BID</t>
        </is>
      </c>
      <c r="NG3" s="5" t="inlineStr">
        <is>
          <t>IVOL_ASK</t>
        </is>
      </c>
      <c r="NH3" s="5" t="inlineStr">
        <is>
          <t>DELTA_MID</t>
        </is>
      </c>
      <c r="NI3" s="5" t="inlineStr">
        <is>
          <t>GAMMA_MID</t>
        </is>
      </c>
      <c r="NJ3" s="5" t="inlineStr">
        <is>
          <t>VEGA_MID</t>
        </is>
      </c>
      <c r="NK3" s="5" t="inlineStr">
        <is>
          <t>THETA_MID</t>
        </is>
      </c>
      <c r="NL3" s="5" t="inlineStr">
        <is>
          <t>OPT_UNDL_PX</t>
        </is>
      </c>
    </row>
    <row r="4">
      <c r="A4" s="2" t="inlineStr">
        <is>
          <t>Strike reference date</t>
        </is>
      </c>
      <c r="B4" s="8">
        <f>B3-45</f>
        <v/>
      </c>
      <c r="D4" s="4">
        <f>BDH(D$1,E$3:S$3,$B$8,$B$9,"Dir=V","Dts=S","Sort=A","Days=T","Fill=B")</f>
        <v/>
      </c>
      <c r="U4" s="4">
        <f>BDH(U$1,V$3:AJ$3,$B$8,$B$9,"Dir=V","Dts=S","Sort=A","Days=T","Fill=B")</f>
        <v/>
      </c>
      <c r="AL4" s="4">
        <f>BDH(AL$1,AM$3:BA$3,$B$8,$B$9,"Dir=V","Dts=S","Sort=A","Days=T","Fill=B")</f>
        <v/>
      </c>
      <c r="BC4" s="4">
        <f>BDH(BC$1,BD$3:BR$3,$B$8,$B$9,"Dir=V","Dts=S","Sort=A","Days=T","Fill=B")</f>
        <v/>
      </c>
      <c r="BT4" s="4">
        <f>BDH(BT$1,BU$3:CI$3,$B$8,$B$9,"Dir=V","Dts=S","Sort=A","Days=T","Fill=B")</f>
        <v/>
      </c>
      <c r="CK4" s="4">
        <f>BDH(CK$1,CL$3:CZ$3,$B$8,$B$9,"Dir=V","Dts=S","Sort=A","Days=T","Fill=B")</f>
        <v/>
      </c>
      <c r="DB4" s="4">
        <f>BDH(DB$1,DC$3:DQ$3,$B$8,$B$9,"Dir=V","Dts=S","Sort=A","Days=T","Fill=B")</f>
        <v/>
      </c>
      <c r="DS4" s="4">
        <f>BDH(DS$1,DT$3:EH$3,$B$8,$B$9,"Dir=V","Dts=S","Sort=A","Days=T","Fill=B")</f>
        <v/>
      </c>
      <c r="EJ4" s="4">
        <f>BDH(EJ$1,EK$3:EY$3,$B$8,$B$9,"Dir=V","Dts=S","Sort=A","Days=T","Fill=B")</f>
        <v/>
      </c>
      <c r="FA4" s="4">
        <f>BDH(FA$1,FB$3:FP$3,$B$8,$B$9,"Dir=V","Dts=S","Sort=A","Days=T","Fill=B")</f>
        <v/>
      </c>
      <c r="FR4" s="4">
        <f>BDH(FR$1,FS$3:GG$3,$B$8,$B$9,"Dir=V","Dts=S","Sort=A","Days=T","Fill=B")</f>
        <v/>
      </c>
      <c r="GI4" s="4">
        <f>BDH(GI$1,GJ$3:GX$3,$B$8,$B$9,"Dir=V","Dts=S","Sort=A","Days=T","Fill=B")</f>
        <v/>
      </c>
      <c r="GZ4" s="4">
        <f>BDH(GZ$1,HA$3:HO$3,$B$8,$B$9,"Dir=V","Dts=S","Sort=A","Days=T","Fill=B")</f>
        <v/>
      </c>
      <c r="HQ4" s="4">
        <f>BDH(HQ$1,HR$3:IF$3,$B$8,$B$9,"Dir=V","Dts=S","Sort=A","Days=T","Fill=B")</f>
        <v/>
      </c>
      <c r="IH4" s="4">
        <f>BDH(IH$1,II$3:IW$3,$B$8,$B$9,"Dir=V","Dts=S","Sort=A","Days=T","Fill=B")</f>
        <v/>
      </c>
      <c r="IY4" s="4">
        <f>BDH(IY$1,IZ$3:JN$3,$B$8,$B$9,"Dir=V","Dts=S","Sort=A","Days=T","Fill=B")</f>
        <v/>
      </c>
      <c r="JP4" s="4">
        <f>BDH(JP$1,JQ$3:KE$3,$B$8,$B$9,"Dir=V","Dts=S","Sort=A","Days=T","Fill=B")</f>
        <v/>
      </c>
      <c r="KG4" s="4">
        <f>BDH(KG$1,KH$3:KV$3,$B$8,$B$9,"Dir=V","Dts=S","Sort=A","Days=T","Fill=B")</f>
        <v/>
      </c>
      <c r="KX4" s="4">
        <f>BDH(KX$1,KY$3:LM$3,$B$8,$B$9,"Dir=V","Dts=S","Sort=A","Days=T","Fill=B")</f>
        <v/>
      </c>
      <c r="LO4" s="4">
        <f>BDH(LO$1,LP$3:MD$3,$B$8,$B$9,"Dir=V","Dts=S","Sort=A","Days=T","Fill=B")</f>
        <v/>
      </c>
      <c r="MF4" s="4">
        <f>BDH(MF$1,MG$3:MU$3,$B$8,$B$9,"Dir=V","Dts=S","Sort=A","Days=T","Fill=B")</f>
        <v/>
      </c>
      <c r="MW4" s="4">
        <f>BDH(MW$1,MX$3:NL$3,$B$8,$B$9,"Dir=V","Dts=S","Sort=A","Days=T","Fill=B")</f>
        <v/>
      </c>
    </row>
    <row r="5">
      <c r="A5" s="2" t="inlineStr">
        <is>
          <t>Unadjusted close then</t>
        </is>
      </c>
      <c r="B5" s="10">
        <f>IF(B2="","",BDH(B2,"PX_LAST",B4,B4,"Days=A","Fill=P","Dts=H","CshAdjNormal=N","CshAdjAbnormal=N","CapChg=N"))</f>
        <v/>
      </c>
    </row>
    <row r="6">
      <c r="A6" s="2" t="inlineStr">
        <is>
          <t>Strike step</t>
        </is>
      </c>
      <c r="B6" s="11">
        <f>IF(ISNUMBER(B5),IF(B5&lt;25,0.5,IF(B5&lt;250,1,5)),"")</f>
        <v/>
      </c>
    </row>
    <row r="7">
      <c r="A7" s="2" t="inlineStr">
        <is>
          <t>ATM strike</t>
        </is>
      </c>
      <c r="B7" s="11">
        <f>IF(ISNUMBER(B5),ROUND(B5/B6,0)*B6,"")</f>
        <v/>
      </c>
    </row>
    <row r="8">
      <c r="A8" s="2" t="inlineStr">
        <is>
          <t>History start</t>
        </is>
      </c>
      <c r="B8" s="8">
        <f>B3-100</f>
        <v/>
      </c>
    </row>
    <row r="9">
      <c r="A9" s="2" t="inlineStr">
        <is>
          <t>History end</t>
        </is>
      </c>
      <c r="B9" s="8">
        <f>B3</f>
        <v/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NL9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2" customWidth="1" min="2" max="2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1" customWidth="1" min="15" max="15"/>
    <col width="11" customWidth="1" min="16" max="16"/>
    <col width="10" customWidth="1" min="17" max="17"/>
    <col width="11" customWidth="1" min="18" max="18"/>
    <col width="13" customWidth="1" min="19" max="19"/>
    <col width="12" customWidth="1" min="21" max="21"/>
    <col width="10" customWidth="1" min="22" max="22"/>
    <col width="10" customWidth="1" min="23" max="23"/>
    <col width="10" customWidth="1" min="24" max="24"/>
    <col width="10" customWidth="1" min="25" max="25"/>
    <col width="11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1" customWidth="1" min="32" max="32"/>
    <col width="11" customWidth="1" min="33" max="33"/>
    <col width="10" customWidth="1" min="34" max="34"/>
    <col width="11" customWidth="1" min="35" max="35"/>
    <col width="13" customWidth="1" min="36" max="36"/>
    <col width="12" customWidth="1" min="38" max="38"/>
    <col width="10" customWidth="1" min="39" max="39"/>
    <col width="10" customWidth="1" min="40" max="40"/>
    <col width="10" customWidth="1" min="41" max="41"/>
    <col width="10" customWidth="1" min="42" max="42"/>
    <col width="11" customWidth="1" min="43" max="43"/>
    <col width="11" customWidth="1" min="44" max="44"/>
    <col width="10" customWidth="1" min="45" max="45"/>
    <col width="10" customWidth="1" min="46" max="46"/>
    <col width="10" customWidth="1" min="47" max="47"/>
    <col width="10" customWidth="1" min="48" max="48"/>
    <col width="11" customWidth="1" min="49" max="49"/>
    <col width="11" customWidth="1" min="50" max="50"/>
    <col width="10" customWidth="1" min="51" max="51"/>
    <col width="11" customWidth="1" min="52" max="52"/>
    <col width="13" customWidth="1" min="53" max="53"/>
    <col width="12" customWidth="1" min="55" max="55"/>
    <col width="10" customWidth="1" min="56" max="56"/>
    <col width="10" customWidth="1" min="57" max="57"/>
    <col width="10" customWidth="1" min="58" max="58"/>
    <col width="10" customWidth="1" min="59" max="59"/>
    <col width="11" customWidth="1" min="60" max="60"/>
    <col width="11" customWidth="1" min="61" max="61"/>
    <col width="10" customWidth="1" min="62" max="62"/>
    <col width="10" customWidth="1" min="63" max="63"/>
    <col width="10" customWidth="1" min="64" max="64"/>
    <col width="10" customWidth="1" min="65" max="65"/>
    <col width="11" customWidth="1" min="66" max="66"/>
    <col width="11" customWidth="1" min="67" max="67"/>
    <col width="10" customWidth="1" min="68" max="68"/>
    <col width="11" customWidth="1" min="69" max="69"/>
    <col width="13" customWidth="1" min="70" max="70"/>
    <col width="12" customWidth="1" min="72" max="72"/>
    <col width="10" customWidth="1" min="73" max="73"/>
    <col width="10" customWidth="1" min="74" max="74"/>
    <col width="10" customWidth="1" min="75" max="75"/>
    <col width="10" customWidth="1" min="76" max="76"/>
    <col width="11" customWidth="1" min="77" max="77"/>
    <col width="11" customWidth="1" min="78" max="78"/>
    <col width="10" customWidth="1" min="79" max="79"/>
    <col width="10" customWidth="1" min="80" max="80"/>
    <col width="10" customWidth="1" min="81" max="81"/>
    <col width="10" customWidth="1" min="82" max="82"/>
    <col width="11" customWidth="1" min="83" max="83"/>
    <col width="11" customWidth="1" min="84" max="84"/>
    <col width="10" customWidth="1" min="85" max="85"/>
    <col width="11" customWidth="1" min="86" max="86"/>
    <col width="13" customWidth="1" min="87" max="87"/>
    <col width="12" customWidth="1" min="89" max="89"/>
    <col width="10" customWidth="1" min="90" max="90"/>
    <col width="10" customWidth="1" min="91" max="91"/>
    <col width="10" customWidth="1" min="92" max="92"/>
    <col width="10" customWidth="1" min="93" max="93"/>
    <col width="11" customWidth="1" min="94" max="94"/>
    <col width="11" customWidth="1" min="95" max="95"/>
    <col width="10" customWidth="1" min="96" max="96"/>
    <col width="10" customWidth="1" min="97" max="97"/>
    <col width="10" customWidth="1" min="98" max="98"/>
    <col width="10" customWidth="1" min="99" max="99"/>
    <col width="11" customWidth="1" min="100" max="100"/>
    <col width="11" customWidth="1" min="101" max="101"/>
    <col width="10" customWidth="1" min="102" max="102"/>
    <col width="11" customWidth="1" min="103" max="103"/>
    <col width="13" customWidth="1" min="104" max="104"/>
    <col width="12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1" customWidth="1" min="111" max="111"/>
    <col width="11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1" customWidth="1" min="117" max="117"/>
    <col width="11" customWidth="1" min="118" max="118"/>
    <col width="10" customWidth="1" min="119" max="119"/>
    <col width="11" customWidth="1" min="120" max="120"/>
    <col width="13" customWidth="1" min="121" max="121"/>
    <col width="12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1" customWidth="1" min="128" max="128"/>
    <col width="11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1" customWidth="1" min="134" max="134"/>
    <col width="11" customWidth="1" min="135" max="135"/>
    <col width="10" customWidth="1" min="136" max="136"/>
    <col width="11" customWidth="1" min="137" max="137"/>
    <col width="13" customWidth="1" min="138" max="138"/>
    <col width="12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1" customWidth="1" min="145" max="145"/>
    <col width="11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1" customWidth="1" min="151" max="151"/>
    <col width="11" customWidth="1" min="152" max="152"/>
    <col width="10" customWidth="1" min="153" max="153"/>
    <col width="11" customWidth="1" min="154" max="154"/>
    <col width="13" customWidth="1" min="155" max="155"/>
    <col width="12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1" customWidth="1" min="162" max="162"/>
    <col width="11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1" customWidth="1" min="168" max="168"/>
    <col width="11" customWidth="1" min="169" max="169"/>
    <col width="10" customWidth="1" min="170" max="170"/>
    <col width="11" customWidth="1" min="171" max="171"/>
    <col width="13" customWidth="1" min="172" max="172"/>
    <col width="12" customWidth="1" min="174" max="174"/>
    <col width="10" customWidth="1" min="175" max="175"/>
    <col width="10" customWidth="1" min="176" max="176"/>
    <col width="10" customWidth="1" min="177" max="177"/>
    <col width="10" customWidth="1" min="178" max="178"/>
    <col width="11" customWidth="1" min="179" max="179"/>
    <col width="11" customWidth="1" min="180" max="180"/>
    <col width="10" customWidth="1" min="181" max="181"/>
    <col width="10" customWidth="1" min="182" max="182"/>
    <col width="10" customWidth="1" min="183" max="183"/>
    <col width="10" customWidth="1" min="184" max="184"/>
    <col width="11" customWidth="1" min="185" max="185"/>
    <col width="11" customWidth="1" min="186" max="186"/>
    <col width="10" customWidth="1" min="187" max="187"/>
    <col width="11" customWidth="1" min="188" max="188"/>
    <col width="13" customWidth="1" min="189" max="189"/>
    <col width="12" customWidth="1" min="191" max="191"/>
    <col width="10" customWidth="1" min="192" max="192"/>
    <col width="10" customWidth="1" min="193" max="193"/>
    <col width="10" customWidth="1" min="194" max="194"/>
    <col width="10" customWidth="1" min="195" max="195"/>
    <col width="11" customWidth="1" min="196" max="196"/>
    <col width="11" customWidth="1" min="197" max="197"/>
    <col width="10" customWidth="1" min="198" max="198"/>
    <col width="10" customWidth="1" min="199" max="199"/>
    <col width="10" customWidth="1" min="200" max="200"/>
    <col width="10" customWidth="1" min="201" max="201"/>
    <col width="11" customWidth="1" min="202" max="202"/>
    <col width="11" customWidth="1" min="203" max="203"/>
    <col width="10" customWidth="1" min="204" max="204"/>
    <col width="11" customWidth="1" min="205" max="205"/>
    <col width="13" customWidth="1" min="206" max="206"/>
    <col width="12" customWidth="1" min="208" max="208"/>
    <col width="10" customWidth="1" min="209" max="209"/>
    <col width="10" customWidth="1" min="210" max="210"/>
    <col width="10" customWidth="1" min="211" max="211"/>
    <col width="10" customWidth="1" min="212" max="212"/>
    <col width="11" customWidth="1" min="213" max="213"/>
    <col width="11" customWidth="1" min="214" max="214"/>
    <col width="10" customWidth="1" min="215" max="215"/>
    <col width="10" customWidth="1" min="216" max="216"/>
    <col width="10" customWidth="1" min="217" max="217"/>
    <col width="10" customWidth="1" min="218" max="218"/>
    <col width="11" customWidth="1" min="219" max="219"/>
    <col width="11" customWidth="1" min="220" max="220"/>
    <col width="10" customWidth="1" min="221" max="221"/>
    <col width="11" customWidth="1" min="222" max="222"/>
    <col width="13" customWidth="1" min="223" max="223"/>
    <col width="12" customWidth="1" min="225" max="225"/>
    <col width="10" customWidth="1" min="226" max="226"/>
    <col width="10" customWidth="1" min="227" max="227"/>
    <col width="10" customWidth="1" min="228" max="228"/>
    <col width="10" customWidth="1" min="229" max="229"/>
    <col width="11" customWidth="1" min="230" max="230"/>
    <col width="11" customWidth="1" min="231" max="231"/>
    <col width="10" customWidth="1" min="232" max="232"/>
    <col width="10" customWidth="1" min="233" max="233"/>
    <col width="10" customWidth="1" min="234" max="234"/>
    <col width="10" customWidth="1" min="235" max="235"/>
    <col width="11" customWidth="1" min="236" max="236"/>
    <col width="11" customWidth="1" min="237" max="237"/>
    <col width="10" customWidth="1" min="238" max="238"/>
    <col width="11" customWidth="1" min="239" max="239"/>
    <col width="13" customWidth="1" min="240" max="240"/>
    <col width="12" customWidth="1" min="242" max="242"/>
    <col width="10" customWidth="1" min="243" max="243"/>
    <col width="10" customWidth="1" min="244" max="244"/>
    <col width="10" customWidth="1" min="245" max="245"/>
    <col width="10" customWidth="1" min="246" max="246"/>
    <col width="11" customWidth="1" min="247" max="247"/>
    <col width="11" customWidth="1" min="248" max="248"/>
    <col width="10" customWidth="1" min="249" max="249"/>
    <col width="10" customWidth="1" min="250" max="250"/>
    <col width="10" customWidth="1" min="251" max="251"/>
    <col width="10" customWidth="1" min="252" max="252"/>
    <col width="11" customWidth="1" min="253" max="253"/>
    <col width="11" customWidth="1" min="254" max="254"/>
    <col width="10" customWidth="1" min="255" max="255"/>
    <col width="11" customWidth="1" min="256" max="256"/>
    <col width="13" customWidth="1" min="257" max="257"/>
    <col width="12" customWidth="1" min="259" max="259"/>
    <col width="10" customWidth="1" min="260" max="260"/>
    <col width="10" customWidth="1" min="261" max="261"/>
    <col width="10" customWidth="1" min="262" max="262"/>
    <col width="10" customWidth="1" min="263" max="263"/>
    <col width="11" customWidth="1" min="264" max="264"/>
    <col width="11" customWidth="1" min="265" max="265"/>
    <col width="10" customWidth="1" min="266" max="266"/>
    <col width="10" customWidth="1" min="267" max="267"/>
    <col width="10" customWidth="1" min="268" max="268"/>
    <col width="10" customWidth="1" min="269" max="269"/>
    <col width="11" customWidth="1" min="270" max="270"/>
    <col width="11" customWidth="1" min="271" max="271"/>
    <col width="10" customWidth="1" min="272" max="272"/>
    <col width="11" customWidth="1" min="273" max="273"/>
    <col width="13" customWidth="1" min="274" max="274"/>
    <col width="12" customWidth="1" min="276" max="276"/>
    <col width="10" customWidth="1" min="277" max="277"/>
    <col width="10" customWidth="1" min="278" max="278"/>
    <col width="10" customWidth="1" min="279" max="279"/>
    <col width="10" customWidth="1" min="280" max="280"/>
    <col width="11" customWidth="1" min="281" max="281"/>
    <col width="11" customWidth="1" min="282" max="282"/>
    <col width="10" customWidth="1" min="283" max="283"/>
    <col width="10" customWidth="1" min="284" max="284"/>
    <col width="10" customWidth="1" min="285" max="285"/>
    <col width="10" customWidth="1" min="286" max="286"/>
    <col width="11" customWidth="1" min="287" max="287"/>
    <col width="11" customWidth="1" min="288" max="288"/>
    <col width="10" customWidth="1" min="289" max="289"/>
    <col width="11" customWidth="1" min="290" max="290"/>
    <col width="13" customWidth="1" min="291" max="291"/>
    <col width="12" customWidth="1" min="293" max="293"/>
    <col width="10" customWidth="1" min="294" max="294"/>
    <col width="10" customWidth="1" min="295" max="295"/>
    <col width="10" customWidth="1" min="296" max="296"/>
    <col width="10" customWidth="1" min="297" max="297"/>
    <col width="11" customWidth="1" min="298" max="298"/>
    <col width="11" customWidth="1" min="299" max="299"/>
    <col width="10" customWidth="1" min="300" max="300"/>
    <col width="10" customWidth="1" min="301" max="301"/>
    <col width="10" customWidth="1" min="302" max="302"/>
    <col width="10" customWidth="1" min="303" max="303"/>
    <col width="11" customWidth="1" min="304" max="304"/>
    <col width="11" customWidth="1" min="305" max="305"/>
    <col width="10" customWidth="1" min="306" max="306"/>
    <col width="11" customWidth="1" min="307" max="307"/>
    <col width="13" customWidth="1" min="308" max="308"/>
    <col width="12" customWidth="1" min="310" max="310"/>
    <col width="10" customWidth="1" min="311" max="311"/>
    <col width="10" customWidth="1" min="312" max="312"/>
    <col width="10" customWidth="1" min="313" max="313"/>
    <col width="10" customWidth="1" min="314" max="314"/>
    <col width="11" customWidth="1" min="315" max="315"/>
    <col width="11" customWidth="1" min="316" max="316"/>
    <col width="10" customWidth="1" min="317" max="317"/>
    <col width="10" customWidth="1" min="318" max="318"/>
    <col width="10" customWidth="1" min="319" max="319"/>
    <col width="10" customWidth="1" min="320" max="320"/>
    <col width="11" customWidth="1" min="321" max="321"/>
    <col width="11" customWidth="1" min="322" max="322"/>
    <col width="10" customWidth="1" min="323" max="323"/>
    <col width="11" customWidth="1" min="324" max="324"/>
    <col width="13" customWidth="1" min="325" max="325"/>
    <col width="12" customWidth="1" min="327" max="327"/>
    <col width="10" customWidth="1" min="328" max="328"/>
    <col width="10" customWidth="1" min="329" max="329"/>
    <col width="10" customWidth="1" min="330" max="330"/>
    <col width="10" customWidth="1" min="331" max="331"/>
    <col width="11" customWidth="1" min="332" max="332"/>
    <col width="11" customWidth="1" min="333" max="333"/>
    <col width="10" customWidth="1" min="334" max="334"/>
    <col width="10" customWidth="1" min="335" max="335"/>
    <col width="10" customWidth="1" min="336" max="336"/>
    <col width="10" customWidth="1" min="337" max="337"/>
    <col width="11" customWidth="1" min="338" max="338"/>
    <col width="11" customWidth="1" min="339" max="339"/>
    <col width="10" customWidth="1" min="340" max="340"/>
    <col width="11" customWidth="1" min="341" max="341"/>
    <col width="13" customWidth="1" min="342" max="342"/>
    <col width="12" customWidth="1" min="344" max="344"/>
    <col width="10" customWidth="1" min="345" max="345"/>
    <col width="10" customWidth="1" min="346" max="346"/>
    <col width="10" customWidth="1" min="347" max="347"/>
    <col width="10" customWidth="1" min="348" max="348"/>
    <col width="11" customWidth="1" min="349" max="349"/>
    <col width="11" customWidth="1" min="350" max="350"/>
    <col width="10" customWidth="1" min="351" max="351"/>
    <col width="10" customWidth="1" min="352" max="352"/>
    <col width="10" customWidth="1" min="353" max="353"/>
    <col width="10" customWidth="1" min="354" max="354"/>
    <col width="11" customWidth="1" min="355" max="355"/>
    <col width="11" customWidth="1" min="356" max="356"/>
    <col width="10" customWidth="1" min="357" max="357"/>
    <col width="11" customWidth="1" min="358" max="358"/>
    <col width="13" customWidth="1" min="359" max="359"/>
    <col width="12" customWidth="1" min="361" max="361"/>
    <col width="10" customWidth="1" min="362" max="362"/>
    <col width="10" customWidth="1" min="363" max="363"/>
    <col width="10" customWidth="1" min="364" max="364"/>
    <col width="10" customWidth="1" min="365" max="365"/>
    <col width="11" customWidth="1" min="366" max="366"/>
    <col width="11" customWidth="1" min="367" max="367"/>
    <col width="10" customWidth="1" min="368" max="368"/>
    <col width="10" customWidth="1" min="369" max="369"/>
    <col width="10" customWidth="1" min="370" max="370"/>
    <col width="10" customWidth="1" min="371" max="371"/>
    <col width="11" customWidth="1" min="372" max="372"/>
    <col width="11" customWidth="1" min="373" max="373"/>
    <col width="10" customWidth="1" min="374" max="374"/>
    <col width="11" customWidth="1" min="375" max="375"/>
    <col width="13" customWidth="1" min="376" max="376"/>
  </cols>
  <sheetData>
    <row r="1">
      <c r="A1" s="2" t="inlineStr">
        <is>
          <t>Month</t>
        </is>
      </c>
      <c r="B1" s="9" t="n">
        <v>9</v>
      </c>
      <c r="D1" s="2">
        <f>IF(ISNUMBER(B$7),"XLE US "&amp;TEXT(B$3,"mm/dd/yy")&amp;" C"&amp;(B$7-5*B$6)&amp;" Equity","")</f>
        <v/>
      </c>
      <c r="U1" s="2">
        <f>IF(ISNUMBER(B$7),"XLE US "&amp;TEXT(B$3,"mm/dd/yy")&amp;" P"&amp;(B$7-5*B$6)&amp;" Equity","")</f>
        <v/>
      </c>
      <c r="AL1" s="2">
        <f>IF(ISNUMBER(B$7),"XLE US "&amp;TEXT(B$3,"mm/dd/yy")&amp;" C"&amp;(B$7-4*B$6)&amp;" Equity","")</f>
        <v/>
      </c>
      <c r="BC1" s="2">
        <f>IF(ISNUMBER(B$7),"XLE US "&amp;TEXT(B$3,"mm/dd/yy")&amp;" P"&amp;(B$7-4*B$6)&amp;" Equity","")</f>
        <v/>
      </c>
      <c r="BT1" s="2">
        <f>IF(ISNUMBER(B$7),"XLE US "&amp;TEXT(B$3,"mm/dd/yy")&amp;" C"&amp;(B$7-3*B$6)&amp;" Equity","")</f>
        <v/>
      </c>
      <c r="CK1" s="2">
        <f>IF(ISNUMBER(B$7),"XLE US "&amp;TEXT(B$3,"mm/dd/yy")&amp;" P"&amp;(B$7-3*B$6)&amp;" Equity","")</f>
        <v/>
      </c>
      <c r="DB1" s="2">
        <f>IF(ISNUMBER(B$7),"XLE US "&amp;TEXT(B$3,"mm/dd/yy")&amp;" C"&amp;(B$7-2*B$6)&amp;" Equity","")</f>
        <v/>
      </c>
      <c r="DS1" s="2">
        <f>IF(ISNUMBER(B$7),"XLE US "&amp;TEXT(B$3,"mm/dd/yy")&amp;" P"&amp;(B$7-2*B$6)&amp;" Equity","")</f>
        <v/>
      </c>
      <c r="EJ1" s="2">
        <f>IF(ISNUMBER(B$7),"XLE US "&amp;TEXT(B$3,"mm/dd/yy")&amp;" C"&amp;(B$7-1*B$6)&amp;" Equity","")</f>
        <v/>
      </c>
      <c r="FA1" s="2">
        <f>IF(ISNUMBER(B$7),"XLE US "&amp;TEXT(B$3,"mm/dd/yy")&amp;" P"&amp;(B$7-1*B$6)&amp;" Equity","")</f>
        <v/>
      </c>
      <c r="FR1" s="2">
        <f>IF(ISNUMBER(B$7),"XLE US "&amp;TEXT(B$3,"mm/dd/yy")&amp;" C"&amp;B$7&amp;" Equity","")</f>
        <v/>
      </c>
      <c r="GI1" s="2">
        <f>IF(ISNUMBER(B$7),"XLE US "&amp;TEXT(B$3,"mm/dd/yy")&amp;" P"&amp;B$7&amp;" Equity","")</f>
        <v/>
      </c>
      <c r="GZ1" s="2">
        <f>IF(ISNUMBER(B$7),"XLE US "&amp;TEXT(B$3,"mm/dd/yy")&amp;" C"&amp;(B$7+1*B$6)&amp;" Equity","")</f>
        <v/>
      </c>
      <c r="HQ1" s="2">
        <f>IF(ISNUMBER(B$7),"XLE US "&amp;TEXT(B$3,"mm/dd/yy")&amp;" P"&amp;(B$7+1*B$6)&amp;" Equity","")</f>
        <v/>
      </c>
      <c r="IH1" s="2">
        <f>IF(ISNUMBER(B$7),"XLE US "&amp;TEXT(B$3,"mm/dd/yy")&amp;" C"&amp;(B$7+2*B$6)&amp;" Equity","")</f>
        <v/>
      </c>
      <c r="IY1" s="2">
        <f>IF(ISNUMBER(B$7),"XLE US "&amp;TEXT(B$3,"mm/dd/yy")&amp;" P"&amp;(B$7+2*B$6)&amp;" Equity","")</f>
        <v/>
      </c>
      <c r="JP1" s="2">
        <f>IF(ISNUMBER(B$7),"XLE US "&amp;TEXT(B$3,"mm/dd/yy")&amp;" C"&amp;(B$7+3*B$6)&amp;" Equity","")</f>
        <v/>
      </c>
      <c r="KG1" s="2">
        <f>IF(ISNUMBER(B$7),"XLE US "&amp;TEXT(B$3,"mm/dd/yy")&amp;" P"&amp;(B$7+3*B$6)&amp;" Equity","")</f>
        <v/>
      </c>
      <c r="KX1" s="2">
        <f>IF(ISNUMBER(B$7),"XLE US "&amp;TEXT(B$3,"mm/dd/yy")&amp;" C"&amp;(B$7+4*B$6)&amp;" Equity","")</f>
        <v/>
      </c>
      <c r="LO1" s="2">
        <f>IF(ISNUMBER(B$7),"XLE US "&amp;TEXT(B$3,"mm/dd/yy")&amp;" P"&amp;(B$7+4*B$6)&amp;" Equity","")</f>
        <v/>
      </c>
      <c r="MF1" s="2">
        <f>IF(ISNUMBER(B$7),"XLE US "&amp;TEXT(B$3,"mm/dd/yy")&amp;" C"&amp;(B$7+5*B$6)&amp;" Equity","")</f>
        <v/>
      </c>
      <c r="MW1" s="2">
        <f>IF(ISNUMBER(B$7),"XLE US "&amp;TEXT(B$3,"mm/dd/yy")&amp;" P"&amp;(B$7+5*B$6)&amp;" Equity","")</f>
        <v/>
      </c>
    </row>
    <row r="2">
      <c r="A2" s="2" t="inlineStr">
        <is>
          <t>Underlying</t>
        </is>
      </c>
      <c r="B2" s="4">
        <f>IF(Settings!$B$16="Y","XLE US Equity","")</f>
        <v/>
      </c>
      <c r="D2" s="4" t="inlineStr">
        <is>
          <t>call -5 from ATM</t>
        </is>
      </c>
      <c r="U2" s="4" t="inlineStr">
        <is>
          <t>put -5 from ATM</t>
        </is>
      </c>
      <c r="AL2" s="4" t="inlineStr">
        <is>
          <t>call -4 from ATM</t>
        </is>
      </c>
      <c r="BC2" s="4" t="inlineStr">
        <is>
          <t>put -4 from ATM</t>
        </is>
      </c>
      <c r="BT2" s="4" t="inlineStr">
        <is>
          <t>call -3 from ATM</t>
        </is>
      </c>
      <c r="CK2" s="4" t="inlineStr">
        <is>
          <t>put -3 from ATM</t>
        </is>
      </c>
      <c r="DB2" s="4" t="inlineStr">
        <is>
          <t>call -2 from ATM</t>
        </is>
      </c>
      <c r="DS2" s="4" t="inlineStr">
        <is>
          <t>put -2 from ATM</t>
        </is>
      </c>
      <c r="EJ2" s="4" t="inlineStr">
        <is>
          <t>call -1 from ATM</t>
        </is>
      </c>
      <c r="FA2" s="4" t="inlineStr">
        <is>
          <t>put -1 from ATM</t>
        </is>
      </c>
      <c r="FR2" s="4" t="inlineStr">
        <is>
          <t>call +0 from ATM</t>
        </is>
      </c>
      <c r="GI2" s="4" t="inlineStr">
        <is>
          <t>put +0 from ATM</t>
        </is>
      </c>
      <c r="GZ2" s="4" t="inlineStr">
        <is>
          <t>call +1 from ATM</t>
        </is>
      </c>
      <c r="HQ2" s="4" t="inlineStr">
        <is>
          <t>put +1 from ATM</t>
        </is>
      </c>
      <c r="IH2" s="4" t="inlineStr">
        <is>
          <t>call +2 from ATM</t>
        </is>
      </c>
      <c r="IY2" s="4" t="inlineStr">
        <is>
          <t>put +2 from ATM</t>
        </is>
      </c>
      <c r="JP2" s="4" t="inlineStr">
        <is>
          <t>call +3 from ATM</t>
        </is>
      </c>
      <c r="KG2" s="4" t="inlineStr">
        <is>
          <t>put +3 from ATM</t>
        </is>
      </c>
      <c r="KX2" s="4" t="inlineStr">
        <is>
          <t>call +4 from ATM</t>
        </is>
      </c>
      <c r="LO2" s="4" t="inlineStr">
        <is>
          <t>put +4 from ATM</t>
        </is>
      </c>
      <c r="MF2" s="4" t="inlineStr">
        <is>
          <t>call +5 from ATM</t>
        </is>
      </c>
      <c r="MW2" s="4" t="inlineStr">
        <is>
          <t>put +5 from ATM</t>
        </is>
      </c>
    </row>
    <row r="3">
      <c r="A3" s="2" t="inlineStr">
        <is>
          <t>Expiry (3rd Friday)</t>
        </is>
      </c>
      <c r="B3" s="3">
        <f>DATE(Settings!$E$16,B1,15)+MOD(6-WEEKDAY(DATE(Settings!$E$16,B1,15)),7)</f>
        <v/>
      </c>
      <c r="D3" s="5" t="inlineStr">
        <is>
          <t>Date</t>
        </is>
      </c>
      <c r="E3" s="5" t="inlineStr">
        <is>
          <t>PX_BID</t>
        </is>
      </c>
      <c r="F3" s="5" t="inlineStr">
        <is>
          <t>PX_ASK</t>
        </is>
      </c>
      <c r="G3" s="5" t="inlineStr">
        <is>
          <t>PX_MID</t>
        </is>
      </c>
      <c r="H3" s="5" t="inlineStr">
        <is>
          <t>PX_LAST</t>
        </is>
      </c>
      <c r="I3" s="5" t="inlineStr">
        <is>
          <t>PX_SETTLE</t>
        </is>
      </c>
      <c r="J3" s="5" t="inlineStr">
        <is>
          <t>PX_VOLUME</t>
        </is>
      </c>
      <c r="K3" s="5" t="inlineStr">
        <is>
          <t>OPEN_INT</t>
        </is>
      </c>
      <c r="L3" s="5" t="inlineStr">
        <is>
          <t>IVOL_MID</t>
        </is>
      </c>
      <c r="M3" s="5" t="inlineStr">
        <is>
          <t>IVOL_BID</t>
        </is>
      </c>
      <c r="N3" s="5" t="inlineStr">
        <is>
          <t>IVOL_ASK</t>
        </is>
      </c>
      <c r="O3" s="5" t="inlineStr">
        <is>
          <t>DELTA_MID</t>
        </is>
      </c>
      <c r="P3" s="5" t="inlineStr">
        <is>
          <t>GAMMA_MID</t>
        </is>
      </c>
      <c r="Q3" s="5" t="inlineStr">
        <is>
          <t>VEGA_MID</t>
        </is>
      </c>
      <c r="R3" s="5" t="inlineStr">
        <is>
          <t>THETA_MID</t>
        </is>
      </c>
      <c r="S3" s="5" t="inlineStr">
        <is>
          <t>OPT_UNDL_PX</t>
        </is>
      </c>
      <c r="U3" s="5" t="inlineStr">
        <is>
          <t>Date</t>
        </is>
      </c>
      <c r="V3" s="5" t="inlineStr">
        <is>
          <t>PX_BID</t>
        </is>
      </c>
      <c r="W3" s="5" t="inlineStr">
        <is>
          <t>PX_ASK</t>
        </is>
      </c>
      <c r="X3" s="5" t="inlineStr">
        <is>
          <t>PX_MID</t>
        </is>
      </c>
      <c r="Y3" s="5" t="inlineStr">
        <is>
          <t>PX_LAST</t>
        </is>
      </c>
      <c r="Z3" s="5" t="inlineStr">
        <is>
          <t>PX_SETTLE</t>
        </is>
      </c>
      <c r="AA3" s="5" t="inlineStr">
        <is>
          <t>PX_VOLUME</t>
        </is>
      </c>
      <c r="AB3" s="5" t="inlineStr">
        <is>
          <t>OPEN_INT</t>
        </is>
      </c>
      <c r="AC3" s="5" t="inlineStr">
        <is>
          <t>IVOL_MID</t>
        </is>
      </c>
      <c r="AD3" s="5" t="inlineStr">
        <is>
          <t>IVOL_BID</t>
        </is>
      </c>
      <c r="AE3" s="5" t="inlineStr">
        <is>
          <t>IVOL_ASK</t>
        </is>
      </c>
      <c r="AF3" s="5" t="inlineStr">
        <is>
          <t>DELTA_MID</t>
        </is>
      </c>
      <c r="AG3" s="5" t="inlineStr">
        <is>
          <t>GAMMA_MID</t>
        </is>
      </c>
      <c r="AH3" s="5" t="inlineStr">
        <is>
          <t>VEGA_MID</t>
        </is>
      </c>
      <c r="AI3" s="5" t="inlineStr">
        <is>
          <t>THETA_MID</t>
        </is>
      </c>
      <c r="AJ3" s="5" t="inlineStr">
        <is>
          <t>OPT_UNDL_PX</t>
        </is>
      </c>
      <c r="AL3" s="5" t="inlineStr">
        <is>
          <t>Date</t>
        </is>
      </c>
      <c r="AM3" s="5" t="inlineStr">
        <is>
          <t>PX_BID</t>
        </is>
      </c>
      <c r="AN3" s="5" t="inlineStr">
        <is>
          <t>PX_ASK</t>
        </is>
      </c>
      <c r="AO3" s="5" t="inlineStr">
        <is>
          <t>PX_MID</t>
        </is>
      </c>
      <c r="AP3" s="5" t="inlineStr">
        <is>
          <t>PX_LAST</t>
        </is>
      </c>
      <c r="AQ3" s="5" t="inlineStr">
        <is>
          <t>PX_SETTLE</t>
        </is>
      </c>
      <c r="AR3" s="5" t="inlineStr">
        <is>
          <t>PX_VOLUME</t>
        </is>
      </c>
      <c r="AS3" s="5" t="inlineStr">
        <is>
          <t>OPEN_INT</t>
        </is>
      </c>
      <c r="AT3" s="5" t="inlineStr">
        <is>
          <t>IVOL_MID</t>
        </is>
      </c>
      <c r="AU3" s="5" t="inlineStr">
        <is>
          <t>IVOL_BID</t>
        </is>
      </c>
      <c r="AV3" s="5" t="inlineStr">
        <is>
          <t>IVOL_ASK</t>
        </is>
      </c>
      <c r="AW3" s="5" t="inlineStr">
        <is>
          <t>DELTA_MID</t>
        </is>
      </c>
      <c r="AX3" s="5" t="inlineStr">
        <is>
          <t>GAMMA_MID</t>
        </is>
      </c>
      <c r="AY3" s="5" t="inlineStr">
        <is>
          <t>VEGA_MID</t>
        </is>
      </c>
      <c r="AZ3" s="5" t="inlineStr">
        <is>
          <t>THETA_MID</t>
        </is>
      </c>
      <c r="BA3" s="5" t="inlineStr">
        <is>
          <t>OPT_UNDL_PX</t>
        </is>
      </c>
      <c r="BC3" s="5" t="inlineStr">
        <is>
          <t>Date</t>
        </is>
      </c>
      <c r="BD3" s="5" t="inlineStr">
        <is>
          <t>PX_BID</t>
        </is>
      </c>
      <c r="BE3" s="5" t="inlineStr">
        <is>
          <t>PX_ASK</t>
        </is>
      </c>
      <c r="BF3" s="5" t="inlineStr">
        <is>
          <t>PX_MID</t>
        </is>
      </c>
      <c r="BG3" s="5" t="inlineStr">
        <is>
          <t>PX_LAST</t>
        </is>
      </c>
      <c r="BH3" s="5" t="inlineStr">
        <is>
          <t>PX_SETTLE</t>
        </is>
      </c>
      <c r="BI3" s="5" t="inlineStr">
        <is>
          <t>PX_VOLUME</t>
        </is>
      </c>
      <c r="BJ3" s="5" t="inlineStr">
        <is>
          <t>OPEN_INT</t>
        </is>
      </c>
      <c r="BK3" s="5" t="inlineStr">
        <is>
          <t>IVOL_MID</t>
        </is>
      </c>
      <c r="BL3" s="5" t="inlineStr">
        <is>
          <t>IVOL_BID</t>
        </is>
      </c>
      <c r="BM3" s="5" t="inlineStr">
        <is>
          <t>IVOL_ASK</t>
        </is>
      </c>
      <c r="BN3" s="5" t="inlineStr">
        <is>
          <t>DELTA_MID</t>
        </is>
      </c>
      <c r="BO3" s="5" t="inlineStr">
        <is>
          <t>GAMMA_MID</t>
        </is>
      </c>
      <c r="BP3" s="5" t="inlineStr">
        <is>
          <t>VEGA_MID</t>
        </is>
      </c>
      <c r="BQ3" s="5" t="inlineStr">
        <is>
          <t>THETA_MID</t>
        </is>
      </c>
      <c r="BR3" s="5" t="inlineStr">
        <is>
          <t>OPT_UNDL_PX</t>
        </is>
      </c>
      <c r="BT3" s="5" t="inlineStr">
        <is>
          <t>Date</t>
        </is>
      </c>
      <c r="BU3" s="5" t="inlineStr">
        <is>
          <t>PX_BID</t>
        </is>
      </c>
      <c r="BV3" s="5" t="inlineStr">
        <is>
          <t>PX_ASK</t>
        </is>
      </c>
      <c r="BW3" s="5" t="inlineStr">
        <is>
          <t>PX_MID</t>
        </is>
      </c>
      <c r="BX3" s="5" t="inlineStr">
        <is>
          <t>PX_LAST</t>
        </is>
      </c>
      <c r="BY3" s="5" t="inlineStr">
        <is>
          <t>PX_SETTLE</t>
        </is>
      </c>
      <c r="BZ3" s="5" t="inlineStr">
        <is>
          <t>PX_VOLUME</t>
        </is>
      </c>
      <c r="CA3" s="5" t="inlineStr">
        <is>
          <t>OPEN_INT</t>
        </is>
      </c>
      <c r="CB3" s="5" t="inlineStr">
        <is>
          <t>IVOL_MID</t>
        </is>
      </c>
      <c r="CC3" s="5" t="inlineStr">
        <is>
          <t>IVOL_BID</t>
        </is>
      </c>
      <c r="CD3" s="5" t="inlineStr">
        <is>
          <t>IVOL_ASK</t>
        </is>
      </c>
      <c r="CE3" s="5" t="inlineStr">
        <is>
          <t>DELTA_MID</t>
        </is>
      </c>
      <c r="CF3" s="5" t="inlineStr">
        <is>
          <t>GAMMA_MID</t>
        </is>
      </c>
      <c r="CG3" s="5" t="inlineStr">
        <is>
          <t>VEGA_MID</t>
        </is>
      </c>
      <c r="CH3" s="5" t="inlineStr">
        <is>
          <t>THETA_MID</t>
        </is>
      </c>
      <c r="CI3" s="5" t="inlineStr">
        <is>
          <t>OPT_UNDL_PX</t>
        </is>
      </c>
      <c r="CK3" s="5" t="inlineStr">
        <is>
          <t>Date</t>
        </is>
      </c>
      <c r="CL3" s="5" t="inlineStr">
        <is>
          <t>PX_BID</t>
        </is>
      </c>
      <c r="CM3" s="5" t="inlineStr">
        <is>
          <t>PX_ASK</t>
        </is>
      </c>
      <c r="CN3" s="5" t="inlineStr">
        <is>
          <t>PX_MID</t>
        </is>
      </c>
      <c r="CO3" s="5" t="inlineStr">
        <is>
          <t>PX_LAST</t>
        </is>
      </c>
      <c r="CP3" s="5" t="inlineStr">
        <is>
          <t>PX_SETTLE</t>
        </is>
      </c>
      <c r="CQ3" s="5" t="inlineStr">
        <is>
          <t>PX_VOLUME</t>
        </is>
      </c>
      <c r="CR3" s="5" t="inlineStr">
        <is>
          <t>OPEN_INT</t>
        </is>
      </c>
      <c r="CS3" s="5" t="inlineStr">
        <is>
          <t>IVOL_MID</t>
        </is>
      </c>
      <c r="CT3" s="5" t="inlineStr">
        <is>
          <t>IVOL_BID</t>
        </is>
      </c>
      <c r="CU3" s="5" t="inlineStr">
        <is>
          <t>IVOL_ASK</t>
        </is>
      </c>
      <c r="CV3" s="5" t="inlineStr">
        <is>
          <t>DELTA_MID</t>
        </is>
      </c>
      <c r="CW3" s="5" t="inlineStr">
        <is>
          <t>GAMMA_MID</t>
        </is>
      </c>
      <c r="CX3" s="5" t="inlineStr">
        <is>
          <t>VEGA_MID</t>
        </is>
      </c>
      <c r="CY3" s="5" t="inlineStr">
        <is>
          <t>THETA_MID</t>
        </is>
      </c>
      <c r="CZ3" s="5" t="inlineStr">
        <is>
          <t>OPT_UNDL_PX</t>
        </is>
      </c>
      <c r="DB3" s="5" t="inlineStr">
        <is>
          <t>Date</t>
        </is>
      </c>
      <c r="DC3" s="5" t="inlineStr">
        <is>
          <t>PX_BID</t>
        </is>
      </c>
      <c r="DD3" s="5" t="inlineStr">
        <is>
          <t>PX_ASK</t>
        </is>
      </c>
      <c r="DE3" s="5" t="inlineStr">
        <is>
          <t>PX_MID</t>
        </is>
      </c>
      <c r="DF3" s="5" t="inlineStr">
        <is>
          <t>PX_LAST</t>
        </is>
      </c>
      <c r="DG3" s="5" t="inlineStr">
        <is>
          <t>PX_SETTLE</t>
        </is>
      </c>
      <c r="DH3" s="5" t="inlineStr">
        <is>
          <t>PX_VOLUME</t>
        </is>
      </c>
      <c r="DI3" s="5" t="inlineStr">
        <is>
          <t>OPEN_INT</t>
        </is>
      </c>
      <c r="DJ3" s="5" t="inlineStr">
        <is>
          <t>IVOL_MID</t>
        </is>
      </c>
      <c r="DK3" s="5" t="inlineStr">
        <is>
          <t>IVOL_BID</t>
        </is>
      </c>
      <c r="DL3" s="5" t="inlineStr">
        <is>
          <t>IVOL_ASK</t>
        </is>
      </c>
      <c r="DM3" s="5" t="inlineStr">
        <is>
          <t>DELTA_MID</t>
        </is>
      </c>
      <c r="DN3" s="5" t="inlineStr">
        <is>
          <t>GAMMA_MID</t>
        </is>
      </c>
      <c r="DO3" s="5" t="inlineStr">
        <is>
          <t>VEGA_MID</t>
        </is>
      </c>
      <c r="DP3" s="5" t="inlineStr">
        <is>
          <t>THETA_MID</t>
        </is>
      </c>
      <c r="DQ3" s="5" t="inlineStr">
        <is>
          <t>OPT_UNDL_PX</t>
        </is>
      </c>
      <c r="DS3" s="5" t="inlineStr">
        <is>
          <t>Date</t>
        </is>
      </c>
      <c r="DT3" s="5" t="inlineStr">
        <is>
          <t>PX_BID</t>
        </is>
      </c>
      <c r="DU3" s="5" t="inlineStr">
        <is>
          <t>PX_ASK</t>
        </is>
      </c>
      <c r="DV3" s="5" t="inlineStr">
        <is>
          <t>PX_MID</t>
        </is>
      </c>
      <c r="DW3" s="5" t="inlineStr">
        <is>
          <t>PX_LAST</t>
        </is>
      </c>
      <c r="DX3" s="5" t="inlineStr">
        <is>
          <t>PX_SETTLE</t>
        </is>
      </c>
      <c r="DY3" s="5" t="inlineStr">
        <is>
          <t>PX_VOLUME</t>
        </is>
      </c>
      <c r="DZ3" s="5" t="inlineStr">
        <is>
          <t>OPEN_INT</t>
        </is>
      </c>
      <c r="EA3" s="5" t="inlineStr">
        <is>
          <t>IVOL_MID</t>
        </is>
      </c>
      <c r="EB3" s="5" t="inlineStr">
        <is>
          <t>IVOL_BID</t>
        </is>
      </c>
      <c r="EC3" s="5" t="inlineStr">
        <is>
          <t>IVOL_ASK</t>
        </is>
      </c>
      <c r="ED3" s="5" t="inlineStr">
        <is>
          <t>DELTA_MID</t>
        </is>
      </c>
      <c r="EE3" s="5" t="inlineStr">
        <is>
          <t>GAMMA_MID</t>
        </is>
      </c>
      <c r="EF3" s="5" t="inlineStr">
        <is>
          <t>VEGA_MID</t>
        </is>
      </c>
      <c r="EG3" s="5" t="inlineStr">
        <is>
          <t>THETA_MID</t>
        </is>
      </c>
      <c r="EH3" s="5" t="inlineStr">
        <is>
          <t>OPT_UNDL_PX</t>
        </is>
      </c>
      <c r="EJ3" s="5" t="inlineStr">
        <is>
          <t>Date</t>
        </is>
      </c>
      <c r="EK3" s="5" t="inlineStr">
        <is>
          <t>PX_BID</t>
        </is>
      </c>
      <c r="EL3" s="5" t="inlineStr">
        <is>
          <t>PX_ASK</t>
        </is>
      </c>
      <c r="EM3" s="5" t="inlineStr">
        <is>
          <t>PX_MID</t>
        </is>
      </c>
      <c r="EN3" s="5" t="inlineStr">
        <is>
          <t>PX_LAST</t>
        </is>
      </c>
      <c r="EO3" s="5" t="inlineStr">
        <is>
          <t>PX_SETTLE</t>
        </is>
      </c>
      <c r="EP3" s="5" t="inlineStr">
        <is>
          <t>PX_VOLUME</t>
        </is>
      </c>
      <c r="EQ3" s="5" t="inlineStr">
        <is>
          <t>OPEN_INT</t>
        </is>
      </c>
      <c r="ER3" s="5" t="inlineStr">
        <is>
          <t>IVOL_MID</t>
        </is>
      </c>
      <c r="ES3" s="5" t="inlineStr">
        <is>
          <t>IVOL_BID</t>
        </is>
      </c>
      <c r="ET3" s="5" t="inlineStr">
        <is>
          <t>IVOL_ASK</t>
        </is>
      </c>
      <c r="EU3" s="5" t="inlineStr">
        <is>
          <t>DELTA_MID</t>
        </is>
      </c>
      <c r="EV3" s="5" t="inlineStr">
        <is>
          <t>GAMMA_MID</t>
        </is>
      </c>
      <c r="EW3" s="5" t="inlineStr">
        <is>
          <t>VEGA_MID</t>
        </is>
      </c>
      <c r="EX3" s="5" t="inlineStr">
        <is>
          <t>THETA_MID</t>
        </is>
      </c>
      <c r="EY3" s="5" t="inlineStr">
        <is>
          <t>OPT_UNDL_PX</t>
        </is>
      </c>
      <c r="FA3" s="5" t="inlineStr">
        <is>
          <t>Date</t>
        </is>
      </c>
      <c r="FB3" s="5" t="inlineStr">
        <is>
          <t>PX_BID</t>
        </is>
      </c>
      <c r="FC3" s="5" t="inlineStr">
        <is>
          <t>PX_ASK</t>
        </is>
      </c>
      <c r="FD3" s="5" t="inlineStr">
        <is>
          <t>PX_MID</t>
        </is>
      </c>
      <c r="FE3" s="5" t="inlineStr">
        <is>
          <t>PX_LAST</t>
        </is>
      </c>
      <c r="FF3" s="5" t="inlineStr">
        <is>
          <t>PX_SETTLE</t>
        </is>
      </c>
      <c r="FG3" s="5" t="inlineStr">
        <is>
          <t>PX_VOLUME</t>
        </is>
      </c>
      <c r="FH3" s="5" t="inlineStr">
        <is>
          <t>OPEN_INT</t>
        </is>
      </c>
      <c r="FI3" s="5" t="inlineStr">
        <is>
          <t>IVOL_MID</t>
        </is>
      </c>
      <c r="FJ3" s="5" t="inlineStr">
        <is>
          <t>IVOL_BID</t>
        </is>
      </c>
      <c r="FK3" s="5" t="inlineStr">
        <is>
          <t>IVOL_ASK</t>
        </is>
      </c>
      <c r="FL3" s="5" t="inlineStr">
        <is>
          <t>DELTA_MID</t>
        </is>
      </c>
      <c r="FM3" s="5" t="inlineStr">
        <is>
          <t>GAMMA_MID</t>
        </is>
      </c>
      <c r="FN3" s="5" t="inlineStr">
        <is>
          <t>VEGA_MID</t>
        </is>
      </c>
      <c r="FO3" s="5" t="inlineStr">
        <is>
          <t>THETA_MID</t>
        </is>
      </c>
      <c r="FP3" s="5" t="inlineStr">
        <is>
          <t>OPT_UNDL_PX</t>
        </is>
      </c>
      <c r="FR3" s="5" t="inlineStr">
        <is>
          <t>Date</t>
        </is>
      </c>
      <c r="FS3" s="5" t="inlineStr">
        <is>
          <t>PX_BID</t>
        </is>
      </c>
      <c r="FT3" s="5" t="inlineStr">
        <is>
          <t>PX_ASK</t>
        </is>
      </c>
      <c r="FU3" s="5" t="inlineStr">
        <is>
          <t>PX_MID</t>
        </is>
      </c>
      <c r="FV3" s="5" t="inlineStr">
        <is>
          <t>PX_LAST</t>
        </is>
      </c>
      <c r="FW3" s="5" t="inlineStr">
        <is>
          <t>PX_SETTLE</t>
        </is>
      </c>
      <c r="FX3" s="5" t="inlineStr">
        <is>
          <t>PX_VOLUME</t>
        </is>
      </c>
      <c r="FY3" s="5" t="inlineStr">
        <is>
          <t>OPEN_INT</t>
        </is>
      </c>
      <c r="FZ3" s="5" t="inlineStr">
        <is>
          <t>IVOL_MID</t>
        </is>
      </c>
      <c r="GA3" s="5" t="inlineStr">
        <is>
          <t>IVOL_BID</t>
        </is>
      </c>
      <c r="GB3" s="5" t="inlineStr">
        <is>
          <t>IVOL_ASK</t>
        </is>
      </c>
      <c r="GC3" s="5" t="inlineStr">
        <is>
          <t>DELTA_MID</t>
        </is>
      </c>
      <c r="GD3" s="5" t="inlineStr">
        <is>
          <t>GAMMA_MID</t>
        </is>
      </c>
      <c r="GE3" s="5" t="inlineStr">
        <is>
          <t>VEGA_MID</t>
        </is>
      </c>
      <c r="GF3" s="5" t="inlineStr">
        <is>
          <t>THETA_MID</t>
        </is>
      </c>
      <c r="GG3" s="5" t="inlineStr">
        <is>
          <t>OPT_UNDL_PX</t>
        </is>
      </c>
      <c r="GI3" s="5" t="inlineStr">
        <is>
          <t>Date</t>
        </is>
      </c>
      <c r="GJ3" s="5" t="inlineStr">
        <is>
          <t>PX_BID</t>
        </is>
      </c>
      <c r="GK3" s="5" t="inlineStr">
        <is>
          <t>PX_ASK</t>
        </is>
      </c>
      <c r="GL3" s="5" t="inlineStr">
        <is>
          <t>PX_MID</t>
        </is>
      </c>
      <c r="GM3" s="5" t="inlineStr">
        <is>
          <t>PX_LAST</t>
        </is>
      </c>
      <c r="GN3" s="5" t="inlineStr">
        <is>
          <t>PX_SETTLE</t>
        </is>
      </c>
      <c r="GO3" s="5" t="inlineStr">
        <is>
          <t>PX_VOLUME</t>
        </is>
      </c>
      <c r="GP3" s="5" t="inlineStr">
        <is>
          <t>OPEN_INT</t>
        </is>
      </c>
      <c r="GQ3" s="5" t="inlineStr">
        <is>
          <t>IVOL_MID</t>
        </is>
      </c>
      <c r="GR3" s="5" t="inlineStr">
        <is>
          <t>IVOL_BID</t>
        </is>
      </c>
      <c r="GS3" s="5" t="inlineStr">
        <is>
          <t>IVOL_ASK</t>
        </is>
      </c>
      <c r="GT3" s="5" t="inlineStr">
        <is>
          <t>DELTA_MID</t>
        </is>
      </c>
      <c r="GU3" s="5" t="inlineStr">
        <is>
          <t>GAMMA_MID</t>
        </is>
      </c>
      <c r="GV3" s="5" t="inlineStr">
        <is>
          <t>VEGA_MID</t>
        </is>
      </c>
      <c r="GW3" s="5" t="inlineStr">
        <is>
          <t>THETA_MID</t>
        </is>
      </c>
      <c r="GX3" s="5" t="inlineStr">
        <is>
          <t>OPT_UNDL_PX</t>
        </is>
      </c>
      <c r="GZ3" s="5" t="inlineStr">
        <is>
          <t>Date</t>
        </is>
      </c>
      <c r="HA3" s="5" t="inlineStr">
        <is>
          <t>PX_BID</t>
        </is>
      </c>
      <c r="HB3" s="5" t="inlineStr">
        <is>
          <t>PX_ASK</t>
        </is>
      </c>
      <c r="HC3" s="5" t="inlineStr">
        <is>
          <t>PX_MID</t>
        </is>
      </c>
      <c r="HD3" s="5" t="inlineStr">
        <is>
          <t>PX_LAST</t>
        </is>
      </c>
      <c r="HE3" s="5" t="inlineStr">
        <is>
          <t>PX_SETTLE</t>
        </is>
      </c>
      <c r="HF3" s="5" t="inlineStr">
        <is>
          <t>PX_VOLUME</t>
        </is>
      </c>
      <c r="HG3" s="5" t="inlineStr">
        <is>
          <t>OPEN_INT</t>
        </is>
      </c>
      <c r="HH3" s="5" t="inlineStr">
        <is>
          <t>IVOL_MID</t>
        </is>
      </c>
      <c r="HI3" s="5" t="inlineStr">
        <is>
          <t>IVOL_BID</t>
        </is>
      </c>
      <c r="HJ3" s="5" t="inlineStr">
        <is>
          <t>IVOL_ASK</t>
        </is>
      </c>
      <c r="HK3" s="5" t="inlineStr">
        <is>
          <t>DELTA_MID</t>
        </is>
      </c>
      <c r="HL3" s="5" t="inlineStr">
        <is>
          <t>GAMMA_MID</t>
        </is>
      </c>
      <c r="HM3" s="5" t="inlineStr">
        <is>
          <t>VEGA_MID</t>
        </is>
      </c>
      <c r="HN3" s="5" t="inlineStr">
        <is>
          <t>THETA_MID</t>
        </is>
      </c>
      <c r="HO3" s="5" t="inlineStr">
        <is>
          <t>OPT_UNDL_PX</t>
        </is>
      </c>
      <c r="HQ3" s="5" t="inlineStr">
        <is>
          <t>Date</t>
        </is>
      </c>
      <c r="HR3" s="5" t="inlineStr">
        <is>
          <t>PX_BID</t>
        </is>
      </c>
      <c r="HS3" s="5" t="inlineStr">
        <is>
          <t>PX_ASK</t>
        </is>
      </c>
      <c r="HT3" s="5" t="inlineStr">
        <is>
          <t>PX_MID</t>
        </is>
      </c>
      <c r="HU3" s="5" t="inlineStr">
        <is>
          <t>PX_LAST</t>
        </is>
      </c>
      <c r="HV3" s="5" t="inlineStr">
        <is>
          <t>PX_SETTLE</t>
        </is>
      </c>
      <c r="HW3" s="5" t="inlineStr">
        <is>
          <t>PX_VOLUME</t>
        </is>
      </c>
      <c r="HX3" s="5" t="inlineStr">
        <is>
          <t>OPEN_INT</t>
        </is>
      </c>
      <c r="HY3" s="5" t="inlineStr">
        <is>
          <t>IVOL_MID</t>
        </is>
      </c>
      <c r="HZ3" s="5" t="inlineStr">
        <is>
          <t>IVOL_BID</t>
        </is>
      </c>
      <c r="IA3" s="5" t="inlineStr">
        <is>
          <t>IVOL_ASK</t>
        </is>
      </c>
      <c r="IB3" s="5" t="inlineStr">
        <is>
          <t>DELTA_MID</t>
        </is>
      </c>
      <c r="IC3" s="5" t="inlineStr">
        <is>
          <t>GAMMA_MID</t>
        </is>
      </c>
      <c r="ID3" s="5" t="inlineStr">
        <is>
          <t>VEGA_MID</t>
        </is>
      </c>
      <c r="IE3" s="5" t="inlineStr">
        <is>
          <t>THETA_MID</t>
        </is>
      </c>
      <c r="IF3" s="5" t="inlineStr">
        <is>
          <t>OPT_UNDL_PX</t>
        </is>
      </c>
      <c r="IH3" s="5" t="inlineStr">
        <is>
          <t>Date</t>
        </is>
      </c>
      <c r="II3" s="5" t="inlineStr">
        <is>
          <t>PX_BID</t>
        </is>
      </c>
      <c r="IJ3" s="5" t="inlineStr">
        <is>
          <t>PX_ASK</t>
        </is>
      </c>
      <c r="IK3" s="5" t="inlineStr">
        <is>
          <t>PX_MID</t>
        </is>
      </c>
      <c r="IL3" s="5" t="inlineStr">
        <is>
          <t>PX_LAST</t>
        </is>
      </c>
      <c r="IM3" s="5" t="inlineStr">
        <is>
          <t>PX_SETTLE</t>
        </is>
      </c>
      <c r="IN3" s="5" t="inlineStr">
        <is>
          <t>PX_VOLUME</t>
        </is>
      </c>
      <c r="IO3" s="5" t="inlineStr">
        <is>
          <t>OPEN_INT</t>
        </is>
      </c>
      <c r="IP3" s="5" t="inlineStr">
        <is>
          <t>IVOL_MID</t>
        </is>
      </c>
      <c r="IQ3" s="5" t="inlineStr">
        <is>
          <t>IVOL_BID</t>
        </is>
      </c>
      <c r="IR3" s="5" t="inlineStr">
        <is>
          <t>IVOL_ASK</t>
        </is>
      </c>
      <c r="IS3" s="5" t="inlineStr">
        <is>
          <t>DELTA_MID</t>
        </is>
      </c>
      <c r="IT3" s="5" t="inlineStr">
        <is>
          <t>GAMMA_MID</t>
        </is>
      </c>
      <c r="IU3" s="5" t="inlineStr">
        <is>
          <t>VEGA_MID</t>
        </is>
      </c>
      <c r="IV3" s="5" t="inlineStr">
        <is>
          <t>THETA_MID</t>
        </is>
      </c>
      <c r="IW3" s="5" t="inlineStr">
        <is>
          <t>OPT_UNDL_PX</t>
        </is>
      </c>
      <c r="IY3" s="5" t="inlineStr">
        <is>
          <t>Date</t>
        </is>
      </c>
      <c r="IZ3" s="5" t="inlineStr">
        <is>
          <t>PX_BID</t>
        </is>
      </c>
      <c r="JA3" s="5" t="inlineStr">
        <is>
          <t>PX_ASK</t>
        </is>
      </c>
      <c r="JB3" s="5" t="inlineStr">
        <is>
          <t>PX_MID</t>
        </is>
      </c>
      <c r="JC3" s="5" t="inlineStr">
        <is>
          <t>PX_LAST</t>
        </is>
      </c>
      <c r="JD3" s="5" t="inlineStr">
        <is>
          <t>PX_SETTLE</t>
        </is>
      </c>
      <c r="JE3" s="5" t="inlineStr">
        <is>
          <t>PX_VOLUME</t>
        </is>
      </c>
      <c r="JF3" s="5" t="inlineStr">
        <is>
          <t>OPEN_INT</t>
        </is>
      </c>
      <c r="JG3" s="5" t="inlineStr">
        <is>
          <t>IVOL_MID</t>
        </is>
      </c>
      <c r="JH3" s="5" t="inlineStr">
        <is>
          <t>IVOL_BID</t>
        </is>
      </c>
      <c r="JI3" s="5" t="inlineStr">
        <is>
          <t>IVOL_ASK</t>
        </is>
      </c>
      <c r="JJ3" s="5" t="inlineStr">
        <is>
          <t>DELTA_MID</t>
        </is>
      </c>
      <c r="JK3" s="5" t="inlineStr">
        <is>
          <t>GAMMA_MID</t>
        </is>
      </c>
      <c r="JL3" s="5" t="inlineStr">
        <is>
          <t>VEGA_MID</t>
        </is>
      </c>
      <c r="JM3" s="5" t="inlineStr">
        <is>
          <t>THETA_MID</t>
        </is>
      </c>
      <c r="JN3" s="5" t="inlineStr">
        <is>
          <t>OPT_UNDL_PX</t>
        </is>
      </c>
      <c r="JP3" s="5" t="inlineStr">
        <is>
          <t>Date</t>
        </is>
      </c>
      <c r="JQ3" s="5" t="inlineStr">
        <is>
          <t>PX_BID</t>
        </is>
      </c>
      <c r="JR3" s="5" t="inlineStr">
        <is>
          <t>PX_ASK</t>
        </is>
      </c>
      <c r="JS3" s="5" t="inlineStr">
        <is>
          <t>PX_MID</t>
        </is>
      </c>
      <c r="JT3" s="5" t="inlineStr">
        <is>
          <t>PX_LAST</t>
        </is>
      </c>
      <c r="JU3" s="5" t="inlineStr">
        <is>
          <t>PX_SETTLE</t>
        </is>
      </c>
      <c r="JV3" s="5" t="inlineStr">
        <is>
          <t>PX_VOLUME</t>
        </is>
      </c>
      <c r="JW3" s="5" t="inlineStr">
        <is>
          <t>OPEN_INT</t>
        </is>
      </c>
      <c r="JX3" s="5" t="inlineStr">
        <is>
          <t>IVOL_MID</t>
        </is>
      </c>
      <c r="JY3" s="5" t="inlineStr">
        <is>
          <t>IVOL_BID</t>
        </is>
      </c>
      <c r="JZ3" s="5" t="inlineStr">
        <is>
          <t>IVOL_ASK</t>
        </is>
      </c>
      <c r="KA3" s="5" t="inlineStr">
        <is>
          <t>DELTA_MID</t>
        </is>
      </c>
      <c r="KB3" s="5" t="inlineStr">
        <is>
          <t>GAMMA_MID</t>
        </is>
      </c>
      <c r="KC3" s="5" t="inlineStr">
        <is>
          <t>VEGA_MID</t>
        </is>
      </c>
      <c r="KD3" s="5" t="inlineStr">
        <is>
          <t>THETA_MID</t>
        </is>
      </c>
      <c r="KE3" s="5" t="inlineStr">
        <is>
          <t>OPT_UNDL_PX</t>
        </is>
      </c>
      <c r="KG3" s="5" t="inlineStr">
        <is>
          <t>Date</t>
        </is>
      </c>
      <c r="KH3" s="5" t="inlineStr">
        <is>
          <t>PX_BID</t>
        </is>
      </c>
      <c r="KI3" s="5" t="inlineStr">
        <is>
          <t>PX_ASK</t>
        </is>
      </c>
      <c r="KJ3" s="5" t="inlineStr">
        <is>
          <t>PX_MID</t>
        </is>
      </c>
      <c r="KK3" s="5" t="inlineStr">
        <is>
          <t>PX_LAST</t>
        </is>
      </c>
      <c r="KL3" s="5" t="inlineStr">
        <is>
          <t>PX_SETTLE</t>
        </is>
      </c>
      <c r="KM3" s="5" t="inlineStr">
        <is>
          <t>PX_VOLUME</t>
        </is>
      </c>
      <c r="KN3" s="5" t="inlineStr">
        <is>
          <t>OPEN_INT</t>
        </is>
      </c>
      <c r="KO3" s="5" t="inlineStr">
        <is>
          <t>IVOL_MID</t>
        </is>
      </c>
      <c r="KP3" s="5" t="inlineStr">
        <is>
          <t>IVOL_BID</t>
        </is>
      </c>
      <c r="KQ3" s="5" t="inlineStr">
        <is>
          <t>IVOL_ASK</t>
        </is>
      </c>
      <c r="KR3" s="5" t="inlineStr">
        <is>
          <t>DELTA_MID</t>
        </is>
      </c>
      <c r="KS3" s="5" t="inlineStr">
        <is>
          <t>GAMMA_MID</t>
        </is>
      </c>
      <c r="KT3" s="5" t="inlineStr">
        <is>
          <t>VEGA_MID</t>
        </is>
      </c>
      <c r="KU3" s="5" t="inlineStr">
        <is>
          <t>THETA_MID</t>
        </is>
      </c>
      <c r="KV3" s="5" t="inlineStr">
        <is>
          <t>OPT_UNDL_PX</t>
        </is>
      </c>
      <c r="KX3" s="5" t="inlineStr">
        <is>
          <t>Date</t>
        </is>
      </c>
      <c r="KY3" s="5" t="inlineStr">
        <is>
          <t>PX_BID</t>
        </is>
      </c>
      <c r="KZ3" s="5" t="inlineStr">
        <is>
          <t>PX_ASK</t>
        </is>
      </c>
      <c r="LA3" s="5" t="inlineStr">
        <is>
          <t>PX_MID</t>
        </is>
      </c>
      <c r="LB3" s="5" t="inlineStr">
        <is>
          <t>PX_LAST</t>
        </is>
      </c>
      <c r="LC3" s="5" t="inlineStr">
        <is>
          <t>PX_SETTLE</t>
        </is>
      </c>
      <c r="LD3" s="5" t="inlineStr">
        <is>
          <t>PX_VOLUME</t>
        </is>
      </c>
      <c r="LE3" s="5" t="inlineStr">
        <is>
          <t>OPEN_INT</t>
        </is>
      </c>
      <c r="LF3" s="5" t="inlineStr">
        <is>
          <t>IVOL_MID</t>
        </is>
      </c>
      <c r="LG3" s="5" t="inlineStr">
        <is>
          <t>IVOL_BID</t>
        </is>
      </c>
      <c r="LH3" s="5" t="inlineStr">
        <is>
          <t>IVOL_ASK</t>
        </is>
      </c>
      <c r="LI3" s="5" t="inlineStr">
        <is>
          <t>DELTA_MID</t>
        </is>
      </c>
      <c r="LJ3" s="5" t="inlineStr">
        <is>
          <t>GAMMA_MID</t>
        </is>
      </c>
      <c r="LK3" s="5" t="inlineStr">
        <is>
          <t>VEGA_MID</t>
        </is>
      </c>
      <c r="LL3" s="5" t="inlineStr">
        <is>
          <t>THETA_MID</t>
        </is>
      </c>
      <c r="LM3" s="5" t="inlineStr">
        <is>
          <t>OPT_UNDL_PX</t>
        </is>
      </c>
      <c r="LO3" s="5" t="inlineStr">
        <is>
          <t>Date</t>
        </is>
      </c>
      <c r="LP3" s="5" t="inlineStr">
        <is>
          <t>PX_BID</t>
        </is>
      </c>
      <c r="LQ3" s="5" t="inlineStr">
        <is>
          <t>PX_ASK</t>
        </is>
      </c>
      <c r="LR3" s="5" t="inlineStr">
        <is>
          <t>PX_MID</t>
        </is>
      </c>
      <c r="LS3" s="5" t="inlineStr">
        <is>
          <t>PX_LAST</t>
        </is>
      </c>
      <c r="LT3" s="5" t="inlineStr">
        <is>
          <t>PX_SETTLE</t>
        </is>
      </c>
      <c r="LU3" s="5" t="inlineStr">
        <is>
          <t>PX_VOLUME</t>
        </is>
      </c>
      <c r="LV3" s="5" t="inlineStr">
        <is>
          <t>OPEN_INT</t>
        </is>
      </c>
      <c r="LW3" s="5" t="inlineStr">
        <is>
          <t>IVOL_MID</t>
        </is>
      </c>
      <c r="LX3" s="5" t="inlineStr">
        <is>
          <t>IVOL_BID</t>
        </is>
      </c>
      <c r="LY3" s="5" t="inlineStr">
        <is>
          <t>IVOL_ASK</t>
        </is>
      </c>
      <c r="LZ3" s="5" t="inlineStr">
        <is>
          <t>DELTA_MID</t>
        </is>
      </c>
      <c r="MA3" s="5" t="inlineStr">
        <is>
          <t>GAMMA_MID</t>
        </is>
      </c>
      <c r="MB3" s="5" t="inlineStr">
        <is>
          <t>VEGA_MID</t>
        </is>
      </c>
      <c r="MC3" s="5" t="inlineStr">
        <is>
          <t>THETA_MID</t>
        </is>
      </c>
      <c r="MD3" s="5" t="inlineStr">
        <is>
          <t>OPT_UNDL_PX</t>
        </is>
      </c>
      <c r="MF3" s="5" t="inlineStr">
        <is>
          <t>Date</t>
        </is>
      </c>
      <c r="MG3" s="5" t="inlineStr">
        <is>
          <t>PX_BID</t>
        </is>
      </c>
      <c r="MH3" s="5" t="inlineStr">
        <is>
          <t>PX_ASK</t>
        </is>
      </c>
      <c r="MI3" s="5" t="inlineStr">
        <is>
          <t>PX_MID</t>
        </is>
      </c>
      <c r="MJ3" s="5" t="inlineStr">
        <is>
          <t>PX_LAST</t>
        </is>
      </c>
      <c r="MK3" s="5" t="inlineStr">
        <is>
          <t>PX_SETTLE</t>
        </is>
      </c>
      <c r="ML3" s="5" t="inlineStr">
        <is>
          <t>PX_VOLUME</t>
        </is>
      </c>
      <c r="MM3" s="5" t="inlineStr">
        <is>
          <t>OPEN_INT</t>
        </is>
      </c>
      <c r="MN3" s="5" t="inlineStr">
        <is>
          <t>IVOL_MID</t>
        </is>
      </c>
      <c r="MO3" s="5" t="inlineStr">
        <is>
          <t>IVOL_BID</t>
        </is>
      </c>
      <c r="MP3" s="5" t="inlineStr">
        <is>
          <t>IVOL_ASK</t>
        </is>
      </c>
      <c r="MQ3" s="5" t="inlineStr">
        <is>
          <t>DELTA_MID</t>
        </is>
      </c>
      <c r="MR3" s="5" t="inlineStr">
        <is>
          <t>GAMMA_MID</t>
        </is>
      </c>
      <c r="MS3" s="5" t="inlineStr">
        <is>
          <t>VEGA_MID</t>
        </is>
      </c>
      <c r="MT3" s="5" t="inlineStr">
        <is>
          <t>THETA_MID</t>
        </is>
      </c>
      <c r="MU3" s="5" t="inlineStr">
        <is>
          <t>OPT_UNDL_PX</t>
        </is>
      </c>
      <c r="MW3" s="5" t="inlineStr">
        <is>
          <t>Date</t>
        </is>
      </c>
      <c r="MX3" s="5" t="inlineStr">
        <is>
          <t>PX_BID</t>
        </is>
      </c>
      <c r="MY3" s="5" t="inlineStr">
        <is>
          <t>PX_ASK</t>
        </is>
      </c>
      <c r="MZ3" s="5" t="inlineStr">
        <is>
          <t>PX_MID</t>
        </is>
      </c>
      <c r="NA3" s="5" t="inlineStr">
        <is>
          <t>PX_LAST</t>
        </is>
      </c>
      <c r="NB3" s="5" t="inlineStr">
        <is>
          <t>PX_SETTLE</t>
        </is>
      </c>
      <c r="NC3" s="5" t="inlineStr">
        <is>
          <t>PX_VOLUME</t>
        </is>
      </c>
      <c r="ND3" s="5" t="inlineStr">
        <is>
          <t>OPEN_INT</t>
        </is>
      </c>
      <c r="NE3" s="5" t="inlineStr">
        <is>
          <t>IVOL_MID</t>
        </is>
      </c>
      <c r="NF3" s="5" t="inlineStr">
        <is>
          <t>IVOL_BID</t>
        </is>
      </c>
      <c r="NG3" s="5" t="inlineStr">
        <is>
          <t>IVOL_ASK</t>
        </is>
      </c>
      <c r="NH3" s="5" t="inlineStr">
        <is>
          <t>DELTA_MID</t>
        </is>
      </c>
      <c r="NI3" s="5" t="inlineStr">
        <is>
          <t>GAMMA_MID</t>
        </is>
      </c>
      <c r="NJ3" s="5" t="inlineStr">
        <is>
          <t>VEGA_MID</t>
        </is>
      </c>
      <c r="NK3" s="5" t="inlineStr">
        <is>
          <t>THETA_MID</t>
        </is>
      </c>
      <c r="NL3" s="5" t="inlineStr">
        <is>
          <t>OPT_UNDL_PX</t>
        </is>
      </c>
    </row>
    <row r="4">
      <c r="A4" s="2" t="inlineStr">
        <is>
          <t>Strike reference date</t>
        </is>
      </c>
      <c r="B4" s="8">
        <f>B3-45</f>
        <v/>
      </c>
      <c r="D4" s="4">
        <f>BDH(D$1,E$3:S$3,$B$8,$B$9,"Dir=V","Dts=S","Sort=A","Days=T","Fill=B")</f>
        <v/>
      </c>
      <c r="U4" s="4">
        <f>BDH(U$1,V$3:AJ$3,$B$8,$B$9,"Dir=V","Dts=S","Sort=A","Days=T","Fill=B")</f>
        <v/>
      </c>
      <c r="AL4" s="4">
        <f>BDH(AL$1,AM$3:BA$3,$B$8,$B$9,"Dir=V","Dts=S","Sort=A","Days=T","Fill=B")</f>
        <v/>
      </c>
      <c r="BC4" s="4">
        <f>BDH(BC$1,BD$3:BR$3,$B$8,$B$9,"Dir=V","Dts=S","Sort=A","Days=T","Fill=B")</f>
        <v/>
      </c>
      <c r="BT4" s="4">
        <f>BDH(BT$1,BU$3:CI$3,$B$8,$B$9,"Dir=V","Dts=S","Sort=A","Days=T","Fill=B")</f>
        <v/>
      </c>
      <c r="CK4" s="4">
        <f>BDH(CK$1,CL$3:CZ$3,$B$8,$B$9,"Dir=V","Dts=S","Sort=A","Days=T","Fill=B")</f>
        <v/>
      </c>
      <c r="DB4" s="4">
        <f>BDH(DB$1,DC$3:DQ$3,$B$8,$B$9,"Dir=V","Dts=S","Sort=A","Days=T","Fill=B")</f>
        <v/>
      </c>
      <c r="DS4" s="4">
        <f>BDH(DS$1,DT$3:EH$3,$B$8,$B$9,"Dir=V","Dts=S","Sort=A","Days=T","Fill=B")</f>
        <v/>
      </c>
      <c r="EJ4" s="4">
        <f>BDH(EJ$1,EK$3:EY$3,$B$8,$B$9,"Dir=V","Dts=S","Sort=A","Days=T","Fill=B")</f>
        <v/>
      </c>
      <c r="FA4" s="4">
        <f>BDH(FA$1,FB$3:FP$3,$B$8,$B$9,"Dir=V","Dts=S","Sort=A","Days=T","Fill=B")</f>
        <v/>
      </c>
      <c r="FR4" s="4">
        <f>BDH(FR$1,FS$3:GG$3,$B$8,$B$9,"Dir=V","Dts=S","Sort=A","Days=T","Fill=B")</f>
        <v/>
      </c>
      <c r="GI4" s="4">
        <f>BDH(GI$1,GJ$3:GX$3,$B$8,$B$9,"Dir=V","Dts=S","Sort=A","Days=T","Fill=B")</f>
        <v/>
      </c>
      <c r="GZ4" s="4">
        <f>BDH(GZ$1,HA$3:HO$3,$B$8,$B$9,"Dir=V","Dts=S","Sort=A","Days=T","Fill=B")</f>
        <v/>
      </c>
      <c r="HQ4" s="4">
        <f>BDH(HQ$1,HR$3:IF$3,$B$8,$B$9,"Dir=V","Dts=S","Sort=A","Days=T","Fill=B")</f>
        <v/>
      </c>
      <c r="IH4" s="4">
        <f>BDH(IH$1,II$3:IW$3,$B$8,$B$9,"Dir=V","Dts=S","Sort=A","Days=T","Fill=B")</f>
        <v/>
      </c>
      <c r="IY4" s="4">
        <f>BDH(IY$1,IZ$3:JN$3,$B$8,$B$9,"Dir=V","Dts=S","Sort=A","Days=T","Fill=B")</f>
        <v/>
      </c>
      <c r="JP4" s="4">
        <f>BDH(JP$1,JQ$3:KE$3,$B$8,$B$9,"Dir=V","Dts=S","Sort=A","Days=T","Fill=B")</f>
        <v/>
      </c>
      <c r="KG4" s="4">
        <f>BDH(KG$1,KH$3:KV$3,$B$8,$B$9,"Dir=V","Dts=S","Sort=A","Days=T","Fill=B")</f>
        <v/>
      </c>
      <c r="KX4" s="4">
        <f>BDH(KX$1,KY$3:LM$3,$B$8,$B$9,"Dir=V","Dts=S","Sort=A","Days=T","Fill=B")</f>
        <v/>
      </c>
      <c r="LO4" s="4">
        <f>BDH(LO$1,LP$3:MD$3,$B$8,$B$9,"Dir=V","Dts=S","Sort=A","Days=T","Fill=B")</f>
        <v/>
      </c>
      <c r="MF4" s="4">
        <f>BDH(MF$1,MG$3:MU$3,$B$8,$B$9,"Dir=V","Dts=S","Sort=A","Days=T","Fill=B")</f>
        <v/>
      </c>
      <c r="MW4" s="4">
        <f>BDH(MW$1,MX$3:NL$3,$B$8,$B$9,"Dir=V","Dts=S","Sort=A","Days=T","Fill=B")</f>
        <v/>
      </c>
    </row>
    <row r="5">
      <c r="A5" s="2" t="inlineStr">
        <is>
          <t>Unadjusted close then</t>
        </is>
      </c>
      <c r="B5" s="10">
        <f>IF(B2="","",BDH(B2,"PX_LAST",B4,B4,"Days=A","Fill=P","Dts=H","CshAdjNormal=N","CshAdjAbnormal=N","CapChg=N"))</f>
        <v/>
      </c>
    </row>
    <row r="6">
      <c r="A6" s="2" t="inlineStr">
        <is>
          <t>Strike step</t>
        </is>
      </c>
      <c r="B6" s="11">
        <f>IF(ISNUMBER(B5),IF(B5&lt;25,0.5,IF(B5&lt;250,1,5)),"")</f>
        <v/>
      </c>
    </row>
    <row r="7">
      <c r="A7" s="2" t="inlineStr">
        <is>
          <t>ATM strike</t>
        </is>
      </c>
      <c r="B7" s="11">
        <f>IF(ISNUMBER(B5),ROUND(B5/B6,0)*B6,"")</f>
        <v/>
      </c>
    </row>
    <row r="8">
      <c r="A8" s="2" t="inlineStr">
        <is>
          <t>History start</t>
        </is>
      </c>
      <c r="B8" s="8">
        <f>B3-100</f>
        <v/>
      </c>
    </row>
    <row r="9">
      <c r="A9" s="2" t="inlineStr">
        <is>
          <t>History end</t>
        </is>
      </c>
      <c r="B9" s="8">
        <f>B3</f>
        <v/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NL9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2" customWidth="1" min="2" max="2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1" customWidth="1" min="15" max="15"/>
    <col width="11" customWidth="1" min="16" max="16"/>
    <col width="10" customWidth="1" min="17" max="17"/>
    <col width="11" customWidth="1" min="18" max="18"/>
    <col width="13" customWidth="1" min="19" max="19"/>
    <col width="12" customWidth="1" min="21" max="21"/>
    <col width="10" customWidth="1" min="22" max="22"/>
    <col width="10" customWidth="1" min="23" max="23"/>
    <col width="10" customWidth="1" min="24" max="24"/>
    <col width="10" customWidth="1" min="25" max="25"/>
    <col width="11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1" customWidth="1" min="32" max="32"/>
    <col width="11" customWidth="1" min="33" max="33"/>
    <col width="10" customWidth="1" min="34" max="34"/>
    <col width="11" customWidth="1" min="35" max="35"/>
    <col width="13" customWidth="1" min="36" max="36"/>
    <col width="12" customWidth="1" min="38" max="38"/>
    <col width="10" customWidth="1" min="39" max="39"/>
    <col width="10" customWidth="1" min="40" max="40"/>
    <col width="10" customWidth="1" min="41" max="41"/>
    <col width="10" customWidth="1" min="42" max="42"/>
    <col width="11" customWidth="1" min="43" max="43"/>
    <col width="11" customWidth="1" min="44" max="44"/>
    <col width="10" customWidth="1" min="45" max="45"/>
    <col width="10" customWidth="1" min="46" max="46"/>
    <col width="10" customWidth="1" min="47" max="47"/>
    <col width="10" customWidth="1" min="48" max="48"/>
    <col width="11" customWidth="1" min="49" max="49"/>
    <col width="11" customWidth="1" min="50" max="50"/>
    <col width="10" customWidth="1" min="51" max="51"/>
    <col width="11" customWidth="1" min="52" max="52"/>
    <col width="13" customWidth="1" min="53" max="53"/>
    <col width="12" customWidth="1" min="55" max="55"/>
    <col width="10" customWidth="1" min="56" max="56"/>
    <col width="10" customWidth="1" min="57" max="57"/>
    <col width="10" customWidth="1" min="58" max="58"/>
    <col width="10" customWidth="1" min="59" max="59"/>
    <col width="11" customWidth="1" min="60" max="60"/>
    <col width="11" customWidth="1" min="61" max="61"/>
    <col width="10" customWidth="1" min="62" max="62"/>
    <col width="10" customWidth="1" min="63" max="63"/>
    <col width="10" customWidth="1" min="64" max="64"/>
    <col width="10" customWidth="1" min="65" max="65"/>
    <col width="11" customWidth="1" min="66" max="66"/>
    <col width="11" customWidth="1" min="67" max="67"/>
    <col width="10" customWidth="1" min="68" max="68"/>
    <col width="11" customWidth="1" min="69" max="69"/>
    <col width="13" customWidth="1" min="70" max="70"/>
    <col width="12" customWidth="1" min="72" max="72"/>
    <col width="10" customWidth="1" min="73" max="73"/>
    <col width="10" customWidth="1" min="74" max="74"/>
    <col width="10" customWidth="1" min="75" max="75"/>
    <col width="10" customWidth="1" min="76" max="76"/>
    <col width="11" customWidth="1" min="77" max="77"/>
    <col width="11" customWidth="1" min="78" max="78"/>
    <col width="10" customWidth="1" min="79" max="79"/>
    <col width="10" customWidth="1" min="80" max="80"/>
    <col width="10" customWidth="1" min="81" max="81"/>
    <col width="10" customWidth="1" min="82" max="82"/>
    <col width="11" customWidth="1" min="83" max="83"/>
    <col width="11" customWidth="1" min="84" max="84"/>
    <col width="10" customWidth="1" min="85" max="85"/>
    <col width="11" customWidth="1" min="86" max="86"/>
    <col width="13" customWidth="1" min="87" max="87"/>
    <col width="12" customWidth="1" min="89" max="89"/>
    <col width="10" customWidth="1" min="90" max="90"/>
    <col width="10" customWidth="1" min="91" max="91"/>
    <col width="10" customWidth="1" min="92" max="92"/>
    <col width="10" customWidth="1" min="93" max="93"/>
    <col width="11" customWidth="1" min="94" max="94"/>
    <col width="11" customWidth="1" min="95" max="95"/>
    <col width="10" customWidth="1" min="96" max="96"/>
    <col width="10" customWidth="1" min="97" max="97"/>
    <col width="10" customWidth="1" min="98" max="98"/>
    <col width="10" customWidth="1" min="99" max="99"/>
    <col width="11" customWidth="1" min="100" max="100"/>
    <col width="11" customWidth="1" min="101" max="101"/>
    <col width="10" customWidth="1" min="102" max="102"/>
    <col width="11" customWidth="1" min="103" max="103"/>
    <col width="13" customWidth="1" min="104" max="104"/>
    <col width="12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1" customWidth="1" min="111" max="111"/>
    <col width="11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1" customWidth="1" min="117" max="117"/>
    <col width="11" customWidth="1" min="118" max="118"/>
    <col width="10" customWidth="1" min="119" max="119"/>
    <col width="11" customWidth="1" min="120" max="120"/>
    <col width="13" customWidth="1" min="121" max="121"/>
    <col width="12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1" customWidth="1" min="128" max="128"/>
    <col width="11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1" customWidth="1" min="134" max="134"/>
    <col width="11" customWidth="1" min="135" max="135"/>
    <col width="10" customWidth="1" min="136" max="136"/>
    <col width="11" customWidth="1" min="137" max="137"/>
    <col width="13" customWidth="1" min="138" max="138"/>
    <col width="12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1" customWidth="1" min="145" max="145"/>
    <col width="11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1" customWidth="1" min="151" max="151"/>
    <col width="11" customWidth="1" min="152" max="152"/>
    <col width="10" customWidth="1" min="153" max="153"/>
    <col width="11" customWidth="1" min="154" max="154"/>
    <col width="13" customWidth="1" min="155" max="155"/>
    <col width="12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1" customWidth="1" min="162" max="162"/>
    <col width="11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1" customWidth="1" min="168" max="168"/>
    <col width="11" customWidth="1" min="169" max="169"/>
    <col width="10" customWidth="1" min="170" max="170"/>
    <col width="11" customWidth="1" min="171" max="171"/>
    <col width="13" customWidth="1" min="172" max="172"/>
    <col width="12" customWidth="1" min="174" max="174"/>
    <col width="10" customWidth="1" min="175" max="175"/>
    <col width="10" customWidth="1" min="176" max="176"/>
    <col width="10" customWidth="1" min="177" max="177"/>
    <col width="10" customWidth="1" min="178" max="178"/>
    <col width="11" customWidth="1" min="179" max="179"/>
    <col width="11" customWidth="1" min="180" max="180"/>
    <col width="10" customWidth="1" min="181" max="181"/>
    <col width="10" customWidth="1" min="182" max="182"/>
    <col width="10" customWidth="1" min="183" max="183"/>
    <col width="10" customWidth="1" min="184" max="184"/>
    <col width="11" customWidth="1" min="185" max="185"/>
    <col width="11" customWidth="1" min="186" max="186"/>
    <col width="10" customWidth="1" min="187" max="187"/>
    <col width="11" customWidth="1" min="188" max="188"/>
    <col width="13" customWidth="1" min="189" max="189"/>
    <col width="12" customWidth="1" min="191" max="191"/>
    <col width="10" customWidth="1" min="192" max="192"/>
    <col width="10" customWidth="1" min="193" max="193"/>
    <col width="10" customWidth="1" min="194" max="194"/>
    <col width="10" customWidth="1" min="195" max="195"/>
    <col width="11" customWidth="1" min="196" max="196"/>
    <col width="11" customWidth="1" min="197" max="197"/>
    <col width="10" customWidth="1" min="198" max="198"/>
    <col width="10" customWidth="1" min="199" max="199"/>
    <col width="10" customWidth="1" min="200" max="200"/>
    <col width="10" customWidth="1" min="201" max="201"/>
    <col width="11" customWidth="1" min="202" max="202"/>
    <col width="11" customWidth="1" min="203" max="203"/>
    <col width="10" customWidth="1" min="204" max="204"/>
    <col width="11" customWidth="1" min="205" max="205"/>
    <col width="13" customWidth="1" min="206" max="206"/>
    <col width="12" customWidth="1" min="208" max="208"/>
    <col width="10" customWidth="1" min="209" max="209"/>
    <col width="10" customWidth="1" min="210" max="210"/>
    <col width="10" customWidth="1" min="211" max="211"/>
    <col width="10" customWidth="1" min="212" max="212"/>
    <col width="11" customWidth="1" min="213" max="213"/>
    <col width="11" customWidth="1" min="214" max="214"/>
    <col width="10" customWidth="1" min="215" max="215"/>
    <col width="10" customWidth="1" min="216" max="216"/>
    <col width="10" customWidth="1" min="217" max="217"/>
    <col width="10" customWidth="1" min="218" max="218"/>
    <col width="11" customWidth="1" min="219" max="219"/>
    <col width="11" customWidth="1" min="220" max="220"/>
    <col width="10" customWidth="1" min="221" max="221"/>
    <col width="11" customWidth="1" min="222" max="222"/>
    <col width="13" customWidth="1" min="223" max="223"/>
    <col width="12" customWidth="1" min="225" max="225"/>
    <col width="10" customWidth="1" min="226" max="226"/>
    <col width="10" customWidth="1" min="227" max="227"/>
    <col width="10" customWidth="1" min="228" max="228"/>
    <col width="10" customWidth="1" min="229" max="229"/>
    <col width="11" customWidth="1" min="230" max="230"/>
    <col width="11" customWidth="1" min="231" max="231"/>
    <col width="10" customWidth="1" min="232" max="232"/>
    <col width="10" customWidth="1" min="233" max="233"/>
    <col width="10" customWidth="1" min="234" max="234"/>
    <col width="10" customWidth="1" min="235" max="235"/>
    <col width="11" customWidth="1" min="236" max="236"/>
    <col width="11" customWidth="1" min="237" max="237"/>
    <col width="10" customWidth="1" min="238" max="238"/>
    <col width="11" customWidth="1" min="239" max="239"/>
    <col width="13" customWidth="1" min="240" max="240"/>
    <col width="12" customWidth="1" min="242" max="242"/>
    <col width="10" customWidth="1" min="243" max="243"/>
    <col width="10" customWidth="1" min="244" max="244"/>
    <col width="10" customWidth="1" min="245" max="245"/>
    <col width="10" customWidth="1" min="246" max="246"/>
    <col width="11" customWidth="1" min="247" max="247"/>
    <col width="11" customWidth="1" min="248" max="248"/>
    <col width="10" customWidth="1" min="249" max="249"/>
    <col width="10" customWidth="1" min="250" max="250"/>
    <col width="10" customWidth="1" min="251" max="251"/>
    <col width="10" customWidth="1" min="252" max="252"/>
    <col width="11" customWidth="1" min="253" max="253"/>
    <col width="11" customWidth="1" min="254" max="254"/>
    <col width="10" customWidth="1" min="255" max="255"/>
    <col width="11" customWidth="1" min="256" max="256"/>
    <col width="13" customWidth="1" min="257" max="257"/>
    <col width="12" customWidth="1" min="259" max="259"/>
    <col width="10" customWidth="1" min="260" max="260"/>
    <col width="10" customWidth="1" min="261" max="261"/>
    <col width="10" customWidth="1" min="262" max="262"/>
    <col width="10" customWidth="1" min="263" max="263"/>
    <col width="11" customWidth="1" min="264" max="264"/>
    <col width="11" customWidth="1" min="265" max="265"/>
    <col width="10" customWidth="1" min="266" max="266"/>
    <col width="10" customWidth="1" min="267" max="267"/>
    <col width="10" customWidth="1" min="268" max="268"/>
    <col width="10" customWidth="1" min="269" max="269"/>
    <col width="11" customWidth="1" min="270" max="270"/>
    <col width="11" customWidth="1" min="271" max="271"/>
    <col width="10" customWidth="1" min="272" max="272"/>
    <col width="11" customWidth="1" min="273" max="273"/>
    <col width="13" customWidth="1" min="274" max="274"/>
    <col width="12" customWidth="1" min="276" max="276"/>
    <col width="10" customWidth="1" min="277" max="277"/>
    <col width="10" customWidth="1" min="278" max="278"/>
    <col width="10" customWidth="1" min="279" max="279"/>
    <col width="10" customWidth="1" min="280" max="280"/>
    <col width="11" customWidth="1" min="281" max="281"/>
    <col width="11" customWidth="1" min="282" max="282"/>
    <col width="10" customWidth="1" min="283" max="283"/>
    <col width="10" customWidth="1" min="284" max="284"/>
    <col width="10" customWidth="1" min="285" max="285"/>
    <col width="10" customWidth="1" min="286" max="286"/>
    <col width="11" customWidth="1" min="287" max="287"/>
    <col width="11" customWidth="1" min="288" max="288"/>
    <col width="10" customWidth="1" min="289" max="289"/>
    <col width="11" customWidth="1" min="290" max="290"/>
    <col width="13" customWidth="1" min="291" max="291"/>
    <col width="12" customWidth="1" min="293" max="293"/>
    <col width="10" customWidth="1" min="294" max="294"/>
    <col width="10" customWidth="1" min="295" max="295"/>
    <col width="10" customWidth="1" min="296" max="296"/>
    <col width="10" customWidth="1" min="297" max="297"/>
    <col width="11" customWidth="1" min="298" max="298"/>
    <col width="11" customWidth="1" min="299" max="299"/>
    <col width="10" customWidth="1" min="300" max="300"/>
    <col width="10" customWidth="1" min="301" max="301"/>
    <col width="10" customWidth="1" min="302" max="302"/>
    <col width="10" customWidth="1" min="303" max="303"/>
    <col width="11" customWidth="1" min="304" max="304"/>
    <col width="11" customWidth="1" min="305" max="305"/>
    <col width="10" customWidth="1" min="306" max="306"/>
    <col width="11" customWidth="1" min="307" max="307"/>
    <col width="13" customWidth="1" min="308" max="308"/>
    <col width="12" customWidth="1" min="310" max="310"/>
    <col width="10" customWidth="1" min="311" max="311"/>
    <col width="10" customWidth="1" min="312" max="312"/>
    <col width="10" customWidth="1" min="313" max="313"/>
    <col width="10" customWidth="1" min="314" max="314"/>
    <col width="11" customWidth="1" min="315" max="315"/>
    <col width="11" customWidth="1" min="316" max="316"/>
    <col width="10" customWidth="1" min="317" max="317"/>
    <col width="10" customWidth="1" min="318" max="318"/>
    <col width="10" customWidth="1" min="319" max="319"/>
    <col width="10" customWidth="1" min="320" max="320"/>
    <col width="11" customWidth="1" min="321" max="321"/>
    <col width="11" customWidth="1" min="322" max="322"/>
    <col width="10" customWidth="1" min="323" max="323"/>
    <col width="11" customWidth="1" min="324" max="324"/>
    <col width="13" customWidth="1" min="325" max="325"/>
    <col width="12" customWidth="1" min="327" max="327"/>
    <col width="10" customWidth="1" min="328" max="328"/>
    <col width="10" customWidth="1" min="329" max="329"/>
    <col width="10" customWidth="1" min="330" max="330"/>
    <col width="10" customWidth="1" min="331" max="331"/>
    <col width="11" customWidth="1" min="332" max="332"/>
    <col width="11" customWidth="1" min="333" max="333"/>
    <col width="10" customWidth="1" min="334" max="334"/>
    <col width="10" customWidth="1" min="335" max="335"/>
    <col width="10" customWidth="1" min="336" max="336"/>
    <col width="10" customWidth="1" min="337" max="337"/>
    <col width="11" customWidth="1" min="338" max="338"/>
    <col width="11" customWidth="1" min="339" max="339"/>
    <col width="10" customWidth="1" min="340" max="340"/>
    <col width="11" customWidth="1" min="341" max="341"/>
    <col width="13" customWidth="1" min="342" max="342"/>
    <col width="12" customWidth="1" min="344" max="344"/>
    <col width="10" customWidth="1" min="345" max="345"/>
    <col width="10" customWidth="1" min="346" max="346"/>
    <col width="10" customWidth="1" min="347" max="347"/>
    <col width="10" customWidth="1" min="348" max="348"/>
    <col width="11" customWidth="1" min="349" max="349"/>
    <col width="11" customWidth="1" min="350" max="350"/>
    <col width="10" customWidth="1" min="351" max="351"/>
    <col width="10" customWidth="1" min="352" max="352"/>
    <col width="10" customWidth="1" min="353" max="353"/>
    <col width="10" customWidth="1" min="354" max="354"/>
    <col width="11" customWidth="1" min="355" max="355"/>
    <col width="11" customWidth="1" min="356" max="356"/>
    <col width="10" customWidth="1" min="357" max="357"/>
    <col width="11" customWidth="1" min="358" max="358"/>
    <col width="13" customWidth="1" min="359" max="359"/>
    <col width="12" customWidth="1" min="361" max="361"/>
    <col width="10" customWidth="1" min="362" max="362"/>
    <col width="10" customWidth="1" min="363" max="363"/>
    <col width="10" customWidth="1" min="364" max="364"/>
    <col width="10" customWidth="1" min="365" max="365"/>
    <col width="11" customWidth="1" min="366" max="366"/>
    <col width="11" customWidth="1" min="367" max="367"/>
    <col width="10" customWidth="1" min="368" max="368"/>
    <col width="10" customWidth="1" min="369" max="369"/>
    <col width="10" customWidth="1" min="370" max="370"/>
    <col width="10" customWidth="1" min="371" max="371"/>
    <col width="11" customWidth="1" min="372" max="372"/>
    <col width="11" customWidth="1" min="373" max="373"/>
    <col width="10" customWidth="1" min="374" max="374"/>
    <col width="11" customWidth="1" min="375" max="375"/>
    <col width="13" customWidth="1" min="376" max="376"/>
  </cols>
  <sheetData>
    <row r="1">
      <c r="A1" s="2" t="inlineStr">
        <is>
          <t>Month</t>
        </is>
      </c>
      <c r="B1" s="9" t="n">
        <v>10</v>
      </c>
      <c r="D1" s="2">
        <f>IF(ISNUMBER(B$7),"XLE US "&amp;TEXT(B$3,"mm/dd/yy")&amp;" C"&amp;(B$7-5*B$6)&amp;" Equity","")</f>
        <v/>
      </c>
      <c r="U1" s="2">
        <f>IF(ISNUMBER(B$7),"XLE US "&amp;TEXT(B$3,"mm/dd/yy")&amp;" P"&amp;(B$7-5*B$6)&amp;" Equity","")</f>
        <v/>
      </c>
      <c r="AL1" s="2">
        <f>IF(ISNUMBER(B$7),"XLE US "&amp;TEXT(B$3,"mm/dd/yy")&amp;" C"&amp;(B$7-4*B$6)&amp;" Equity","")</f>
        <v/>
      </c>
      <c r="BC1" s="2">
        <f>IF(ISNUMBER(B$7),"XLE US "&amp;TEXT(B$3,"mm/dd/yy")&amp;" P"&amp;(B$7-4*B$6)&amp;" Equity","")</f>
        <v/>
      </c>
      <c r="BT1" s="2">
        <f>IF(ISNUMBER(B$7),"XLE US "&amp;TEXT(B$3,"mm/dd/yy")&amp;" C"&amp;(B$7-3*B$6)&amp;" Equity","")</f>
        <v/>
      </c>
      <c r="CK1" s="2">
        <f>IF(ISNUMBER(B$7),"XLE US "&amp;TEXT(B$3,"mm/dd/yy")&amp;" P"&amp;(B$7-3*B$6)&amp;" Equity","")</f>
        <v/>
      </c>
      <c r="DB1" s="2">
        <f>IF(ISNUMBER(B$7),"XLE US "&amp;TEXT(B$3,"mm/dd/yy")&amp;" C"&amp;(B$7-2*B$6)&amp;" Equity","")</f>
        <v/>
      </c>
      <c r="DS1" s="2">
        <f>IF(ISNUMBER(B$7),"XLE US "&amp;TEXT(B$3,"mm/dd/yy")&amp;" P"&amp;(B$7-2*B$6)&amp;" Equity","")</f>
        <v/>
      </c>
      <c r="EJ1" s="2">
        <f>IF(ISNUMBER(B$7),"XLE US "&amp;TEXT(B$3,"mm/dd/yy")&amp;" C"&amp;(B$7-1*B$6)&amp;" Equity","")</f>
        <v/>
      </c>
      <c r="FA1" s="2">
        <f>IF(ISNUMBER(B$7),"XLE US "&amp;TEXT(B$3,"mm/dd/yy")&amp;" P"&amp;(B$7-1*B$6)&amp;" Equity","")</f>
        <v/>
      </c>
      <c r="FR1" s="2">
        <f>IF(ISNUMBER(B$7),"XLE US "&amp;TEXT(B$3,"mm/dd/yy")&amp;" C"&amp;B$7&amp;" Equity","")</f>
        <v/>
      </c>
      <c r="GI1" s="2">
        <f>IF(ISNUMBER(B$7),"XLE US "&amp;TEXT(B$3,"mm/dd/yy")&amp;" P"&amp;B$7&amp;" Equity","")</f>
        <v/>
      </c>
      <c r="GZ1" s="2">
        <f>IF(ISNUMBER(B$7),"XLE US "&amp;TEXT(B$3,"mm/dd/yy")&amp;" C"&amp;(B$7+1*B$6)&amp;" Equity","")</f>
        <v/>
      </c>
      <c r="HQ1" s="2">
        <f>IF(ISNUMBER(B$7),"XLE US "&amp;TEXT(B$3,"mm/dd/yy")&amp;" P"&amp;(B$7+1*B$6)&amp;" Equity","")</f>
        <v/>
      </c>
      <c r="IH1" s="2">
        <f>IF(ISNUMBER(B$7),"XLE US "&amp;TEXT(B$3,"mm/dd/yy")&amp;" C"&amp;(B$7+2*B$6)&amp;" Equity","")</f>
        <v/>
      </c>
      <c r="IY1" s="2">
        <f>IF(ISNUMBER(B$7),"XLE US "&amp;TEXT(B$3,"mm/dd/yy")&amp;" P"&amp;(B$7+2*B$6)&amp;" Equity","")</f>
        <v/>
      </c>
      <c r="JP1" s="2">
        <f>IF(ISNUMBER(B$7),"XLE US "&amp;TEXT(B$3,"mm/dd/yy")&amp;" C"&amp;(B$7+3*B$6)&amp;" Equity","")</f>
        <v/>
      </c>
      <c r="KG1" s="2">
        <f>IF(ISNUMBER(B$7),"XLE US "&amp;TEXT(B$3,"mm/dd/yy")&amp;" P"&amp;(B$7+3*B$6)&amp;" Equity","")</f>
        <v/>
      </c>
      <c r="KX1" s="2">
        <f>IF(ISNUMBER(B$7),"XLE US "&amp;TEXT(B$3,"mm/dd/yy")&amp;" C"&amp;(B$7+4*B$6)&amp;" Equity","")</f>
        <v/>
      </c>
      <c r="LO1" s="2">
        <f>IF(ISNUMBER(B$7),"XLE US "&amp;TEXT(B$3,"mm/dd/yy")&amp;" P"&amp;(B$7+4*B$6)&amp;" Equity","")</f>
        <v/>
      </c>
      <c r="MF1" s="2">
        <f>IF(ISNUMBER(B$7),"XLE US "&amp;TEXT(B$3,"mm/dd/yy")&amp;" C"&amp;(B$7+5*B$6)&amp;" Equity","")</f>
        <v/>
      </c>
      <c r="MW1" s="2">
        <f>IF(ISNUMBER(B$7),"XLE US "&amp;TEXT(B$3,"mm/dd/yy")&amp;" P"&amp;(B$7+5*B$6)&amp;" Equity","")</f>
        <v/>
      </c>
    </row>
    <row r="2">
      <c r="A2" s="2" t="inlineStr">
        <is>
          <t>Underlying</t>
        </is>
      </c>
      <c r="B2" s="4">
        <f>IF(Settings!$B$16="Y","XLE US Equity","")</f>
        <v/>
      </c>
      <c r="D2" s="4" t="inlineStr">
        <is>
          <t>call -5 from ATM</t>
        </is>
      </c>
      <c r="U2" s="4" t="inlineStr">
        <is>
          <t>put -5 from ATM</t>
        </is>
      </c>
      <c r="AL2" s="4" t="inlineStr">
        <is>
          <t>call -4 from ATM</t>
        </is>
      </c>
      <c r="BC2" s="4" t="inlineStr">
        <is>
          <t>put -4 from ATM</t>
        </is>
      </c>
      <c r="BT2" s="4" t="inlineStr">
        <is>
          <t>call -3 from ATM</t>
        </is>
      </c>
      <c r="CK2" s="4" t="inlineStr">
        <is>
          <t>put -3 from ATM</t>
        </is>
      </c>
      <c r="DB2" s="4" t="inlineStr">
        <is>
          <t>call -2 from ATM</t>
        </is>
      </c>
      <c r="DS2" s="4" t="inlineStr">
        <is>
          <t>put -2 from ATM</t>
        </is>
      </c>
      <c r="EJ2" s="4" t="inlineStr">
        <is>
          <t>call -1 from ATM</t>
        </is>
      </c>
      <c r="FA2" s="4" t="inlineStr">
        <is>
          <t>put -1 from ATM</t>
        </is>
      </c>
      <c r="FR2" s="4" t="inlineStr">
        <is>
          <t>call +0 from ATM</t>
        </is>
      </c>
      <c r="GI2" s="4" t="inlineStr">
        <is>
          <t>put +0 from ATM</t>
        </is>
      </c>
      <c r="GZ2" s="4" t="inlineStr">
        <is>
          <t>call +1 from ATM</t>
        </is>
      </c>
      <c r="HQ2" s="4" t="inlineStr">
        <is>
          <t>put +1 from ATM</t>
        </is>
      </c>
      <c r="IH2" s="4" t="inlineStr">
        <is>
          <t>call +2 from ATM</t>
        </is>
      </c>
      <c r="IY2" s="4" t="inlineStr">
        <is>
          <t>put +2 from ATM</t>
        </is>
      </c>
      <c r="JP2" s="4" t="inlineStr">
        <is>
          <t>call +3 from ATM</t>
        </is>
      </c>
      <c r="KG2" s="4" t="inlineStr">
        <is>
          <t>put +3 from ATM</t>
        </is>
      </c>
      <c r="KX2" s="4" t="inlineStr">
        <is>
          <t>call +4 from ATM</t>
        </is>
      </c>
      <c r="LO2" s="4" t="inlineStr">
        <is>
          <t>put +4 from ATM</t>
        </is>
      </c>
      <c r="MF2" s="4" t="inlineStr">
        <is>
          <t>call +5 from ATM</t>
        </is>
      </c>
      <c r="MW2" s="4" t="inlineStr">
        <is>
          <t>put +5 from ATM</t>
        </is>
      </c>
    </row>
    <row r="3">
      <c r="A3" s="2" t="inlineStr">
        <is>
          <t>Expiry (3rd Friday)</t>
        </is>
      </c>
      <c r="B3" s="3">
        <f>DATE(Settings!$E$16,B1,15)+MOD(6-WEEKDAY(DATE(Settings!$E$16,B1,15)),7)</f>
        <v/>
      </c>
      <c r="D3" s="5" t="inlineStr">
        <is>
          <t>Date</t>
        </is>
      </c>
      <c r="E3" s="5" t="inlineStr">
        <is>
          <t>PX_BID</t>
        </is>
      </c>
      <c r="F3" s="5" t="inlineStr">
        <is>
          <t>PX_ASK</t>
        </is>
      </c>
      <c r="G3" s="5" t="inlineStr">
        <is>
          <t>PX_MID</t>
        </is>
      </c>
      <c r="H3" s="5" t="inlineStr">
        <is>
          <t>PX_LAST</t>
        </is>
      </c>
      <c r="I3" s="5" t="inlineStr">
        <is>
          <t>PX_SETTLE</t>
        </is>
      </c>
      <c r="J3" s="5" t="inlineStr">
        <is>
          <t>PX_VOLUME</t>
        </is>
      </c>
      <c r="K3" s="5" t="inlineStr">
        <is>
          <t>OPEN_INT</t>
        </is>
      </c>
      <c r="L3" s="5" t="inlineStr">
        <is>
          <t>IVOL_MID</t>
        </is>
      </c>
      <c r="M3" s="5" t="inlineStr">
        <is>
          <t>IVOL_BID</t>
        </is>
      </c>
      <c r="N3" s="5" t="inlineStr">
        <is>
          <t>IVOL_ASK</t>
        </is>
      </c>
      <c r="O3" s="5" t="inlineStr">
        <is>
          <t>DELTA_MID</t>
        </is>
      </c>
      <c r="P3" s="5" t="inlineStr">
        <is>
          <t>GAMMA_MID</t>
        </is>
      </c>
      <c r="Q3" s="5" t="inlineStr">
        <is>
          <t>VEGA_MID</t>
        </is>
      </c>
      <c r="R3" s="5" t="inlineStr">
        <is>
          <t>THETA_MID</t>
        </is>
      </c>
      <c r="S3" s="5" t="inlineStr">
        <is>
          <t>OPT_UNDL_PX</t>
        </is>
      </c>
      <c r="U3" s="5" t="inlineStr">
        <is>
          <t>Date</t>
        </is>
      </c>
      <c r="V3" s="5" t="inlineStr">
        <is>
          <t>PX_BID</t>
        </is>
      </c>
      <c r="W3" s="5" t="inlineStr">
        <is>
          <t>PX_ASK</t>
        </is>
      </c>
      <c r="X3" s="5" t="inlineStr">
        <is>
          <t>PX_MID</t>
        </is>
      </c>
      <c r="Y3" s="5" t="inlineStr">
        <is>
          <t>PX_LAST</t>
        </is>
      </c>
      <c r="Z3" s="5" t="inlineStr">
        <is>
          <t>PX_SETTLE</t>
        </is>
      </c>
      <c r="AA3" s="5" t="inlineStr">
        <is>
          <t>PX_VOLUME</t>
        </is>
      </c>
      <c r="AB3" s="5" t="inlineStr">
        <is>
          <t>OPEN_INT</t>
        </is>
      </c>
      <c r="AC3" s="5" t="inlineStr">
        <is>
          <t>IVOL_MID</t>
        </is>
      </c>
      <c r="AD3" s="5" t="inlineStr">
        <is>
          <t>IVOL_BID</t>
        </is>
      </c>
      <c r="AE3" s="5" t="inlineStr">
        <is>
          <t>IVOL_ASK</t>
        </is>
      </c>
      <c r="AF3" s="5" t="inlineStr">
        <is>
          <t>DELTA_MID</t>
        </is>
      </c>
      <c r="AG3" s="5" t="inlineStr">
        <is>
          <t>GAMMA_MID</t>
        </is>
      </c>
      <c r="AH3" s="5" t="inlineStr">
        <is>
          <t>VEGA_MID</t>
        </is>
      </c>
      <c r="AI3" s="5" t="inlineStr">
        <is>
          <t>THETA_MID</t>
        </is>
      </c>
      <c r="AJ3" s="5" t="inlineStr">
        <is>
          <t>OPT_UNDL_PX</t>
        </is>
      </c>
      <c r="AL3" s="5" t="inlineStr">
        <is>
          <t>Date</t>
        </is>
      </c>
      <c r="AM3" s="5" t="inlineStr">
        <is>
          <t>PX_BID</t>
        </is>
      </c>
      <c r="AN3" s="5" t="inlineStr">
        <is>
          <t>PX_ASK</t>
        </is>
      </c>
      <c r="AO3" s="5" t="inlineStr">
        <is>
          <t>PX_MID</t>
        </is>
      </c>
      <c r="AP3" s="5" t="inlineStr">
        <is>
          <t>PX_LAST</t>
        </is>
      </c>
      <c r="AQ3" s="5" t="inlineStr">
        <is>
          <t>PX_SETTLE</t>
        </is>
      </c>
      <c r="AR3" s="5" t="inlineStr">
        <is>
          <t>PX_VOLUME</t>
        </is>
      </c>
      <c r="AS3" s="5" t="inlineStr">
        <is>
          <t>OPEN_INT</t>
        </is>
      </c>
      <c r="AT3" s="5" t="inlineStr">
        <is>
          <t>IVOL_MID</t>
        </is>
      </c>
      <c r="AU3" s="5" t="inlineStr">
        <is>
          <t>IVOL_BID</t>
        </is>
      </c>
      <c r="AV3" s="5" t="inlineStr">
        <is>
          <t>IVOL_ASK</t>
        </is>
      </c>
      <c r="AW3" s="5" t="inlineStr">
        <is>
          <t>DELTA_MID</t>
        </is>
      </c>
      <c r="AX3" s="5" t="inlineStr">
        <is>
          <t>GAMMA_MID</t>
        </is>
      </c>
      <c r="AY3" s="5" t="inlineStr">
        <is>
          <t>VEGA_MID</t>
        </is>
      </c>
      <c r="AZ3" s="5" t="inlineStr">
        <is>
          <t>THETA_MID</t>
        </is>
      </c>
      <c r="BA3" s="5" t="inlineStr">
        <is>
          <t>OPT_UNDL_PX</t>
        </is>
      </c>
      <c r="BC3" s="5" t="inlineStr">
        <is>
          <t>Date</t>
        </is>
      </c>
      <c r="BD3" s="5" t="inlineStr">
        <is>
          <t>PX_BID</t>
        </is>
      </c>
      <c r="BE3" s="5" t="inlineStr">
        <is>
          <t>PX_ASK</t>
        </is>
      </c>
      <c r="BF3" s="5" t="inlineStr">
        <is>
          <t>PX_MID</t>
        </is>
      </c>
      <c r="BG3" s="5" t="inlineStr">
        <is>
          <t>PX_LAST</t>
        </is>
      </c>
      <c r="BH3" s="5" t="inlineStr">
        <is>
          <t>PX_SETTLE</t>
        </is>
      </c>
      <c r="BI3" s="5" t="inlineStr">
        <is>
          <t>PX_VOLUME</t>
        </is>
      </c>
      <c r="BJ3" s="5" t="inlineStr">
        <is>
          <t>OPEN_INT</t>
        </is>
      </c>
      <c r="BK3" s="5" t="inlineStr">
        <is>
          <t>IVOL_MID</t>
        </is>
      </c>
      <c r="BL3" s="5" t="inlineStr">
        <is>
          <t>IVOL_BID</t>
        </is>
      </c>
      <c r="BM3" s="5" t="inlineStr">
        <is>
          <t>IVOL_ASK</t>
        </is>
      </c>
      <c r="BN3" s="5" t="inlineStr">
        <is>
          <t>DELTA_MID</t>
        </is>
      </c>
      <c r="BO3" s="5" t="inlineStr">
        <is>
          <t>GAMMA_MID</t>
        </is>
      </c>
      <c r="BP3" s="5" t="inlineStr">
        <is>
          <t>VEGA_MID</t>
        </is>
      </c>
      <c r="BQ3" s="5" t="inlineStr">
        <is>
          <t>THETA_MID</t>
        </is>
      </c>
      <c r="BR3" s="5" t="inlineStr">
        <is>
          <t>OPT_UNDL_PX</t>
        </is>
      </c>
      <c r="BT3" s="5" t="inlineStr">
        <is>
          <t>Date</t>
        </is>
      </c>
      <c r="BU3" s="5" t="inlineStr">
        <is>
          <t>PX_BID</t>
        </is>
      </c>
      <c r="BV3" s="5" t="inlineStr">
        <is>
          <t>PX_ASK</t>
        </is>
      </c>
      <c r="BW3" s="5" t="inlineStr">
        <is>
          <t>PX_MID</t>
        </is>
      </c>
      <c r="BX3" s="5" t="inlineStr">
        <is>
          <t>PX_LAST</t>
        </is>
      </c>
      <c r="BY3" s="5" t="inlineStr">
        <is>
          <t>PX_SETTLE</t>
        </is>
      </c>
      <c r="BZ3" s="5" t="inlineStr">
        <is>
          <t>PX_VOLUME</t>
        </is>
      </c>
      <c r="CA3" s="5" t="inlineStr">
        <is>
          <t>OPEN_INT</t>
        </is>
      </c>
      <c r="CB3" s="5" t="inlineStr">
        <is>
          <t>IVOL_MID</t>
        </is>
      </c>
      <c r="CC3" s="5" t="inlineStr">
        <is>
          <t>IVOL_BID</t>
        </is>
      </c>
      <c r="CD3" s="5" t="inlineStr">
        <is>
          <t>IVOL_ASK</t>
        </is>
      </c>
      <c r="CE3" s="5" t="inlineStr">
        <is>
          <t>DELTA_MID</t>
        </is>
      </c>
      <c r="CF3" s="5" t="inlineStr">
        <is>
          <t>GAMMA_MID</t>
        </is>
      </c>
      <c r="CG3" s="5" t="inlineStr">
        <is>
          <t>VEGA_MID</t>
        </is>
      </c>
      <c r="CH3" s="5" t="inlineStr">
        <is>
          <t>THETA_MID</t>
        </is>
      </c>
      <c r="CI3" s="5" t="inlineStr">
        <is>
          <t>OPT_UNDL_PX</t>
        </is>
      </c>
      <c r="CK3" s="5" t="inlineStr">
        <is>
          <t>Date</t>
        </is>
      </c>
      <c r="CL3" s="5" t="inlineStr">
        <is>
          <t>PX_BID</t>
        </is>
      </c>
      <c r="CM3" s="5" t="inlineStr">
        <is>
          <t>PX_ASK</t>
        </is>
      </c>
      <c r="CN3" s="5" t="inlineStr">
        <is>
          <t>PX_MID</t>
        </is>
      </c>
      <c r="CO3" s="5" t="inlineStr">
        <is>
          <t>PX_LAST</t>
        </is>
      </c>
      <c r="CP3" s="5" t="inlineStr">
        <is>
          <t>PX_SETTLE</t>
        </is>
      </c>
      <c r="CQ3" s="5" t="inlineStr">
        <is>
          <t>PX_VOLUME</t>
        </is>
      </c>
      <c r="CR3" s="5" t="inlineStr">
        <is>
          <t>OPEN_INT</t>
        </is>
      </c>
      <c r="CS3" s="5" t="inlineStr">
        <is>
          <t>IVOL_MID</t>
        </is>
      </c>
      <c r="CT3" s="5" t="inlineStr">
        <is>
          <t>IVOL_BID</t>
        </is>
      </c>
      <c r="CU3" s="5" t="inlineStr">
        <is>
          <t>IVOL_ASK</t>
        </is>
      </c>
      <c r="CV3" s="5" t="inlineStr">
        <is>
          <t>DELTA_MID</t>
        </is>
      </c>
      <c r="CW3" s="5" t="inlineStr">
        <is>
          <t>GAMMA_MID</t>
        </is>
      </c>
      <c r="CX3" s="5" t="inlineStr">
        <is>
          <t>VEGA_MID</t>
        </is>
      </c>
      <c r="CY3" s="5" t="inlineStr">
        <is>
          <t>THETA_MID</t>
        </is>
      </c>
      <c r="CZ3" s="5" t="inlineStr">
        <is>
          <t>OPT_UNDL_PX</t>
        </is>
      </c>
      <c r="DB3" s="5" t="inlineStr">
        <is>
          <t>Date</t>
        </is>
      </c>
      <c r="DC3" s="5" t="inlineStr">
        <is>
          <t>PX_BID</t>
        </is>
      </c>
      <c r="DD3" s="5" t="inlineStr">
        <is>
          <t>PX_ASK</t>
        </is>
      </c>
      <c r="DE3" s="5" t="inlineStr">
        <is>
          <t>PX_MID</t>
        </is>
      </c>
      <c r="DF3" s="5" t="inlineStr">
        <is>
          <t>PX_LAST</t>
        </is>
      </c>
      <c r="DG3" s="5" t="inlineStr">
        <is>
          <t>PX_SETTLE</t>
        </is>
      </c>
      <c r="DH3" s="5" t="inlineStr">
        <is>
          <t>PX_VOLUME</t>
        </is>
      </c>
      <c r="DI3" s="5" t="inlineStr">
        <is>
          <t>OPEN_INT</t>
        </is>
      </c>
      <c r="DJ3" s="5" t="inlineStr">
        <is>
          <t>IVOL_MID</t>
        </is>
      </c>
      <c r="DK3" s="5" t="inlineStr">
        <is>
          <t>IVOL_BID</t>
        </is>
      </c>
      <c r="DL3" s="5" t="inlineStr">
        <is>
          <t>IVOL_ASK</t>
        </is>
      </c>
      <c r="DM3" s="5" t="inlineStr">
        <is>
          <t>DELTA_MID</t>
        </is>
      </c>
      <c r="DN3" s="5" t="inlineStr">
        <is>
          <t>GAMMA_MID</t>
        </is>
      </c>
      <c r="DO3" s="5" t="inlineStr">
        <is>
          <t>VEGA_MID</t>
        </is>
      </c>
      <c r="DP3" s="5" t="inlineStr">
        <is>
          <t>THETA_MID</t>
        </is>
      </c>
      <c r="DQ3" s="5" t="inlineStr">
        <is>
          <t>OPT_UNDL_PX</t>
        </is>
      </c>
      <c r="DS3" s="5" t="inlineStr">
        <is>
          <t>Date</t>
        </is>
      </c>
      <c r="DT3" s="5" t="inlineStr">
        <is>
          <t>PX_BID</t>
        </is>
      </c>
      <c r="DU3" s="5" t="inlineStr">
        <is>
          <t>PX_ASK</t>
        </is>
      </c>
      <c r="DV3" s="5" t="inlineStr">
        <is>
          <t>PX_MID</t>
        </is>
      </c>
      <c r="DW3" s="5" t="inlineStr">
        <is>
          <t>PX_LAST</t>
        </is>
      </c>
      <c r="DX3" s="5" t="inlineStr">
        <is>
          <t>PX_SETTLE</t>
        </is>
      </c>
      <c r="DY3" s="5" t="inlineStr">
        <is>
          <t>PX_VOLUME</t>
        </is>
      </c>
      <c r="DZ3" s="5" t="inlineStr">
        <is>
          <t>OPEN_INT</t>
        </is>
      </c>
      <c r="EA3" s="5" t="inlineStr">
        <is>
          <t>IVOL_MID</t>
        </is>
      </c>
      <c r="EB3" s="5" t="inlineStr">
        <is>
          <t>IVOL_BID</t>
        </is>
      </c>
      <c r="EC3" s="5" t="inlineStr">
        <is>
          <t>IVOL_ASK</t>
        </is>
      </c>
      <c r="ED3" s="5" t="inlineStr">
        <is>
          <t>DELTA_MID</t>
        </is>
      </c>
      <c r="EE3" s="5" t="inlineStr">
        <is>
          <t>GAMMA_MID</t>
        </is>
      </c>
      <c r="EF3" s="5" t="inlineStr">
        <is>
          <t>VEGA_MID</t>
        </is>
      </c>
      <c r="EG3" s="5" t="inlineStr">
        <is>
          <t>THETA_MID</t>
        </is>
      </c>
      <c r="EH3" s="5" t="inlineStr">
        <is>
          <t>OPT_UNDL_PX</t>
        </is>
      </c>
      <c r="EJ3" s="5" t="inlineStr">
        <is>
          <t>Date</t>
        </is>
      </c>
      <c r="EK3" s="5" t="inlineStr">
        <is>
          <t>PX_BID</t>
        </is>
      </c>
      <c r="EL3" s="5" t="inlineStr">
        <is>
          <t>PX_ASK</t>
        </is>
      </c>
      <c r="EM3" s="5" t="inlineStr">
        <is>
          <t>PX_MID</t>
        </is>
      </c>
      <c r="EN3" s="5" t="inlineStr">
        <is>
          <t>PX_LAST</t>
        </is>
      </c>
      <c r="EO3" s="5" t="inlineStr">
        <is>
          <t>PX_SETTLE</t>
        </is>
      </c>
      <c r="EP3" s="5" t="inlineStr">
        <is>
          <t>PX_VOLUME</t>
        </is>
      </c>
      <c r="EQ3" s="5" t="inlineStr">
        <is>
          <t>OPEN_INT</t>
        </is>
      </c>
      <c r="ER3" s="5" t="inlineStr">
        <is>
          <t>IVOL_MID</t>
        </is>
      </c>
      <c r="ES3" s="5" t="inlineStr">
        <is>
          <t>IVOL_BID</t>
        </is>
      </c>
      <c r="ET3" s="5" t="inlineStr">
        <is>
          <t>IVOL_ASK</t>
        </is>
      </c>
      <c r="EU3" s="5" t="inlineStr">
        <is>
          <t>DELTA_MID</t>
        </is>
      </c>
      <c r="EV3" s="5" t="inlineStr">
        <is>
          <t>GAMMA_MID</t>
        </is>
      </c>
      <c r="EW3" s="5" t="inlineStr">
        <is>
          <t>VEGA_MID</t>
        </is>
      </c>
      <c r="EX3" s="5" t="inlineStr">
        <is>
          <t>THETA_MID</t>
        </is>
      </c>
      <c r="EY3" s="5" t="inlineStr">
        <is>
          <t>OPT_UNDL_PX</t>
        </is>
      </c>
      <c r="FA3" s="5" t="inlineStr">
        <is>
          <t>Date</t>
        </is>
      </c>
      <c r="FB3" s="5" t="inlineStr">
        <is>
          <t>PX_BID</t>
        </is>
      </c>
      <c r="FC3" s="5" t="inlineStr">
        <is>
          <t>PX_ASK</t>
        </is>
      </c>
      <c r="FD3" s="5" t="inlineStr">
        <is>
          <t>PX_MID</t>
        </is>
      </c>
      <c r="FE3" s="5" t="inlineStr">
        <is>
          <t>PX_LAST</t>
        </is>
      </c>
      <c r="FF3" s="5" t="inlineStr">
        <is>
          <t>PX_SETTLE</t>
        </is>
      </c>
      <c r="FG3" s="5" t="inlineStr">
        <is>
          <t>PX_VOLUME</t>
        </is>
      </c>
      <c r="FH3" s="5" t="inlineStr">
        <is>
          <t>OPEN_INT</t>
        </is>
      </c>
      <c r="FI3" s="5" t="inlineStr">
        <is>
          <t>IVOL_MID</t>
        </is>
      </c>
      <c r="FJ3" s="5" t="inlineStr">
        <is>
          <t>IVOL_BID</t>
        </is>
      </c>
      <c r="FK3" s="5" t="inlineStr">
        <is>
          <t>IVOL_ASK</t>
        </is>
      </c>
      <c r="FL3" s="5" t="inlineStr">
        <is>
          <t>DELTA_MID</t>
        </is>
      </c>
      <c r="FM3" s="5" t="inlineStr">
        <is>
          <t>GAMMA_MID</t>
        </is>
      </c>
      <c r="FN3" s="5" t="inlineStr">
        <is>
          <t>VEGA_MID</t>
        </is>
      </c>
      <c r="FO3" s="5" t="inlineStr">
        <is>
          <t>THETA_MID</t>
        </is>
      </c>
      <c r="FP3" s="5" t="inlineStr">
        <is>
          <t>OPT_UNDL_PX</t>
        </is>
      </c>
      <c r="FR3" s="5" t="inlineStr">
        <is>
          <t>Date</t>
        </is>
      </c>
      <c r="FS3" s="5" t="inlineStr">
        <is>
          <t>PX_BID</t>
        </is>
      </c>
      <c r="FT3" s="5" t="inlineStr">
        <is>
          <t>PX_ASK</t>
        </is>
      </c>
      <c r="FU3" s="5" t="inlineStr">
        <is>
          <t>PX_MID</t>
        </is>
      </c>
      <c r="FV3" s="5" t="inlineStr">
        <is>
          <t>PX_LAST</t>
        </is>
      </c>
      <c r="FW3" s="5" t="inlineStr">
        <is>
          <t>PX_SETTLE</t>
        </is>
      </c>
      <c r="FX3" s="5" t="inlineStr">
        <is>
          <t>PX_VOLUME</t>
        </is>
      </c>
      <c r="FY3" s="5" t="inlineStr">
        <is>
          <t>OPEN_INT</t>
        </is>
      </c>
      <c r="FZ3" s="5" t="inlineStr">
        <is>
          <t>IVOL_MID</t>
        </is>
      </c>
      <c r="GA3" s="5" t="inlineStr">
        <is>
          <t>IVOL_BID</t>
        </is>
      </c>
      <c r="GB3" s="5" t="inlineStr">
        <is>
          <t>IVOL_ASK</t>
        </is>
      </c>
      <c r="GC3" s="5" t="inlineStr">
        <is>
          <t>DELTA_MID</t>
        </is>
      </c>
      <c r="GD3" s="5" t="inlineStr">
        <is>
          <t>GAMMA_MID</t>
        </is>
      </c>
      <c r="GE3" s="5" t="inlineStr">
        <is>
          <t>VEGA_MID</t>
        </is>
      </c>
      <c r="GF3" s="5" t="inlineStr">
        <is>
          <t>THETA_MID</t>
        </is>
      </c>
      <c r="GG3" s="5" t="inlineStr">
        <is>
          <t>OPT_UNDL_PX</t>
        </is>
      </c>
      <c r="GI3" s="5" t="inlineStr">
        <is>
          <t>Date</t>
        </is>
      </c>
      <c r="GJ3" s="5" t="inlineStr">
        <is>
          <t>PX_BID</t>
        </is>
      </c>
      <c r="GK3" s="5" t="inlineStr">
        <is>
          <t>PX_ASK</t>
        </is>
      </c>
      <c r="GL3" s="5" t="inlineStr">
        <is>
          <t>PX_MID</t>
        </is>
      </c>
      <c r="GM3" s="5" t="inlineStr">
        <is>
          <t>PX_LAST</t>
        </is>
      </c>
      <c r="GN3" s="5" t="inlineStr">
        <is>
          <t>PX_SETTLE</t>
        </is>
      </c>
      <c r="GO3" s="5" t="inlineStr">
        <is>
          <t>PX_VOLUME</t>
        </is>
      </c>
      <c r="GP3" s="5" t="inlineStr">
        <is>
          <t>OPEN_INT</t>
        </is>
      </c>
      <c r="GQ3" s="5" t="inlineStr">
        <is>
          <t>IVOL_MID</t>
        </is>
      </c>
      <c r="GR3" s="5" t="inlineStr">
        <is>
          <t>IVOL_BID</t>
        </is>
      </c>
      <c r="GS3" s="5" t="inlineStr">
        <is>
          <t>IVOL_ASK</t>
        </is>
      </c>
      <c r="GT3" s="5" t="inlineStr">
        <is>
          <t>DELTA_MID</t>
        </is>
      </c>
      <c r="GU3" s="5" t="inlineStr">
        <is>
          <t>GAMMA_MID</t>
        </is>
      </c>
      <c r="GV3" s="5" t="inlineStr">
        <is>
          <t>VEGA_MID</t>
        </is>
      </c>
      <c r="GW3" s="5" t="inlineStr">
        <is>
          <t>THETA_MID</t>
        </is>
      </c>
      <c r="GX3" s="5" t="inlineStr">
        <is>
          <t>OPT_UNDL_PX</t>
        </is>
      </c>
      <c r="GZ3" s="5" t="inlineStr">
        <is>
          <t>Date</t>
        </is>
      </c>
      <c r="HA3" s="5" t="inlineStr">
        <is>
          <t>PX_BID</t>
        </is>
      </c>
      <c r="HB3" s="5" t="inlineStr">
        <is>
          <t>PX_ASK</t>
        </is>
      </c>
      <c r="HC3" s="5" t="inlineStr">
        <is>
          <t>PX_MID</t>
        </is>
      </c>
      <c r="HD3" s="5" t="inlineStr">
        <is>
          <t>PX_LAST</t>
        </is>
      </c>
      <c r="HE3" s="5" t="inlineStr">
        <is>
          <t>PX_SETTLE</t>
        </is>
      </c>
      <c r="HF3" s="5" t="inlineStr">
        <is>
          <t>PX_VOLUME</t>
        </is>
      </c>
      <c r="HG3" s="5" t="inlineStr">
        <is>
          <t>OPEN_INT</t>
        </is>
      </c>
      <c r="HH3" s="5" t="inlineStr">
        <is>
          <t>IVOL_MID</t>
        </is>
      </c>
      <c r="HI3" s="5" t="inlineStr">
        <is>
          <t>IVOL_BID</t>
        </is>
      </c>
      <c r="HJ3" s="5" t="inlineStr">
        <is>
          <t>IVOL_ASK</t>
        </is>
      </c>
      <c r="HK3" s="5" t="inlineStr">
        <is>
          <t>DELTA_MID</t>
        </is>
      </c>
      <c r="HL3" s="5" t="inlineStr">
        <is>
          <t>GAMMA_MID</t>
        </is>
      </c>
      <c r="HM3" s="5" t="inlineStr">
        <is>
          <t>VEGA_MID</t>
        </is>
      </c>
      <c r="HN3" s="5" t="inlineStr">
        <is>
          <t>THETA_MID</t>
        </is>
      </c>
      <c r="HO3" s="5" t="inlineStr">
        <is>
          <t>OPT_UNDL_PX</t>
        </is>
      </c>
      <c r="HQ3" s="5" t="inlineStr">
        <is>
          <t>Date</t>
        </is>
      </c>
      <c r="HR3" s="5" t="inlineStr">
        <is>
          <t>PX_BID</t>
        </is>
      </c>
      <c r="HS3" s="5" t="inlineStr">
        <is>
          <t>PX_ASK</t>
        </is>
      </c>
      <c r="HT3" s="5" t="inlineStr">
        <is>
          <t>PX_MID</t>
        </is>
      </c>
      <c r="HU3" s="5" t="inlineStr">
        <is>
          <t>PX_LAST</t>
        </is>
      </c>
      <c r="HV3" s="5" t="inlineStr">
        <is>
          <t>PX_SETTLE</t>
        </is>
      </c>
      <c r="HW3" s="5" t="inlineStr">
        <is>
          <t>PX_VOLUME</t>
        </is>
      </c>
      <c r="HX3" s="5" t="inlineStr">
        <is>
          <t>OPEN_INT</t>
        </is>
      </c>
      <c r="HY3" s="5" t="inlineStr">
        <is>
          <t>IVOL_MID</t>
        </is>
      </c>
      <c r="HZ3" s="5" t="inlineStr">
        <is>
          <t>IVOL_BID</t>
        </is>
      </c>
      <c r="IA3" s="5" t="inlineStr">
        <is>
          <t>IVOL_ASK</t>
        </is>
      </c>
      <c r="IB3" s="5" t="inlineStr">
        <is>
          <t>DELTA_MID</t>
        </is>
      </c>
      <c r="IC3" s="5" t="inlineStr">
        <is>
          <t>GAMMA_MID</t>
        </is>
      </c>
      <c r="ID3" s="5" t="inlineStr">
        <is>
          <t>VEGA_MID</t>
        </is>
      </c>
      <c r="IE3" s="5" t="inlineStr">
        <is>
          <t>THETA_MID</t>
        </is>
      </c>
      <c r="IF3" s="5" t="inlineStr">
        <is>
          <t>OPT_UNDL_PX</t>
        </is>
      </c>
      <c r="IH3" s="5" t="inlineStr">
        <is>
          <t>Date</t>
        </is>
      </c>
      <c r="II3" s="5" t="inlineStr">
        <is>
          <t>PX_BID</t>
        </is>
      </c>
      <c r="IJ3" s="5" t="inlineStr">
        <is>
          <t>PX_ASK</t>
        </is>
      </c>
      <c r="IK3" s="5" t="inlineStr">
        <is>
          <t>PX_MID</t>
        </is>
      </c>
      <c r="IL3" s="5" t="inlineStr">
        <is>
          <t>PX_LAST</t>
        </is>
      </c>
      <c r="IM3" s="5" t="inlineStr">
        <is>
          <t>PX_SETTLE</t>
        </is>
      </c>
      <c r="IN3" s="5" t="inlineStr">
        <is>
          <t>PX_VOLUME</t>
        </is>
      </c>
      <c r="IO3" s="5" t="inlineStr">
        <is>
          <t>OPEN_INT</t>
        </is>
      </c>
      <c r="IP3" s="5" t="inlineStr">
        <is>
          <t>IVOL_MID</t>
        </is>
      </c>
      <c r="IQ3" s="5" t="inlineStr">
        <is>
          <t>IVOL_BID</t>
        </is>
      </c>
      <c r="IR3" s="5" t="inlineStr">
        <is>
          <t>IVOL_ASK</t>
        </is>
      </c>
      <c r="IS3" s="5" t="inlineStr">
        <is>
          <t>DELTA_MID</t>
        </is>
      </c>
      <c r="IT3" s="5" t="inlineStr">
        <is>
          <t>GAMMA_MID</t>
        </is>
      </c>
      <c r="IU3" s="5" t="inlineStr">
        <is>
          <t>VEGA_MID</t>
        </is>
      </c>
      <c r="IV3" s="5" t="inlineStr">
        <is>
          <t>THETA_MID</t>
        </is>
      </c>
      <c r="IW3" s="5" t="inlineStr">
        <is>
          <t>OPT_UNDL_PX</t>
        </is>
      </c>
      <c r="IY3" s="5" t="inlineStr">
        <is>
          <t>Date</t>
        </is>
      </c>
      <c r="IZ3" s="5" t="inlineStr">
        <is>
          <t>PX_BID</t>
        </is>
      </c>
      <c r="JA3" s="5" t="inlineStr">
        <is>
          <t>PX_ASK</t>
        </is>
      </c>
      <c r="JB3" s="5" t="inlineStr">
        <is>
          <t>PX_MID</t>
        </is>
      </c>
      <c r="JC3" s="5" t="inlineStr">
        <is>
          <t>PX_LAST</t>
        </is>
      </c>
      <c r="JD3" s="5" t="inlineStr">
        <is>
          <t>PX_SETTLE</t>
        </is>
      </c>
      <c r="JE3" s="5" t="inlineStr">
        <is>
          <t>PX_VOLUME</t>
        </is>
      </c>
      <c r="JF3" s="5" t="inlineStr">
        <is>
          <t>OPEN_INT</t>
        </is>
      </c>
      <c r="JG3" s="5" t="inlineStr">
        <is>
          <t>IVOL_MID</t>
        </is>
      </c>
      <c r="JH3" s="5" t="inlineStr">
        <is>
          <t>IVOL_BID</t>
        </is>
      </c>
      <c r="JI3" s="5" t="inlineStr">
        <is>
          <t>IVOL_ASK</t>
        </is>
      </c>
      <c r="JJ3" s="5" t="inlineStr">
        <is>
          <t>DELTA_MID</t>
        </is>
      </c>
      <c r="JK3" s="5" t="inlineStr">
        <is>
          <t>GAMMA_MID</t>
        </is>
      </c>
      <c r="JL3" s="5" t="inlineStr">
        <is>
          <t>VEGA_MID</t>
        </is>
      </c>
      <c r="JM3" s="5" t="inlineStr">
        <is>
          <t>THETA_MID</t>
        </is>
      </c>
      <c r="JN3" s="5" t="inlineStr">
        <is>
          <t>OPT_UNDL_PX</t>
        </is>
      </c>
      <c r="JP3" s="5" t="inlineStr">
        <is>
          <t>Date</t>
        </is>
      </c>
      <c r="JQ3" s="5" t="inlineStr">
        <is>
          <t>PX_BID</t>
        </is>
      </c>
      <c r="JR3" s="5" t="inlineStr">
        <is>
          <t>PX_ASK</t>
        </is>
      </c>
      <c r="JS3" s="5" t="inlineStr">
        <is>
          <t>PX_MID</t>
        </is>
      </c>
      <c r="JT3" s="5" t="inlineStr">
        <is>
          <t>PX_LAST</t>
        </is>
      </c>
      <c r="JU3" s="5" t="inlineStr">
        <is>
          <t>PX_SETTLE</t>
        </is>
      </c>
      <c r="JV3" s="5" t="inlineStr">
        <is>
          <t>PX_VOLUME</t>
        </is>
      </c>
      <c r="JW3" s="5" t="inlineStr">
        <is>
          <t>OPEN_INT</t>
        </is>
      </c>
      <c r="JX3" s="5" t="inlineStr">
        <is>
          <t>IVOL_MID</t>
        </is>
      </c>
      <c r="JY3" s="5" t="inlineStr">
        <is>
          <t>IVOL_BID</t>
        </is>
      </c>
      <c r="JZ3" s="5" t="inlineStr">
        <is>
          <t>IVOL_ASK</t>
        </is>
      </c>
      <c r="KA3" s="5" t="inlineStr">
        <is>
          <t>DELTA_MID</t>
        </is>
      </c>
      <c r="KB3" s="5" t="inlineStr">
        <is>
          <t>GAMMA_MID</t>
        </is>
      </c>
      <c r="KC3" s="5" t="inlineStr">
        <is>
          <t>VEGA_MID</t>
        </is>
      </c>
      <c r="KD3" s="5" t="inlineStr">
        <is>
          <t>THETA_MID</t>
        </is>
      </c>
      <c r="KE3" s="5" t="inlineStr">
        <is>
          <t>OPT_UNDL_PX</t>
        </is>
      </c>
      <c r="KG3" s="5" t="inlineStr">
        <is>
          <t>Date</t>
        </is>
      </c>
      <c r="KH3" s="5" t="inlineStr">
        <is>
          <t>PX_BID</t>
        </is>
      </c>
      <c r="KI3" s="5" t="inlineStr">
        <is>
          <t>PX_ASK</t>
        </is>
      </c>
      <c r="KJ3" s="5" t="inlineStr">
        <is>
          <t>PX_MID</t>
        </is>
      </c>
      <c r="KK3" s="5" t="inlineStr">
        <is>
          <t>PX_LAST</t>
        </is>
      </c>
      <c r="KL3" s="5" t="inlineStr">
        <is>
          <t>PX_SETTLE</t>
        </is>
      </c>
      <c r="KM3" s="5" t="inlineStr">
        <is>
          <t>PX_VOLUME</t>
        </is>
      </c>
      <c r="KN3" s="5" t="inlineStr">
        <is>
          <t>OPEN_INT</t>
        </is>
      </c>
      <c r="KO3" s="5" t="inlineStr">
        <is>
          <t>IVOL_MID</t>
        </is>
      </c>
      <c r="KP3" s="5" t="inlineStr">
        <is>
          <t>IVOL_BID</t>
        </is>
      </c>
      <c r="KQ3" s="5" t="inlineStr">
        <is>
          <t>IVOL_ASK</t>
        </is>
      </c>
      <c r="KR3" s="5" t="inlineStr">
        <is>
          <t>DELTA_MID</t>
        </is>
      </c>
      <c r="KS3" s="5" t="inlineStr">
        <is>
          <t>GAMMA_MID</t>
        </is>
      </c>
      <c r="KT3" s="5" t="inlineStr">
        <is>
          <t>VEGA_MID</t>
        </is>
      </c>
      <c r="KU3" s="5" t="inlineStr">
        <is>
          <t>THETA_MID</t>
        </is>
      </c>
      <c r="KV3" s="5" t="inlineStr">
        <is>
          <t>OPT_UNDL_PX</t>
        </is>
      </c>
      <c r="KX3" s="5" t="inlineStr">
        <is>
          <t>Date</t>
        </is>
      </c>
      <c r="KY3" s="5" t="inlineStr">
        <is>
          <t>PX_BID</t>
        </is>
      </c>
      <c r="KZ3" s="5" t="inlineStr">
        <is>
          <t>PX_ASK</t>
        </is>
      </c>
      <c r="LA3" s="5" t="inlineStr">
        <is>
          <t>PX_MID</t>
        </is>
      </c>
      <c r="LB3" s="5" t="inlineStr">
        <is>
          <t>PX_LAST</t>
        </is>
      </c>
      <c r="LC3" s="5" t="inlineStr">
        <is>
          <t>PX_SETTLE</t>
        </is>
      </c>
      <c r="LD3" s="5" t="inlineStr">
        <is>
          <t>PX_VOLUME</t>
        </is>
      </c>
      <c r="LE3" s="5" t="inlineStr">
        <is>
          <t>OPEN_INT</t>
        </is>
      </c>
      <c r="LF3" s="5" t="inlineStr">
        <is>
          <t>IVOL_MID</t>
        </is>
      </c>
      <c r="LG3" s="5" t="inlineStr">
        <is>
          <t>IVOL_BID</t>
        </is>
      </c>
      <c r="LH3" s="5" t="inlineStr">
        <is>
          <t>IVOL_ASK</t>
        </is>
      </c>
      <c r="LI3" s="5" t="inlineStr">
        <is>
          <t>DELTA_MID</t>
        </is>
      </c>
      <c r="LJ3" s="5" t="inlineStr">
        <is>
          <t>GAMMA_MID</t>
        </is>
      </c>
      <c r="LK3" s="5" t="inlineStr">
        <is>
          <t>VEGA_MID</t>
        </is>
      </c>
      <c r="LL3" s="5" t="inlineStr">
        <is>
          <t>THETA_MID</t>
        </is>
      </c>
      <c r="LM3" s="5" t="inlineStr">
        <is>
          <t>OPT_UNDL_PX</t>
        </is>
      </c>
      <c r="LO3" s="5" t="inlineStr">
        <is>
          <t>Date</t>
        </is>
      </c>
      <c r="LP3" s="5" t="inlineStr">
        <is>
          <t>PX_BID</t>
        </is>
      </c>
      <c r="LQ3" s="5" t="inlineStr">
        <is>
          <t>PX_ASK</t>
        </is>
      </c>
      <c r="LR3" s="5" t="inlineStr">
        <is>
          <t>PX_MID</t>
        </is>
      </c>
      <c r="LS3" s="5" t="inlineStr">
        <is>
          <t>PX_LAST</t>
        </is>
      </c>
      <c r="LT3" s="5" t="inlineStr">
        <is>
          <t>PX_SETTLE</t>
        </is>
      </c>
      <c r="LU3" s="5" t="inlineStr">
        <is>
          <t>PX_VOLUME</t>
        </is>
      </c>
      <c r="LV3" s="5" t="inlineStr">
        <is>
          <t>OPEN_INT</t>
        </is>
      </c>
      <c r="LW3" s="5" t="inlineStr">
        <is>
          <t>IVOL_MID</t>
        </is>
      </c>
      <c r="LX3" s="5" t="inlineStr">
        <is>
          <t>IVOL_BID</t>
        </is>
      </c>
      <c r="LY3" s="5" t="inlineStr">
        <is>
          <t>IVOL_ASK</t>
        </is>
      </c>
      <c r="LZ3" s="5" t="inlineStr">
        <is>
          <t>DELTA_MID</t>
        </is>
      </c>
      <c r="MA3" s="5" t="inlineStr">
        <is>
          <t>GAMMA_MID</t>
        </is>
      </c>
      <c r="MB3" s="5" t="inlineStr">
        <is>
          <t>VEGA_MID</t>
        </is>
      </c>
      <c r="MC3" s="5" t="inlineStr">
        <is>
          <t>THETA_MID</t>
        </is>
      </c>
      <c r="MD3" s="5" t="inlineStr">
        <is>
          <t>OPT_UNDL_PX</t>
        </is>
      </c>
      <c r="MF3" s="5" t="inlineStr">
        <is>
          <t>Date</t>
        </is>
      </c>
      <c r="MG3" s="5" t="inlineStr">
        <is>
          <t>PX_BID</t>
        </is>
      </c>
      <c r="MH3" s="5" t="inlineStr">
        <is>
          <t>PX_ASK</t>
        </is>
      </c>
      <c r="MI3" s="5" t="inlineStr">
        <is>
          <t>PX_MID</t>
        </is>
      </c>
      <c r="MJ3" s="5" t="inlineStr">
        <is>
          <t>PX_LAST</t>
        </is>
      </c>
      <c r="MK3" s="5" t="inlineStr">
        <is>
          <t>PX_SETTLE</t>
        </is>
      </c>
      <c r="ML3" s="5" t="inlineStr">
        <is>
          <t>PX_VOLUME</t>
        </is>
      </c>
      <c r="MM3" s="5" t="inlineStr">
        <is>
          <t>OPEN_INT</t>
        </is>
      </c>
      <c r="MN3" s="5" t="inlineStr">
        <is>
          <t>IVOL_MID</t>
        </is>
      </c>
      <c r="MO3" s="5" t="inlineStr">
        <is>
          <t>IVOL_BID</t>
        </is>
      </c>
      <c r="MP3" s="5" t="inlineStr">
        <is>
          <t>IVOL_ASK</t>
        </is>
      </c>
      <c r="MQ3" s="5" t="inlineStr">
        <is>
          <t>DELTA_MID</t>
        </is>
      </c>
      <c r="MR3" s="5" t="inlineStr">
        <is>
          <t>GAMMA_MID</t>
        </is>
      </c>
      <c r="MS3" s="5" t="inlineStr">
        <is>
          <t>VEGA_MID</t>
        </is>
      </c>
      <c r="MT3" s="5" t="inlineStr">
        <is>
          <t>THETA_MID</t>
        </is>
      </c>
      <c r="MU3" s="5" t="inlineStr">
        <is>
          <t>OPT_UNDL_PX</t>
        </is>
      </c>
      <c r="MW3" s="5" t="inlineStr">
        <is>
          <t>Date</t>
        </is>
      </c>
      <c r="MX3" s="5" t="inlineStr">
        <is>
          <t>PX_BID</t>
        </is>
      </c>
      <c r="MY3" s="5" t="inlineStr">
        <is>
          <t>PX_ASK</t>
        </is>
      </c>
      <c r="MZ3" s="5" t="inlineStr">
        <is>
          <t>PX_MID</t>
        </is>
      </c>
      <c r="NA3" s="5" t="inlineStr">
        <is>
          <t>PX_LAST</t>
        </is>
      </c>
      <c r="NB3" s="5" t="inlineStr">
        <is>
          <t>PX_SETTLE</t>
        </is>
      </c>
      <c r="NC3" s="5" t="inlineStr">
        <is>
          <t>PX_VOLUME</t>
        </is>
      </c>
      <c r="ND3" s="5" t="inlineStr">
        <is>
          <t>OPEN_INT</t>
        </is>
      </c>
      <c r="NE3" s="5" t="inlineStr">
        <is>
          <t>IVOL_MID</t>
        </is>
      </c>
      <c r="NF3" s="5" t="inlineStr">
        <is>
          <t>IVOL_BID</t>
        </is>
      </c>
      <c r="NG3" s="5" t="inlineStr">
        <is>
          <t>IVOL_ASK</t>
        </is>
      </c>
      <c r="NH3" s="5" t="inlineStr">
        <is>
          <t>DELTA_MID</t>
        </is>
      </c>
      <c r="NI3" s="5" t="inlineStr">
        <is>
          <t>GAMMA_MID</t>
        </is>
      </c>
      <c r="NJ3" s="5" t="inlineStr">
        <is>
          <t>VEGA_MID</t>
        </is>
      </c>
      <c r="NK3" s="5" t="inlineStr">
        <is>
          <t>THETA_MID</t>
        </is>
      </c>
      <c r="NL3" s="5" t="inlineStr">
        <is>
          <t>OPT_UNDL_PX</t>
        </is>
      </c>
    </row>
    <row r="4">
      <c r="A4" s="2" t="inlineStr">
        <is>
          <t>Strike reference date</t>
        </is>
      </c>
      <c r="B4" s="8">
        <f>B3-45</f>
        <v/>
      </c>
      <c r="D4" s="4">
        <f>BDH(D$1,E$3:S$3,$B$8,$B$9,"Dir=V","Dts=S","Sort=A","Days=T","Fill=B")</f>
        <v/>
      </c>
      <c r="U4" s="4">
        <f>BDH(U$1,V$3:AJ$3,$B$8,$B$9,"Dir=V","Dts=S","Sort=A","Days=T","Fill=B")</f>
        <v/>
      </c>
      <c r="AL4" s="4">
        <f>BDH(AL$1,AM$3:BA$3,$B$8,$B$9,"Dir=V","Dts=S","Sort=A","Days=T","Fill=B")</f>
        <v/>
      </c>
      <c r="BC4" s="4">
        <f>BDH(BC$1,BD$3:BR$3,$B$8,$B$9,"Dir=V","Dts=S","Sort=A","Days=T","Fill=B")</f>
        <v/>
      </c>
      <c r="BT4" s="4">
        <f>BDH(BT$1,BU$3:CI$3,$B$8,$B$9,"Dir=V","Dts=S","Sort=A","Days=T","Fill=B")</f>
        <v/>
      </c>
      <c r="CK4" s="4">
        <f>BDH(CK$1,CL$3:CZ$3,$B$8,$B$9,"Dir=V","Dts=S","Sort=A","Days=T","Fill=B")</f>
        <v/>
      </c>
      <c r="DB4" s="4">
        <f>BDH(DB$1,DC$3:DQ$3,$B$8,$B$9,"Dir=V","Dts=S","Sort=A","Days=T","Fill=B")</f>
        <v/>
      </c>
      <c r="DS4" s="4">
        <f>BDH(DS$1,DT$3:EH$3,$B$8,$B$9,"Dir=V","Dts=S","Sort=A","Days=T","Fill=B")</f>
        <v/>
      </c>
      <c r="EJ4" s="4">
        <f>BDH(EJ$1,EK$3:EY$3,$B$8,$B$9,"Dir=V","Dts=S","Sort=A","Days=T","Fill=B")</f>
        <v/>
      </c>
      <c r="FA4" s="4">
        <f>BDH(FA$1,FB$3:FP$3,$B$8,$B$9,"Dir=V","Dts=S","Sort=A","Days=T","Fill=B")</f>
        <v/>
      </c>
      <c r="FR4" s="4">
        <f>BDH(FR$1,FS$3:GG$3,$B$8,$B$9,"Dir=V","Dts=S","Sort=A","Days=T","Fill=B")</f>
        <v/>
      </c>
      <c r="GI4" s="4">
        <f>BDH(GI$1,GJ$3:GX$3,$B$8,$B$9,"Dir=V","Dts=S","Sort=A","Days=T","Fill=B")</f>
        <v/>
      </c>
      <c r="GZ4" s="4">
        <f>BDH(GZ$1,HA$3:HO$3,$B$8,$B$9,"Dir=V","Dts=S","Sort=A","Days=T","Fill=B")</f>
        <v/>
      </c>
      <c r="HQ4" s="4">
        <f>BDH(HQ$1,HR$3:IF$3,$B$8,$B$9,"Dir=V","Dts=S","Sort=A","Days=T","Fill=B")</f>
        <v/>
      </c>
      <c r="IH4" s="4">
        <f>BDH(IH$1,II$3:IW$3,$B$8,$B$9,"Dir=V","Dts=S","Sort=A","Days=T","Fill=B")</f>
        <v/>
      </c>
      <c r="IY4" s="4">
        <f>BDH(IY$1,IZ$3:JN$3,$B$8,$B$9,"Dir=V","Dts=S","Sort=A","Days=T","Fill=B")</f>
        <v/>
      </c>
      <c r="JP4" s="4">
        <f>BDH(JP$1,JQ$3:KE$3,$B$8,$B$9,"Dir=V","Dts=S","Sort=A","Days=T","Fill=B")</f>
        <v/>
      </c>
      <c r="KG4" s="4">
        <f>BDH(KG$1,KH$3:KV$3,$B$8,$B$9,"Dir=V","Dts=S","Sort=A","Days=T","Fill=B")</f>
        <v/>
      </c>
      <c r="KX4" s="4">
        <f>BDH(KX$1,KY$3:LM$3,$B$8,$B$9,"Dir=V","Dts=S","Sort=A","Days=T","Fill=B")</f>
        <v/>
      </c>
      <c r="LO4" s="4">
        <f>BDH(LO$1,LP$3:MD$3,$B$8,$B$9,"Dir=V","Dts=S","Sort=A","Days=T","Fill=B")</f>
        <v/>
      </c>
      <c r="MF4" s="4">
        <f>BDH(MF$1,MG$3:MU$3,$B$8,$B$9,"Dir=V","Dts=S","Sort=A","Days=T","Fill=B")</f>
        <v/>
      </c>
      <c r="MW4" s="4">
        <f>BDH(MW$1,MX$3:NL$3,$B$8,$B$9,"Dir=V","Dts=S","Sort=A","Days=T","Fill=B")</f>
        <v/>
      </c>
    </row>
    <row r="5">
      <c r="A5" s="2" t="inlineStr">
        <is>
          <t>Unadjusted close then</t>
        </is>
      </c>
      <c r="B5" s="10">
        <f>IF(B2="","",BDH(B2,"PX_LAST",B4,B4,"Days=A","Fill=P","Dts=H","CshAdjNormal=N","CshAdjAbnormal=N","CapChg=N"))</f>
        <v/>
      </c>
    </row>
    <row r="6">
      <c r="A6" s="2" t="inlineStr">
        <is>
          <t>Strike step</t>
        </is>
      </c>
      <c r="B6" s="11">
        <f>IF(ISNUMBER(B5),IF(B5&lt;25,0.5,IF(B5&lt;250,1,5)),"")</f>
        <v/>
      </c>
    </row>
    <row r="7">
      <c r="A7" s="2" t="inlineStr">
        <is>
          <t>ATM strike</t>
        </is>
      </c>
      <c r="B7" s="11">
        <f>IF(ISNUMBER(B5),ROUND(B5/B6,0)*B6,"")</f>
        <v/>
      </c>
    </row>
    <row r="8">
      <c r="A8" s="2" t="inlineStr">
        <is>
          <t>History start</t>
        </is>
      </c>
      <c r="B8" s="8">
        <f>B3-100</f>
        <v/>
      </c>
    </row>
    <row r="9">
      <c r="A9" s="2" t="inlineStr">
        <is>
          <t>History end</t>
        </is>
      </c>
      <c r="B9" s="8">
        <f>B3</f>
        <v/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NL9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2" customWidth="1" min="2" max="2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1" customWidth="1" min="15" max="15"/>
    <col width="11" customWidth="1" min="16" max="16"/>
    <col width="10" customWidth="1" min="17" max="17"/>
    <col width="11" customWidth="1" min="18" max="18"/>
    <col width="13" customWidth="1" min="19" max="19"/>
    <col width="12" customWidth="1" min="21" max="21"/>
    <col width="10" customWidth="1" min="22" max="22"/>
    <col width="10" customWidth="1" min="23" max="23"/>
    <col width="10" customWidth="1" min="24" max="24"/>
    <col width="10" customWidth="1" min="25" max="25"/>
    <col width="11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1" customWidth="1" min="32" max="32"/>
    <col width="11" customWidth="1" min="33" max="33"/>
    <col width="10" customWidth="1" min="34" max="34"/>
    <col width="11" customWidth="1" min="35" max="35"/>
    <col width="13" customWidth="1" min="36" max="36"/>
    <col width="12" customWidth="1" min="38" max="38"/>
    <col width="10" customWidth="1" min="39" max="39"/>
    <col width="10" customWidth="1" min="40" max="40"/>
    <col width="10" customWidth="1" min="41" max="41"/>
    <col width="10" customWidth="1" min="42" max="42"/>
    <col width="11" customWidth="1" min="43" max="43"/>
    <col width="11" customWidth="1" min="44" max="44"/>
    <col width="10" customWidth="1" min="45" max="45"/>
    <col width="10" customWidth="1" min="46" max="46"/>
    <col width="10" customWidth="1" min="47" max="47"/>
    <col width="10" customWidth="1" min="48" max="48"/>
    <col width="11" customWidth="1" min="49" max="49"/>
    <col width="11" customWidth="1" min="50" max="50"/>
    <col width="10" customWidth="1" min="51" max="51"/>
    <col width="11" customWidth="1" min="52" max="52"/>
    <col width="13" customWidth="1" min="53" max="53"/>
    <col width="12" customWidth="1" min="55" max="55"/>
    <col width="10" customWidth="1" min="56" max="56"/>
    <col width="10" customWidth="1" min="57" max="57"/>
    <col width="10" customWidth="1" min="58" max="58"/>
    <col width="10" customWidth="1" min="59" max="59"/>
    <col width="11" customWidth="1" min="60" max="60"/>
    <col width="11" customWidth="1" min="61" max="61"/>
    <col width="10" customWidth="1" min="62" max="62"/>
    <col width="10" customWidth="1" min="63" max="63"/>
    <col width="10" customWidth="1" min="64" max="64"/>
    <col width="10" customWidth="1" min="65" max="65"/>
    <col width="11" customWidth="1" min="66" max="66"/>
    <col width="11" customWidth="1" min="67" max="67"/>
    <col width="10" customWidth="1" min="68" max="68"/>
    <col width="11" customWidth="1" min="69" max="69"/>
    <col width="13" customWidth="1" min="70" max="70"/>
    <col width="12" customWidth="1" min="72" max="72"/>
    <col width="10" customWidth="1" min="73" max="73"/>
    <col width="10" customWidth="1" min="74" max="74"/>
    <col width="10" customWidth="1" min="75" max="75"/>
    <col width="10" customWidth="1" min="76" max="76"/>
    <col width="11" customWidth="1" min="77" max="77"/>
    <col width="11" customWidth="1" min="78" max="78"/>
    <col width="10" customWidth="1" min="79" max="79"/>
    <col width="10" customWidth="1" min="80" max="80"/>
    <col width="10" customWidth="1" min="81" max="81"/>
    <col width="10" customWidth="1" min="82" max="82"/>
    <col width="11" customWidth="1" min="83" max="83"/>
    <col width="11" customWidth="1" min="84" max="84"/>
    <col width="10" customWidth="1" min="85" max="85"/>
    <col width="11" customWidth="1" min="86" max="86"/>
    <col width="13" customWidth="1" min="87" max="87"/>
    <col width="12" customWidth="1" min="89" max="89"/>
    <col width="10" customWidth="1" min="90" max="90"/>
    <col width="10" customWidth="1" min="91" max="91"/>
    <col width="10" customWidth="1" min="92" max="92"/>
    <col width="10" customWidth="1" min="93" max="93"/>
    <col width="11" customWidth="1" min="94" max="94"/>
    <col width="11" customWidth="1" min="95" max="95"/>
    <col width="10" customWidth="1" min="96" max="96"/>
    <col width="10" customWidth="1" min="97" max="97"/>
    <col width="10" customWidth="1" min="98" max="98"/>
    <col width="10" customWidth="1" min="99" max="99"/>
    <col width="11" customWidth="1" min="100" max="100"/>
    <col width="11" customWidth="1" min="101" max="101"/>
    <col width="10" customWidth="1" min="102" max="102"/>
    <col width="11" customWidth="1" min="103" max="103"/>
    <col width="13" customWidth="1" min="104" max="104"/>
    <col width="12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1" customWidth="1" min="111" max="111"/>
    <col width="11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1" customWidth="1" min="117" max="117"/>
    <col width="11" customWidth="1" min="118" max="118"/>
    <col width="10" customWidth="1" min="119" max="119"/>
    <col width="11" customWidth="1" min="120" max="120"/>
    <col width="13" customWidth="1" min="121" max="121"/>
    <col width="12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1" customWidth="1" min="128" max="128"/>
    <col width="11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1" customWidth="1" min="134" max="134"/>
    <col width="11" customWidth="1" min="135" max="135"/>
    <col width="10" customWidth="1" min="136" max="136"/>
    <col width="11" customWidth="1" min="137" max="137"/>
    <col width="13" customWidth="1" min="138" max="138"/>
    <col width="12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1" customWidth="1" min="145" max="145"/>
    <col width="11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1" customWidth="1" min="151" max="151"/>
    <col width="11" customWidth="1" min="152" max="152"/>
    <col width="10" customWidth="1" min="153" max="153"/>
    <col width="11" customWidth="1" min="154" max="154"/>
    <col width="13" customWidth="1" min="155" max="155"/>
    <col width="12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1" customWidth="1" min="162" max="162"/>
    <col width="11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1" customWidth="1" min="168" max="168"/>
    <col width="11" customWidth="1" min="169" max="169"/>
    <col width="10" customWidth="1" min="170" max="170"/>
    <col width="11" customWidth="1" min="171" max="171"/>
    <col width="13" customWidth="1" min="172" max="172"/>
    <col width="12" customWidth="1" min="174" max="174"/>
    <col width="10" customWidth="1" min="175" max="175"/>
    <col width="10" customWidth="1" min="176" max="176"/>
    <col width="10" customWidth="1" min="177" max="177"/>
    <col width="10" customWidth="1" min="178" max="178"/>
    <col width="11" customWidth="1" min="179" max="179"/>
    <col width="11" customWidth="1" min="180" max="180"/>
    <col width="10" customWidth="1" min="181" max="181"/>
    <col width="10" customWidth="1" min="182" max="182"/>
    <col width="10" customWidth="1" min="183" max="183"/>
    <col width="10" customWidth="1" min="184" max="184"/>
    <col width="11" customWidth="1" min="185" max="185"/>
    <col width="11" customWidth="1" min="186" max="186"/>
    <col width="10" customWidth="1" min="187" max="187"/>
    <col width="11" customWidth="1" min="188" max="188"/>
    <col width="13" customWidth="1" min="189" max="189"/>
    <col width="12" customWidth="1" min="191" max="191"/>
    <col width="10" customWidth="1" min="192" max="192"/>
    <col width="10" customWidth="1" min="193" max="193"/>
    <col width="10" customWidth="1" min="194" max="194"/>
    <col width="10" customWidth="1" min="195" max="195"/>
    <col width="11" customWidth="1" min="196" max="196"/>
    <col width="11" customWidth="1" min="197" max="197"/>
    <col width="10" customWidth="1" min="198" max="198"/>
    <col width="10" customWidth="1" min="199" max="199"/>
    <col width="10" customWidth="1" min="200" max="200"/>
    <col width="10" customWidth="1" min="201" max="201"/>
    <col width="11" customWidth="1" min="202" max="202"/>
    <col width="11" customWidth="1" min="203" max="203"/>
    <col width="10" customWidth="1" min="204" max="204"/>
    <col width="11" customWidth="1" min="205" max="205"/>
    <col width="13" customWidth="1" min="206" max="206"/>
    <col width="12" customWidth="1" min="208" max="208"/>
    <col width="10" customWidth="1" min="209" max="209"/>
    <col width="10" customWidth="1" min="210" max="210"/>
    <col width="10" customWidth="1" min="211" max="211"/>
    <col width="10" customWidth="1" min="212" max="212"/>
    <col width="11" customWidth="1" min="213" max="213"/>
    <col width="11" customWidth="1" min="214" max="214"/>
    <col width="10" customWidth="1" min="215" max="215"/>
    <col width="10" customWidth="1" min="216" max="216"/>
    <col width="10" customWidth="1" min="217" max="217"/>
    <col width="10" customWidth="1" min="218" max="218"/>
    <col width="11" customWidth="1" min="219" max="219"/>
    <col width="11" customWidth="1" min="220" max="220"/>
    <col width="10" customWidth="1" min="221" max="221"/>
    <col width="11" customWidth="1" min="222" max="222"/>
    <col width="13" customWidth="1" min="223" max="223"/>
    <col width="12" customWidth="1" min="225" max="225"/>
    <col width="10" customWidth="1" min="226" max="226"/>
    <col width="10" customWidth="1" min="227" max="227"/>
    <col width="10" customWidth="1" min="228" max="228"/>
    <col width="10" customWidth="1" min="229" max="229"/>
    <col width="11" customWidth="1" min="230" max="230"/>
    <col width="11" customWidth="1" min="231" max="231"/>
    <col width="10" customWidth="1" min="232" max="232"/>
    <col width="10" customWidth="1" min="233" max="233"/>
    <col width="10" customWidth="1" min="234" max="234"/>
    <col width="10" customWidth="1" min="235" max="235"/>
    <col width="11" customWidth="1" min="236" max="236"/>
    <col width="11" customWidth="1" min="237" max="237"/>
    <col width="10" customWidth="1" min="238" max="238"/>
    <col width="11" customWidth="1" min="239" max="239"/>
    <col width="13" customWidth="1" min="240" max="240"/>
    <col width="12" customWidth="1" min="242" max="242"/>
    <col width="10" customWidth="1" min="243" max="243"/>
    <col width="10" customWidth="1" min="244" max="244"/>
    <col width="10" customWidth="1" min="245" max="245"/>
    <col width="10" customWidth="1" min="246" max="246"/>
    <col width="11" customWidth="1" min="247" max="247"/>
    <col width="11" customWidth="1" min="248" max="248"/>
    <col width="10" customWidth="1" min="249" max="249"/>
    <col width="10" customWidth="1" min="250" max="250"/>
    <col width="10" customWidth="1" min="251" max="251"/>
    <col width="10" customWidth="1" min="252" max="252"/>
    <col width="11" customWidth="1" min="253" max="253"/>
    <col width="11" customWidth="1" min="254" max="254"/>
    <col width="10" customWidth="1" min="255" max="255"/>
    <col width="11" customWidth="1" min="256" max="256"/>
    <col width="13" customWidth="1" min="257" max="257"/>
    <col width="12" customWidth="1" min="259" max="259"/>
    <col width="10" customWidth="1" min="260" max="260"/>
    <col width="10" customWidth="1" min="261" max="261"/>
    <col width="10" customWidth="1" min="262" max="262"/>
    <col width="10" customWidth="1" min="263" max="263"/>
    <col width="11" customWidth="1" min="264" max="264"/>
    <col width="11" customWidth="1" min="265" max="265"/>
    <col width="10" customWidth="1" min="266" max="266"/>
    <col width="10" customWidth="1" min="267" max="267"/>
    <col width="10" customWidth="1" min="268" max="268"/>
    <col width="10" customWidth="1" min="269" max="269"/>
    <col width="11" customWidth="1" min="270" max="270"/>
    <col width="11" customWidth="1" min="271" max="271"/>
    <col width="10" customWidth="1" min="272" max="272"/>
    <col width="11" customWidth="1" min="273" max="273"/>
    <col width="13" customWidth="1" min="274" max="274"/>
    <col width="12" customWidth="1" min="276" max="276"/>
    <col width="10" customWidth="1" min="277" max="277"/>
    <col width="10" customWidth="1" min="278" max="278"/>
    <col width="10" customWidth="1" min="279" max="279"/>
    <col width="10" customWidth="1" min="280" max="280"/>
    <col width="11" customWidth="1" min="281" max="281"/>
    <col width="11" customWidth="1" min="282" max="282"/>
    <col width="10" customWidth="1" min="283" max="283"/>
    <col width="10" customWidth="1" min="284" max="284"/>
    <col width="10" customWidth="1" min="285" max="285"/>
    <col width="10" customWidth="1" min="286" max="286"/>
    <col width="11" customWidth="1" min="287" max="287"/>
    <col width="11" customWidth="1" min="288" max="288"/>
    <col width="10" customWidth="1" min="289" max="289"/>
    <col width="11" customWidth="1" min="290" max="290"/>
    <col width="13" customWidth="1" min="291" max="291"/>
    <col width="12" customWidth="1" min="293" max="293"/>
    <col width="10" customWidth="1" min="294" max="294"/>
    <col width="10" customWidth="1" min="295" max="295"/>
    <col width="10" customWidth="1" min="296" max="296"/>
    <col width="10" customWidth="1" min="297" max="297"/>
    <col width="11" customWidth="1" min="298" max="298"/>
    <col width="11" customWidth="1" min="299" max="299"/>
    <col width="10" customWidth="1" min="300" max="300"/>
    <col width="10" customWidth="1" min="301" max="301"/>
    <col width="10" customWidth="1" min="302" max="302"/>
    <col width="10" customWidth="1" min="303" max="303"/>
    <col width="11" customWidth="1" min="304" max="304"/>
    <col width="11" customWidth="1" min="305" max="305"/>
    <col width="10" customWidth="1" min="306" max="306"/>
    <col width="11" customWidth="1" min="307" max="307"/>
    <col width="13" customWidth="1" min="308" max="308"/>
    <col width="12" customWidth="1" min="310" max="310"/>
    <col width="10" customWidth="1" min="311" max="311"/>
    <col width="10" customWidth="1" min="312" max="312"/>
    <col width="10" customWidth="1" min="313" max="313"/>
    <col width="10" customWidth="1" min="314" max="314"/>
    <col width="11" customWidth="1" min="315" max="315"/>
    <col width="11" customWidth="1" min="316" max="316"/>
    <col width="10" customWidth="1" min="317" max="317"/>
    <col width="10" customWidth="1" min="318" max="318"/>
    <col width="10" customWidth="1" min="319" max="319"/>
    <col width="10" customWidth="1" min="320" max="320"/>
    <col width="11" customWidth="1" min="321" max="321"/>
    <col width="11" customWidth="1" min="322" max="322"/>
    <col width="10" customWidth="1" min="323" max="323"/>
    <col width="11" customWidth="1" min="324" max="324"/>
    <col width="13" customWidth="1" min="325" max="325"/>
    <col width="12" customWidth="1" min="327" max="327"/>
    <col width="10" customWidth="1" min="328" max="328"/>
    <col width="10" customWidth="1" min="329" max="329"/>
    <col width="10" customWidth="1" min="330" max="330"/>
    <col width="10" customWidth="1" min="331" max="331"/>
    <col width="11" customWidth="1" min="332" max="332"/>
    <col width="11" customWidth="1" min="333" max="333"/>
    <col width="10" customWidth="1" min="334" max="334"/>
    <col width="10" customWidth="1" min="335" max="335"/>
    <col width="10" customWidth="1" min="336" max="336"/>
    <col width="10" customWidth="1" min="337" max="337"/>
    <col width="11" customWidth="1" min="338" max="338"/>
    <col width="11" customWidth="1" min="339" max="339"/>
    <col width="10" customWidth="1" min="340" max="340"/>
    <col width="11" customWidth="1" min="341" max="341"/>
    <col width="13" customWidth="1" min="342" max="342"/>
    <col width="12" customWidth="1" min="344" max="344"/>
    <col width="10" customWidth="1" min="345" max="345"/>
    <col width="10" customWidth="1" min="346" max="346"/>
    <col width="10" customWidth="1" min="347" max="347"/>
    <col width="10" customWidth="1" min="348" max="348"/>
    <col width="11" customWidth="1" min="349" max="349"/>
    <col width="11" customWidth="1" min="350" max="350"/>
    <col width="10" customWidth="1" min="351" max="351"/>
    <col width="10" customWidth="1" min="352" max="352"/>
    <col width="10" customWidth="1" min="353" max="353"/>
    <col width="10" customWidth="1" min="354" max="354"/>
    <col width="11" customWidth="1" min="355" max="355"/>
    <col width="11" customWidth="1" min="356" max="356"/>
    <col width="10" customWidth="1" min="357" max="357"/>
    <col width="11" customWidth="1" min="358" max="358"/>
    <col width="13" customWidth="1" min="359" max="359"/>
    <col width="12" customWidth="1" min="361" max="361"/>
    <col width="10" customWidth="1" min="362" max="362"/>
    <col width="10" customWidth="1" min="363" max="363"/>
    <col width="10" customWidth="1" min="364" max="364"/>
    <col width="10" customWidth="1" min="365" max="365"/>
    <col width="11" customWidth="1" min="366" max="366"/>
    <col width="11" customWidth="1" min="367" max="367"/>
    <col width="10" customWidth="1" min="368" max="368"/>
    <col width="10" customWidth="1" min="369" max="369"/>
    <col width="10" customWidth="1" min="370" max="370"/>
    <col width="10" customWidth="1" min="371" max="371"/>
    <col width="11" customWidth="1" min="372" max="372"/>
    <col width="11" customWidth="1" min="373" max="373"/>
    <col width="10" customWidth="1" min="374" max="374"/>
    <col width="11" customWidth="1" min="375" max="375"/>
    <col width="13" customWidth="1" min="376" max="376"/>
  </cols>
  <sheetData>
    <row r="1">
      <c r="A1" s="2" t="inlineStr">
        <is>
          <t>Month</t>
        </is>
      </c>
      <c r="B1" s="9" t="n">
        <v>11</v>
      </c>
      <c r="D1" s="2">
        <f>IF(ISNUMBER(B$7),"XLE US "&amp;TEXT(B$3,"mm/dd/yy")&amp;" C"&amp;(B$7-5*B$6)&amp;" Equity","")</f>
        <v/>
      </c>
      <c r="U1" s="2">
        <f>IF(ISNUMBER(B$7),"XLE US "&amp;TEXT(B$3,"mm/dd/yy")&amp;" P"&amp;(B$7-5*B$6)&amp;" Equity","")</f>
        <v/>
      </c>
      <c r="AL1" s="2">
        <f>IF(ISNUMBER(B$7),"XLE US "&amp;TEXT(B$3,"mm/dd/yy")&amp;" C"&amp;(B$7-4*B$6)&amp;" Equity","")</f>
        <v/>
      </c>
      <c r="BC1" s="2">
        <f>IF(ISNUMBER(B$7),"XLE US "&amp;TEXT(B$3,"mm/dd/yy")&amp;" P"&amp;(B$7-4*B$6)&amp;" Equity","")</f>
        <v/>
      </c>
      <c r="BT1" s="2">
        <f>IF(ISNUMBER(B$7),"XLE US "&amp;TEXT(B$3,"mm/dd/yy")&amp;" C"&amp;(B$7-3*B$6)&amp;" Equity","")</f>
        <v/>
      </c>
      <c r="CK1" s="2">
        <f>IF(ISNUMBER(B$7),"XLE US "&amp;TEXT(B$3,"mm/dd/yy")&amp;" P"&amp;(B$7-3*B$6)&amp;" Equity","")</f>
        <v/>
      </c>
      <c r="DB1" s="2">
        <f>IF(ISNUMBER(B$7),"XLE US "&amp;TEXT(B$3,"mm/dd/yy")&amp;" C"&amp;(B$7-2*B$6)&amp;" Equity","")</f>
        <v/>
      </c>
      <c r="DS1" s="2">
        <f>IF(ISNUMBER(B$7),"XLE US "&amp;TEXT(B$3,"mm/dd/yy")&amp;" P"&amp;(B$7-2*B$6)&amp;" Equity","")</f>
        <v/>
      </c>
      <c r="EJ1" s="2">
        <f>IF(ISNUMBER(B$7),"XLE US "&amp;TEXT(B$3,"mm/dd/yy")&amp;" C"&amp;(B$7-1*B$6)&amp;" Equity","")</f>
        <v/>
      </c>
      <c r="FA1" s="2">
        <f>IF(ISNUMBER(B$7),"XLE US "&amp;TEXT(B$3,"mm/dd/yy")&amp;" P"&amp;(B$7-1*B$6)&amp;" Equity","")</f>
        <v/>
      </c>
      <c r="FR1" s="2">
        <f>IF(ISNUMBER(B$7),"XLE US "&amp;TEXT(B$3,"mm/dd/yy")&amp;" C"&amp;B$7&amp;" Equity","")</f>
        <v/>
      </c>
      <c r="GI1" s="2">
        <f>IF(ISNUMBER(B$7),"XLE US "&amp;TEXT(B$3,"mm/dd/yy")&amp;" P"&amp;B$7&amp;" Equity","")</f>
        <v/>
      </c>
      <c r="GZ1" s="2">
        <f>IF(ISNUMBER(B$7),"XLE US "&amp;TEXT(B$3,"mm/dd/yy")&amp;" C"&amp;(B$7+1*B$6)&amp;" Equity","")</f>
        <v/>
      </c>
      <c r="HQ1" s="2">
        <f>IF(ISNUMBER(B$7),"XLE US "&amp;TEXT(B$3,"mm/dd/yy")&amp;" P"&amp;(B$7+1*B$6)&amp;" Equity","")</f>
        <v/>
      </c>
      <c r="IH1" s="2">
        <f>IF(ISNUMBER(B$7),"XLE US "&amp;TEXT(B$3,"mm/dd/yy")&amp;" C"&amp;(B$7+2*B$6)&amp;" Equity","")</f>
        <v/>
      </c>
      <c r="IY1" s="2">
        <f>IF(ISNUMBER(B$7),"XLE US "&amp;TEXT(B$3,"mm/dd/yy")&amp;" P"&amp;(B$7+2*B$6)&amp;" Equity","")</f>
        <v/>
      </c>
      <c r="JP1" s="2">
        <f>IF(ISNUMBER(B$7),"XLE US "&amp;TEXT(B$3,"mm/dd/yy")&amp;" C"&amp;(B$7+3*B$6)&amp;" Equity","")</f>
        <v/>
      </c>
      <c r="KG1" s="2">
        <f>IF(ISNUMBER(B$7),"XLE US "&amp;TEXT(B$3,"mm/dd/yy")&amp;" P"&amp;(B$7+3*B$6)&amp;" Equity","")</f>
        <v/>
      </c>
      <c r="KX1" s="2">
        <f>IF(ISNUMBER(B$7),"XLE US "&amp;TEXT(B$3,"mm/dd/yy")&amp;" C"&amp;(B$7+4*B$6)&amp;" Equity","")</f>
        <v/>
      </c>
      <c r="LO1" s="2">
        <f>IF(ISNUMBER(B$7),"XLE US "&amp;TEXT(B$3,"mm/dd/yy")&amp;" P"&amp;(B$7+4*B$6)&amp;" Equity","")</f>
        <v/>
      </c>
      <c r="MF1" s="2">
        <f>IF(ISNUMBER(B$7),"XLE US "&amp;TEXT(B$3,"mm/dd/yy")&amp;" C"&amp;(B$7+5*B$6)&amp;" Equity","")</f>
        <v/>
      </c>
      <c r="MW1" s="2">
        <f>IF(ISNUMBER(B$7),"XLE US "&amp;TEXT(B$3,"mm/dd/yy")&amp;" P"&amp;(B$7+5*B$6)&amp;" Equity","")</f>
        <v/>
      </c>
    </row>
    <row r="2">
      <c r="A2" s="2" t="inlineStr">
        <is>
          <t>Underlying</t>
        </is>
      </c>
      <c r="B2" s="4">
        <f>IF(Settings!$B$16="Y","XLE US Equity","")</f>
        <v/>
      </c>
      <c r="D2" s="4" t="inlineStr">
        <is>
          <t>call -5 from ATM</t>
        </is>
      </c>
      <c r="U2" s="4" t="inlineStr">
        <is>
          <t>put -5 from ATM</t>
        </is>
      </c>
      <c r="AL2" s="4" t="inlineStr">
        <is>
          <t>call -4 from ATM</t>
        </is>
      </c>
      <c r="BC2" s="4" t="inlineStr">
        <is>
          <t>put -4 from ATM</t>
        </is>
      </c>
      <c r="BT2" s="4" t="inlineStr">
        <is>
          <t>call -3 from ATM</t>
        </is>
      </c>
      <c r="CK2" s="4" t="inlineStr">
        <is>
          <t>put -3 from ATM</t>
        </is>
      </c>
      <c r="DB2" s="4" t="inlineStr">
        <is>
          <t>call -2 from ATM</t>
        </is>
      </c>
      <c r="DS2" s="4" t="inlineStr">
        <is>
          <t>put -2 from ATM</t>
        </is>
      </c>
      <c r="EJ2" s="4" t="inlineStr">
        <is>
          <t>call -1 from ATM</t>
        </is>
      </c>
      <c r="FA2" s="4" t="inlineStr">
        <is>
          <t>put -1 from ATM</t>
        </is>
      </c>
      <c r="FR2" s="4" t="inlineStr">
        <is>
          <t>call +0 from ATM</t>
        </is>
      </c>
      <c r="GI2" s="4" t="inlineStr">
        <is>
          <t>put +0 from ATM</t>
        </is>
      </c>
      <c r="GZ2" s="4" t="inlineStr">
        <is>
          <t>call +1 from ATM</t>
        </is>
      </c>
      <c r="HQ2" s="4" t="inlineStr">
        <is>
          <t>put +1 from ATM</t>
        </is>
      </c>
      <c r="IH2" s="4" t="inlineStr">
        <is>
          <t>call +2 from ATM</t>
        </is>
      </c>
      <c r="IY2" s="4" t="inlineStr">
        <is>
          <t>put +2 from ATM</t>
        </is>
      </c>
      <c r="JP2" s="4" t="inlineStr">
        <is>
          <t>call +3 from ATM</t>
        </is>
      </c>
      <c r="KG2" s="4" t="inlineStr">
        <is>
          <t>put +3 from ATM</t>
        </is>
      </c>
      <c r="KX2" s="4" t="inlineStr">
        <is>
          <t>call +4 from ATM</t>
        </is>
      </c>
      <c r="LO2" s="4" t="inlineStr">
        <is>
          <t>put +4 from ATM</t>
        </is>
      </c>
      <c r="MF2" s="4" t="inlineStr">
        <is>
          <t>call +5 from ATM</t>
        </is>
      </c>
      <c r="MW2" s="4" t="inlineStr">
        <is>
          <t>put +5 from ATM</t>
        </is>
      </c>
    </row>
    <row r="3">
      <c r="A3" s="2" t="inlineStr">
        <is>
          <t>Expiry (3rd Friday)</t>
        </is>
      </c>
      <c r="B3" s="3">
        <f>DATE(Settings!$E$16,B1,15)+MOD(6-WEEKDAY(DATE(Settings!$E$16,B1,15)),7)</f>
        <v/>
      </c>
      <c r="D3" s="5" t="inlineStr">
        <is>
          <t>Date</t>
        </is>
      </c>
      <c r="E3" s="5" t="inlineStr">
        <is>
          <t>PX_BID</t>
        </is>
      </c>
      <c r="F3" s="5" t="inlineStr">
        <is>
          <t>PX_ASK</t>
        </is>
      </c>
      <c r="G3" s="5" t="inlineStr">
        <is>
          <t>PX_MID</t>
        </is>
      </c>
      <c r="H3" s="5" t="inlineStr">
        <is>
          <t>PX_LAST</t>
        </is>
      </c>
      <c r="I3" s="5" t="inlineStr">
        <is>
          <t>PX_SETTLE</t>
        </is>
      </c>
      <c r="J3" s="5" t="inlineStr">
        <is>
          <t>PX_VOLUME</t>
        </is>
      </c>
      <c r="K3" s="5" t="inlineStr">
        <is>
          <t>OPEN_INT</t>
        </is>
      </c>
      <c r="L3" s="5" t="inlineStr">
        <is>
          <t>IVOL_MID</t>
        </is>
      </c>
      <c r="M3" s="5" t="inlineStr">
        <is>
          <t>IVOL_BID</t>
        </is>
      </c>
      <c r="N3" s="5" t="inlineStr">
        <is>
          <t>IVOL_ASK</t>
        </is>
      </c>
      <c r="O3" s="5" t="inlineStr">
        <is>
          <t>DELTA_MID</t>
        </is>
      </c>
      <c r="P3" s="5" t="inlineStr">
        <is>
          <t>GAMMA_MID</t>
        </is>
      </c>
      <c r="Q3" s="5" t="inlineStr">
        <is>
          <t>VEGA_MID</t>
        </is>
      </c>
      <c r="R3" s="5" t="inlineStr">
        <is>
          <t>THETA_MID</t>
        </is>
      </c>
      <c r="S3" s="5" t="inlineStr">
        <is>
          <t>OPT_UNDL_PX</t>
        </is>
      </c>
      <c r="U3" s="5" t="inlineStr">
        <is>
          <t>Date</t>
        </is>
      </c>
      <c r="V3" s="5" t="inlineStr">
        <is>
          <t>PX_BID</t>
        </is>
      </c>
      <c r="W3" s="5" t="inlineStr">
        <is>
          <t>PX_ASK</t>
        </is>
      </c>
      <c r="X3" s="5" t="inlineStr">
        <is>
          <t>PX_MID</t>
        </is>
      </c>
      <c r="Y3" s="5" t="inlineStr">
        <is>
          <t>PX_LAST</t>
        </is>
      </c>
      <c r="Z3" s="5" t="inlineStr">
        <is>
          <t>PX_SETTLE</t>
        </is>
      </c>
      <c r="AA3" s="5" t="inlineStr">
        <is>
          <t>PX_VOLUME</t>
        </is>
      </c>
      <c r="AB3" s="5" t="inlineStr">
        <is>
          <t>OPEN_INT</t>
        </is>
      </c>
      <c r="AC3" s="5" t="inlineStr">
        <is>
          <t>IVOL_MID</t>
        </is>
      </c>
      <c r="AD3" s="5" t="inlineStr">
        <is>
          <t>IVOL_BID</t>
        </is>
      </c>
      <c r="AE3" s="5" t="inlineStr">
        <is>
          <t>IVOL_ASK</t>
        </is>
      </c>
      <c r="AF3" s="5" t="inlineStr">
        <is>
          <t>DELTA_MID</t>
        </is>
      </c>
      <c r="AG3" s="5" t="inlineStr">
        <is>
          <t>GAMMA_MID</t>
        </is>
      </c>
      <c r="AH3" s="5" t="inlineStr">
        <is>
          <t>VEGA_MID</t>
        </is>
      </c>
      <c r="AI3" s="5" t="inlineStr">
        <is>
          <t>THETA_MID</t>
        </is>
      </c>
      <c r="AJ3" s="5" t="inlineStr">
        <is>
          <t>OPT_UNDL_PX</t>
        </is>
      </c>
      <c r="AL3" s="5" t="inlineStr">
        <is>
          <t>Date</t>
        </is>
      </c>
      <c r="AM3" s="5" t="inlineStr">
        <is>
          <t>PX_BID</t>
        </is>
      </c>
      <c r="AN3" s="5" t="inlineStr">
        <is>
          <t>PX_ASK</t>
        </is>
      </c>
      <c r="AO3" s="5" t="inlineStr">
        <is>
          <t>PX_MID</t>
        </is>
      </c>
      <c r="AP3" s="5" t="inlineStr">
        <is>
          <t>PX_LAST</t>
        </is>
      </c>
      <c r="AQ3" s="5" t="inlineStr">
        <is>
          <t>PX_SETTLE</t>
        </is>
      </c>
      <c r="AR3" s="5" t="inlineStr">
        <is>
          <t>PX_VOLUME</t>
        </is>
      </c>
      <c r="AS3" s="5" t="inlineStr">
        <is>
          <t>OPEN_INT</t>
        </is>
      </c>
      <c r="AT3" s="5" t="inlineStr">
        <is>
          <t>IVOL_MID</t>
        </is>
      </c>
      <c r="AU3" s="5" t="inlineStr">
        <is>
          <t>IVOL_BID</t>
        </is>
      </c>
      <c r="AV3" s="5" t="inlineStr">
        <is>
          <t>IVOL_ASK</t>
        </is>
      </c>
      <c r="AW3" s="5" t="inlineStr">
        <is>
          <t>DELTA_MID</t>
        </is>
      </c>
      <c r="AX3" s="5" t="inlineStr">
        <is>
          <t>GAMMA_MID</t>
        </is>
      </c>
      <c r="AY3" s="5" t="inlineStr">
        <is>
          <t>VEGA_MID</t>
        </is>
      </c>
      <c r="AZ3" s="5" t="inlineStr">
        <is>
          <t>THETA_MID</t>
        </is>
      </c>
      <c r="BA3" s="5" t="inlineStr">
        <is>
          <t>OPT_UNDL_PX</t>
        </is>
      </c>
      <c r="BC3" s="5" t="inlineStr">
        <is>
          <t>Date</t>
        </is>
      </c>
      <c r="BD3" s="5" t="inlineStr">
        <is>
          <t>PX_BID</t>
        </is>
      </c>
      <c r="BE3" s="5" t="inlineStr">
        <is>
          <t>PX_ASK</t>
        </is>
      </c>
      <c r="BF3" s="5" t="inlineStr">
        <is>
          <t>PX_MID</t>
        </is>
      </c>
      <c r="BG3" s="5" t="inlineStr">
        <is>
          <t>PX_LAST</t>
        </is>
      </c>
      <c r="BH3" s="5" t="inlineStr">
        <is>
          <t>PX_SETTLE</t>
        </is>
      </c>
      <c r="BI3" s="5" t="inlineStr">
        <is>
          <t>PX_VOLUME</t>
        </is>
      </c>
      <c r="BJ3" s="5" t="inlineStr">
        <is>
          <t>OPEN_INT</t>
        </is>
      </c>
      <c r="BK3" s="5" t="inlineStr">
        <is>
          <t>IVOL_MID</t>
        </is>
      </c>
      <c r="BL3" s="5" t="inlineStr">
        <is>
          <t>IVOL_BID</t>
        </is>
      </c>
      <c r="BM3" s="5" t="inlineStr">
        <is>
          <t>IVOL_ASK</t>
        </is>
      </c>
      <c r="BN3" s="5" t="inlineStr">
        <is>
          <t>DELTA_MID</t>
        </is>
      </c>
      <c r="BO3" s="5" t="inlineStr">
        <is>
          <t>GAMMA_MID</t>
        </is>
      </c>
      <c r="BP3" s="5" t="inlineStr">
        <is>
          <t>VEGA_MID</t>
        </is>
      </c>
      <c r="BQ3" s="5" t="inlineStr">
        <is>
          <t>THETA_MID</t>
        </is>
      </c>
      <c r="BR3" s="5" t="inlineStr">
        <is>
          <t>OPT_UNDL_PX</t>
        </is>
      </c>
      <c r="BT3" s="5" t="inlineStr">
        <is>
          <t>Date</t>
        </is>
      </c>
      <c r="BU3" s="5" t="inlineStr">
        <is>
          <t>PX_BID</t>
        </is>
      </c>
      <c r="BV3" s="5" t="inlineStr">
        <is>
          <t>PX_ASK</t>
        </is>
      </c>
      <c r="BW3" s="5" t="inlineStr">
        <is>
          <t>PX_MID</t>
        </is>
      </c>
      <c r="BX3" s="5" t="inlineStr">
        <is>
          <t>PX_LAST</t>
        </is>
      </c>
      <c r="BY3" s="5" t="inlineStr">
        <is>
          <t>PX_SETTLE</t>
        </is>
      </c>
      <c r="BZ3" s="5" t="inlineStr">
        <is>
          <t>PX_VOLUME</t>
        </is>
      </c>
      <c r="CA3" s="5" t="inlineStr">
        <is>
          <t>OPEN_INT</t>
        </is>
      </c>
      <c r="CB3" s="5" t="inlineStr">
        <is>
          <t>IVOL_MID</t>
        </is>
      </c>
      <c r="CC3" s="5" t="inlineStr">
        <is>
          <t>IVOL_BID</t>
        </is>
      </c>
      <c r="CD3" s="5" t="inlineStr">
        <is>
          <t>IVOL_ASK</t>
        </is>
      </c>
      <c r="CE3" s="5" t="inlineStr">
        <is>
          <t>DELTA_MID</t>
        </is>
      </c>
      <c r="CF3" s="5" t="inlineStr">
        <is>
          <t>GAMMA_MID</t>
        </is>
      </c>
      <c r="CG3" s="5" t="inlineStr">
        <is>
          <t>VEGA_MID</t>
        </is>
      </c>
      <c r="CH3" s="5" t="inlineStr">
        <is>
          <t>THETA_MID</t>
        </is>
      </c>
      <c r="CI3" s="5" t="inlineStr">
        <is>
          <t>OPT_UNDL_PX</t>
        </is>
      </c>
      <c r="CK3" s="5" t="inlineStr">
        <is>
          <t>Date</t>
        </is>
      </c>
      <c r="CL3" s="5" t="inlineStr">
        <is>
          <t>PX_BID</t>
        </is>
      </c>
      <c r="CM3" s="5" t="inlineStr">
        <is>
          <t>PX_ASK</t>
        </is>
      </c>
      <c r="CN3" s="5" t="inlineStr">
        <is>
          <t>PX_MID</t>
        </is>
      </c>
      <c r="CO3" s="5" t="inlineStr">
        <is>
          <t>PX_LAST</t>
        </is>
      </c>
      <c r="CP3" s="5" t="inlineStr">
        <is>
          <t>PX_SETTLE</t>
        </is>
      </c>
      <c r="CQ3" s="5" t="inlineStr">
        <is>
          <t>PX_VOLUME</t>
        </is>
      </c>
      <c r="CR3" s="5" t="inlineStr">
        <is>
          <t>OPEN_INT</t>
        </is>
      </c>
      <c r="CS3" s="5" t="inlineStr">
        <is>
          <t>IVOL_MID</t>
        </is>
      </c>
      <c r="CT3" s="5" t="inlineStr">
        <is>
          <t>IVOL_BID</t>
        </is>
      </c>
      <c r="CU3" s="5" t="inlineStr">
        <is>
          <t>IVOL_ASK</t>
        </is>
      </c>
      <c r="CV3" s="5" t="inlineStr">
        <is>
          <t>DELTA_MID</t>
        </is>
      </c>
      <c r="CW3" s="5" t="inlineStr">
        <is>
          <t>GAMMA_MID</t>
        </is>
      </c>
      <c r="CX3" s="5" t="inlineStr">
        <is>
          <t>VEGA_MID</t>
        </is>
      </c>
      <c r="CY3" s="5" t="inlineStr">
        <is>
          <t>THETA_MID</t>
        </is>
      </c>
      <c r="CZ3" s="5" t="inlineStr">
        <is>
          <t>OPT_UNDL_PX</t>
        </is>
      </c>
      <c r="DB3" s="5" t="inlineStr">
        <is>
          <t>Date</t>
        </is>
      </c>
      <c r="DC3" s="5" t="inlineStr">
        <is>
          <t>PX_BID</t>
        </is>
      </c>
      <c r="DD3" s="5" t="inlineStr">
        <is>
          <t>PX_ASK</t>
        </is>
      </c>
      <c r="DE3" s="5" t="inlineStr">
        <is>
          <t>PX_MID</t>
        </is>
      </c>
      <c r="DF3" s="5" t="inlineStr">
        <is>
          <t>PX_LAST</t>
        </is>
      </c>
      <c r="DG3" s="5" t="inlineStr">
        <is>
          <t>PX_SETTLE</t>
        </is>
      </c>
      <c r="DH3" s="5" t="inlineStr">
        <is>
          <t>PX_VOLUME</t>
        </is>
      </c>
      <c r="DI3" s="5" t="inlineStr">
        <is>
          <t>OPEN_INT</t>
        </is>
      </c>
      <c r="DJ3" s="5" t="inlineStr">
        <is>
          <t>IVOL_MID</t>
        </is>
      </c>
      <c r="DK3" s="5" t="inlineStr">
        <is>
          <t>IVOL_BID</t>
        </is>
      </c>
      <c r="DL3" s="5" t="inlineStr">
        <is>
          <t>IVOL_ASK</t>
        </is>
      </c>
      <c r="DM3" s="5" t="inlineStr">
        <is>
          <t>DELTA_MID</t>
        </is>
      </c>
      <c r="DN3" s="5" t="inlineStr">
        <is>
          <t>GAMMA_MID</t>
        </is>
      </c>
      <c r="DO3" s="5" t="inlineStr">
        <is>
          <t>VEGA_MID</t>
        </is>
      </c>
      <c r="DP3" s="5" t="inlineStr">
        <is>
          <t>THETA_MID</t>
        </is>
      </c>
      <c r="DQ3" s="5" t="inlineStr">
        <is>
          <t>OPT_UNDL_PX</t>
        </is>
      </c>
      <c r="DS3" s="5" t="inlineStr">
        <is>
          <t>Date</t>
        </is>
      </c>
      <c r="DT3" s="5" t="inlineStr">
        <is>
          <t>PX_BID</t>
        </is>
      </c>
      <c r="DU3" s="5" t="inlineStr">
        <is>
          <t>PX_ASK</t>
        </is>
      </c>
      <c r="DV3" s="5" t="inlineStr">
        <is>
          <t>PX_MID</t>
        </is>
      </c>
      <c r="DW3" s="5" t="inlineStr">
        <is>
          <t>PX_LAST</t>
        </is>
      </c>
      <c r="DX3" s="5" t="inlineStr">
        <is>
          <t>PX_SETTLE</t>
        </is>
      </c>
      <c r="DY3" s="5" t="inlineStr">
        <is>
          <t>PX_VOLUME</t>
        </is>
      </c>
      <c r="DZ3" s="5" t="inlineStr">
        <is>
          <t>OPEN_INT</t>
        </is>
      </c>
      <c r="EA3" s="5" t="inlineStr">
        <is>
          <t>IVOL_MID</t>
        </is>
      </c>
      <c r="EB3" s="5" t="inlineStr">
        <is>
          <t>IVOL_BID</t>
        </is>
      </c>
      <c r="EC3" s="5" t="inlineStr">
        <is>
          <t>IVOL_ASK</t>
        </is>
      </c>
      <c r="ED3" s="5" t="inlineStr">
        <is>
          <t>DELTA_MID</t>
        </is>
      </c>
      <c r="EE3" s="5" t="inlineStr">
        <is>
          <t>GAMMA_MID</t>
        </is>
      </c>
      <c r="EF3" s="5" t="inlineStr">
        <is>
          <t>VEGA_MID</t>
        </is>
      </c>
      <c r="EG3" s="5" t="inlineStr">
        <is>
          <t>THETA_MID</t>
        </is>
      </c>
      <c r="EH3" s="5" t="inlineStr">
        <is>
          <t>OPT_UNDL_PX</t>
        </is>
      </c>
      <c r="EJ3" s="5" t="inlineStr">
        <is>
          <t>Date</t>
        </is>
      </c>
      <c r="EK3" s="5" t="inlineStr">
        <is>
          <t>PX_BID</t>
        </is>
      </c>
      <c r="EL3" s="5" t="inlineStr">
        <is>
          <t>PX_ASK</t>
        </is>
      </c>
      <c r="EM3" s="5" t="inlineStr">
        <is>
          <t>PX_MID</t>
        </is>
      </c>
      <c r="EN3" s="5" t="inlineStr">
        <is>
          <t>PX_LAST</t>
        </is>
      </c>
      <c r="EO3" s="5" t="inlineStr">
        <is>
          <t>PX_SETTLE</t>
        </is>
      </c>
      <c r="EP3" s="5" t="inlineStr">
        <is>
          <t>PX_VOLUME</t>
        </is>
      </c>
      <c r="EQ3" s="5" t="inlineStr">
        <is>
          <t>OPEN_INT</t>
        </is>
      </c>
      <c r="ER3" s="5" t="inlineStr">
        <is>
          <t>IVOL_MID</t>
        </is>
      </c>
      <c r="ES3" s="5" t="inlineStr">
        <is>
          <t>IVOL_BID</t>
        </is>
      </c>
      <c r="ET3" s="5" t="inlineStr">
        <is>
          <t>IVOL_ASK</t>
        </is>
      </c>
      <c r="EU3" s="5" t="inlineStr">
        <is>
          <t>DELTA_MID</t>
        </is>
      </c>
      <c r="EV3" s="5" t="inlineStr">
        <is>
          <t>GAMMA_MID</t>
        </is>
      </c>
      <c r="EW3" s="5" t="inlineStr">
        <is>
          <t>VEGA_MID</t>
        </is>
      </c>
      <c r="EX3" s="5" t="inlineStr">
        <is>
          <t>THETA_MID</t>
        </is>
      </c>
      <c r="EY3" s="5" t="inlineStr">
        <is>
          <t>OPT_UNDL_PX</t>
        </is>
      </c>
      <c r="FA3" s="5" t="inlineStr">
        <is>
          <t>Date</t>
        </is>
      </c>
      <c r="FB3" s="5" t="inlineStr">
        <is>
          <t>PX_BID</t>
        </is>
      </c>
      <c r="FC3" s="5" t="inlineStr">
        <is>
          <t>PX_ASK</t>
        </is>
      </c>
      <c r="FD3" s="5" t="inlineStr">
        <is>
          <t>PX_MID</t>
        </is>
      </c>
      <c r="FE3" s="5" t="inlineStr">
        <is>
          <t>PX_LAST</t>
        </is>
      </c>
      <c r="FF3" s="5" t="inlineStr">
        <is>
          <t>PX_SETTLE</t>
        </is>
      </c>
      <c r="FG3" s="5" t="inlineStr">
        <is>
          <t>PX_VOLUME</t>
        </is>
      </c>
      <c r="FH3" s="5" t="inlineStr">
        <is>
          <t>OPEN_INT</t>
        </is>
      </c>
      <c r="FI3" s="5" t="inlineStr">
        <is>
          <t>IVOL_MID</t>
        </is>
      </c>
      <c r="FJ3" s="5" t="inlineStr">
        <is>
          <t>IVOL_BID</t>
        </is>
      </c>
      <c r="FK3" s="5" t="inlineStr">
        <is>
          <t>IVOL_ASK</t>
        </is>
      </c>
      <c r="FL3" s="5" t="inlineStr">
        <is>
          <t>DELTA_MID</t>
        </is>
      </c>
      <c r="FM3" s="5" t="inlineStr">
        <is>
          <t>GAMMA_MID</t>
        </is>
      </c>
      <c r="FN3" s="5" t="inlineStr">
        <is>
          <t>VEGA_MID</t>
        </is>
      </c>
      <c r="FO3" s="5" t="inlineStr">
        <is>
          <t>THETA_MID</t>
        </is>
      </c>
      <c r="FP3" s="5" t="inlineStr">
        <is>
          <t>OPT_UNDL_PX</t>
        </is>
      </c>
      <c r="FR3" s="5" t="inlineStr">
        <is>
          <t>Date</t>
        </is>
      </c>
      <c r="FS3" s="5" t="inlineStr">
        <is>
          <t>PX_BID</t>
        </is>
      </c>
      <c r="FT3" s="5" t="inlineStr">
        <is>
          <t>PX_ASK</t>
        </is>
      </c>
      <c r="FU3" s="5" t="inlineStr">
        <is>
          <t>PX_MID</t>
        </is>
      </c>
      <c r="FV3" s="5" t="inlineStr">
        <is>
          <t>PX_LAST</t>
        </is>
      </c>
      <c r="FW3" s="5" t="inlineStr">
        <is>
          <t>PX_SETTLE</t>
        </is>
      </c>
      <c r="FX3" s="5" t="inlineStr">
        <is>
          <t>PX_VOLUME</t>
        </is>
      </c>
      <c r="FY3" s="5" t="inlineStr">
        <is>
          <t>OPEN_INT</t>
        </is>
      </c>
      <c r="FZ3" s="5" t="inlineStr">
        <is>
          <t>IVOL_MID</t>
        </is>
      </c>
      <c r="GA3" s="5" t="inlineStr">
        <is>
          <t>IVOL_BID</t>
        </is>
      </c>
      <c r="GB3" s="5" t="inlineStr">
        <is>
          <t>IVOL_ASK</t>
        </is>
      </c>
      <c r="GC3" s="5" t="inlineStr">
        <is>
          <t>DELTA_MID</t>
        </is>
      </c>
      <c r="GD3" s="5" t="inlineStr">
        <is>
          <t>GAMMA_MID</t>
        </is>
      </c>
      <c r="GE3" s="5" t="inlineStr">
        <is>
          <t>VEGA_MID</t>
        </is>
      </c>
      <c r="GF3" s="5" t="inlineStr">
        <is>
          <t>THETA_MID</t>
        </is>
      </c>
      <c r="GG3" s="5" t="inlineStr">
        <is>
          <t>OPT_UNDL_PX</t>
        </is>
      </c>
      <c r="GI3" s="5" t="inlineStr">
        <is>
          <t>Date</t>
        </is>
      </c>
      <c r="GJ3" s="5" t="inlineStr">
        <is>
          <t>PX_BID</t>
        </is>
      </c>
      <c r="GK3" s="5" t="inlineStr">
        <is>
          <t>PX_ASK</t>
        </is>
      </c>
      <c r="GL3" s="5" t="inlineStr">
        <is>
          <t>PX_MID</t>
        </is>
      </c>
      <c r="GM3" s="5" t="inlineStr">
        <is>
          <t>PX_LAST</t>
        </is>
      </c>
      <c r="GN3" s="5" t="inlineStr">
        <is>
          <t>PX_SETTLE</t>
        </is>
      </c>
      <c r="GO3" s="5" t="inlineStr">
        <is>
          <t>PX_VOLUME</t>
        </is>
      </c>
      <c r="GP3" s="5" t="inlineStr">
        <is>
          <t>OPEN_INT</t>
        </is>
      </c>
      <c r="GQ3" s="5" t="inlineStr">
        <is>
          <t>IVOL_MID</t>
        </is>
      </c>
      <c r="GR3" s="5" t="inlineStr">
        <is>
          <t>IVOL_BID</t>
        </is>
      </c>
      <c r="GS3" s="5" t="inlineStr">
        <is>
          <t>IVOL_ASK</t>
        </is>
      </c>
      <c r="GT3" s="5" t="inlineStr">
        <is>
          <t>DELTA_MID</t>
        </is>
      </c>
      <c r="GU3" s="5" t="inlineStr">
        <is>
          <t>GAMMA_MID</t>
        </is>
      </c>
      <c r="GV3" s="5" t="inlineStr">
        <is>
          <t>VEGA_MID</t>
        </is>
      </c>
      <c r="GW3" s="5" t="inlineStr">
        <is>
          <t>THETA_MID</t>
        </is>
      </c>
      <c r="GX3" s="5" t="inlineStr">
        <is>
          <t>OPT_UNDL_PX</t>
        </is>
      </c>
      <c r="GZ3" s="5" t="inlineStr">
        <is>
          <t>Date</t>
        </is>
      </c>
      <c r="HA3" s="5" t="inlineStr">
        <is>
          <t>PX_BID</t>
        </is>
      </c>
      <c r="HB3" s="5" t="inlineStr">
        <is>
          <t>PX_ASK</t>
        </is>
      </c>
      <c r="HC3" s="5" t="inlineStr">
        <is>
          <t>PX_MID</t>
        </is>
      </c>
      <c r="HD3" s="5" t="inlineStr">
        <is>
          <t>PX_LAST</t>
        </is>
      </c>
      <c r="HE3" s="5" t="inlineStr">
        <is>
          <t>PX_SETTLE</t>
        </is>
      </c>
      <c r="HF3" s="5" t="inlineStr">
        <is>
          <t>PX_VOLUME</t>
        </is>
      </c>
      <c r="HG3" s="5" t="inlineStr">
        <is>
          <t>OPEN_INT</t>
        </is>
      </c>
      <c r="HH3" s="5" t="inlineStr">
        <is>
          <t>IVOL_MID</t>
        </is>
      </c>
      <c r="HI3" s="5" t="inlineStr">
        <is>
          <t>IVOL_BID</t>
        </is>
      </c>
      <c r="HJ3" s="5" t="inlineStr">
        <is>
          <t>IVOL_ASK</t>
        </is>
      </c>
      <c r="HK3" s="5" t="inlineStr">
        <is>
          <t>DELTA_MID</t>
        </is>
      </c>
      <c r="HL3" s="5" t="inlineStr">
        <is>
          <t>GAMMA_MID</t>
        </is>
      </c>
      <c r="HM3" s="5" t="inlineStr">
        <is>
          <t>VEGA_MID</t>
        </is>
      </c>
      <c r="HN3" s="5" t="inlineStr">
        <is>
          <t>THETA_MID</t>
        </is>
      </c>
      <c r="HO3" s="5" t="inlineStr">
        <is>
          <t>OPT_UNDL_PX</t>
        </is>
      </c>
      <c r="HQ3" s="5" t="inlineStr">
        <is>
          <t>Date</t>
        </is>
      </c>
      <c r="HR3" s="5" t="inlineStr">
        <is>
          <t>PX_BID</t>
        </is>
      </c>
      <c r="HS3" s="5" t="inlineStr">
        <is>
          <t>PX_ASK</t>
        </is>
      </c>
      <c r="HT3" s="5" t="inlineStr">
        <is>
          <t>PX_MID</t>
        </is>
      </c>
      <c r="HU3" s="5" t="inlineStr">
        <is>
          <t>PX_LAST</t>
        </is>
      </c>
      <c r="HV3" s="5" t="inlineStr">
        <is>
          <t>PX_SETTLE</t>
        </is>
      </c>
      <c r="HW3" s="5" t="inlineStr">
        <is>
          <t>PX_VOLUME</t>
        </is>
      </c>
      <c r="HX3" s="5" t="inlineStr">
        <is>
          <t>OPEN_INT</t>
        </is>
      </c>
      <c r="HY3" s="5" t="inlineStr">
        <is>
          <t>IVOL_MID</t>
        </is>
      </c>
      <c r="HZ3" s="5" t="inlineStr">
        <is>
          <t>IVOL_BID</t>
        </is>
      </c>
      <c r="IA3" s="5" t="inlineStr">
        <is>
          <t>IVOL_ASK</t>
        </is>
      </c>
      <c r="IB3" s="5" t="inlineStr">
        <is>
          <t>DELTA_MID</t>
        </is>
      </c>
      <c r="IC3" s="5" t="inlineStr">
        <is>
          <t>GAMMA_MID</t>
        </is>
      </c>
      <c r="ID3" s="5" t="inlineStr">
        <is>
          <t>VEGA_MID</t>
        </is>
      </c>
      <c r="IE3" s="5" t="inlineStr">
        <is>
          <t>THETA_MID</t>
        </is>
      </c>
      <c r="IF3" s="5" t="inlineStr">
        <is>
          <t>OPT_UNDL_PX</t>
        </is>
      </c>
      <c r="IH3" s="5" t="inlineStr">
        <is>
          <t>Date</t>
        </is>
      </c>
      <c r="II3" s="5" t="inlineStr">
        <is>
          <t>PX_BID</t>
        </is>
      </c>
      <c r="IJ3" s="5" t="inlineStr">
        <is>
          <t>PX_ASK</t>
        </is>
      </c>
      <c r="IK3" s="5" t="inlineStr">
        <is>
          <t>PX_MID</t>
        </is>
      </c>
      <c r="IL3" s="5" t="inlineStr">
        <is>
          <t>PX_LAST</t>
        </is>
      </c>
      <c r="IM3" s="5" t="inlineStr">
        <is>
          <t>PX_SETTLE</t>
        </is>
      </c>
      <c r="IN3" s="5" t="inlineStr">
        <is>
          <t>PX_VOLUME</t>
        </is>
      </c>
      <c r="IO3" s="5" t="inlineStr">
        <is>
          <t>OPEN_INT</t>
        </is>
      </c>
      <c r="IP3" s="5" t="inlineStr">
        <is>
          <t>IVOL_MID</t>
        </is>
      </c>
      <c r="IQ3" s="5" t="inlineStr">
        <is>
          <t>IVOL_BID</t>
        </is>
      </c>
      <c r="IR3" s="5" t="inlineStr">
        <is>
          <t>IVOL_ASK</t>
        </is>
      </c>
      <c r="IS3" s="5" t="inlineStr">
        <is>
          <t>DELTA_MID</t>
        </is>
      </c>
      <c r="IT3" s="5" t="inlineStr">
        <is>
          <t>GAMMA_MID</t>
        </is>
      </c>
      <c r="IU3" s="5" t="inlineStr">
        <is>
          <t>VEGA_MID</t>
        </is>
      </c>
      <c r="IV3" s="5" t="inlineStr">
        <is>
          <t>THETA_MID</t>
        </is>
      </c>
      <c r="IW3" s="5" t="inlineStr">
        <is>
          <t>OPT_UNDL_PX</t>
        </is>
      </c>
      <c r="IY3" s="5" t="inlineStr">
        <is>
          <t>Date</t>
        </is>
      </c>
      <c r="IZ3" s="5" t="inlineStr">
        <is>
          <t>PX_BID</t>
        </is>
      </c>
      <c r="JA3" s="5" t="inlineStr">
        <is>
          <t>PX_ASK</t>
        </is>
      </c>
      <c r="JB3" s="5" t="inlineStr">
        <is>
          <t>PX_MID</t>
        </is>
      </c>
      <c r="JC3" s="5" t="inlineStr">
        <is>
          <t>PX_LAST</t>
        </is>
      </c>
      <c r="JD3" s="5" t="inlineStr">
        <is>
          <t>PX_SETTLE</t>
        </is>
      </c>
      <c r="JE3" s="5" t="inlineStr">
        <is>
          <t>PX_VOLUME</t>
        </is>
      </c>
      <c r="JF3" s="5" t="inlineStr">
        <is>
          <t>OPEN_INT</t>
        </is>
      </c>
      <c r="JG3" s="5" t="inlineStr">
        <is>
          <t>IVOL_MID</t>
        </is>
      </c>
      <c r="JH3" s="5" t="inlineStr">
        <is>
          <t>IVOL_BID</t>
        </is>
      </c>
      <c r="JI3" s="5" t="inlineStr">
        <is>
          <t>IVOL_ASK</t>
        </is>
      </c>
      <c r="JJ3" s="5" t="inlineStr">
        <is>
          <t>DELTA_MID</t>
        </is>
      </c>
      <c r="JK3" s="5" t="inlineStr">
        <is>
          <t>GAMMA_MID</t>
        </is>
      </c>
      <c r="JL3" s="5" t="inlineStr">
        <is>
          <t>VEGA_MID</t>
        </is>
      </c>
      <c r="JM3" s="5" t="inlineStr">
        <is>
          <t>THETA_MID</t>
        </is>
      </c>
      <c r="JN3" s="5" t="inlineStr">
        <is>
          <t>OPT_UNDL_PX</t>
        </is>
      </c>
      <c r="JP3" s="5" t="inlineStr">
        <is>
          <t>Date</t>
        </is>
      </c>
      <c r="JQ3" s="5" t="inlineStr">
        <is>
          <t>PX_BID</t>
        </is>
      </c>
      <c r="JR3" s="5" t="inlineStr">
        <is>
          <t>PX_ASK</t>
        </is>
      </c>
      <c r="JS3" s="5" t="inlineStr">
        <is>
          <t>PX_MID</t>
        </is>
      </c>
      <c r="JT3" s="5" t="inlineStr">
        <is>
          <t>PX_LAST</t>
        </is>
      </c>
      <c r="JU3" s="5" t="inlineStr">
        <is>
          <t>PX_SETTLE</t>
        </is>
      </c>
      <c r="JV3" s="5" t="inlineStr">
        <is>
          <t>PX_VOLUME</t>
        </is>
      </c>
      <c r="JW3" s="5" t="inlineStr">
        <is>
          <t>OPEN_INT</t>
        </is>
      </c>
      <c r="JX3" s="5" t="inlineStr">
        <is>
          <t>IVOL_MID</t>
        </is>
      </c>
      <c r="JY3" s="5" t="inlineStr">
        <is>
          <t>IVOL_BID</t>
        </is>
      </c>
      <c r="JZ3" s="5" t="inlineStr">
        <is>
          <t>IVOL_ASK</t>
        </is>
      </c>
      <c r="KA3" s="5" t="inlineStr">
        <is>
          <t>DELTA_MID</t>
        </is>
      </c>
      <c r="KB3" s="5" t="inlineStr">
        <is>
          <t>GAMMA_MID</t>
        </is>
      </c>
      <c r="KC3" s="5" t="inlineStr">
        <is>
          <t>VEGA_MID</t>
        </is>
      </c>
      <c r="KD3" s="5" t="inlineStr">
        <is>
          <t>THETA_MID</t>
        </is>
      </c>
      <c r="KE3" s="5" t="inlineStr">
        <is>
          <t>OPT_UNDL_PX</t>
        </is>
      </c>
      <c r="KG3" s="5" t="inlineStr">
        <is>
          <t>Date</t>
        </is>
      </c>
      <c r="KH3" s="5" t="inlineStr">
        <is>
          <t>PX_BID</t>
        </is>
      </c>
      <c r="KI3" s="5" t="inlineStr">
        <is>
          <t>PX_ASK</t>
        </is>
      </c>
      <c r="KJ3" s="5" t="inlineStr">
        <is>
          <t>PX_MID</t>
        </is>
      </c>
      <c r="KK3" s="5" t="inlineStr">
        <is>
          <t>PX_LAST</t>
        </is>
      </c>
      <c r="KL3" s="5" t="inlineStr">
        <is>
          <t>PX_SETTLE</t>
        </is>
      </c>
      <c r="KM3" s="5" t="inlineStr">
        <is>
          <t>PX_VOLUME</t>
        </is>
      </c>
      <c r="KN3" s="5" t="inlineStr">
        <is>
          <t>OPEN_INT</t>
        </is>
      </c>
      <c r="KO3" s="5" t="inlineStr">
        <is>
          <t>IVOL_MID</t>
        </is>
      </c>
      <c r="KP3" s="5" t="inlineStr">
        <is>
          <t>IVOL_BID</t>
        </is>
      </c>
      <c r="KQ3" s="5" t="inlineStr">
        <is>
          <t>IVOL_ASK</t>
        </is>
      </c>
      <c r="KR3" s="5" t="inlineStr">
        <is>
          <t>DELTA_MID</t>
        </is>
      </c>
      <c r="KS3" s="5" t="inlineStr">
        <is>
          <t>GAMMA_MID</t>
        </is>
      </c>
      <c r="KT3" s="5" t="inlineStr">
        <is>
          <t>VEGA_MID</t>
        </is>
      </c>
      <c r="KU3" s="5" t="inlineStr">
        <is>
          <t>THETA_MID</t>
        </is>
      </c>
      <c r="KV3" s="5" t="inlineStr">
        <is>
          <t>OPT_UNDL_PX</t>
        </is>
      </c>
      <c r="KX3" s="5" t="inlineStr">
        <is>
          <t>Date</t>
        </is>
      </c>
      <c r="KY3" s="5" t="inlineStr">
        <is>
          <t>PX_BID</t>
        </is>
      </c>
      <c r="KZ3" s="5" t="inlineStr">
        <is>
          <t>PX_ASK</t>
        </is>
      </c>
      <c r="LA3" s="5" t="inlineStr">
        <is>
          <t>PX_MID</t>
        </is>
      </c>
      <c r="LB3" s="5" t="inlineStr">
        <is>
          <t>PX_LAST</t>
        </is>
      </c>
      <c r="LC3" s="5" t="inlineStr">
        <is>
          <t>PX_SETTLE</t>
        </is>
      </c>
      <c r="LD3" s="5" t="inlineStr">
        <is>
          <t>PX_VOLUME</t>
        </is>
      </c>
      <c r="LE3" s="5" t="inlineStr">
        <is>
          <t>OPEN_INT</t>
        </is>
      </c>
      <c r="LF3" s="5" t="inlineStr">
        <is>
          <t>IVOL_MID</t>
        </is>
      </c>
      <c r="LG3" s="5" t="inlineStr">
        <is>
          <t>IVOL_BID</t>
        </is>
      </c>
      <c r="LH3" s="5" t="inlineStr">
        <is>
          <t>IVOL_ASK</t>
        </is>
      </c>
      <c r="LI3" s="5" t="inlineStr">
        <is>
          <t>DELTA_MID</t>
        </is>
      </c>
      <c r="LJ3" s="5" t="inlineStr">
        <is>
          <t>GAMMA_MID</t>
        </is>
      </c>
      <c r="LK3" s="5" t="inlineStr">
        <is>
          <t>VEGA_MID</t>
        </is>
      </c>
      <c r="LL3" s="5" t="inlineStr">
        <is>
          <t>THETA_MID</t>
        </is>
      </c>
      <c r="LM3" s="5" t="inlineStr">
        <is>
          <t>OPT_UNDL_PX</t>
        </is>
      </c>
      <c r="LO3" s="5" t="inlineStr">
        <is>
          <t>Date</t>
        </is>
      </c>
      <c r="LP3" s="5" t="inlineStr">
        <is>
          <t>PX_BID</t>
        </is>
      </c>
      <c r="LQ3" s="5" t="inlineStr">
        <is>
          <t>PX_ASK</t>
        </is>
      </c>
      <c r="LR3" s="5" t="inlineStr">
        <is>
          <t>PX_MID</t>
        </is>
      </c>
      <c r="LS3" s="5" t="inlineStr">
        <is>
          <t>PX_LAST</t>
        </is>
      </c>
      <c r="LT3" s="5" t="inlineStr">
        <is>
          <t>PX_SETTLE</t>
        </is>
      </c>
      <c r="LU3" s="5" t="inlineStr">
        <is>
          <t>PX_VOLUME</t>
        </is>
      </c>
      <c r="LV3" s="5" t="inlineStr">
        <is>
          <t>OPEN_INT</t>
        </is>
      </c>
      <c r="LW3" s="5" t="inlineStr">
        <is>
          <t>IVOL_MID</t>
        </is>
      </c>
      <c r="LX3" s="5" t="inlineStr">
        <is>
          <t>IVOL_BID</t>
        </is>
      </c>
      <c r="LY3" s="5" t="inlineStr">
        <is>
          <t>IVOL_ASK</t>
        </is>
      </c>
      <c r="LZ3" s="5" t="inlineStr">
        <is>
          <t>DELTA_MID</t>
        </is>
      </c>
      <c r="MA3" s="5" t="inlineStr">
        <is>
          <t>GAMMA_MID</t>
        </is>
      </c>
      <c r="MB3" s="5" t="inlineStr">
        <is>
          <t>VEGA_MID</t>
        </is>
      </c>
      <c r="MC3" s="5" t="inlineStr">
        <is>
          <t>THETA_MID</t>
        </is>
      </c>
      <c r="MD3" s="5" t="inlineStr">
        <is>
          <t>OPT_UNDL_PX</t>
        </is>
      </c>
      <c r="MF3" s="5" t="inlineStr">
        <is>
          <t>Date</t>
        </is>
      </c>
      <c r="MG3" s="5" t="inlineStr">
        <is>
          <t>PX_BID</t>
        </is>
      </c>
      <c r="MH3" s="5" t="inlineStr">
        <is>
          <t>PX_ASK</t>
        </is>
      </c>
      <c r="MI3" s="5" t="inlineStr">
        <is>
          <t>PX_MID</t>
        </is>
      </c>
      <c r="MJ3" s="5" t="inlineStr">
        <is>
          <t>PX_LAST</t>
        </is>
      </c>
      <c r="MK3" s="5" t="inlineStr">
        <is>
          <t>PX_SETTLE</t>
        </is>
      </c>
      <c r="ML3" s="5" t="inlineStr">
        <is>
          <t>PX_VOLUME</t>
        </is>
      </c>
      <c r="MM3" s="5" t="inlineStr">
        <is>
          <t>OPEN_INT</t>
        </is>
      </c>
      <c r="MN3" s="5" t="inlineStr">
        <is>
          <t>IVOL_MID</t>
        </is>
      </c>
      <c r="MO3" s="5" t="inlineStr">
        <is>
          <t>IVOL_BID</t>
        </is>
      </c>
      <c r="MP3" s="5" t="inlineStr">
        <is>
          <t>IVOL_ASK</t>
        </is>
      </c>
      <c r="MQ3" s="5" t="inlineStr">
        <is>
          <t>DELTA_MID</t>
        </is>
      </c>
      <c r="MR3" s="5" t="inlineStr">
        <is>
          <t>GAMMA_MID</t>
        </is>
      </c>
      <c r="MS3" s="5" t="inlineStr">
        <is>
          <t>VEGA_MID</t>
        </is>
      </c>
      <c r="MT3" s="5" t="inlineStr">
        <is>
          <t>THETA_MID</t>
        </is>
      </c>
      <c r="MU3" s="5" t="inlineStr">
        <is>
          <t>OPT_UNDL_PX</t>
        </is>
      </c>
      <c r="MW3" s="5" t="inlineStr">
        <is>
          <t>Date</t>
        </is>
      </c>
      <c r="MX3" s="5" t="inlineStr">
        <is>
          <t>PX_BID</t>
        </is>
      </c>
      <c r="MY3" s="5" t="inlineStr">
        <is>
          <t>PX_ASK</t>
        </is>
      </c>
      <c r="MZ3" s="5" t="inlineStr">
        <is>
          <t>PX_MID</t>
        </is>
      </c>
      <c r="NA3" s="5" t="inlineStr">
        <is>
          <t>PX_LAST</t>
        </is>
      </c>
      <c r="NB3" s="5" t="inlineStr">
        <is>
          <t>PX_SETTLE</t>
        </is>
      </c>
      <c r="NC3" s="5" t="inlineStr">
        <is>
          <t>PX_VOLUME</t>
        </is>
      </c>
      <c r="ND3" s="5" t="inlineStr">
        <is>
          <t>OPEN_INT</t>
        </is>
      </c>
      <c r="NE3" s="5" t="inlineStr">
        <is>
          <t>IVOL_MID</t>
        </is>
      </c>
      <c r="NF3" s="5" t="inlineStr">
        <is>
          <t>IVOL_BID</t>
        </is>
      </c>
      <c r="NG3" s="5" t="inlineStr">
        <is>
          <t>IVOL_ASK</t>
        </is>
      </c>
      <c r="NH3" s="5" t="inlineStr">
        <is>
          <t>DELTA_MID</t>
        </is>
      </c>
      <c r="NI3" s="5" t="inlineStr">
        <is>
          <t>GAMMA_MID</t>
        </is>
      </c>
      <c r="NJ3" s="5" t="inlineStr">
        <is>
          <t>VEGA_MID</t>
        </is>
      </c>
      <c r="NK3" s="5" t="inlineStr">
        <is>
          <t>THETA_MID</t>
        </is>
      </c>
      <c r="NL3" s="5" t="inlineStr">
        <is>
          <t>OPT_UNDL_PX</t>
        </is>
      </c>
    </row>
    <row r="4">
      <c r="A4" s="2" t="inlineStr">
        <is>
          <t>Strike reference date</t>
        </is>
      </c>
      <c r="B4" s="8">
        <f>B3-45</f>
        <v/>
      </c>
      <c r="D4" s="4">
        <f>BDH(D$1,E$3:S$3,$B$8,$B$9,"Dir=V","Dts=S","Sort=A","Days=T","Fill=B")</f>
        <v/>
      </c>
      <c r="U4" s="4">
        <f>BDH(U$1,V$3:AJ$3,$B$8,$B$9,"Dir=V","Dts=S","Sort=A","Days=T","Fill=B")</f>
        <v/>
      </c>
      <c r="AL4" s="4">
        <f>BDH(AL$1,AM$3:BA$3,$B$8,$B$9,"Dir=V","Dts=S","Sort=A","Days=T","Fill=B")</f>
        <v/>
      </c>
      <c r="BC4" s="4">
        <f>BDH(BC$1,BD$3:BR$3,$B$8,$B$9,"Dir=V","Dts=S","Sort=A","Days=T","Fill=B")</f>
        <v/>
      </c>
      <c r="BT4" s="4">
        <f>BDH(BT$1,BU$3:CI$3,$B$8,$B$9,"Dir=V","Dts=S","Sort=A","Days=T","Fill=B")</f>
        <v/>
      </c>
      <c r="CK4" s="4">
        <f>BDH(CK$1,CL$3:CZ$3,$B$8,$B$9,"Dir=V","Dts=S","Sort=A","Days=T","Fill=B")</f>
        <v/>
      </c>
      <c r="DB4" s="4">
        <f>BDH(DB$1,DC$3:DQ$3,$B$8,$B$9,"Dir=V","Dts=S","Sort=A","Days=T","Fill=B")</f>
        <v/>
      </c>
      <c r="DS4" s="4">
        <f>BDH(DS$1,DT$3:EH$3,$B$8,$B$9,"Dir=V","Dts=S","Sort=A","Days=T","Fill=B")</f>
        <v/>
      </c>
      <c r="EJ4" s="4">
        <f>BDH(EJ$1,EK$3:EY$3,$B$8,$B$9,"Dir=V","Dts=S","Sort=A","Days=T","Fill=B")</f>
        <v/>
      </c>
      <c r="FA4" s="4">
        <f>BDH(FA$1,FB$3:FP$3,$B$8,$B$9,"Dir=V","Dts=S","Sort=A","Days=T","Fill=B")</f>
        <v/>
      </c>
      <c r="FR4" s="4">
        <f>BDH(FR$1,FS$3:GG$3,$B$8,$B$9,"Dir=V","Dts=S","Sort=A","Days=T","Fill=B")</f>
        <v/>
      </c>
      <c r="GI4" s="4">
        <f>BDH(GI$1,GJ$3:GX$3,$B$8,$B$9,"Dir=V","Dts=S","Sort=A","Days=T","Fill=B")</f>
        <v/>
      </c>
      <c r="GZ4" s="4">
        <f>BDH(GZ$1,HA$3:HO$3,$B$8,$B$9,"Dir=V","Dts=S","Sort=A","Days=T","Fill=B")</f>
        <v/>
      </c>
      <c r="HQ4" s="4">
        <f>BDH(HQ$1,HR$3:IF$3,$B$8,$B$9,"Dir=V","Dts=S","Sort=A","Days=T","Fill=B")</f>
        <v/>
      </c>
      <c r="IH4" s="4">
        <f>BDH(IH$1,II$3:IW$3,$B$8,$B$9,"Dir=V","Dts=S","Sort=A","Days=T","Fill=B")</f>
        <v/>
      </c>
      <c r="IY4" s="4">
        <f>BDH(IY$1,IZ$3:JN$3,$B$8,$B$9,"Dir=V","Dts=S","Sort=A","Days=T","Fill=B")</f>
        <v/>
      </c>
      <c r="JP4" s="4">
        <f>BDH(JP$1,JQ$3:KE$3,$B$8,$B$9,"Dir=V","Dts=S","Sort=A","Days=T","Fill=B")</f>
        <v/>
      </c>
      <c r="KG4" s="4">
        <f>BDH(KG$1,KH$3:KV$3,$B$8,$B$9,"Dir=V","Dts=S","Sort=A","Days=T","Fill=B")</f>
        <v/>
      </c>
      <c r="KX4" s="4">
        <f>BDH(KX$1,KY$3:LM$3,$B$8,$B$9,"Dir=V","Dts=S","Sort=A","Days=T","Fill=B")</f>
        <v/>
      </c>
      <c r="LO4" s="4">
        <f>BDH(LO$1,LP$3:MD$3,$B$8,$B$9,"Dir=V","Dts=S","Sort=A","Days=T","Fill=B")</f>
        <v/>
      </c>
      <c r="MF4" s="4">
        <f>BDH(MF$1,MG$3:MU$3,$B$8,$B$9,"Dir=V","Dts=S","Sort=A","Days=T","Fill=B")</f>
        <v/>
      </c>
      <c r="MW4" s="4">
        <f>BDH(MW$1,MX$3:NL$3,$B$8,$B$9,"Dir=V","Dts=S","Sort=A","Days=T","Fill=B")</f>
        <v/>
      </c>
    </row>
    <row r="5">
      <c r="A5" s="2" t="inlineStr">
        <is>
          <t>Unadjusted close then</t>
        </is>
      </c>
      <c r="B5" s="10">
        <f>IF(B2="","",BDH(B2,"PX_LAST",B4,B4,"Days=A","Fill=P","Dts=H","CshAdjNormal=N","CshAdjAbnormal=N","CapChg=N"))</f>
        <v/>
      </c>
    </row>
    <row r="6">
      <c r="A6" s="2" t="inlineStr">
        <is>
          <t>Strike step</t>
        </is>
      </c>
      <c r="B6" s="11">
        <f>IF(ISNUMBER(B5),IF(B5&lt;25,0.5,IF(B5&lt;250,1,5)),"")</f>
        <v/>
      </c>
    </row>
    <row r="7">
      <c r="A7" s="2" t="inlineStr">
        <is>
          <t>ATM strike</t>
        </is>
      </c>
      <c r="B7" s="11">
        <f>IF(ISNUMBER(B5),ROUND(B5/B6,0)*B6,"")</f>
        <v/>
      </c>
    </row>
    <row r="8">
      <c r="A8" s="2" t="inlineStr">
        <is>
          <t>History start</t>
        </is>
      </c>
      <c r="B8" s="8">
        <f>B3-100</f>
        <v/>
      </c>
    </row>
    <row r="9">
      <c r="A9" s="2" t="inlineStr">
        <is>
          <t>History end</t>
        </is>
      </c>
      <c r="B9" s="8">
        <f>B3</f>
        <v/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NL9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2" customWidth="1" min="2" max="2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1" customWidth="1" min="15" max="15"/>
    <col width="11" customWidth="1" min="16" max="16"/>
    <col width="10" customWidth="1" min="17" max="17"/>
    <col width="11" customWidth="1" min="18" max="18"/>
    <col width="13" customWidth="1" min="19" max="19"/>
    <col width="12" customWidth="1" min="21" max="21"/>
    <col width="10" customWidth="1" min="22" max="22"/>
    <col width="10" customWidth="1" min="23" max="23"/>
    <col width="10" customWidth="1" min="24" max="24"/>
    <col width="10" customWidth="1" min="25" max="25"/>
    <col width="11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1" customWidth="1" min="32" max="32"/>
    <col width="11" customWidth="1" min="33" max="33"/>
    <col width="10" customWidth="1" min="34" max="34"/>
    <col width="11" customWidth="1" min="35" max="35"/>
    <col width="13" customWidth="1" min="36" max="36"/>
    <col width="12" customWidth="1" min="38" max="38"/>
    <col width="10" customWidth="1" min="39" max="39"/>
    <col width="10" customWidth="1" min="40" max="40"/>
    <col width="10" customWidth="1" min="41" max="41"/>
    <col width="10" customWidth="1" min="42" max="42"/>
    <col width="11" customWidth="1" min="43" max="43"/>
    <col width="11" customWidth="1" min="44" max="44"/>
    <col width="10" customWidth="1" min="45" max="45"/>
    <col width="10" customWidth="1" min="46" max="46"/>
    <col width="10" customWidth="1" min="47" max="47"/>
    <col width="10" customWidth="1" min="48" max="48"/>
    <col width="11" customWidth="1" min="49" max="49"/>
    <col width="11" customWidth="1" min="50" max="50"/>
    <col width="10" customWidth="1" min="51" max="51"/>
    <col width="11" customWidth="1" min="52" max="52"/>
    <col width="13" customWidth="1" min="53" max="53"/>
    <col width="12" customWidth="1" min="55" max="55"/>
    <col width="10" customWidth="1" min="56" max="56"/>
    <col width="10" customWidth="1" min="57" max="57"/>
    <col width="10" customWidth="1" min="58" max="58"/>
    <col width="10" customWidth="1" min="59" max="59"/>
    <col width="11" customWidth="1" min="60" max="60"/>
    <col width="11" customWidth="1" min="61" max="61"/>
    <col width="10" customWidth="1" min="62" max="62"/>
    <col width="10" customWidth="1" min="63" max="63"/>
    <col width="10" customWidth="1" min="64" max="64"/>
    <col width="10" customWidth="1" min="65" max="65"/>
    <col width="11" customWidth="1" min="66" max="66"/>
    <col width="11" customWidth="1" min="67" max="67"/>
    <col width="10" customWidth="1" min="68" max="68"/>
    <col width="11" customWidth="1" min="69" max="69"/>
    <col width="13" customWidth="1" min="70" max="70"/>
    <col width="12" customWidth="1" min="72" max="72"/>
    <col width="10" customWidth="1" min="73" max="73"/>
    <col width="10" customWidth="1" min="74" max="74"/>
    <col width="10" customWidth="1" min="75" max="75"/>
    <col width="10" customWidth="1" min="76" max="76"/>
    <col width="11" customWidth="1" min="77" max="77"/>
    <col width="11" customWidth="1" min="78" max="78"/>
    <col width="10" customWidth="1" min="79" max="79"/>
    <col width="10" customWidth="1" min="80" max="80"/>
    <col width="10" customWidth="1" min="81" max="81"/>
    <col width="10" customWidth="1" min="82" max="82"/>
    <col width="11" customWidth="1" min="83" max="83"/>
    <col width="11" customWidth="1" min="84" max="84"/>
    <col width="10" customWidth="1" min="85" max="85"/>
    <col width="11" customWidth="1" min="86" max="86"/>
    <col width="13" customWidth="1" min="87" max="87"/>
    <col width="12" customWidth="1" min="89" max="89"/>
    <col width="10" customWidth="1" min="90" max="90"/>
    <col width="10" customWidth="1" min="91" max="91"/>
    <col width="10" customWidth="1" min="92" max="92"/>
    <col width="10" customWidth="1" min="93" max="93"/>
    <col width="11" customWidth="1" min="94" max="94"/>
    <col width="11" customWidth="1" min="95" max="95"/>
    <col width="10" customWidth="1" min="96" max="96"/>
    <col width="10" customWidth="1" min="97" max="97"/>
    <col width="10" customWidth="1" min="98" max="98"/>
    <col width="10" customWidth="1" min="99" max="99"/>
    <col width="11" customWidth="1" min="100" max="100"/>
    <col width="11" customWidth="1" min="101" max="101"/>
    <col width="10" customWidth="1" min="102" max="102"/>
    <col width="11" customWidth="1" min="103" max="103"/>
    <col width="13" customWidth="1" min="104" max="104"/>
    <col width="12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1" customWidth="1" min="111" max="111"/>
    <col width="11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1" customWidth="1" min="117" max="117"/>
    <col width="11" customWidth="1" min="118" max="118"/>
    <col width="10" customWidth="1" min="119" max="119"/>
    <col width="11" customWidth="1" min="120" max="120"/>
    <col width="13" customWidth="1" min="121" max="121"/>
    <col width="12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1" customWidth="1" min="128" max="128"/>
    <col width="11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1" customWidth="1" min="134" max="134"/>
    <col width="11" customWidth="1" min="135" max="135"/>
    <col width="10" customWidth="1" min="136" max="136"/>
    <col width="11" customWidth="1" min="137" max="137"/>
    <col width="13" customWidth="1" min="138" max="138"/>
    <col width="12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1" customWidth="1" min="145" max="145"/>
    <col width="11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1" customWidth="1" min="151" max="151"/>
    <col width="11" customWidth="1" min="152" max="152"/>
    <col width="10" customWidth="1" min="153" max="153"/>
    <col width="11" customWidth="1" min="154" max="154"/>
    <col width="13" customWidth="1" min="155" max="155"/>
    <col width="12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1" customWidth="1" min="162" max="162"/>
    <col width="11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1" customWidth="1" min="168" max="168"/>
    <col width="11" customWidth="1" min="169" max="169"/>
    <col width="10" customWidth="1" min="170" max="170"/>
    <col width="11" customWidth="1" min="171" max="171"/>
    <col width="13" customWidth="1" min="172" max="172"/>
    <col width="12" customWidth="1" min="174" max="174"/>
    <col width="10" customWidth="1" min="175" max="175"/>
    <col width="10" customWidth="1" min="176" max="176"/>
    <col width="10" customWidth="1" min="177" max="177"/>
    <col width="10" customWidth="1" min="178" max="178"/>
    <col width="11" customWidth="1" min="179" max="179"/>
    <col width="11" customWidth="1" min="180" max="180"/>
    <col width="10" customWidth="1" min="181" max="181"/>
    <col width="10" customWidth="1" min="182" max="182"/>
    <col width="10" customWidth="1" min="183" max="183"/>
    <col width="10" customWidth="1" min="184" max="184"/>
    <col width="11" customWidth="1" min="185" max="185"/>
    <col width="11" customWidth="1" min="186" max="186"/>
    <col width="10" customWidth="1" min="187" max="187"/>
    <col width="11" customWidth="1" min="188" max="188"/>
    <col width="13" customWidth="1" min="189" max="189"/>
    <col width="12" customWidth="1" min="191" max="191"/>
    <col width="10" customWidth="1" min="192" max="192"/>
    <col width="10" customWidth="1" min="193" max="193"/>
    <col width="10" customWidth="1" min="194" max="194"/>
    <col width="10" customWidth="1" min="195" max="195"/>
    <col width="11" customWidth="1" min="196" max="196"/>
    <col width="11" customWidth="1" min="197" max="197"/>
    <col width="10" customWidth="1" min="198" max="198"/>
    <col width="10" customWidth="1" min="199" max="199"/>
    <col width="10" customWidth="1" min="200" max="200"/>
    <col width="10" customWidth="1" min="201" max="201"/>
    <col width="11" customWidth="1" min="202" max="202"/>
    <col width="11" customWidth="1" min="203" max="203"/>
    <col width="10" customWidth="1" min="204" max="204"/>
    <col width="11" customWidth="1" min="205" max="205"/>
    <col width="13" customWidth="1" min="206" max="206"/>
    <col width="12" customWidth="1" min="208" max="208"/>
    <col width="10" customWidth="1" min="209" max="209"/>
    <col width="10" customWidth="1" min="210" max="210"/>
    <col width="10" customWidth="1" min="211" max="211"/>
    <col width="10" customWidth="1" min="212" max="212"/>
    <col width="11" customWidth="1" min="213" max="213"/>
    <col width="11" customWidth="1" min="214" max="214"/>
    <col width="10" customWidth="1" min="215" max="215"/>
    <col width="10" customWidth="1" min="216" max="216"/>
    <col width="10" customWidth="1" min="217" max="217"/>
    <col width="10" customWidth="1" min="218" max="218"/>
    <col width="11" customWidth="1" min="219" max="219"/>
    <col width="11" customWidth="1" min="220" max="220"/>
    <col width="10" customWidth="1" min="221" max="221"/>
    <col width="11" customWidth="1" min="222" max="222"/>
    <col width="13" customWidth="1" min="223" max="223"/>
    <col width="12" customWidth="1" min="225" max="225"/>
    <col width="10" customWidth="1" min="226" max="226"/>
    <col width="10" customWidth="1" min="227" max="227"/>
    <col width="10" customWidth="1" min="228" max="228"/>
    <col width="10" customWidth="1" min="229" max="229"/>
    <col width="11" customWidth="1" min="230" max="230"/>
    <col width="11" customWidth="1" min="231" max="231"/>
    <col width="10" customWidth="1" min="232" max="232"/>
    <col width="10" customWidth="1" min="233" max="233"/>
    <col width="10" customWidth="1" min="234" max="234"/>
    <col width="10" customWidth="1" min="235" max="235"/>
    <col width="11" customWidth="1" min="236" max="236"/>
    <col width="11" customWidth="1" min="237" max="237"/>
    <col width="10" customWidth="1" min="238" max="238"/>
    <col width="11" customWidth="1" min="239" max="239"/>
    <col width="13" customWidth="1" min="240" max="240"/>
    <col width="12" customWidth="1" min="242" max="242"/>
    <col width="10" customWidth="1" min="243" max="243"/>
    <col width="10" customWidth="1" min="244" max="244"/>
    <col width="10" customWidth="1" min="245" max="245"/>
    <col width="10" customWidth="1" min="246" max="246"/>
    <col width="11" customWidth="1" min="247" max="247"/>
    <col width="11" customWidth="1" min="248" max="248"/>
    <col width="10" customWidth="1" min="249" max="249"/>
    <col width="10" customWidth="1" min="250" max="250"/>
    <col width="10" customWidth="1" min="251" max="251"/>
    <col width="10" customWidth="1" min="252" max="252"/>
    <col width="11" customWidth="1" min="253" max="253"/>
    <col width="11" customWidth="1" min="254" max="254"/>
    <col width="10" customWidth="1" min="255" max="255"/>
    <col width="11" customWidth="1" min="256" max="256"/>
    <col width="13" customWidth="1" min="257" max="257"/>
    <col width="12" customWidth="1" min="259" max="259"/>
    <col width="10" customWidth="1" min="260" max="260"/>
    <col width="10" customWidth="1" min="261" max="261"/>
    <col width="10" customWidth="1" min="262" max="262"/>
    <col width="10" customWidth="1" min="263" max="263"/>
    <col width="11" customWidth="1" min="264" max="264"/>
    <col width="11" customWidth="1" min="265" max="265"/>
    <col width="10" customWidth="1" min="266" max="266"/>
    <col width="10" customWidth="1" min="267" max="267"/>
    <col width="10" customWidth="1" min="268" max="268"/>
    <col width="10" customWidth="1" min="269" max="269"/>
    <col width="11" customWidth="1" min="270" max="270"/>
    <col width="11" customWidth="1" min="271" max="271"/>
    <col width="10" customWidth="1" min="272" max="272"/>
    <col width="11" customWidth="1" min="273" max="273"/>
    <col width="13" customWidth="1" min="274" max="274"/>
    <col width="12" customWidth="1" min="276" max="276"/>
    <col width="10" customWidth="1" min="277" max="277"/>
    <col width="10" customWidth="1" min="278" max="278"/>
    <col width="10" customWidth="1" min="279" max="279"/>
    <col width="10" customWidth="1" min="280" max="280"/>
    <col width="11" customWidth="1" min="281" max="281"/>
    <col width="11" customWidth="1" min="282" max="282"/>
    <col width="10" customWidth="1" min="283" max="283"/>
    <col width="10" customWidth="1" min="284" max="284"/>
    <col width="10" customWidth="1" min="285" max="285"/>
    <col width="10" customWidth="1" min="286" max="286"/>
    <col width="11" customWidth="1" min="287" max="287"/>
    <col width="11" customWidth="1" min="288" max="288"/>
    <col width="10" customWidth="1" min="289" max="289"/>
    <col width="11" customWidth="1" min="290" max="290"/>
    <col width="13" customWidth="1" min="291" max="291"/>
    <col width="12" customWidth="1" min="293" max="293"/>
    <col width="10" customWidth="1" min="294" max="294"/>
    <col width="10" customWidth="1" min="295" max="295"/>
    <col width="10" customWidth="1" min="296" max="296"/>
    <col width="10" customWidth="1" min="297" max="297"/>
    <col width="11" customWidth="1" min="298" max="298"/>
    <col width="11" customWidth="1" min="299" max="299"/>
    <col width="10" customWidth="1" min="300" max="300"/>
    <col width="10" customWidth="1" min="301" max="301"/>
    <col width="10" customWidth="1" min="302" max="302"/>
    <col width="10" customWidth="1" min="303" max="303"/>
    <col width="11" customWidth="1" min="304" max="304"/>
    <col width="11" customWidth="1" min="305" max="305"/>
    <col width="10" customWidth="1" min="306" max="306"/>
    <col width="11" customWidth="1" min="307" max="307"/>
    <col width="13" customWidth="1" min="308" max="308"/>
    <col width="12" customWidth="1" min="310" max="310"/>
    <col width="10" customWidth="1" min="311" max="311"/>
    <col width="10" customWidth="1" min="312" max="312"/>
    <col width="10" customWidth="1" min="313" max="313"/>
    <col width="10" customWidth="1" min="314" max="314"/>
    <col width="11" customWidth="1" min="315" max="315"/>
    <col width="11" customWidth="1" min="316" max="316"/>
    <col width="10" customWidth="1" min="317" max="317"/>
    <col width="10" customWidth="1" min="318" max="318"/>
    <col width="10" customWidth="1" min="319" max="319"/>
    <col width="10" customWidth="1" min="320" max="320"/>
    <col width="11" customWidth="1" min="321" max="321"/>
    <col width="11" customWidth="1" min="322" max="322"/>
    <col width="10" customWidth="1" min="323" max="323"/>
    <col width="11" customWidth="1" min="324" max="324"/>
    <col width="13" customWidth="1" min="325" max="325"/>
    <col width="12" customWidth="1" min="327" max="327"/>
    <col width="10" customWidth="1" min="328" max="328"/>
    <col width="10" customWidth="1" min="329" max="329"/>
    <col width="10" customWidth="1" min="330" max="330"/>
    <col width="10" customWidth="1" min="331" max="331"/>
    <col width="11" customWidth="1" min="332" max="332"/>
    <col width="11" customWidth="1" min="333" max="333"/>
    <col width="10" customWidth="1" min="334" max="334"/>
    <col width="10" customWidth="1" min="335" max="335"/>
    <col width="10" customWidth="1" min="336" max="336"/>
    <col width="10" customWidth="1" min="337" max="337"/>
    <col width="11" customWidth="1" min="338" max="338"/>
    <col width="11" customWidth="1" min="339" max="339"/>
    <col width="10" customWidth="1" min="340" max="340"/>
    <col width="11" customWidth="1" min="341" max="341"/>
    <col width="13" customWidth="1" min="342" max="342"/>
    <col width="12" customWidth="1" min="344" max="344"/>
    <col width="10" customWidth="1" min="345" max="345"/>
    <col width="10" customWidth="1" min="346" max="346"/>
    <col width="10" customWidth="1" min="347" max="347"/>
    <col width="10" customWidth="1" min="348" max="348"/>
    <col width="11" customWidth="1" min="349" max="349"/>
    <col width="11" customWidth="1" min="350" max="350"/>
    <col width="10" customWidth="1" min="351" max="351"/>
    <col width="10" customWidth="1" min="352" max="352"/>
    <col width="10" customWidth="1" min="353" max="353"/>
    <col width="10" customWidth="1" min="354" max="354"/>
    <col width="11" customWidth="1" min="355" max="355"/>
    <col width="11" customWidth="1" min="356" max="356"/>
    <col width="10" customWidth="1" min="357" max="357"/>
    <col width="11" customWidth="1" min="358" max="358"/>
    <col width="13" customWidth="1" min="359" max="359"/>
    <col width="12" customWidth="1" min="361" max="361"/>
    <col width="10" customWidth="1" min="362" max="362"/>
    <col width="10" customWidth="1" min="363" max="363"/>
    <col width="10" customWidth="1" min="364" max="364"/>
    <col width="10" customWidth="1" min="365" max="365"/>
    <col width="11" customWidth="1" min="366" max="366"/>
    <col width="11" customWidth="1" min="367" max="367"/>
    <col width="10" customWidth="1" min="368" max="368"/>
    <col width="10" customWidth="1" min="369" max="369"/>
    <col width="10" customWidth="1" min="370" max="370"/>
    <col width="10" customWidth="1" min="371" max="371"/>
    <col width="11" customWidth="1" min="372" max="372"/>
    <col width="11" customWidth="1" min="373" max="373"/>
    <col width="10" customWidth="1" min="374" max="374"/>
    <col width="11" customWidth="1" min="375" max="375"/>
    <col width="13" customWidth="1" min="376" max="376"/>
  </cols>
  <sheetData>
    <row r="1">
      <c r="A1" s="2" t="inlineStr">
        <is>
          <t>Month</t>
        </is>
      </c>
      <c r="B1" s="9" t="n">
        <v>12</v>
      </c>
      <c r="D1" s="2">
        <f>IF(ISNUMBER(B$7),"XLE US "&amp;TEXT(B$3,"mm/dd/yy")&amp;" C"&amp;(B$7-5*B$6)&amp;" Equity","")</f>
        <v/>
      </c>
      <c r="U1" s="2">
        <f>IF(ISNUMBER(B$7),"XLE US "&amp;TEXT(B$3,"mm/dd/yy")&amp;" P"&amp;(B$7-5*B$6)&amp;" Equity","")</f>
        <v/>
      </c>
      <c r="AL1" s="2">
        <f>IF(ISNUMBER(B$7),"XLE US "&amp;TEXT(B$3,"mm/dd/yy")&amp;" C"&amp;(B$7-4*B$6)&amp;" Equity","")</f>
        <v/>
      </c>
      <c r="BC1" s="2">
        <f>IF(ISNUMBER(B$7),"XLE US "&amp;TEXT(B$3,"mm/dd/yy")&amp;" P"&amp;(B$7-4*B$6)&amp;" Equity","")</f>
        <v/>
      </c>
      <c r="BT1" s="2">
        <f>IF(ISNUMBER(B$7),"XLE US "&amp;TEXT(B$3,"mm/dd/yy")&amp;" C"&amp;(B$7-3*B$6)&amp;" Equity","")</f>
        <v/>
      </c>
      <c r="CK1" s="2">
        <f>IF(ISNUMBER(B$7),"XLE US "&amp;TEXT(B$3,"mm/dd/yy")&amp;" P"&amp;(B$7-3*B$6)&amp;" Equity","")</f>
        <v/>
      </c>
      <c r="DB1" s="2">
        <f>IF(ISNUMBER(B$7),"XLE US "&amp;TEXT(B$3,"mm/dd/yy")&amp;" C"&amp;(B$7-2*B$6)&amp;" Equity","")</f>
        <v/>
      </c>
      <c r="DS1" s="2">
        <f>IF(ISNUMBER(B$7),"XLE US "&amp;TEXT(B$3,"mm/dd/yy")&amp;" P"&amp;(B$7-2*B$6)&amp;" Equity","")</f>
        <v/>
      </c>
      <c r="EJ1" s="2">
        <f>IF(ISNUMBER(B$7),"XLE US "&amp;TEXT(B$3,"mm/dd/yy")&amp;" C"&amp;(B$7-1*B$6)&amp;" Equity","")</f>
        <v/>
      </c>
      <c r="FA1" s="2">
        <f>IF(ISNUMBER(B$7),"XLE US "&amp;TEXT(B$3,"mm/dd/yy")&amp;" P"&amp;(B$7-1*B$6)&amp;" Equity","")</f>
        <v/>
      </c>
      <c r="FR1" s="2">
        <f>IF(ISNUMBER(B$7),"XLE US "&amp;TEXT(B$3,"mm/dd/yy")&amp;" C"&amp;B$7&amp;" Equity","")</f>
        <v/>
      </c>
      <c r="GI1" s="2">
        <f>IF(ISNUMBER(B$7),"XLE US "&amp;TEXT(B$3,"mm/dd/yy")&amp;" P"&amp;B$7&amp;" Equity","")</f>
        <v/>
      </c>
      <c r="GZ1" s="2">
        <f>IF(ISNUMBER(B$7),"XLE US "&amp;TEXT(B$3,"mm/dd/yy")&amp;" C"&amp;(B$7+1*B$6)&amp;" Equity","")</f>
        <v/>
      </c>
      <c r="HQ1" s="2">
        <f>IF(ISNUMBER(B$7),"XLE US "&amp;TEXT(B$3,"mm/dd/yy")&amp;" P"&amp;(B$7+1*B$6)&amp;" Equity","")</f>
        <v/>
      </c>
      <c r="IH1" s="2">
        <f>IF(ISNUMBER(B$7),"XLE US "&amp;TEXT(B$3,"mm/dd/yy")&amp;" C"&amp;(B$7+2*B$6)&amp;" Equity","")</f>
        <v/>
      </c>
      <c r="IY1" s="2">
        <f>IF(ISNUMBER(B$7),"XLE US "&amp;TEXT(B$3,"mm/dd/yy")&amp;" P"&amp;(B$7+2*B$6)&amp;" Equity","")</f>
        <v/>
      </c>
      <c r="JP1" s="2">
        <f>IF(ISNUMBER(B$7),"XLE US "&amp;TEXT(B$3,"mm/dd/yy")&amp;" C"&amp;(B$7+3*B$6)&amp;" Equity","")</f>
        <v/>
      </c>
      <c r="KG1" s="2">
        <f>IF(ISNUMBER(B$7),"XLE US "&amp;TEXT(B$3,"mm/dd/yy")&amp;" P"&amp;(B$7+3*B$6)&amp;" Equity","")</f>
        <v/>
      </c>
      <c r="KX1" s="2">
        <f>IF(ISNUMBER(B$7),"XLE US "&amp;TEXT(B$3,"mm/dd/yy")&amp;" C"&amp;(B$7+4*B$6)&amp;" Equity","")</f>
        <v/>
      </c>
      <c r="LO1" s="2">
        <f>IF(ISNUMBER(B$7),"XLE US "&amp;TEXT(B$3,"mm/dd/yy")&amp;" P"&amp;(B$7+4*B$6)&amp;" Equity","")</f>
        <v/>
      </c>
      <c r="MF1" s="2">
        <f>IF(ISNUMBER(B$7),"XLE US "&amp;TEXT(B$3,"mm/dd/yy")&amp;" C"&amp;(B$7+5*B$6)&amp;" Equity","")</f>
        <v/>
      </c>
      <c r="MW1" s="2">
        <f>IF(ISNUMBER(B$7),"XLE US "&amp;TEXT(B$3,"mm/dd/yy")&amp;" P"&amp;(B$7+5*B$6)&amp;" Equity","")</f>
        <v/>
      </c>
    </row>
    <row r="2">
      <c r="A2" s="2" t="inlineStr">
        <is>
          <t>Underlying</t>
        </is>
      </c>
      <c r="B2" s="4">
        <f>IF(Settings!$B$16="Y","XLE US Equity","")</f>
        <v/>
      </c>
      <c r="D2" s="4" t="inlineStr">
        <is>
          <t>call -5 from ATM</t>
        </is>
      </c>
      <c r="U2" s="4" t="inlineStr">
        <is>
          <t>put -5 from ATM</t>
        </is>
      </c>
      <c r="AL2" s="4" t="inlineStr">
        <is>
          <t>call -4 from ATM</t>
        </is>
      </c>
      <c r="BC2" s="4" t="inlineStr">
        <is>
          <t>put -4 from ATM</t>
        </is>
      </c>
      <c r="BT2" s="4" t="inlineStr">
        <is>
          <t>call -3 from ATM</t>
        </is>
      </c>
      <c r="CK2" s="4" t="inlineStr">
        <is>
          <t>put -3 from ATM</t>
        </is>
      </c>
      <c r="DB2" s="4" t="inlineStr">
        <is>
          <t>call -2 from ATM</t>
        </is>
      </c>
      <c r="DS2" s="4" t="inlineStr">
        <is>
          <t>put -2 from ATM</t>
        </is>
      </c>
      <c r="EJ2" s="4" t="inlineStr">
        <is>
          <t>call -1 from ATM</t>
        </is>
      </c>
      <c r="FA2" s="4" t="inlineStr">
        <is>
          <t>put -1 from ATM</t>
        </is>
      </c>
      <c r="FR2" s="4" t="inlineStr">
        <is>
          <t>call +0 from ATM</t>
        </is>
      </c>
      <c r="GI2" s="4" t="inlineStr">
        <is>
          <t>put +0 from ATM</t>
        </is>
      </c>
      <c r="GZ2" s="4" t="inlineStr">
        <is>
          <t>call +1 from ATM</t>
        </is>
      </c>
      <c r="HQ2" s="4" t="inlineStr">
        <is>
          <t>put +1 from ATM</t>
        </is>
      </c>
      <c r="IH2" s="4" t="inlineStr">
        <is>
          <t>call +2 from ATM</t>
        </is>
      </c>
      <c r="IY2" s="4" t="inlineStr">
        <is>
          <t>put +2 from ATM</t>
        </is>
      </c>
      <c r="JP2" s="4" t="inlineStr">
        <is>
          <t>call +3 from ATM</t>
        </is>
      </c>
      <c r="KG2" s="4" t="inlineStr">
        <is>
          <t>put +3 from ATM</t>
        </is>
      </c>
      <c r="KX2" s="4" t="inlineStr">
        <is>
          <t>call +4 from ATM</t>
        </is>
      </c>
      <c r="LO2" s="4" t="inlineStr">
        <is>
          <t>put +4 from ATM</t>
        </is>
      </c>
      <c r="MF2" s="4" t="inlineStr">
        <is>
          <t>call +5 from ATM</t>
        </is>
      </c>
      <c r="MW2" s="4" t="inlineStr">
        <is>
          <t>put +5 from ATM</t>
        </is>
      </c>
    </row>
    <row r="3">
      <c r="A3" s="2" t="inlineStr">
        <is>
          <t>Expiry (3rd Friday)</t>
        </is>
      </c>
      <c r="B3" s="3">
        <f>DATE(Settings!$E$16,B1,15)+MOD(6-WEEKDAY(DATE(Settings!$E$16,B1,15)),7)</f>
        <v/>
      </c>
      <c r="D3" s="5" t="inlineStr">
        <is>
          <t>Date</t>
        </is>
      </c>
      <c r="E3" s="5" t="inlineStr">
        <is>
          <t>PX_BID</t>
        </is>
      </c>
      <c r="F3" s="5" t="inlineStr">
        <is>
          <t>PX_ASK</t>
        </is>
      </c>
      <c r="G3" s="5" t="inlineStr">
        <is>
          <t>PX_MID</t>
        </is>
      </c>
      <c r="H3" s="5" t="inlineStr">
        <is>
          <t>PX_LAST</t>
        </is>
      </c>
      <c r="I3" s="5" t="inlineStr">
        <is>
          <t>PX_SETTLE</t>
        </is>
      </c>
      <c r="J3" s="5" t="inlineStr">
        <is>
          <t>PX_VOLUME</t>
        </is>
      </c>
      <c r="K3" s="5" t="inlineStr">
        <is>
          <t>OPEN_INT</t>
        </is>
      </c>
      <c r="L3" s="5" t="inlineStr">
        <is>
          <t>IVOL_MID</t>
        </is>
      </c>
      <c r="M3" s="5" t="inlineStr">
        <is>
          <t>IVOL_BID</t>
        </is>
      </c>
      <c r="N3" s="5" t="inlineStr">
        <is>
          <t>IVOL_ASK</t>
        </is>
      </c>
      <c r="O3" s="5" t="inlineStr">
        <is>
          <t>DELTA_MID</t>
        </is>
      </c>
      <c r="P3" s="5" t="inlineStr">
        <is>
          <t>GAMMA_MID</t>
        </is>
      </c>
      <c r="Q3" s="5" t="inlineStr">
        <is>
          <t>VEGA_MID</t>
        </is>
      </c>
      <c r="R3" s="5" t="inlineStr">
        <is>
          <t>THETA_MID</t>
        </is>
      </c>
      <c r="S3" s="5" t="inlineStr">
        <is>
          <t>OPT_UNDL_PX</t>
        </is>
      </c>
      <c r="U3" s="5" t="inlineStr">
        <is>
          <t>Date</t>
        </is>
      </c>
      <c r="V3" s="5" t="inlineStr">
        <is>
          <t>PX_BID</t>
        </is>
      </c>
      <c r="W3" s="5" t="inlineStr">
        <is>
          <t>PX_ASK</t>
        </is>
      </c>
      <c r="X3" s="5" t="inlineStr">
        <is>
          <t>PX_MID</t>
        </is>
      </c>
      <c r="Y3" s="5" t="inlineStr">
        <is>
          <t>PX_LAST</t>
        </is>
      </c>
      <c r="Z3" s="5" t="inlineStr">
        <is>
          <t>PX_SETTLE</t>
        </is>
      </c>
      <c r="AA3" s="5" t="inlineStr">
        <is>
          <t>PX_VOLUME</t>
        </is>
      </c>
      <c r="AB3" s="5" t="inlineStr">
        <is>
          <t>OPEN_INT</t>
        </is>
      </c>
      <c r="AC3" s="5" t="inlineStr">
        <is>
          <t>IVOL_MID</t>
        </is>
      </c>
      <c r="AD3" s="5" t="inlineStr">
        <is>
          <t>IVOL_BID</t>
        </is>
      </c>
      <c r="AE3" s="5" t="inlineStr">
        <is>
          <t>IVOL_ASK</t>
        </is>
      </c>
      <c r="AF3" s="5" t="inlineStr">
        <is>
          <t>DELTA_MID</t>
        </is>
      </c>
      <c r="AG3" s="5" t="inlineStr">
        <is>
          <t>GAMMA_MID</t>
        </is>
      </c>
      <c r="AH3" s="5" t="inlineStr">
        <is>
          <t>VEGA_MID</t>
        </is>
      </c>
      <c r="AI3" s="5" t="inlineStr">
        <is>
          <t>THETA_MID</t>
        </is>
      </c>
      <c r="AJ3" s="5" t="inlineStr">
        <is>
          <t>OPT_UNDL_PX</t>
        </is>
      </c>
      <c r="AL3" s="5" t="inlineStr">
        <is>
          <t>Date</t>
        </is>
      </c>
      <c r="AM3" s="5" t="inlineStr">
        <is>
          <t>PX_BID</t>
        </is>
      </c>
      <c r="AN3" s="5" t="inlineStr">
        <is>
          <t>PX_ASK</t>
        </is>
      </c>
      <c r="AO3" s="5" t="inlineStr">
        <is>
          <t>PX_MID</t>
        </is>
      </c>
      <c r="AP3" s="5" t="inlineStr">
        <is>
          <t>PX_LAST</t>
        </is>
      </c>
      <c r="AQ3" s="5" t="inlineStr">
        <is>
          <t>PX_SETTLE</t>
        </is>
      </c>
      <c r="AR3" s="5" t="inlineStr">
        <is>
          <t>PX_VOLUME</t>
        </is>
      </c>
      <c r="AS3" s="5" t="inlineStr">
        <is>
          <t>OPEN_INT</t>
        </is>
      </c>
      <c r="AT3" s="5" t="inlineStr">
        <is>
          <t>IVOL_MID</t>
        </is>
      </c>
      <c r="AU3" s="5" t="inlineStr">
        <is>
          <t>IVOL_BID</t>
        </is>
      </c>
      <c r="AV3" s="5" t="inlineStr">
        <is>
          <t>IVOL_ASK</t>
        </is>
      </c>
      <c r="AW3" s="5" t="inlineStr">
        <is>
          <t>DELTA_MID</t>
        </is>
      </c>
      <c r="AX3" s="5" t="inlineStr">
        <is>
          <t>GAMMA_MID</t>
        </is>
      </c>
      <c r="AY3" s="5" t="inlineStr">
        <is>
          <t>VEGA_MID</t>
        </is>
      </c>
      <c r="AZ3" s="5" t="inlineStr">
        <is>
          <t>THETA_MID</t>
        </is>
      </c>
      <c r="BA3" s="5" t="inlineStr">
        <is>
          <t>OPT_UNDL_PX</t>
        </is>
      </c>
      <c r="BC3" s="5" t="inlineStr">
        <is>
          <t>Date</t>
        </is>
      </c>
      <c r="BD3" s="5" t="inlineStr">
        <is>
          <t>PX_BID</t>
        </is>
      </c>
      <c r="BE3" s="5" t="inlineStr">
        <is>
          <t>PX_ASK</t>
        </is>
      </c>
      <c r="BF3" s="5" t="inlineStr">
        <is>
          <t>PX_MID</t>
        </is>
      </c>
      <c r="BG3" s="5" t="inlineStr">
        <is>
          <t>PX_LAST</t>
        </is>
      </c>
      <c r="BH3" s="5" t="inlineStr">
        <is>
          <t>PX_SETTLE</t>
        </is>
      </c>
      <c r="BI3" s="5" t="inlineStr">
        <is>
          <t>PX_VOLUME</t>
        </is>
      </c>
      <c r="BJ3" s="5" t="inlineStr">
        <is>
          <t>OPEN_INT</t>
        </is>
      </c>
      <c r="BK3" s="5" t="inlineStr">
        <is>
          <t>IVOL_MID</t>
        </is>
      </c>
      <c r="BL3" s="5" t="inlineStr">
        <is>
          <t>IVOL_BID</t>
        </is>
      </c>
      <c r="BM3" s="5" t="inlineStr">
        <is>
          <t>IVOL_ASK</t>
        </is>
      </c>
      <c r="BN3" s="5" t="inlineStr">
        <is>
          <t>DELTA_MID</t>
        </is>
      </c>
      <c r="BO3" s="5" t="inlineStr">
        <is>
          <t>GAMMA_MID</t>
        </is>
      </c>
      <c r="BP3" s="5" t="inlineStr">
        <is>
          <t>VEGA_MID</t>
        </is>
      </c>
      <c r="BQ3" s="5" t="inlineStr">
        <is>
          <t>THETA_MID</t>
        </is>
      </c>
      <c r="BR3" s="5" t="inlineStr">
        <is>
          <t>OPT_UNDL_PX</t>
        </is>
      </c>
      <c r="BT3" s="5" t="inlineStr">
        <is>
          <t>Date</t>
        </is>
      </c>
      <c r="BU3" s="5" t="inlineStr">
        <is>
          <t>PX_BID</t>
        </is>
      </c>
      <c r="BV3" s="5" t="inlineStr">
        <is>
          <t>PX_ASK</t>
        </is>
      </c>
      <c r="BW3" s="5" t="inlineStr">
        <is>
          <t>PX_MID</t>
        </is>
      </c>
      <c r="BX3" s="5" t="inlineStr">
        <is>
          <t>PX_LAST</t>
        </is>
      </c>
      <c r="BY3" s="5" t="inlineStr">
        <is>
          <t>PX_SETTLE</t>
        </is>
      </c>
      <c r="BZ3" s="5" t="inlineStr">
        <is>
          <t>PX_VOLUME</t>
        </is>
      </c>
      <c r="CA3" s="5" t="inlineStr">
        <is>
          <t>OPEN_INT</t>
        </is>
      </c>
      <c r="CB3" s="5" t="inlineStr">
        <is>
          <t>IVOL_MID</t>
        </is>
      </c>
      <c r="CC3" s="5" t="inlineStr">
        <is>
          <t>IVOL_BID</t>
        </is>
      </c>
      <c r="CD3" s="5" t="inlineStr">
        <is>
          <t>IVOL_ASK</t>
        </is>
      </c>
      <c r="CE3" s="5" t="inlineStr">
        <is>
          <t>DELTA_MID</t>
        </is>
      </c>
      <c r="CF3" s="5" t="inlineStr">
        <is>
          <t>GAMMA_MID</t>
        </is>
      </c>
      <c r="CG3" s="5" t="inlineStr">
        <is>
          <t>VEGA_MID</t>
        </is>
      </c>
      <c r="CH3" s="5" t="inlineStr">
        <is>
          <t>THETA_MID</t>
        </is>
      </c>
      <c r="CI3" s="5" t="inlineStr">
        <is>
          <t>OPT_UNDL_PX</t>
        </is>
      </c>
      <c r="CK3" s="5" t="inlineStr">
        <is>
          <t>Date</t>
        </is>
      </c>
      <c r="CL3" s="5" t="inlineStr">
        <is>
          <t>PX_BID</t>
        </is>
      </c>
      <c r="CM3" s="5" t="inlineStr">
        <is>
          <t>PX_ASK</t>
        </is>
      </c>
      <c r="CN3" s="5" t="inlineStr">
        <is>
          <t>PX_MID</t>
        </is>
      </c>
      <c r="CO3" s="5" t="inlineStr">
        <is>
          <t>PX_LAST</t>
        </is>
      </c>
      <c r="CP3" s="5" t="inlineStr">
        <is>
          <t>PX_SETTLE</t>
        </is>
      </c>
      <c r="CQ3" s="5" t="inlineStr">
        <is>
          <t>PX_VOLUME</t>
        </is>
      </c>
      <c r="CR3" s="5" t="inlineStr">
        <is>
          <t>OPEN_INT</t>
        </is>
      </c>
      <c r="CS3" s="5" t="inlineStr">
        <is>
          <t>IVOL_MID</t>
        </is>
      </c>
      <c r="CT3" s="5" t="inlineStr">
        <is>
          <t>IVOL_BID</t>
        </is>
      </c>
      <c r="CU3" s="5" t="inlineStr">
        <is>
          <t>IVOL_ASK</t>
        </is>
      </c>
      <c r="CV3" s="5" t="inlineStr">
        <is>
          <t>DELTA_MID</t>
        </is>
      </c>
      <c r="CW3" s="5" t="inlineStr">
        <is>
          <t>GAMMA_MID</t>
        </is>
      </c>
      <c r="CX3" s="5" t="inlineStr">
        <is>
          <t>VEGA_MID</t>
        </is>
      </c>
      <c r="CY3" s="5" t="inlineStr">
        <is>
          <t>THETA_MID</t>
        </is>
      </c>
      <c r="CZ3" s="5" t="inlineStr">
        <is>
          <t>OPT_UNDL_PX</t>
        </is>
      </c>
      <c r="DB3" s="5" t="inlineStr">
        <is>
          <t>Date</t>
        </is>
      </c>
      <c r="DC3" s="5" t="inlineStr">
        <is>
          <t>PX_BID</t>
        </is>
      </c>
      <c r="DD3" s="5" t="inlineStr">
        <is>
          <t>PX_ASK</t>
        </is>
      </c>
      <c r="DE3" s="5" t="inlineStr">
        <is>
          <t>PX_MID</t>
        </is>
      </c>
      <c r="DF3" s="5" t="inlineStr">
        <is>
          <t>PX_LAST</t>
        </is>
      </c>
      <c r="DG3" s="5" t="inlineStr">
        <is>
          <t>PX_SETTLE</t>
        </is>
      </c>
      <c r="DH3" s="5" t="inlineStr">
        <is>
          <t>PX_VOLUME</t>
        </is>
      </c>
      <c r="DI3" s="5" t="inlineStr">
        <is>
          <t>OPEN_INT</t>
        </is>
      </c>
      <c r="DJ3" s="5" t="inlineStr">
        <is>
          <t>IVOL_MID</t>
        </is>
      </c>
      <c r="DK3" s="5" t="inlineStr">
        <is>
          <t>IVOL_BID</t>
        </is>
      </c>
      <c r="DL3" s="5" t="inlineStr">
        <is>
          <t>IVOL_ASK</t>
        </is>
      </c>
      <c r="DM3" s="5" t="inlineStr">
        <is>
          <t>DELTA_MID</t>
        </is>
      </c>
      <c r="DN3" s="5" t="inlineStr">
        <is>
          <t>GAMMA_MID</t>
        </is>
      </c>
      <c r="DO3" s="5" t="inlineStr">
        <is>
          <t>VEGA_MID</t>
        </is>
      </c>
      <c r="DP3" s="5" t="inlineStr">
        <is>
          <t>THETA_MID</t>
        </is>
      </c>
      <c r="DQ3" s="5" t="inlineStr">
        <is>
          <t>OPT_UNDL_PX</t>
        </is>
      </c>
      <c r="DS3" s="5" t="inlineStr">
        <is>
          <t>Date</t>
        </is>
      </c>
      <c r="DT3" s="5" t="inlineStr">
        <is>
          <t>PX_BID</t>
        </is>
      </c>
      <c r="DU3" s="5" t="inlineStr">
        <is>
          <t>PX_ASK</t>
        </is>
      </c>
      <c r="DV3" s="5" t="inlineStr">
        <is>
          <t>PX_MID</t>
        </is>
      </c>
      <c r="DW3" s="5" t="inlineStr">
        <is>
          <t>PX_LAST</t>
        </is>
      </c>
      <c r="DX3" s="5" t="inlineStr">
        <is>
          <t>PX_SETTLE</t>
        </is>
      </c>
      <c r="DY3" s="5" t="inlineStr">
        <is>
          <t>PX_VOLUME</t>
        </is>
      </c>
      <c r="DZ3" s="5" t="inlineStr">
        <is>
          <t>OPEN_INT</t>
        </is>
      </c>
      <c r="EA3" s="5" t="inlineStr">
        <is>
          <t>IVOL_MID</t>
        </is>
      </c>
      <c r="EB3" s="5" t="inlineStr">
        <is>
          <t>IVOL_BID</t>
        </is>
      </c>
      <c r="EC3" s="5" t="inlineStr">
        <is>
          <t>IVOL_ASK</t>
        </is>
      </c>
      <c r="ED3" s="5" t="inlineStr">
        <is>
          <t>DELTA_MID</t>
        </is>
      </c>
      <c r="EE3" s="5" t="inlineStr">
        <is>
          <t>GAMMA_MID</t>
        </is>
      </c>
      <c r="EF3" s="5" t="inlineStr">
        <is>
          <t>VEGA_MID</t>
        </is>
      </c>
      <c r="EG3" s="5" t="inlineStr">
        <is>
          <t>THETA_MID</t>
        </is>
      </c>
      <c r="EH3" s="5" t="inlineStr">
        <is>
          <t>OPT_UNDL_PX</t>
        </is>
      </c>
      <c r="EJ3" s="5" t="inlineStr">
        <is>
          <t>Date</t>
        </is>
      </c>
      <c r="EK3" s="5" t="inlineStr">
        <is>
          <t>PX_BID</t>
        </is>
      </c>
      <c r="EL3" s="5" t="inlineStr">
        <is>
          <t>PX_ASK</t>
        </is>
      </c>
      <c r="EM3" s="5" t="inlineStr">
        <is>
          <t>PX_MID</t>
        </is>
      </c>
      <c r="EN3" s="5" t="inlineStr">
        <is>
          <t>PX_LAST</t>
        </is>
      </c>
      <c r="EO3" s="5" t="inlineStr">
        <is>
          <t>PX_SETTLE</t>
        </is>
      </c>
      <c r="EP3" s="5" t="inlineStr">
        <is>
          <t>PX_VOLUME</t>
        </is>
      </c>
      <c r="EQ3" s="5" t="inlineStr">
        <is>
          <t>OPEN_INT</t>
        </is>
      </c>
      <c r="ER3" s="5" t="inlineStr">
        <is>
          <t>IVOL_MID</t>
        </is>
      </c>
      <c r="ES3" s="5" t="inlineStr">
        <is>
          <t>IVOL_BID</t>
        </is>
      </c>
      <c r="ET3" s="5" t="inlineStr">
        <is>
          <t>IVOL_ASK</t>
        </is>
      </c>
      <c r="EU3" s="5" t="inlineStr">
        <is>
          <t>DELTA_MID</t>
        </is>
      </c>
      <c r="EV3" s="5" t="inlineStr">
        <is>
          <t>GAMMA_MID</t>
        </is>
      </c>
      <c r="EW3" s="5" t="inlineStr">
        <is>
          <t>VEGA_MID</t>
        </is>
      </c>
      <c r="EX3" s="5" t="inlineStr">
        <is>
          <t>THETA_MID</t>
        </is>
      </c>
      <c r="EY3" s="5" t="inlineStr">
        <is>
          <t>OPT_UNDL_PX</t>
        </is>
      </c>
      <c r="FA3" s="5" t="inlineStr">
        <is>
          <t>Date</t>
        </is>
      </c>
      <c r="FB3" s="5" t="inlineStr">
        <is>
          <t>PX_BID</t>
        </is>
      </c>
      <c r="FC3" s="5" t="inlineStr">
        <is>
          <t>PX_ASK</t>
        </is>
      </c>
      <c r="FD3" s="5" t="inlineStr">
        <is>
          <t>PX_MID</t>
        </is>
      </c>
      <c r="FE3" s="5" t="inlineStr">
        <is>
          <t>PX_LAST</t>
        </is>
      </c>
      <c r="FF3" s="5" t="inlineStr">
        <is>
          <t>PX_SETTLE</t>
        </is>
      </c>
      <c r="FG3" s="5" t="inlineStr">
        <is>
          <t>PX_VOLUME</t>
        </is>
      </c>
      <c r="FH3" s="5" t="inlineStr">
        <is>
          <t>OPEN_INT</t>
        </is>
      </c>
      <c r="FI3" s="5" t="inlineStr">
        <is>
          <t>IVOL_MID</t>
        </is>
      </c>
      <c r="FJ3" s="5" t="inlineStr">
        <is>
          <t>IVOL_BID</t>
        </is>
      </c>
      <c r="FK3" s="5" t="inlineStr">
        <is>
          <t>IVOL_ASK</t>
        </is>
      </c>
      <c r="FL3" s="5" t="inlineStr">
        <is>
          <t>DELTA_MID</t>
        </is>
      </c>
      <c r="FM3" s="5" t="inlineStr">
        <is>
          <t>GAMMA_MID</t>
        </is>
      </c>
      <c r="FN3" s="5" t="inlineStr">
        <is>
          <t>VEGA_MID</t>
        </is>
      </c>
      <c r="FO3" s="5" t="inlineStr">
        <is>
          <t>THETA_MID</t>
        </is>
      </c>
      <c r="FP3" s="5" t="inlineStr">
        <is>
          <t>OPT_UNDL_PX</t>
        </is>
      </c>
      <c r="FR3" s="5" t="inlineStr">
        <is>
          <t>Date</t>
        </is>
      </c>
      <c r="FS3" s="5" t="inlineStr">
        <is>
          <t>PX_BID</t>
        </is>
      </c>
      <c r="FT3" s="5" t="inlineStr">
        <is>
          <t>PX_ASK</t>
        </is>
      </c>
      <c r="FU3" s="5" t="inlineStr">
        <is>
          <t>PX_MID</t>
        </is>
      </c>
      <c r="FV3" s="5" t="inlineStr">
        <is>
          <t>PX_LAST</t>
        </is>
      </c>
      <c r="FW3" s="5" t="inlineStr">
        <is>
          <t>PX_SETTLE</t>
        </is>
      </c>
      <c r="FX3" s="5" t="inlineStr">
        <is>
          <t>PX_VOLUME</t>
        </is>
      </c>
      <c r="FY3" s="5" t="inlineStr">
        <is>
          <t>OPEN_INT</t>
        </is>
      </c>
      <c r="FZ3" s="5" t="inlineStr">
        <is>
          <t>IVOL_MID</t>
        </is>
      </c>
      <c r="GA3" s="5" t="inlineStr">
        <is>
          <t>IVOL_BID</t>
        </is>
      </c>
      <c r="GB3" s="5" t="inlineStr">
        <is>
          <t>IVOL_ASK</t>
        </is>
      </c>
      <c r="GC3" s="5" t="inlineStr">
        <is>
          <t>DELTA_MID</t>
        </is>
      </c>
      <c r="GD3" s="5" t="inlineStr">
        <is>
          <t>GAMMA_MID</t>
        </is>
      </c>
      <c r="GE3" s="5" t="inlineStr">
        <is>
          <t>VEGA_MID</t>
        </is>
      </c>
      <c r="GF3" s="5" t="inlineStr">
        <is>
          <t>THETA_MID</t>
        </is>
      </c>
      <c r="GG3" s="5" t="inlineStr">
        <is>
          <t>OPT_UNDL_PX</t>
        </is>
      </c>
      <c r="GI3" s="5" t="inlineStr">
        <is>
          <t>Date</t>
        </is>
      </c>
      <c r="GJ3" s="5" t="inlineStr">
        <is>
          <t>PX_BID</t>
        </is>
      </c>
      <c r="GK3" s="5" t="inlineStr">
        <is>
          <t>PX_ASK</t>
        </is>
      </c>
      <c r="GL3" s="5" t="inlineStr">
        <is>
          <t>PX_MID</t>
        </is>
      </c>
      <c r="GM3" s="5" t="inlineStr">
        <is>
          <t>PX_LAST</t>
        </is>
      </c>
      <c r="GN3" s="5" t="inlineStr">
        <is>
          <t>PX_SETTLE</t>
        </is>
      </c>
      <c r="GO3" s="5" t="inlineStr">
        <is>
          <t>PX_VOLUME</t>
        </is>
      </c>
      <c r="GP3" s="5" t="inlineStr">
        <is>
          <t>OPEN_INT</t>
        </is>
      </c>
      <c r="GQ3" s="5" t="inlineStr">
        <is>
          <t>IVOL_MID</t>
        </is>
      </c>
      <c r="GR3" s="5" t="inlineStr">
        <is>
          <t>IVOL_BID</t>
        </is>
      </c>
      <c r="GS3" s="5" t="inlineStr">
        <is>
          <t>IVOL_ASK</t>
        </is>
      </c>
      <c r="GT3" s="5" t="inlineStr">
        <is>
          <t>DELTA_MID</t>
        </is>
      </c>
      <c r="GU3" s="5" t="inlineStr">
        <is>
          <t>GAMMA_MID</t>
        </is>
      </c>
      <c r="GV3" s="5" t="inlineStr">
        <is>
          <t>VEGA_MID</t>
        </is>
      </c>
      <c r="GW3" s="5" t="inlineStr">
        <is>
          <t>THETA_MID</t>
        </is>
      </c>
      <c r="GX3" s="5" t="inlineStr">
        <is>
          <t>OPT_UNDL_PX</t>
        </is>
      </c>
      <c r="GZ3" s="5" t="inlineStr">
        <is>
          <t>Date</t>
        </is>
      </c>
      <c r="HA3" s="5" t="inlineStr">
        <is>
          <t>PX_BID</t>
        </is>
      </c>
      <c r="HB3" s="5" t="inlineStr">
        <is>
          <t>PX_ASK</t>
        </is>
      </c>
      <c r="HC3" s="5" t="inlineStr">
        <is>
          <t>PX_MID</t>
        </is>
      </c>
      <c r="HD3" s="5" t="inlineStr">
        <is>
          <t>PX_LAST</t>
        </is>
      </c>
      <c r="HE3" s="5" t="inlineStr">
        <is>
          <t>PX_SETTLE</t>
        </is>
      </c>
      <c r="HF3" s="5" t="inlineStr">
        <is>
          <t>PX_VOLUME</t>
        </is>
      </c>
      <c r="HG3" s="5" t="inlineStr">
        <is>
          <t>OPEN_INT</t>
        </is>
      </c>
      <c r="HH3" s="5" t="inlineStr">
        <is>
          <t>IVOL_MID</t>
        </is>
      </c>
      <c r="HI3" s="5" t="inlineStr">
        <is>
          <t>IVOL_BID</t>
        </is>
      </c>
      <c r="HJ3" s="5" t="inlineStr">
        <is>
          <t>IVOL_ASK</t>
        </is>
      </c>
      <c r="HK3" s="5" t="inlineStr">
        <is>
          <t>DELTA_MID</t>
        </is>
      </c>
      <c r="HL3" s="5" t="inlineStr">
        <is>
          <t>GAMMA_MID</t>
        </is>
      </c>
      <c r="HM3" s="5" t="inlineStr">
        <is>
          <t>VEGA_MID</t>
        </is>
      </c>
      <c r="HN3" s="5" t="inlineStr">
        <is>
          <t>THETA_MID</t>
        </is>
      </c>
      <c r="HO3" s="5" t="inlineStr">
        <is>
          <t>OPT_UNDL_PX</t>
        </is>
      </c>
      <c r="HQ3" s="5" t="inlineStr">
        <is>
          <t>Date</t>
        </is>
      </c>
      <c r="HR3" s="5" t="inlineStr">
        <is>
          <t>PX_BID</t>
        </is>
      </c>
      <c r="HS3" s="5" t="inlineStr">
        <is>
          <t>PX_ASK</t>
        </is>
      </c>
      <c r="HT3" s="5" t="inlineStr">
        <is>
          <t>PX_MID</t>
        </is>
      </c>
      <c r="HU3" s="5" t="inlineStr">
        <is>
          <t>PX_LAST</t>
        </is>
      </c>
      <c r="HV3" s="5" t="inlineStr">
        <is>
          <t>PX_SETTLE</t>
        </is>
      </c>
      <c r="HW3" s="5" t="inlineStr">
        <is>
          <t>PX_VOLUME</t>
        </is>
      </c>
      <c r="HX3" s="5" t="inlineStr">
        <is>
          <t>OPEN_INT</t>
        </is>
      </c>
      <c r="HY3" s="5" t="inlineStr">
        <is>
          <t>IVOL_MID</t>
        </is>
      </c>
      <c r="HZ3" s="5" t="inlineStr">
        <is>
          <t>IVOL_BID</t>
        </is>
      </c>
      <c r="IA3" s="5" t="inlineStr">
        <is>
          <t>IVOL_ASK</t>
        </is>
      </c>
      <c r="IB3" s="5" t="inlineStr">
        <is>
          <t>DELTA_MID</t>
        </is>
      </c>
      <c r="IC3" s="5" t="inlineStr">
        <is>
          <t>GAMMA_MID</t>
        </is>
      </c>
      <c r="ID3" s="5" t="inlineStr">
        <is>
          <t>VEGA_MID</t>
        </is>
      </c>
      <c r="IE3" s="5" t="inlineStr">
        <is>
          <t>THETA_MID</t>
        </is>
      </c>
      <c r="IF3" s="5" t="inlineStr">
        <is>
          <t>OPT_UNDL_PX</t>
        </is>
      </c>
      <c r="IH3" s="5" t="inlineStr">
        <is>
          <t>Date</t>
        </is>
      </c>
      <c r="II3" s="5" t="inlineStr">
        <is>
          <t>PX_BID</t>
        </is>
      </c>
      <c r="IJ3" s="5" t="inlineStr">
        <is>
          <t>PX_ASK</t>
        </is>
      </c>
      <c r="IK3" s="5" t="inlineStr">
        <is>
          <t>PX_MID</t>
        </is>
      </c>
      <c r="IL3" s="5" t="inlineStr">
        <is>
          <t>PX_LAST</t>
        </is>
      </c>
      <c r="IM3" s="5" t="inlineStr">
        <is>
          <t>PX_SETTLE</t>
        </is>
      </c>
      <c r="IN3" s="5" t="inlineStr">
        <is>
          <t>PX_VOLUME</t>
        </is>
      </c>
      <c r="IO3" s="5" t="inlineStr">
        <is>
          <t>OPEN_INT</t>
        </is>
      </c>
      <c r="IP3" s="5" t="inlineStr">
        <is>
          <t>IVOL_MID</t>
        </is>
      </c>
      <c r="IQ3" s="5" t="inlineStr">
        <is>
          <t>IVOL_BID</t>
        </is>
      </c>
      <c r="IR3" s="5" t="inlineStr">
        <is>
          <t>IVOL_ASK</t>
        </is>
      </c>
      <c r="IS3" s="5" t="inlineStr">
        <is>
          <t>DELTA_MID</t>
        </is>
      </c>
      <c r="IT3" s="5" t="inlineStr">
        <is>
          <t>GAMMA_MID</t>
        </is>
      </c>
      <c r="IU3" s="5" t="inlineStr">
        <is>
          <t>VEGA_MID</t>
        </is>
      </c>
      <c r="IV3" s="5" t="inlineStr">
        <is>
          <t>THETA_MID</t>
        </is>
      </c>
      <c r="IW3" s="5" t="inlineStr">
        <is>
          <t>OPT_UNDL_PX</t>
        </is>
      </c>
      <c r="IY3" s="5" t="inlineStr">
        <is>
          <t>Date</t>
        </is>
      </c>
      <c r="IZ3" s="5" t="inlineStr">
        <is>
          <t>PX_BID</t>
        </is>
      </c>
      <c r="JA3" s="5" t="inlineStr">
        <is>
          <t>PX_ASK</t>
        </is>
      </c>
      <c r="JB3" s="5" t="inlineStr">
        <is>
          <t>PX_MID</t>
        </is>
      </c>
      <c r="JC3" s="5" t="inlineStr">
        <is>
          <t>PX_LAST</t>
        </is>
      </c>
      <c r="JD3" s="5" t="inlineStr">
        <is>
          <t>PX_SETTLE</t>
        </is>
      </c>
      <c r="JE3" s="5" t="inlineStr">
        <is>
          <t>PX_VOLUME</t>
        </is>
      </c>
      <c r="JF3" s="5" t="inlineStr">
        <is>
          <t>OPEN_INT</t>
        </is>
      </c>
      <c r="JG3" s="5" t="inlineStr">
        <is>
          <t>IVOL_MID</t>
        </is>
      </c>
      <c r="JH3" s="5" t="inlineStr">
        <is>
          <t>IVOL_BID</t>
        </is>
      </c>
      <c r="JI3" s="5" t="inlineStr">
        <is>
          <t>IVOL_ASK</t>
        </is>
      </c>
      <c r="JJ3" s="5" t="inlineStr">
        <is>
          <t>DELTA_MID</t>
        </is>
      </c>
      <c r="JK3" s="5" t="inlineStr">
        <is>
          <t>GAMMA_MID</t>
        </is>
      </c>
      <c r="JL3" s="5" t="inlineStr">
        <is>
          <t>VEGA_MID</t>
        </is>
      </c>
      <c r="JM3" s="5" t="inlineStr">
        <is>
          <t>THETA_MID</t>
        </is>
      </c>
      <c r="JN3" s="5" t="inlineStr">
        <is>
          <t>OPT_UNDL_PX</t>
        </is>
      </c>
      <c r="JP3" s="5" t="inlineStr">
        <is>
          <t>Date</t>
        </is>
      </c>
      <c r="JQ3" s="5" t="inlineStr">
        <is>
          <t>PX_BID</t>
        </is>
      </c>
      <c r="JR3" s="5" t="inlineStr">
        <is>
          <t>PX_ASK</t>
        </is>
      </c>
      <c r="JS3" s="5" t="inlineStr">
        <is>
          <t>PX_MID</t>
        </is>
      </c>
      <c r="JT3" s="5" t="inlineStr">
        <is>
          <t>PX_LAST</t>
        </is>
      </c>
      <c r="JU3" s="5" t="inlineStr">
        <is>
          <t>PX_SETTLE</t>
        </is>
      </c>
      <c r="JV3" s="5" t="inlineStr">
        <is>
          <t>PX_VOLUME</t>
        </is>
      </c>
      <c r="JW3" s="5" t="inlineStr">
        <is>
          <t>OPEN_INT</t>
        </is>
      </c>
      <c r="JX3" s="5" t="inlineStr">
        <is>
          <t>IVOL_MID</t>
        </is>
      </c>
      <c r="JY3" s="5" t="inlineStr">
        <is>
          <t>IVOL_BID</t>
        </is>
      </c>
      <c r="JZ3" s="5" t="inlineStr">
        <is>
          <t>IVOL_ASK</t>
        </is>
      </c>
      <c r="KA3" s="5" t="inlineStr">
        <is>
          <t>DELTA_MID</t>
        </is>
      </c>
      <c r="KB3" s="5" t="inlineStr">
        <is>
          <t>GAMMA_MID</t>
        </is>
      </c>
      <c r="KC3" s="5" t="inlineStr">
        <is>
          <t>VEGA_MID</t>
        </is>
      </c>
      <c r="KD3" s="5" t="inlineStr">
        <is>
          <t>THETA_MID</t>
        </is>
      </c>
      <c r="KE3" s="5" t="inlineStr">
        <is>
          <t>OPT_UNDL_PX</t>
        </is>
      </c>
      <c r="KG3" s="5" t="inlineStr">
        <is>
          <t>Date</t>
        </is>
      </c>
      <c r="KH3" s="5" t="inlineStr">
        <is>
          <t>PX_BID</t>
        </is>
      </c>
      <c r="KI3" s="5" t="inlineStr">
        <is>
          <t>PX_ASK</t>
        </is>
      </c>
      <c r="KJ3" s="5" t="inlineStr">
        <is>
          <t>PX_MID</t>
        </is>
      </c>
      <c r="KK3" s="5" t="inlineStr">
        <is>
          <t>PX_LAST</t>
        </is>
      </c>
      <c r="KL3" s="5" t="inlineStr">
        <is>
          <t>PX_SETTLE</t>
        </is>
      </c>
      <c r="KM3" s="5" t="inlineStr">
        <is>
          <t>PX_VOLUME</t>
        </is>
      </c>
      <c r="KN3" s="5" t="inlineStr">
        <is>
          <t>OPEN_INT</t>
        </is>
      </c>
      <c r="KO3" s="5" t="inlineStr">
        <is>
          <t>IVOL_MID</t>
        </is>
      </c>
      <c r="KP3" s="5" t="inlineStr">
        <is>
          <t>IVOL_BID</t>
        </is>
      </c>
      <c r="KQ3" s="5" t="inlineStr">
        <is>
          <t>IVOL_ASK</t>
        </is>
      </c>
      <c r="KR3" s="5" t="inlineStr">
        <is>
          <t>DELTA_MID</t>
        </is>
      </c>
      <c r="KS3" s="5" t="inlineStr">
        <is>
          <t>GAMMA_MID</t>
        </is>
      </c>
      <c r="KT3" s="5" t="inlineStr">
        <is>
          <t>VEGA_MID</t>
        </is>
      </c>
      <c r="KU3" s="5" t="inlineStr">
        <is>
          <t>THETA_MID</t>
        </is>
      </c>
      <c r="KV3" s="5" t="inlineStr">
        <is>
          <t>OPT_UNDL_PX</t>
        </is>
      </c>
      <c r="KX3" s="5" t="inlineStr">
        <is>
          <t>Date</t>
        </is>
      </c>
      <c r="KY3" s="5" t="inlineStr">
        <is>
          <t>PX_BID</t>
        </is>
      </c>
      <c r="KZ3" s="5" t="inlineStr">
        <is>
          <t>PX_ASK</t>
        </is>
      </c>
      <c r="LA3" s="5" t="inlineStr">
        <is>
          <t>PX_MID</t>
        </is>
      </c>
      <c r="LB3" s="5" t="inlineStr">
        <is>
          <t>PX_LAST</t>
        </is>
      </c>
      <c r="LC3" s="5" t="inlineStr">
        <is>
          <t>PX_SETTLE</t>
        </is>
      </c>
      <c r="LD3" s="5" t="inlineStr">
        <is>
          <t>PX_VOLUME</t>
        </is>
      </c>
      <c r="LE3" s="5" t="inlineStr">
        <is>
          <t>OPEN_INT</t>
        </is>
      </c>
      <c r="LF3" s="5" t="inlineStr">
        <is>
          <t>IVOL_MID</t>
        </is>
      </c>
      <c r="LG3" s="5" t="inlineStr">
        <is>
          <t>IVOL_BID</t>
        </is>
      </c>
      <c r="LH3" s="5" t="inlineStr">
        <is>
          <t>IVOL_ASK</t>
        </is>
      </c>
      <c r="LI3" s="5" t="inlineStr">
        <is>
          <t>DELTA_MID</t>
        </is>
      </c>
      <c r="LJ3" s="5" t="inlineStr">
        <is>
          <t>GAMMA_MID</t>
        </is>
      </c>
      <c r="LK3" s="5" t="inlineStr">
        <is>
          <t>VEGA_MID</t>
        </is>
      </c>
      <c r="LL3" s="5" t="inlineStr">
        <is>
          <t>THETA_MID</t>
        </is>
      </c>
      <c r="LM3" s="5" t="inlineStr">
        <is>
          <t>OPT_UNDL_PX</t>
        </is>
      </c>
      <c r="LO3" s="5" t="inlineStr">
        <is>
          <t>Date</t>
        </is>
      </c>
      <c r="LP3" s="5" t="inlineStr">
        <is>
          <t>PX_BID</t>
        </is>
      </c>
      <c r="LQ3" s="5" t="inlineStr">
        <is>
          <t>PX_ASK</t>
        </is>
      </c>
      <c r="LR3" s="5" t="inlineStr">
        <is>
          <t>PX_MID</t>
        </is>
      </c>
      <c r="LS3" s="5" t="inlineStr">
        <is>
          <t>PX_LAST</t>
        </is>
      </c>
      <c r="LT3" s="5" t="inlineStr">
        <is>
          <t>PX_SETTLE</t>
        </is>
      </c>
      <c r="LU3" s="5" t="inlineStr">
        <is>
          <t>PX_VOLUME</t>
        </is>
      </c>
      <c r="LV3" s="5" t="inlineStr">
        <is>
          <t>OPEN_INT</t>
        </is>
      </c>
      <c r="LW3" s="5" t="inlineStr">
        <is>
          <t>IVOL_MID</t>
        </is>
      </c>
      <c r="LX3" s="5" t="inlineStr">
        <is>
          <t>IVOL_BID</t>
        </is>
      </c>
      <c r="LY3" s="5" t="inlineStr">
        <is>
          <t>IVOL_ASK</t>
        </is>
      </c>
      <c r="LZ3" s="5" t="inlineStr">
        <is>
          <t>DELTA_MID</t>
        </is>
      </c>
      <c r="MA3" s="5" t="inlineStr">
        <is>
          <t>GAMMA_MID</t>
        </is>
      </c>
      <c r="MB3" s="5" t="inlineStr">
        <is>
          <t>VEGA_MID</t>
        </is>
      </c>
      <c r="MC3" s="5" t="inlineStr">
        <is>
          <t>THETA_MID</t>
        </is>
      </c>
      <c r="MD3" s="5" t="inlineStr">
        <is>
          <t>OPT_UNDL_PX</t>
        </is>
      </c>
      <c r="MF3" s="5" t="inlineStr">
        <is>
          <t>Date</t>
        </is>
      </c>
      <c r="MG3" s="5" t="inlineStr">
        <is>
          <t>PX_BID</t>
        </is>
      </c>
      <c r="MH3" s="5" t="inlineStr">
        <is>
          <t>PX_ASK</t>
        </is>
      </c>
      <c r="MI3" s="5" t="inlineStr">
        <is>
          <t>PX_MID</t>
        </is>
      </c>
      <c r="MJ3" s="5" t="inlineStr">
        <is>
          <t>PX_LAST</t>
        </is>
      </c>
      <c r="MK3" s="5" t="inlineStr">
        <is>
          <t>PX_SETTLE</t>
        </is>
      </c>
      <c r="ML3" s="5" t="inlineStr">
        <is>
          <t>PX_VOLUME</t>
        </is>
      </c>
      <c r="MM3" s="5" t="inlineStr">
        <is>
          <t>OPEN_INT</t>
        </is>
      </c>
      <c r="MN3" s="5" t="inlineStr">
        <is>
          <t>IVOL_MID</t>
        </is>
      </c>
      <c r="MO3" s="5" t="inlineStr">
        <is>
          <t>IVOL_BID</t>
        </is>
      </c>
      <c r="MP3" s="5" t="inlineStr">
        <is>
          <t>IVOL_ASK</t>
        </is>
      </c>
      <c r="MQ3" s="5" t="inlineStr">
        <is>
          <t>DELTA_MID</t>
        </is>
      </c>
      <c r="MR3" s="5" t="inlineStr">
        <is>
          <t>GAMMA_MID</t>
        </is>
      </c>
      <c r="MS3" s="5" t="inlineStr">
        <is>
          <t>VEGA_MID</t>
        </is>
      </c>
      <c r="MT3" s="5" t="inlineStr">
        <is>
          <t>THETA_MID</t>
        </is>
      </c>
      <c r="MU3" s="5" t="inlineStr">
        <is>
          <t>OPT_UNDL_PX</t>
        </is>
      </c>
      <c r="MW3" s="5" t="inlineStr">
        <is>
          <t>Date</t>
        </is>
      </c>
      <c r="MX3" s="5" t="inlineStr">
        <is>
          <t>PX_BID</t>
        </is>
      </c>
      <c r="MY3" s="5" t="inlineStr">
        <is>
          <t>PX_ASK</t>
        </is>
      </c>
      <c r="MZ3" s="5" t="inlineStr">
        <is>
          <t>PX_MID</t>
        </is>
      </c>
      <c r="NA3" s="5" t="inlineStr">
        <is>
          <t>PX_LAST</t>
        </is>
      </c>
      <c r="NB3" s="5" t="inlineStr">
        <is>
          <t>PX_SETTLE</t>
        </is>
      </c>
      <c r="NC3" s="5" t="inlineStr">
        <is>
          <t>PX_VOLUME</t>
        </is>
      </c>
      <c r="ND3" s="5" t="inlineStr">
        <is>
          <t>OPEN_INT</t>
        </is>
      </c>
      <c r="NE3" s="5" t="inlineStr">
        <is>
          <t>IVOL_MID</t>
        </is>
      </c>
      <c r="NF3" s="5" t="inlineStr">
        <is>
          <t>IVOL_BID</t>
        </is>
      </c>
      <c r="NG3" s="5" t="inlineStr">
        <is>
          <t>IVOL_ASK</t>
        </is>
      </c>
      <c r="NH3" s="5" t="inlineStr">
        <is>
          <t>DELTA_MID</t>
        </is>
      </c>
      <c r="NI3" s="5" t="inlineStr">
        <is>
          <t>GAMMA_MID</t>
        </is>
      </c>
      <c r="NJ3" s="5" t="inlineStr">
        <is>
          <t>VEGA_MID</t>
        </is>
      </c>
      <c r="NK3" s="5" t="inlineStr">
        <is>
          <t>THETA_MID</t>
        </is>
      </c>
      <c r="NL3" s="5" t="inlineStr">
        <is>
          <t>OPT_UNDL_PX</t>
        </is>
      </c>
    </row>
    <row r="4">
      <c r="A4" s="2" t="inlineStr">
        <is>
          <t>Strike reference date</t>
        </is>
      </c>
      <c r="B4" s="8">
        <f>B3-45</f>
        <v/>
      </c>
      <c r="D4" s="4">
        <f>BDH(D$1,E$3:S$3,$B$8,$B$9,"Dir=V","Dts=S","Sort=A","Days=T","Fill=B")</f>
        <v/>
      </c>
      <c r="U4" s="4">
        <f>BDH(U$1,V$3:AJ$3,$B$8,$B$9,"Dir=V","Dts=S","Sort=A","Days=T","Fill=B")</f>
        <v/>
      </c>
      <c r="AL4" s="4">
        <f>BDH(AL$1,AM$3:BA$3,$B$8,$B$9,"Dir=V","Dts=S","Sort=A","Days=T","Fill=B")</f>
        <v/>
      </c>
      <c r="BC4" s="4">
        <f>BDH(BC$1,BD$3:BR$3,$B$8,$B$9,"Dir=V","Dts=S","Sort=A","Days=T","Fill=B")</f>
        <v/>
      </c>
      <c r="BT4" s="4">
        <f>BDH(BT$1,BU$3:CI$3,$B$8,$B$9,"Dir=V","Dts=S","Sort=A","Days=T","Fill=B")</f>
        <v/>
      </c>
      <c r="CK4" s="4">
        <f>BDH(CK$1,CL$3:CZ$3,$B$8,$B$9,"Dir=V","Dts=S","Sort=A","Days=T","Fill=B")</f>
        <v/>
      </c>
      <c r="DB4" s="4">
        <f>BDH(DB$1,DC$3:DQ$3,$B$8,$B$9,"Dir=V","Dts=S","Sort=A","Days=T","Fill=B")</f>
        <v/>
      </c>
      <c r="DS4" s="4">
        <f>BDH(DS$1,DT$3:EH$3,$B$8,$B$9,"Dir=V","Dts=S","Sort=A","Days=T","Fill=B")</f>
        <v/>
      </c>
      <c r="EJ4" s="4">
        <f>BDH(EJ$1,EK$3:EY$3,$B$8,$B$9,"Dir=V","Dts=S","Sort=A","Days=T","Fill=B")</f>
        <v/>
      </c>
      <c r="FA4" s="4">
        <f>BDH(FA$1,FB$3:FP$3,$B$8,$B$9,"Dir=V","Dts=S","Sort=A","Days=T","Fill=B")</f>
        <v/>
      </c>
      <c r="FR4" s="4">
        <f>BDH(FR$1,FS$3:GG$3,$B$8,$B$9,"Dir=V","Dts=S","Sort=A","Days=T","Fill=B")</f>
        <v/>
      </c>
      <c r="GI4" s="4">
        <f>BDH(GI$1,GJ$3:GX$3,$B$8,$B$9,"Dir=V","Dts=S","Sort=A","Days=T","Fill=B")</f>
        <v/>
      </c>
      <c r="GZ4" s="4">
        <f>BDH(GZ$1,HA$3:HO$3,$B$8,$B$9,"Dir=V","Dts=S","Sort=A","Days=T","Fill=B")</f>
        <v/>
      </c>
      <c r="HQ4" s="4">
        <f>BDH(HQ$1,HR$3:IF$3,$B$8,$B$9,"Dir=V","Dts=S","Sort=A","Days=T","Fill=B")</f>
        <v/>
      </c>
      <c r="IH4" s="4">
        <f>BDH(IH$1,II$3:IW$3,$B$8,$B$9,"Dir=V","Dts=S","Sort=A","Days=T","Fill=B")</f>
        <v/>
      </c>
      <c r="IY4" s="4">
        <f>BDH(IY$1,IZ$3:JN$3,$B$8,$B$9,"Dir=V","Dts=S","Sort=A","Days=T","Fill=B")</f>
        <v/>
      </c>
      <c r="JP4" s="4">
        <f>BDH(JP$1,JQ$3:KE$3,$B$8,$B$9,"Dir=V","Dts=S","Sort=A","Days=T","Fill=B")</f>
        <v/>
      </c>
      <c r="KG4" s="4">
        <f>BDH(KG$1,KH$3:KV$3,$B$8,$B$9,"Dir=V","Dts=S","Sort=A","Days=T","Fill=B")</f>
        <v/>
      </c>
      <c r="KX4" s="4">
        <f>BDH(KX$1,KY$3:LM$3,$B$8,$B$9,"Dir=V","Dts=S","Sort=A","Days=T","Fill=B")</f>
        <v/>
      </c>
      <c r="LO4" s="4">
        <f>BDH(LO$1,LP$3:MD$3,$B$8,$B$9,"Dir=V","Dts=S","Sort=A","Days=T","Fill=B")</f>
        <v/>
      </c>
      <c r="MF4" s="4">
        <f>BDH(MF$1,MG$3:MU$3,$B$8,$B$9,"Dir=V","Dts=S","Sort=A","Days=T","Fill=B")</f>
        <v/>
      </c>
      <c r="MW4" s="4">
        <f>BDH(MW$1,MX$3:NL$3,$B$8,$B$9,"Dir=V","Dts=S","Sort=A","Days=T","Fill=B")</f>
        <v/>
      </c>
    </row>
    <row r="5">
      <c r="A5" s="2" t="inlineStr">
        <is>
          <t>Unadjusted close then</t>
        </is>
      </c>
      <c r="B5" s="10">
        <f>IF(B2="","",BDH(B2,"PX_LAST",B4,B4,"Days=A","Fill=P","Dts=H","CshAdjNormal=N","CshAdjAbnormal=N","CapChg=N"))</f>
        <v/>
      </c>
    </row>
    <row r="6">
      <c r="A6" s="2" t="inlineStr">
        <is>
          <t>Strike step</t>
        </is>
      </c>
      <c r="B6" s="11">
        <f>IF(ISNUMBER(B5),IF(B5&lt;25,0.5,IF(B5&lt;250,1,5)),"")</f>
        <v/>
      </c>
    </row>
    <row r="7">
      <c r="A7" s="2" t="inlineStr">
        <is>
          <t>ATM strike</t>
        </is>
      </c>
      <c r="B7" s="11">
        <f>IF(ISNUMBER(B5),ROUND(B5/B6,0)*B6,"")</f>
        <v/>
      </c>
    </row>
    <row r="8">
      <c r="A8" s="2" t="inlineStr">
        <is>
          <t>History start</t>
        </is>
      </c>
      <c r="B8" s="8">
        <f>B3-100</f>
        <v/>
      </c>
    </row>
    <row r="9">
      <c r="A9" s="2" t="inlineStr">
        <is>
          <t>History end</t>
        </is>
      </c>
      <c r="B9" s="8">
        <f>B3</f>
        <v/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NL9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2" customWidth="1" min="2" max="2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1" customWidth="1" min="15" max="15"/>
    <col width="11" customWidth="1" min="16" max="16"/>
    <col width="10" customWidth="1" min="17" max="17"/>
    <col width="11" customWidth="1" min="18" max="18"/>
    <col width="13" customWidth="1" min="19" max="19"/>
    <col width="12" customWidth="1" min="21" max="21"/>
    <col width="10" customWidth="1" min="22" max="22"/>
    <col width="10" customWidth="1" min="23" max="23"/>
    <col width="10" customWidth="1" min="24" max="24"/>
    <col width="10" customWidth="1" min="25" max="25"/>
    <col width="11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1" customWidth="1" min="32" max="32"/>
    <col width="11" customWidth="1" min="33" max="33"/>
    <col width="10" customWidth="1" min="34" max="34"/>
    <col width="11" customWidth="1" min="35" max="35"/>
    <col width="13" customWidth="1" min="36" max="36"/>
    <col width="12" customWidth="1" min="38" max="38"/>
    <col width="10" customWidth="1" min="39" max="39"/>
    <col width="10" customWidth="1" min="40" max="40"/>
    <col width="10" customWidth="1" min="41" max="41"/>
    <col width="10" customWidth="1" min="42" max="42"/>
    <col width="11" customWidth="1" min="43" max="43"/>
    <col width="11" customWidth="1" min="44" max="44"/>
    <col width="10" customWidth="1" min="45" max="45"/>
    <col width="10" customWidth="1" min="46" max="46"/>
    <col width="10" customWidth="1" min="47" max="47"/>
    <col width="10" customWidth="1" min="48" max="48"/>
    <col width="11" customWidth="1" min="49" max="49"/>
    <col width="11" customWidth="1" min="50" max="50"/>
    <col width="10" customWidth="1" min="51" max="51"/>
    <col width="11" customWidth="1" min="52" max="52"/>
    <col width="13" customWidth="1" min="53" max="53"/>
    <col width="12" customWidth="1" min="55" max="55"/>
    <col width="10" customWidth="1" min="56" max="56"/>
    <col width="10" customWidth="1" min="57" max="57"/>
    <col width="10" customWidth="1" min="58" max="58"/>
    <col width="10" customWidth="1" min="59" max="59"/>
    <col width="11" customWidth="1" min="60" max="60"/>
    <col width="11" customWidth="1" min="61" max="61"/>
    <col width="10" customWidth="1" min="62" max="62"/>
    <col width="10" customWidth="1" min="63" max="63"/>
    <col width="10" customWidth="1" min="64" max="64"/>
    <col width="10" customWidth="1" min="65" max="65"/>
    <col width="11" customWidth="1" min="66" max="66"/>
    <col width="11" customWidth="1" min="67" max="67"/>
    <col width="10" customWidth="1" min="68" max="68"/>
    <col width="11" customWidth="1" min="69" max="69"/>
    <col width="13" customWidth="1" min="70" max="70"/>
    <col width="12" customWidth="1" min="72" max="72"/>
    <col width="10" customWidth="1" min="73" max="73"/>
    <col width="10" customWidth="1" min="74" max="74"/>
    <col width="10" customWidth="1" min="75" max="75"/>
    <col width="10" customWidth="1" min="76" max="76"/>
    <col width="11" customWidth="1" min="77" max="77"/>
    <col width="11" customWidth="1" min="78" max="78"/>
    <col width="10" customWidth="1" min="79" max="79"/>
    <col width="10" customWidth="1" min="80" max="80"/>
    <col width="10" customWidth="1" min="81" max="81"/>
    <col width="10" customWidth="1" min="82" max="82"/>
    <col width="11" customWidth="1" min="83" max="83"/>
    <col width="11" customWidth="1" min="84" max="84"/>
    <col width="10" customWidth="1" min="85" max="85"/>
    <col width="11" customWidth="1" min="86" max="86"/>
    <col width="13" customWidth="1" min="87" max="87"/>
    <col width="12" customWidth="1" min="89" max="89"/>
    <col width="10" customWidth="1" min="90" max="90"/>
    <col width="10" customWidth="1" min="91" max="91"/>
    <col width="10" customWidth="1" min="92" max="92"/>
    <col width="10" customWidth="1" min="93" max="93"/>
    <col width="11" customWidth="1" min="94" max="94"/>
    <col width="11" customWidth="1" min="95" max="95"/>
    <col width="10" customWidth="1" min="96" max="96"/>
    <col width="10" customWidth="1" min="97" max="97"/>
    <col width="10" customWidth="1" min="98" max="98"/>
    <col width="10" customWidth="1" min="99" max="99"/>
    <col width="11" customWidth="1" min="100" max="100"/>
    <col width="11" customWidth="1" min="101" max="101"/>
    <col width="10" customWidth="1" min="102" max="102"/>
    <col width="11" customWidth="1" min="103" max="103"/>
    <col width="13" customWidth="1" min="104" max="104"/>
    <col width="12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1" customWidth="1" min="111" max="111"/>
    <col width="11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1" customWidth="1" min="117" max="117"/>
    <col width="11" customWidth="1" min="118" max="118"/>
    <col width="10" customWidth="1" min="119" max="119"/>
    <col width="11" customWidth="1" min="120" max="120"/>
    <col width="13" customWidth="1" min="121" max="121"/>
    <col width="12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1" customWidth="1" min="128" max="128"/>
    <col width="11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1" customWidth="1" min="134" max="134"/>
    <col width="11" customWidth="1" min="135" max="135"/>
    <col width="10" customWidth="1" min="136" max="136"/>
    <col width="11" customWidth="1" min="137" max="137"/>
    <col width="13" customWidth="1" min="138" max="138"/>
    <col width="12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1" customWidth="1" min="145" max="145"/>
    <col width="11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1" customWidth="1" min="151" max="151"/>
    <col width="11" customWidth="1" min="152" max="152"/>
    <col width="10" customWidth="1" min="153" max="153"/>
    <col width="11" customWidth="1" min="154" max="154"/>
    <col width="13" customWidth="1" min="155" max="155"/>
    <col width="12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1" customWidth="1" min="162" max="162"/>
    <col width="11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1" customWidth="1" min="168" max="168"/>
    <col width="11" customWidth="1" min="169" max="169"/>
    <col width="10" customWidth="1" min="170" max="170"/>
    <col width="11" customWidth="1" min="171" max="171"/>
    <col width="13" customWidth="1" min="172" max="172"/>
    <col width="12" customWidth="1" min="174" max="174"/>
    <col width="10" customWidth="1" min="175" max="175"/>
    <col width="10" customWidth="1" min="176" max="176"/>
    <col width="10" customWidth="1" min="177" max="177"/>
    <col width="10" customWidth="1" min="178" max="178"/>
    <col width="11" customWidth="1" min="179" max="179"/>
    <col width="11" customWidth="1" min="180" max="180"/>
    <col width="10" customWidth="1" min="181" max="181"/>
    <col width="10" customWidth="1" min="182" max="182"/>
    <col width="10" customWidth="1" min="183" max="183"/>
    <col width="10" customWidth="1" min="184" max="184"/>
    <col width="11" customWidth="1" min="185" max="185"/>
    <col width="11" customWidth="1" min="186" max="186"/>
    <col width="10" customWidth="1" min="187" max="187"/>
    <col width="11" customWidth="1" min="188" max="188"/>
    <col width="13" customWidth="1" min="189" max="189"/>
    <col width="12" customWidth="1" min="191" max="191"/>
    <col width="10" customWidth="1" min="192" max="192"/>
    <col width="10" customWidth="1" min="193" max="193"/>
    <col width="10" customWidth="1" min="194" max="194"/>
    <col width="10" customWidth="1" min="195" max="195"/>
    <col width="11" customWidth="1" min="196" max="196"/>
    <col width="11" customWidth="1" min="197" max="197"/>
    <col width="10" customWidth="1" min="198" max="198"/>
    <col width="10" customWidth="1" min="199" max="199"/>
    <col width="10" customWidth="1" min="200" max="200"/>
    <col width="10" customWidth="1" min="201" max="201"/>
    <col width="11" customWidth="1" min="202" max="202"/>
    <col width="11" customWidth="1" min="203" max="203"/>
    <col width="10" customWidth="1" min="204" max="204"/>
    <col width="11" customWidth="1" min="205" max="205"/>
    <col width="13" customWidth="1" min="206" max="206"/>
    <col width="12" customWidth="1" min="208" max="208"/>
    <col width="10" customWidth="1" min="209" max="209"/>
    <col width="10" customWidth="1" min="210" max="210"/>
    <col width="10" customWidth="1" min="211" max="211"/>
    <col width="10" customWidth="1" min="212" max="212"/>
    <col width="11" customWidth="1" min="213" max="213"/>
    <col width="11" customWidth="1" min="214" max="214"/>
    <col width="10" customWidth="1" min="215" max="215"/>
    <col width="10" customWidth="1" min="216" max="216"/>
    <col width="10" customWidth="1" min="217" max="217"/>
    <col width="10" customWidth="1" min="218" max="218"/>
    <col width="11" customWidth="1" min="219" max="219"/>
    <col width="11" customWidth="1" min="220" max="220"/>
    <col width="10" customWidth="1" min="221" max="221"/>
    <col width="11" customWidth="1" min="222" max="222"/>
    <col width="13" customWidth="1" min="223" max="223"/>
    <col width="12" customWidth="1" min="225" max="225"/>
    <col width="10" customWidth="1" min="226" max="226"/>
    <col width="10" customWidth="1" min="227" max="227"/>
    <col width="10" customWidth="1" min="228" max="228"/>
    <col width="10" customWidth="1" min="229" max="229"/>
    <col width="11" customWidth="1" min="230" max="230"/>
    <col width="11" customWidth="1" min="231" max="231"/>
    <col width="10" customWidth="1" min="232" max="232"/>
    <col width="10" customWidth="1" min="233" max="233"/>
    <col width="10" customWidth="1" min="234" max="234"/>
    <col width="10" customWidth="1" min="235" max="235"/>
    <col width="11" customWidth="1" min="236" max="236"/>
    <col width="11" customWidth="1" min="237" max="237"/>
    <col width="10" customWidth="1" min="238" max="238"/>
    <col width="11" customWidth="1" min="239" max="239"/>
    <col width="13" customWidth="1" min="240" max="240"/>
    <col width="12" customWidth="1" min="242" max="242"/>
    <col width="10" customWidth="1" min="243" max="243"/>
    <col width="10" customWidth="1" min="244" max="244"/>
    <col width="10" customWidth="1" min="245" max="245"/>
    <col width="10" customWidth="1" min="246" max="246"/>
    <col width="11" customWidth="1" min="247" max="247"/>
    <col width="11" customWidth="1" min="248" max="248"/>
    <col width="10" customWidth="1" min="249" max="249"/>
    <col width="10" customWidth="1" min="250" max="250"/>
    <col width="10" customWidth="1" min="251" max="251"/>
    <col width="10" customWidth="1" min="252" max="252"/>
    <col width="11" customWidth="1" min="253" max="253"/>
    <col width="11" customWidth="1" min="254" max="254"/>
    <col width="10" customWidth="1" min="255" max="255"/>
    <col width="11" customWidth="1" min="256" max="256"/>
    <col width="13" customWidth="1" min="257" max="257"/>
    <col width="12" customWidth="1" min="259" max="259"/>
    <col width="10" customWidth="1" min="260" max="260"/>
    <col width="10" customWidth="1" min="261" max="261"/>
    <col width="10" customWidth="1" min="262" max="262"/>
    <col width="10" customWidth="1" min="263" max="263"/>
    <col width="11" customWidth="1" min="264" max="264"/>
    <col width="11" customWidth="1" min="265" max="265"/>
    <col width="10" customWidth="1" min="266" max="266"/>
    <col width="10" customWidth="1" min="267" max="267"/>
    <col width="10" customWidth="1" min="268" max="268"/>
    <col width="10" customWidth="1" min="269" max="269"/>
    <col width="11" customWidth="1" min="270" max="270"/>
    <col width="11" customWidth="1" min="271" max="271"/>
    <col width="10" customWidth="1" min="272" max="272"/>
    <col width="11" customWidth="1" min="273" max="273"/>
    <col width="13" customWidth="1" min="274" max="274"/>
    <col width="12" customWidth="1" min="276" max="276"/>
    <col width="10" customWidth="1" min="277" max="277"/>
    <col width="10" customWidth="1" min="278" max="278"/>
    <col width="10" customWidth="1" min="279" max="279"/>
    <col width="10" customWidth="1" min="280" max="280"/>
    <col width="11" customWidth="1" min="281" max="281"/>
    <col width="11" customWidth="1" min="282" max="282"/>
    <col width="10" customWidth="1" min="283" max="283"/>
    <col width="10" customWidth="1" min="284" max="284"/>
    <col width="10" customWidth="1" min="285" max="285"/>
    <col width="10" customWidth="1" min="286" max="286"/>
    <col width="11" customWidth="1" min="287" max="287"/>
    <col width="11" customWidth="1" min="288" max="288"/>
    <col width="10" customWidth="1" min="289" max="289"/>
    <col width="11" customWidth="1" min="290" max="290"/>
    <col width="13" customWidth="1" min="291" max="291"/>
    <col width="12" customWidth="1" min="293" max="293"/>
    <col width="10" customWidth="1" min="294" max="294"/>
    <col width="10" customWidth="1" min="295" max="295"/>
    <col width="10" customWidth="1" min="296" max="296"/>
    <col width="10" customWidth="1" min="297" max="297"/>
    <col width="11" customWidth="1" min="298" max="298"/>
    <col width="11" customWidth="1" min="299" max="299"/>
    <col width="10" customWidth="1" min="300" max="300"/>
    <col width="10" customWidth="1" min="301" max="301"/>
    <col width="10" customWidth="1" min="302" max="302"/>
    <col width="10" customWidth="1" min="303" max="303"/>
    <col width="11" customWidth="1" min="304" max="304"/>
    <col width="11" customWidth="1" min="305" max="305"/>
    <col width="10" customWidth="1" min="306" max="306"/>
    <col width="11" customWidth="1" min="307" max="307"/>
    <col width="13" customWidth="1" min="308" max="308"/>
    <col width="12" customWidth="1" min="310" max="310"/>
    <col width="10" customWidth="1" min="311" max="311"/>
    <col width="10" customWidth="1" min="312" max="312"/>
    <col width="10" customWidth="1" min="313" max="313"/>
    <col width="10" customWidth="1" min="314" max="314"/>
    <col width="11" customWidth="1" min="315" max="315"/>
    <col width="11" customWidth="1" min="316" max="316"/>
    <col width="10" customWidth="1" min="317" max="317"/>
    <col width="10" customWidth="1" min="318" max="318"/>
    <col width="10" customWidth="1" min="319" max="319"/>
    <col width="10" customWidth="1" min="320" max="320"/>
    <col width="11" customWidth="1" min="321" max="321"/>
    <col width="11" customWidth="1" min="322" max="322"/>
    <col width="10" customWidth="1" min="323" max="323"/>
    <col width="11" customWidth="1" min="324" max="324"/>
    <col width="13" customWidth="1" min="325" max="325"/>
    <col width="12" customWidth="1" min="327" max="327"/>
    <col width="10" customWidth="1" min="328" max="328"/>
    <col width="10" customWidth="1" min="329" max="329"/>
    <col width="10" customWidth="1" min="330" max="330"/>
    <col width="10" customWidth="1" min="331" max="331"/>
    <col width="11" customWidth="1" min="332" max="332"/>
    <col width="11" customWidth="1" min="333" max="333"/>
    <col width="10" customWidth="1" min="334" max="334"/>
    <col width="10" customWidth="1" min="335" max="335"/>
    <col width="10" customWidth="1" min="336" max="336"/>
    <col width="10" customWidth="1" min="337" max="337"/>
    <col width="11" customWidth="1" min="338" max="338"/>
    <col width="11" customWidth="1" min="339" max="339"/>
    <col width="10" customWidth="1" min="340" max="340"/>
    <col width="11" customWidth="1" min="341" max="341"/>
    <col width="13" customWidth="1" min="342" max="342"/>
    <col width="12" customWidth="1" min="344" max="344"/>
    <col width="10" customWidth="1" min="345" max="345"/>
    <col width="10" customWidth="1" min="346" max="346"/>
    <col width="10" customWidth="1" min="347" max="347"/>
    <col width="10" customWidth="1" min="348" max="348"/>
    <col width="11" customWidth="1" min="349" max="349"/>
    <col width="11" customWidth="1" min="350" max="350"/>
    <col width="10" customWidth="1" min="351" max="351"/>
    <col width="10" customWidth="1" min="352" max="352"/>
    <col width="10" customWidth="1" min="353" max="353"/>
    <col width="10" customWidth="1" min="354" max="354"/>
    <col width="11" customWidth="1" min="355" max="355"/>
    <col width="11" customWidth="1" min="356" max="356"/>
    <col width="10" customWidth="1" min="357" max="357"/>
    <col width="11" customWidth="1" min="358" max="358"/>
    <col width="13" customWidth="1" min="359" max="359"/>
    <col width="12" customWidth="1" min="361" max="361"/>
    <col width="10" customWidth="1" min="362" max="362"/>
    <col width="10" customWidth="1" min="363" max="363"/>
    <col width="10" customWidth="1" min="364" max="364"/>
    <col width="10" customWidth="1" min="365" max="365"/>
    <col width="11" customWidth="1" min="366" max="366"/>
    <col width="11" customWidth="1" min="367" max="367"/>
    <col width="10" customWidth="1" min="368" max="368"/>
    <col width="10" customWidth="1" min="369" max="369"/>
    <col width="10" customWidth="1" min="370" max="370"/>
    <col width="10" customWidth="1" min="371" max="371"/>
    <col width="11" customWidth="1" min="372" max="372"/>
    <col width="11" customWidth="1" min="373" max="373"/>
    <col width="10" customWidth="1" min="374" max="374"/>
    <col width="11" customWidth="1" min="375" max="375"/>
    <col width="13" customWidth="1" min="376" max="376"/>
  </cols>
  <sheetData>
    <row r="1">
      <c r="A1" s="2" t="inlineStr">
        <is>
          <t>Month</t>
        </is>
      </c>
      <c r="B1" s="9" t="n">
        <v>1</v>
      </c>
      <c r="D1" s="2">
        <f>IF(ISNUMBER(B$7),"XOP US "&amp;TEXT(B$3,"mm/dd/yy")&amp;" C"&amp;(B$7-5*B$6)&amp;" Equity","")</f>
        <v/>
      </c>
      <c r="U1" s="2">
        <f>IF(ISNUMBER(B$7),"XOP US "&amp;TEXT(B$3,"mm/dd/yy")&amp;" P"&amp;(B$7-5*B$6)&amp;" Equity","")</f>
        <v/>
      </c>
      <c r="AL1" s="2">
        <f>IF(ISNUMBER(B$7),"XOP US "&amp;TEXT(B$3,"mm/dd/yy")&amp;" C"&amp;(B$7-4*B$6)&amp;" Equity","")</f>
        <v/>
      </c>
      <c r="BC1" s="2">
        <f>IF(ISNUMBER(B$7),"XOP US "&amp;TEXT(B$3,"mm/dd/yy")&amp;" P"&amp;(B$7-4*B$6)&amp;" Equity","")</f>
        <v/>
      </c>
      <c r="BT1" s="2">
        <f>IF(ISNUMBER(B$7),"XOP US "&amp;TEXT(B$3,"mm/dd/yy")&amp;" C"&amp;(B$7-3*B$6)&amp;" Equity","")</f>
        <v/>
      </c>
      <c r="CK1" s="2">
        <f>IF(ISNUMBER(B$7),"XOP US "&amp;TEXT(B$3,"mm/dd/yy")&amp;" P"&amp;(B$7-3*B$6)&amp;" Equity","")</f>
        <v/>
      </c>
      <c r="DB1" s="2">
        <f>IF(ISNUMBER(B$7),"XOP US "&amp;TEXT(B$3,"mm/dd/yy")&amp;" C"&amp;(B$7-2*B$6)&amp;" Equity","")</f>
        <v/>
      </c>
      <c r="DS1" s="2">
        <f>IF(ISNUMBER(B$7),"XOP US "&amp;TEXT(B$3,"mm/dd/yy")&amp;" P"&amp;(B$7-2*B$6)&amp;" Equity","")</f>
        <v/>
      </c>
      <c r="EJ1" s="2">
        <f>IF(ISNUMBER(B$7),"XOP US "&amp;TEXT(B$3,"mm/dd/yy")&amp;" C"&amp;(B$7-1*B$6)&amp;" Equity","")</f>
        <v/>
      </c>
      <c r="FA1" s="2">
        <f>IF(ISNUMBER(B$7),"XOP US "&amp;TEXT(B$3,"mm/dd/yy")&amp;" P"&amp;(B$7-1*B$6)&amp;" Equity","")</f>
        <v/>
      </c>
      <c r="FR1" s="2">
        <f>IF(ISNUMBER(B$7),"XOP US "&amp;TEXT(B$3,"mm/dd/yy")&amp;" C"&amp;B$7&amp;" Equity","")</f>
        <v/>
      </c>
      <c r="GI1" s="2">
        <f>IF(ISNUMBER(B$7),"XOP US "&amp;TEXT(B$3,"mm/dd/yy")&amp;" P"&amp;B$7&amp;" Equity","")</f>
        <v/>
      </c>
      <c r="GZ1" s="2">
        <f>IF(ISNUMBER(B$7),"XOP US "&amp;TEXT(B$3,"mm/dd/yy")&amp;" C"&amp;(B$7+1*B$6)&amp;" Equity","")</f>
        <v/>
      </c>
      <c r="HQ1" s="2">
        <f>IF(ISNUMBER(B$7),"XOP US "&amp;TEXT(B$3,"mm/dd/yy")&amp;" P"&amp;(B$7+1*B$6)&amp;" Equity","")</f>
        <v/>
      </c>
      <c r="IH1" s="2">
        <f>IF(ISNUMBER(B$7),"XOP US "&amp;TEXT(B$3,"mm/dd/yy")&amp;" C"&amp;(B$7+2*B$6)&amp;" Equity","")</f>
        <v/>
      </c>
      <c r="IY1" s="2">
        <f>IF(ISNUMBER(B$7),"XOP US "&amp;TEXT(B$3,"mm/dd/yy")&amp;" P"&amp;(B$7+2*B$6)&amp;" Equity","")</f>
        <v/>
      </c>
      <c r="JP1" s="2">
        <f>IF(ISNUMBER(B$7),"XOP US "&amp;TEXT(B$3,"mm/dd/yy")&amp;" C"&amp;(B$7+3*B$6)&amp;" Equity","")</f>
        <v/>
      </c>
      <c r="KG1" s="2">
        <f>IF(ISNUMBER(B$7),"XOP US "&amp;TEXT(B$3,"mm/dd/yy")&amp;" P"&amp;(B$7+3*B$6)&amp;" Equity","")</f>
        <v/>
      </c>
      <c r="KX1" s="2">
        <f>IF(ISNUMBER(B$7),"XOP US "&amp;TEXT(B$3,"mm/dd/yy")&amp;" C"&amp;(B$7+4*B$6)&amp;" Equity","")</f>
        <v/>
      </c>
      <c r="LO1" s="2">
        <f>IF(ISNUMBER(B$7),"XOP US "&amp;TEXT(B$3,"mm/dd/yy")&amp;" P"&amp;(B$7+4*B$6)&amp;" Equity","")</f>
        <v/>
      </c>
      <c r="MF1" s="2">
        <f>IF(ISNUMBER(B$7),"XOP US "&amp;TEXT(B$3,"mm/dd/yy")&amp;" C"&amp;(B$7+5*B$6)&amp;" Equity","")</f>
        <v/>
      </c>
      <c r="MW1" s="2">
        <f>IF(ISNUMBER(B$7),"XOP US "&amp;TEXT(B$3,"mm/dd/yy")&amp;" P"&amp;(B$7+5*B$6)&amp;" Equity","")</f>
        <v/>
      </c>
    </row>
    <row r="2">
      <c r="A2" s="2" t="inlineStr">
        <is>
          <t>Underlying</t>
        </is>
      </c>
      <c r="B2" s="4">
        <f>IF(Settings!$B$17="Y","XOP US Equity","")</f>
        <v/>
      </c>
      <c r="D2" s="4" t="inlineStr">
        <is>
          <t>call -5 from ATM</t>
        </is>
      </c>
      <c r="U2" s="4" t="inlineStr">
        <is>
          <t>put -5 from ATM</t>
        </is>
      </c>
      <c r="AL2" s="4" t="inlineStr">
        <is>
          <t>call -4 from ATM</t>
        </is>
      </c>
      <c r="BC2" s="4" t="inlineStr">
        <is>
          <t>put -4 from ATM</t>
        </is>
      </c>
      <c r="BT2" s="4" t="inlineStr">
        <is>
          <t>call -3 from ATM</t>
        </is>
      </c>
      <c r="CK2" s="4" t="inlineStr">
        <is>
          <t>put -3 from ATM</t>
        </is>
      </c>
      <c r="DB2" s="4" t="inlineStr">
        <is>
          <t>call -2 from ATM</t>
        </is>
      </c>
      <c r="DS2" s="4" t="inlineStr">
        <is>
          <t>put -2 from ATM</t>
        </is>
      </c>
      <c r="EJ2" s="4" t="inlineStr">
        <is>
          <t>call -1 from ATM</t>
        </is>
      </c>
      <c r="FA2" s="4" t="inlineStr">
        <is>
          <t>put -1 from ATM</t>
        </is>
      </c>
      <c r="FR2" s="4" t="inlineStr">
        <is>
          <t>call +0 from ATM</t>
        </is>
      </c>
      <c r="GI2" s="4" t="inlineStr">
        <is>
          <t>put +0 from ATM</t>
        </is>
      </c>
      <c r="GZ2" s="4" t="inlineStr">
        <is>
          <t>call +1 from ATM</t>
        </is>
      </c>
      <c r="HQ2" s="4" t="inlineStr">
        <is>
          <t>put +1 from ATM</t>
        </is>
      </c>
      <c r="IH2" s="4" t="inlineStr">
        <is>
          <t>call +2 from ATM</t>
        </is>
      </c>
      <c r="IY2" s="4" t="inlineStr">
        <is>
          <t>put +2 from ATM</t>
        </is>
      </c>
      <c r="JP2" s="4" t="inlineStr">
        <is>
          <t>call +3 from ATM</t>
        </is>
      </c>
      <c r="KG2" s="4" t="inlineStr">
        <is>
          <t>put +3 from ATM</t>
        </is>
      </c>
      <c r="KX2" s="4" t="inlineStr">
        <is>
          <t>call +4 from ATM</t>
        </is>
      </c>
      <c r="LO2" s="4" t="inlineStr">
        <is>
          <t>put +4 from ATM</t>
        </is>
      </c>
      <c r="MF2" s="4" t="inlineStr">
        <is>
          <t>call +5 from ATM</t>
        </is>
      </c>
      <c r="MW2" s="4" t="inlineStr">
        <is>
          <t>put +5 from ATM</t>
        </is>
      </c>
    </row>
    <row r="3">
      <c r="A3" s="2" t="inlineStr">
        <is>
          <t>Expiry (3rd Friday)</t>
        </is>
      </c>
      <c r="B3" s="3">
        <f>DATE(Settings!$E$17,B1,15)+MOD(6-WEEKDAY(DATE(Settings!$E$17,B1,15)),7)</f>
        <v/>
      </c>
      <c r="D3" s="5" t="inlineStr">
        <is>
          <t>Date</t>
        </is>
      </c>
      <c r="E3" s="5" t="inlineStr">
        <is>
          <t>PX_BID</t>
        </is>
      </c>
      <c r="F3" s="5" t="inlineStr">
        <is>
          <t>PX_ASK</t>
        </is>
      </c>
      <c r="G3" s="5" t="inlineStr">
        <is>
          <t>PX_MID</t>
        </is>
      </c>
      <c r="H3" s="5" t="inlineStr">
        <is>
          <t>PX_LAST</t>
        </is>
      </c>
      <c r="I3" s="5" t="inlineStr">
        <is>
          <t>PX_SETTLE</t>
        </is>
      </c>
      <c r="J3" s="5" t="inlineStr">
        <is>
          <t>PX_VOLUME</t>
        </is>
      </c>
      <c r="K3" s="5" t="inlineStr">
        <is>
          <t>OPEN_INT</t>
        </is>
      </c>
      <c r="L3" s="5" t="inlineStr">
        <is>
          <t>IVOL_MID</t>
        </is>
      </c>
      <c r="M3" s="5" t="inlineStr">
        <is>
          <t>IVOL_BID</t>
        </is>
      </c>
      <c r="N3" s="5" t="inlineStr">
        <is>
          <t>IVOL_ASK</t>
        </is>
      </c>
      <c r="O3" s="5" t="inlineStr">
        <is>
          <t>DELTA_MID</t>
        </is>
      </c>
      <c r="P3" s="5" t="inlineStr">
        <is>
          <t>GAMMA_MID</t>
        </is>
      </c>
      <c r="Q3" s="5" t="inlineStr">
        <is>
          <t>VEGA_MID</t>
        </is>
      </c>
      <c r="R3" s="5" t="inlineStr">
        <is>
          <t>THETA_MID</t>
        </is>
      </c>
      <c r="S3" s="5" t="inlineStr">
        <is>
          <t>OPT_UNDL_PX</t>
        </is>
      </c>
      <c r="U3" s="5" t="inlineStr">
        <is>
          <t>Date</t>
        </is>
      </c>
      <c r="V3" s="5" t="inlineStr">
        <is>
          <t>PX_BID</t>
        </is>
      </c>
      <c r="W3" s="5" t="inlineStr">
        <is>
          <t>PX_ASK</t>
        </is>
      </c>
      <c r="X3" s="5" t="inlineStr">
        <is>
          <t>PX_MID</t>
        </is>
      </c>
      <c r="Y3" s="5" t="inlineStr">
        <is>
          <t>PX_LAST</t>
        </is>
      </c>
      <c r="Z3" s="5" t="inlineStr">
        <is>
          <t>PX_SETTLE</t>
        </is>
      </c>
      <c r="AA3" s="5" t="inlineStr">
        <is>
          <t>PX_VOLUME</t>
        </is>
      </c>
      <c r="AB3" s="5" t="inlineStr">
        <is>
          <t>OPEN_INT</t>
        </is>
      </c>
      <c r="AC3" s="5" t="inlineStr">
        <is>
          <t>IVOL_MID</t>
        </is>
      </c>
      <c r="AD3" s="5" t="inlineStr">
        <is>
          <t>IVOL_BID</t>
        </is>
      </c>
      <c r="AE3" s="5" t="inlineStr">
        <is>
          <t>IVOL_ASK</t>
        </is>
      </c>
      <c r="AF3" s="5" t="inlineStr">
        <is>
          <t>DELTA_MID</t>
        </is>
      </c>
      <c r="AG3" s="5" t="inlineStr">
        <is>
          <t>GAMMA_MID</t>
        </is>
      </c>
      <c r="AH3" s="5" t="inlineStr">
        <is>
          <t>VEGA_MID</t>
        </is>
      </c>
      <c r="AI3" s="5" t="inlineStr">
        <is>
          <t>THETA_MID</t>
        </is>
      </c>
      <c r="AJ3" s="5" t="inlineStr">
        <is>
          <t>OPT_UNDL_PX</t>
        </is>
      </c>
      <c r="AL3" s="5" t="inlineStr">
        <is>
          <t>Date</t>
        </is>
      </c>
      <c r="AM3" s="5" t="inlineStr">
        <is>
          <t>PX_BID</t>
        </is>
      </c>
      <c r="AN3" s="5" t="inlineStr">
        <is>
          <t>PX_ASK</t>
        </is>
      </c>
      <c r="AO3" s="5" t="inlineStr">
        <is>
          <t>PX_MID</t>
        </is>
      </c>
      <c r="AP3" s="5" t="inlineStr">
        <is>
          <t>PX_LAST</t>
        </is>
      </c>
      <c r="AQ3" s="5" t="inlineStr">
        <is>
          <t>PX_SETTLE</t>
        </is>
      </c>
      <c r="AR3" s="5" t="inlineStr">
        <is>
          <t>PX_VOLUME</t>
        </is>
      </c>
      <c r="AS3" s="5" t="inlineStr">
        <is>
          <t>OPEN_INT</t>
        </is>
      </c>
      <c r="AT3" s="5" t="inlineStr">
        <is>
          <t>IVOL_MID</t>
        </is>
      </c>
      <c r="AU3" s="5" t="inlineStr">
        <is>
          <t>IVOL_BID</t>
        </is>
      </c>
      <c r="AV3" s="5" t="inlineStr">
        <is>
          <t>IVOL_ASK</t>
        </is>
      </c>
      <c r="AW3" s="5" t="inlineStr">
        <is>
          <t>DELTA_MID</t>
        </is>
      </c>
      <c r="AX3" s="5" t="inlineStr">
        <is>
          <t>GAMMA_MID</t>
        </is>
      </c>
      <c r="AY3" s="5" t="inlineStr">
        <is>
          <t>VEGA_MID</t>
        </is>
      </c>
      <c r="AZ3" s="5" t="inlineStr">
        <is>
          <t>THETA_MID</t>
        </is>
      </c>
      <c r="BA3" s="5" t="inlineStr">
        <is>
          <t>OPT_UNDL_PX</t>
        </is>
      </c>
      <c r="BC3" s="5" t="inlineStr">
        <is>
          <t>Date</t>
        </is>
      </c>
      <c r="BD3" s="5" t="inlineStr">
        <is>
          <t>PX_BID</t>
        </is>
      </c>
      <c r="BE3" s="5" t="inlineStr">
        <is>
          <t>PX_ASK</t>
        </is>
      </c>
      <c r="BF3" s="5" t="inlineStr">
        <is>
          <t>PX_MID</t>
        </is>
      </c>
      <c r="BG3" s="5" t="inlineStr">
        <is>
          <t>PX_LAST</t>
        </is>
      </c>
      <c r="BH3" s="5" t="inlineStr">
        <is>
          <t>PX_SETTLE</t>
        </is>
      </c>
      <c r="BI3" s="5" t="inlineStr">
        <is>
          <t>PX_VOLUME</t>
        </is>
      </c>
      <c r="BJ3" s="5" t="inlineStr">
        <is>
          <t>OPEN_INT</t>
        </is>
      </c>
      <c r="BK3" s="5" t="inlineStr">
        <is>
          <t>IVOL_MID</t>
        </is>
      </c>
      <c r="BL3" s="5" t="inlineStr">
        <is>
          <t>IVOL_BID</t>
        </is>
      </c>
      <c r="BM3" s="5" t="inlineStr">
        <is>
          <t>IVOL_ASK</t>
        </is>
      </c>
      <c r="BN3" s="5" t="inlineStr">
        <is>
          <t>DELTA_MID</t>
        </is>
      </c>
      <c r="BO3" s="5" t="inlineStr">
        <is>
          <t>GAMMA_MID</t>
        </is>
      </c>
      <c r="BP3" s="5" t="inlineStr">
        <is>
          <t>VEGA_MID</t>
        </is>
      </c>
      <c r="BQ3" s="5" t="inlineStr">
        <is>
          <t>THETA_MID</t>
        </is>
      </c>
      <c r="BR3" s="5" t="inlineStr">
        <is>
          <t>OPT_UNDL_PX</t>
        </is>
      </c>
      <c r="BT3" s="5" t="inlineStr">
        <is>
          <t>Date</t>
        </is>
      </c>
      <c r="BU3" s="5" t="inlineStr">
        <is>
          <t>PX_BID</t>
        </is>
      </c>
      <c r="BV3" s="5" t="inlineStr">
        <is>
          <t>PX_ASK</t>
        </is>
      </c>
      <c r="BW3" s="5" t="inlineStr">
        <is>
          <t>PX_MID</t>
        </is>
      </c>
      <c r="BX3" s="5" t="inlineStr">
        <is>
          <t>PX_LAST</t>
        </is>
      </c>
      <c r="BY3" s="5" t="inlineStr">
        <is>
          <t>PX_SETTLE</t>
        </is>
      </c>
      <c r="BZ3" s="5" t="inlineStr">
        <is>
          <t>PX_VOLUME</t>
        </is>
      </c>
      <c r="CA3" s="5" t="inlineStr">
        <is>
          <t>OPEN_INT</t>
        </is>
      </c>
      <c r="CB3" s="5" t="inlineStr">
        <is>
          <t>IVOL_MID</t>
        </is>
      </c>
      <c r="CC3" s="5" t="inlineStr">
        <is>
          <t>IVOL_BID</t>
        </is>
      </c>
      <c r="CD3" s="5" t="inlineStr">
        <is>
          <t>IVOL_ASK</t>
        </is>
      </c>
      <c r="CE3" s="5" t="inlineStr">
        <is>
          <t>DELTA_MID</t>
        </is>
      </c>
      <c r="CF3" s="5" t="inlineStr">
        <is>
          <t>GAMMA_MID</t>
        </is>
      </c>
      <c r="CG3" s="5" t="inlineStr">
        <is>
          <t>VEGA_MID</t>
        </is>
      </c>
      <c r="CH3" s="5" t="inlineStr">
        <is>
          <t>THETA_MID</t>
        </is>
      </c>
      <c r="CI3" s="5" t="inlineStr">
        <is>
          <t>OPT_UNDL_PX</t>
        </is>
      </c>
      <c r="CK3" s="5" t="inlineStr">
        <is>
          <t>Date</t>
        </is>
      </c>
      <c r="CL3" s="5" t="inlineStr">
        <is>
          <t>PX_BID</t>
        </is>
      </c>
      <c r="CM3" s="5" t="inlineStr">
        <is>
          <t>PX_ASK</t>
        </is>
      </c>
      <c r="CN3" s="5" t="inlineStr">
        <is>
          <t>PX_MID</t>
        </is>
      </c>
      <c r="CO3" s="5" t="inlineStr">
        <is>
          <t>PX_LAST</t>
        </is>
      </c>
      <c r="CP3" s="5" t="inlineStr">
        <is>
          <t>PX_SETTLE</t>
        </is>
      </c>
      <c r="CQ3" s="5" t="inlineStr">
        <is>
          <t>PX_VOLUME</t>
        </is>
      </c>
      <c r="CR3" s="5" t="inlineStr">
        <is>
          <t>OPEN_INT</t>
        </is>
      </c>
      <c r="CS3" s="5" t="inlineStr">
        <is>
          <t>IVOL_MID</t>
        </is>
      </c>
      <c r="CT3" s="5" t="inlineStr">
        <is>
          <t>IVOL_BID</t>
        </is>
      </c>
      <c r="CU3" s="5" t="inlineStr">
        <is>
          <t>IVOL_ASK</t>
        </is>
      </c>
      <c r="CV3" s="5" t="inlineStr">
        <is>
          <t>DELTA_MID</t>
        </is>
      </c>
      <c r="CW3" s="5" t="inlineStr">
        <is>
          <t>GAMMA_MID</t>
        </is>
      </c>
      <c r="CX3" s="5" t="inlineStr">
        <is>
          <t>VEGA_MID</t>
        </is>
      </c>
      <c r="CY3" s="5" t="inlineStr">
        <is>
          <t>THETA_MID</t>
        </is>
      </c>
      <c r="CZ3" s="5" t="inlineStr">
        <is>
          <t>OPT_UNDL_PX</t>
        </is>
      </c>
      <c r="DB3" s="5" t="inlineStr">
        <is>
          <t>Date</t>
        </is>
      </c>
      <c r="DC3" s="5" t="inlineStr">
        <is>
          <t>PX_BID</t>
        </is>
      </c>
      <c r="DD3" s="5" t="inlineStr">
        <is>
          <t>PX_ASK</t>
        </is>
      </c>
      <c r="DE3" s="5" t="inlineStr">
        <is>
          <t>PX_MID</t>
        </is>
      </c>
      <c r="DF3" s="5" t="inlineStr">
        <is>
          <t>PX_LAST</t>
        </is>
      </c>
      <c r="DG3" s="5" t="inlineStr">
        <is>
          <t>PX_SETTLE</t>
        </is>
      </c>
      <c r="DH3" s="5" t="inlineStr">
        <is>
          <t>PX_VOLUME</t>
        </is>
      </c>
      <c r="DI3" s="5" t="inlineStr">
        <is>
          <t>OPEN_INT</t>
        </is>
      </c>
      <c r="DJ3" s="5" t="inlineStr">
        <is>
          <t>IVOL_MID</t>
        </is>
      </c>
      <c r="DK3" s="5" t="inlineStr">
        <is>
          <t>IVOL_BID</t>
        </is>
      </c>
      <c r="DL3" s="5" t="inlineStr">
        <is>
          <t>IVOL_ASK</t>
        </is>
      </c>
      <c r="DM3" s="5" t="inlineStr">
        <is>
          <t>DELTA_MID</t>
        </is>
      </c>
      <c r="DN3" s="5" t="inlineStr">
        <is>
          <t>GAMMA_MID</t>
        </is>
      </c>
      <c r="DO3" s="5" t="inlineStr">
        <is>
          <t>VEGA_MID</t>
        </is>
      </c>
      <c r="DP3" s="5" t="inlineStr">
        <is>
          <t>THETA_MID</t>
        </is>
      </c>
      <c r="DQ3" s="5" t="inlineStr">
        <is>
          <t>OPT_UNDL_PX</t>
        </is>
      </c>
      <c r="DS3" s="5" t="inlineStr">
        <is>
          <t>Date</t>
        </is>
      </c>
      <c r="DT3" s="5" t="inlineStr">
        <is>
          <t>PX_BID</t>
        </is>
      </c>
      <c r="DU3" s="5" t="inlineStr">
        <is>
          <t>PX_ASK</t>
        </is>
      </c>
      <c r="DV3" s="5" t="inlineStr">
        <is>
          <t>PX_MID</t>
        </is>
      </c>
      <c r="DW3" s="5" t="inlineStr">
        <is>
          <t>PX_LAST</t>
        </is>
      </c>
      <c r="DX3" s="5" t="inlineStr">
        <is>
          <t>PX_SETTLE</t>
        </is>
      </c>
      <c r="DY3" s="5" t="inlineStr">
        <is>
          <t>PX_VOLUME</t>
        </is>
      </c>
      <c r="DZ3" s="5" t="inlineStr">
        <is>
          <t>OPEN_INT</t>
        </is>
      </c>
      <c r="EA3" s="5" t="inlineStr">
        <is>
          <t>IVOL_MID</t>
        </is>
      </c>
      <c r="EB3" s="5" t="inlineStr">
        <is>
          <t>IVOL_BID</t>
        </is>
      </c>
      <c r="EC3" s="5" t="inlineStr">
        <is>
          <t>IVOL_ASK</t>
        </is>
      </c>
      <c r="ED3" s="5" t="inlineStr">
        <is>
          <t>DELTA_MID</t>
        </is>
      </c>
      <c r="EE3" s="5" t="inlineStr">
        <is>
          <t>GAMMA_MID</t>
        </is>
      </c>
      <c r="EF3" s="5" t="inlineStr">
        <is>
          <t>VEGA_MID</t>
        </is>
      </c>
      <c r="EG3" s="5" t="inlineStr">
        <is>
          <t>THETA_MID</t>
        </is>
      </c>
      <c r="EH3" s="5" t="inlineStr">
        <is>
          <t>OPT_UNDL_PX</t>
        </is>
      </c>
      <c r="EJ3" s="5" t="inlineStr">
        <is>
          <t>Date</t>
        </is>
      </c>
      <c r="EK3" s="5" t="inlineStr">
        <is>
          <t>PX_BID</t>
        </is>
      </c>
      <c r="EL3" s="5" t="inlineStr">
        <is>
          <t>PX_ASK</t>
        </is>
      </c>
      <c r="EM3" s="5" t="inlineStr">
        <is>
          <t>PX_MID</t>
        </is>
      </c>
      <c r="EN3" s="5" t="inlineStr">
        <is>
          <t>PX_LAST</t>
        </is>
      </c>
      <c r="EO3" s="5" t="inlineStr">
        <is>
          <t>PX_SETTLE</t>
        </is>
      </c>
      <c r="EP3" s="5" t="inlineStr">
        <is>
          <t>PX_VOLUME</t>
        </is>
      </c>
      <c r="EQ3" s="5" t="inlineStr">
        <is>
          <t>OPEN_INT</t>
        </is>
      </c>
      <c r="ER3" s="5" t="inlineStr">
        <is>
          <t>IVOL_MID</t>
        </is>
      </c>
      <c r="ES3" s="5" t="inlineStr">
        <is>
          <t>IVOL_BID</t>
        </is>
      </c>
      <c r="ET3" s="5" t="inlineStr">
        <is>
          <t>IVOL_ASK</t>
        </is>
      </c>
      <c r="EU3" s="5" t="inlineStr">
        <is>
          <t>DELTA_MID</t>
        </is>
      </c>
      <c r="EV3" s="5" t="inlineStr">
        <is>
          <t>GAMMA_MID</t>
        </is>
      </c>
      <c r="EW3" s="5" t="inlineStr">
        <is>
          <t>VEGA_MID</t>
        </is>
      </c>
      <c r="EX3" s="5" t="inlineStr">
        <is>
          <t>THETA_MID</t>
        </is>
      </c>
      <c r="EY3" s="5" t="inlineStr">
        <is>
          <t>OPT_UNDL_PX</t>
        </is>
      </c>
      <c r="FA3" s="5" t="inlineStr">
        <is>
          <t>Date</t>
        </is>
      </c>
      <c r="FB3" s="5" t="inlineStr">
        <is>
          <t>PX_BID</t>
        </is>
      </c>
      <c r="FC3" s="5" t="inlineStr">
        <is>
          <t>PX_ASK</t>
        </is>
      </c>
      <c r="FD3" s="5" t="inlineStr">
        <is>
          <t>PX_MID</t>
        </is>
      </c>
      <c r="FE3" s="5" t="inlineStr">
        <is>
          <t>PX_LAST</t>
        </is>
      </c>
      <c r="FF3" s="5" t="inlineStr">
        <is>
          <t>PX_SETTLE</t>
        </is>
      </c>
      <c r="FG3" s="5" t="inlineStr">
        <is>
          <t>PX_VOLUME</t>
        </is>
      </c>
      <c r="FH3" s="5" t="inlineStr">
        <is>
          <t>OPEN_INT</t>
        </is>
      </c>
      <c r="FI3" s="5" t="inlineStr">
        <is>
          <t>IVOL_MID</t>
        </is>
      </c>
      <c r="FJ3" s="5" t="inlineStr">
        <is>
          <t>IVOL_BID</t>
        </is>
      </c>
      <c r="FK3" s="5" t="inlineStr">
        <is>
          <t>IVOL_ASK</t>
        </is>
      </c>
      <c r="FL3" s="5" t="inlineStr">
        <is>
          <t>DELTA_MID</t>
        </is>
      </c>
      <c r="FM3" s="5" t="inlineStr">
        <is>
          <t>GAMMA_MID</t>
        </is>
      </c>
      <c r="FN3" s="5" t="inlineStr">
        <is>
          <t>VEGA_MID</t>
        </is>
      </c>
      <c r="FO3" s="5" t="inlineStr">
        <is>
          <t>THETA_MID</t>
        </is>
      </c>
      <c r="FP3" s="5" t="inlineStr">
        <is>
          <t>OPT_UNDL_PX</t>
        </is>
      </c>
      <c r="FR3" s="5" t="inlineStr">
        <is>
          <t>Date</t>
        </is>
      </c>
      <c r="FS3" s="5" t="inlineStr">
        <is>
          <t>PX_BID</t>
        </is>
      </c>
      <c r="FT3" s="5" t="inlineStr">
        <is>
          <t>PX_ASK</t>
        </is>
      </c>
      <c r="FU3" s="5" t="inlineStr">
        <is>
          <t>PX_MID</t>
        </is>
      </c>
      <c r="FV3" s="5" t="inlineStr">
        <is>
          <t>PX_LAST</t>
        </is>
      </c>
      <c r="FW3" s="5" t="inlineStr">
        <is>
          <t>PX_SETTLE</t>
        </is>
      </c>
      <c r="FX3" s="5" t="inlineStr">
        <is>
          <t>PX_VOLUME</t>
        </is>
      </c>
      <c r="FY3" s="5" t="inlineStr">
        <is>
          <t>OPEN_INT</t>
        </is>
      </c>
      <c r="FZ3" s="5" t="inlineStr">
        <is>
          <t>IVOL_MID</t>
        </is>
      </c>
      <c r="GA3" s="5" t="inlineStr">
        <is>
          <t>IVOL_BID</t>
        </is>
      </c>
      <c r="GB3" s="5" t="inlineStr">
        <is>
          <t>IVOL_ASK</t>
        </is>
      </c>
      <c r="GC3" s="5" t="inlineStr">
        <is>
          <t>DELTA_MID</t>
        </is>
      </c>
      <c r="GD3" s="5" t="inlineStr">
        <is>
          <t>GAMMA_MID</t>
        </is>
      </c>
      <c r="GE3" s="5" t="inlineStr">
        <is>
          <t>VEGA_MID</t>
        </is>
      </c>
      <c r="GF3" s="5" t="inlineStr">
        <is>
          <t>THETA_MID</t>
        </is>
      </c>
      <c r="GG3" s="5" t="inlineStr">
        <is>
          <t>OPT_UNDL_PX</t>
        </is>
      </c>
      <c r="GI3" s="5" t="inlineStr">
        <is>
          <t>Date</t>
        </is>
      </c>
      <c r="GJ3" s="5" t="inlineStr">
        <is>
          <t>PX_BID</t>
        </is>
      </c>
      <c r="GK3" s="5" t="inlineStr">
        <is>
          <t>PX_ASK</t>
        </is>
      </c>
      <c r="GL3" s="5" t="inlineStr">
        <is>
          <t>PX_MID</t>
        </is>
      </c>
      <c r="GM3" s="5" t="inlineStr">
        <is>
          <t>PX_LAST</t>
        </is>
      </c>
      <c r="GN3" s="5" t="inlineStr">
        <is>
          <t>PX_SETTLE</t>
        </is>
      </c>
      <c r="GO3" s="5" t="inlineStr">
        <is>
          <t>PX_VOLUME</t>
        </is>
      </c>
      <c r="GP3" s="5" t="inlineStr">
        <is>
          <t>OPEN_INT</t>
        </is>
      </c>
      <c r="GQ3" s="5" t="inlineStr">
        <is>
          <t>IVOL_MID</t>
        </is>
      </c>
      <c r="GR3" s="5" t="inlineStr">
        <is>
          <t>IVOL_BID</t>
        </is>
      </c>
      <c r="GS3" s="5" t="inlineStr">
        <is>
          <t>IVOL_ASK</t>
        </is>
      </c>
      <c r="GT3" s="5" t="inlineStr">
        <is>
          <t>DELTA_MID</t>
        </is>
      </c>
      <c r="GU3" s="5" t="inlineStr">
        <is>
          <t>GAMMA_MID</t>
        </is>
      </c>
      <c r="GV3" s="5" t="inlineStr">
        <is>
          <t>VEGA_MID</t>
        </is>
      </c>
      <c r="GW3" s="5" t="inlineStr">
        <is>
          <t>THETA_MID</t>
        </is>
      </c>
      <c r="GX3" s="5" t="inlineStr">
        <is>
          <t>OPT_UNDL_PX</t>
        </is>
      </c>
      <c r="GZ3" s="5" t="inlineStr">
        <is>
          <t>Date</t>
        </is>
      </c>
      <c r="HA3" s="5" t="inlineStr">
        <is>
          <t>PX_BID</t>
        </is>
      </c>
      <c r="HB3" s="5" t="inlineStr">
        <is>
          <t>PX_ASK</t>
        </is>
      </c>
      <c r="HC3" s="5" t="inlineStr">
        <is>
          <t>PX_MID</t>
        </is>
      </c>
      <c r="HD3" s="5" t="inlineStr">
        <is>
          <t>PX_LAST</t>
        </is>
      </c>
      <c r="HE3" s="5" t="inlineStr">
        <is>
          <t>PX_SETTLE</t>
        </is>
      </c>
      <c r="HF3" s="5" t="inlineStr">
        <is>
          <t>PX_VOLUME</t>
        </is>
      </c>
      <c r="HG3" s="5" t="inlineStr">
        <is>
          <t>OPEN_INT</t>
        </is>
      </c>
      <c r="HH3" s="5" t="inlineStr">
        <is>
          <t>IVOL_MID</t>
        </is>
      </c>
      <c r="HI3" s="5" t="inlineStr">
        <is>
          <t>IVOL_BID</t>
        </is>
      </c>
      <c r="HJ3" s="5" t="inlineStr">
        <is>
          <t>IVOL_ASK</t>
        </is>
      </c>
      <c r="HK3" s="5" t="inlineStr">
        <is>
          <t>DELTA_MID</t>
        </is>
      </c>
      <c r="HL3" s="5" t="inlineStr">
        <is>
          <t>GAMMA_MID</t>
        </is>
      </c>
      <c r="HM3" s="5" t="inlineStr">
        <is>
          <t>VEGA_MID</t>
        </is>
      </c>
      <c r="HN3" s="5" t="inlineStr">
        <is>
          <t>THETA_MID</t>
        </is>
      </c>
      <c r="HO3" s="5" t="inlineStr">
        <is>
          <t>OPT_UNDL_PX</t>
        </is>
      </c>
      <c r="HQ3" s="5" t="inlineStr">
        <is>
          <t>Date</t>
        </is>
      </c>
      <c r="HR3" s="5" t="inlineStr">
        <is>
          <t>PX_BID</t>
        </is>
      </c>
      <c r="HS3" s="5" t="inlineStr">
        <is>
          <t>PX_ASK</t>
        </is>
      </c>
      <c r="HT3" s="5" t="inlineStr">
        <is>
          <t>PX_MID</t>
        </is>
      </c>
      <c r="HU3" s="5" t="inlineStr">
        <is>
          <t>PX_LAST</t>
        </is>
      </c>
      <c r="HV3" s="5" t="inlineStr">
        <is>
          <t>PX_SETTLE</t>
        </is>
      </c>
      <c r="HW3" s="5" t="inlineStr">
        <is>
          <t>PX_VOLUME</t>
        </is>
      </c>
      <c r="HX3" s="5" t="inlineStr">
        <is>
          <t>OPEN_INT</t>
        </is>
      </c>
      <c r="HY3" s="5" t="inlineStr">
        <is>
          <t>IVOL_MID</t>
        </is>
      </c>
      <c r="HZ3" s="5" t="inlineStr">
        <is>
          <t>IVOL_BID</t>
        </is>
      </c>
      <c r="IA3" s="5" t="inlineStr">
        <is>
          <t>IVOL_ASK</t>
        </is>
      </c>
      <c r="IB3" s="5" t="inlineStr">
        <is>
          <t>DELTA_MID</t>
        </is>
      </c>
      <c r="IC3" s="5" t="inlineStr">
        <is>
          <t>GAMMA_MID</t>
        </is>
      </c>
      <c r="ID3" s="5" t="inlineStr">
        <is>
          <t>VEGA_MID</t>
        </is>
      </c>
      <c r="IE3" s="5" t="inlineStr">
        <is>
          <t>THETA_MID</t>
        </is>
      </c>
      <c r="IF3" s="5" t="inlineStr">
        <is>
          <t>OPT_UNDL_PX</t>
        </is>
      </c>
      <c r="IH3" s="5" t="inlineStr">
        <is>
          <t>Date</t>
        </is>
      </c>
      <c r="II3" s="5" t="inlineStr">
        <is>
          <t>PX_BID</t>
        </is>
      </c>
      <c r="IJ3" s="5" t="inlineStr">
        <is>
          <t>PX_ASK</t>
        </is>
      </c>
      <c r="IK3" s="5" t="inlineStr">
        <is>
          <t>PX_MID</t>
        </is>
      </c>
      <c r="IL3" s="5" t="inlineStr">
        <is>
          <t>PX_LAST</t>
        </is>
      </c>
      <c r="IM3" s="5" t="inlineStr">
        <is>
          <t>PX_SETTLE</t>
        </is>
      </c>
      <c r="IN3" s="5" t="inlineStr">
        <is>
          <t>PX_VOLUME</t>
        </is>
      </c>
      <c r="IO3" s="5" t="inlineStr">
        <is>
          <t>OPEN_INT</t>
        </is>
      </c>
      <c r="IP3" s="5" t="inlineStr">
        <is>
          <t>IVOL_MID</t>
        </is>
      </c>
      <c r="IQ3" s="5" t="inlineStr">
        <is>
          <t>IVOL_BID</t>
        </is>
      </c>
      <c r="IR3" s="5" t="inlineStr">
        <is>
          <t>IVOL_ASK</t>
        </is>
      </c>
      <c r="IS3" s="5" t="inlineStr">
        <is>
          <t>DELTA_MID</t>
        </is>
      </c>
      <c r="IT3" s="5" t="inlineStr">
        <is>
          <t>GAMMA_MID</t>
        </is>
      </c>
      <c r="IU3" s="5" t="inlineStr">
        <is>
          <t>VEGA_MID</t>
        </is>
      </c>
      <c r="IV3" s="5" t="inlineStr">
        <is>
          <t>THETA_MID</t>
        </is>
      </c>
      <c r="IW3" s="5" t="inlineStr">
        <is>
          <t>OPT_UNDL_PX</t>
        </is>
      </c>
      <c r="IY3" s="5" t="inlineStr">
        <is>
          <t>Date</t>
        </is>
      </c>
      <c r="IZ3" s="5" t="inlineStr">
        <is>
          <t>PX_BID</t>
        </is>
      </c>
      <c r="JA3" s="5" t="inlineStr">
        <is>
          <t>PX_ASK</t>
        </is>
      </c>
      <c r="JB3" s="5" t="inlineStr">
        <is>
          <t>PX_MID</t>
        </is>
      </c>
      <c r="JC3" s="5" t="inlineStr">
        <is>
          <t>PX_LAST</t>
        </is>
      </c>
      <c r="JD3" s="5" t="inlineStr">
        <is>
          <t>PX_SETTLE</t>
        </is>
      </c>
      <c r="JE3" s="5" t="inlineStr">
        <is>
          <t>PX_VOLUME</t>
        </is>
      </c>
      <c r="JF3" s="5" t="inlineStr">
        <is>
          <t>OPEN_INT</t>
        </is>
      </c>
      <c r="JG3" s="5" t="inlineStr">
        <is>
          <t>IVOL_MID</t>
        </is>
      </c>
      <c r="JH3" s="5" t="inlineStr">
        <is>
          <t>IVOL_BID</t>
        </is>
      </c>
      <c r="JI3" s="5" t="inlineStr">
        <is>
          <t>IVOL_ASK</t>
        </is>
      </c>
      <c r="JJ3" s="5" t="inlineStr">
        <is>
          <t>DELTA_MID</t>
        </is>
      </c>
      <c r="JK3" s="5" t="inlineStr">
        <is>
          <t>GAMMA_MID</t>
        </is>
      </c>
      <c r="JL3" s="5" t="inlineStr">
        <is>
          <t>VEGA_MID</t>
        </is>
      </c>
      <c r="JM3" s="5" t="inlineStr">
        <is>
          <t>THETA_MID</t>
        </is>
      </c>
      <c r="JN3" s="5" t="inlineStr">
        <is>
          <t>OPT_UNDL_PX</t>
        </is>
      </c>
      <c r="JP3" s="5" t="inlineStr">
        <is>
          <t>Date</t>
        </is>
      </c>
      <c r="JQ3" s="5" t="inlineStr">
        <is>
          <t>PX_BID</t>
        </is>
      </c>
      <c r="JR3" s="5" t="inlineStr">
        <is>
          <t>PX_ASK</t>
        </is>
      </c>
      <c r="JS3" s="5" t="inlineStr">
        <is>
          <t>PX_MID</t>
        </is>
      </c>
      <c r="JT3" s="5" t="inlineStr">
        <is>
          <t>PX_LAST</t>
        </is>
      </c>
      <c r="JU3" s="5" t="inlineStr">
        <is>
          <t>PX_SETTLE</t>
        </is>
      </c>
      <c r="JV3" s="5" t="inlineStr">
        <is>
          <t>PX_VOLUME</t>
        </is>
      </c>
      <c r="JW3" s="5" t="inlineStr">
        <is>
          <t>OPEN_INT</t>
        </is>
      </c>
      <c r="JX3" s="5" t="inlineStr">
        <is>
          <t>IVOL_MID</t>
        </is>
      </c>
      <c r="JY3" s="5" t="inlineStr">
        <is>
          <t>IVOL_BID</t>
        </is>
      </c>
      <c r="JZ3" s="5" t="inlineStr">
        <is>
          <t>IVOL_ASK</t>
        </is>
      </c>
      <c r="KA3" s="5" t="inlineStr">
        <is>
          <t>DELTA_MID</t>
        </is>
      </c>
      <c r="KB3" s="5" t="inlineStr">
        <is>
          <t>GAMMA_MID</t>
        </is>
      </c>
      <c r="KC3" s="5" t="inlineStr">
        <is>
          <t>VEGA_MID</t>
        </is>
      </c>
      <c r="KD3" s="5" t="inlineStr">
        <is>
          <t>THETA_MID</t>
        </is>
      </c>
      <c r="KE3" s="5" t="inlineStr">
        <is>
          <t>OPT_UNDL_PX</t>
        </is>
      </c>
      <c r="KG3" s="5" t="inlineStr">
        <is>
          <t>Date</t>
        </is>
      </c>
      <c r="KH3" s="5" t="inlineStr">
        <is>
          <t>PX_BID</t>
        </is>
      </c>
      <c r="KI3" s="5" t="inlineStr">
        <is>
          <t>PX_ASK</t>
        </is>
      </c>
      <c r="KJ3" s="5" t="inlineStr">
        <is>
          <t>PX_MID</t>
        </is>
      </c>
      <c r="KK3" s="5" t="inlineStr">
        <is>
          <t>PX_LAST</t>
        </is>
      </c>
      <c r="KL3" s="5" t="inlineStr">
        <is>
          <t>PX_SETTLE</t>
        </is>
      </c>
      <c r="KM3" s="5" t="inlineStr">
        <is>
          <t>PX_VOLUME</t>
        </is>
      </c>
      <c r="KN3" s="5" t="inlineStr">
        <is>
          <t>OPEN_INT</t>
        </is>
      </c>
      <c r="KO3" s="5" t="inlineStr">
        <is>
          <t>IVOL_MID</t>
        </is>
      </c>
      <c r="KP3" s="5" t="inlineStr">
        <is>
          <t>IVOL_BID</t>
        </is>
      </c>
      <c r="KQ3" s="5" t="inlineStr">
        <is>
          <t>IVOL_ASK</t>
        </is>
      </c>
      <c r="KR3" s="5" t="inlineStr">
        <is>
          <t>DELTA_MID</t>
        </is>
      </c>
      <c r="KS3" s="5" t="inlineStr">
        <is>
          <t>GAMMA_MID</t>
        </is>
      </c>
      <c r="KT3" s="5" t="inlineStr">
        <is>
          <t>VEGA_MID</t>
        </is>
      </c>
      <c r="KU3" s="5" t="inlineStr">
        <is>
          <t>THETA_MID</t>
        </is>
      </c>
      <c r="KV3" s="5" t="inlineStr">
        <is>
          <t>OPT_UNDL_PX</t>
        </is>
      </c>
      <c r="KX3" s="5" t="inlineStr">
        <is>
          <t>Date</t>
        </is>
      </c>
      <c r="KY3" s="5" t="inlineStr">
        <is>
          <t>PX_BID</t>
        </is>
      </c>
      <c r="KZ3" s="5" t="inlineStr">
        <is>
          <t>PX_ASK</t>
        </is>
      </c>
      <c r="LA3" s="5" t="inlineStr">
        <is>
          <t>PX_MID</t>
        </is>
      </c>
      <c r="LB3" s="5" t="inlineStr">
        <is>
          <t>PX_LAST</t>
        </is>
      </c>
      <c r="LC3" s="5" t="inlineStr">
        <is>
          <t>PX_SETTLE</t>
        </is>
      </c>
      <c r="LD3" s="5" t="inlineStr">
        <is>
          <t>PX_VOLUME</t>
        </is>
      </c>
      <c r="LE3" s="5" t="inlineStr">
        <is>
          <t>OPEN_INT</t>
        </is>
      </c>
      <c r="LF3" s="5" t="inlineStr">
        <is>
          <t>IVOL_MID</t>
        </is>
      </c>
      <c r="LG3" s="5" t="inlineStr">
        <is>
          <t>IVOL_BID</t>
        </is>
      </c>
      <c r="LH3" s="5" t="inlineStr">
        <is>
          <t>IVOL_ASK</t>
        </is>
      </c>
      <c r="LI3" s="5" t="inlineStr">
        <is>
          <t>DELTA_MID</t>
        </is>
      </c>
      <c r="LJ3" s="5" t="inlineStr">
        <is>
          <t>GAMMA_MID</t>
        </is>
      </c>
      <c r="LK3" s="5" t="inlineStr">
        <is>
          <t>VEGA_MID</t>
        </is>
      </c>
      <c r="LL3" s="5" t="inlineStr">
        <is>
          <t>THETA_MID</t>
        </is>
      </c>
      <c r="LM3" s="5" t="inlineStr">
        <is>
          <t>OPT_UNDL_PX</t>
        </is>
      </c>
      <c r="LO3" s="5" t="inlineStr">
        <is>
          <t>Date</t>
        </is>
      </c>
      <c r="LP3" s="5" t="inlineStr">
        <is>
          <t>PX_BID</t>
        </is>
      </c>
      <c r="LQ3" s="5" t="inlineStr">
        <is>
          <t>PX_ASK</t>
        </is>
      </c>
      <c r="LR3" s="5" t="inlineStr">
        <is>
          <t>PX_MID</t>
        </is>
      </c>
      <c r="LS3" s="5" t="inlineStr">
        <is>
          <t>PX_LAST</t>
        </is>
      </c>
      <c r="LT3" s="5" t="inlineStr">
        <is>
          <t>PX_SETTLE</t>
        </is>
      </c>
      <c r="LU3" s="5" t="inlineStr">
        <is>
          <t>PX_VOLUME</t>
        </is>
      </c>
      <c r="LV3" s="5" t="inlineStr">
        <is>
          <t>OPEN_INT</t>
        </is>
      </c>
      <c r="LW3" s="5" t="inlineStr">
        <is>
          <t>IVOL_MID</t>
        </is>
      </c>
      <c r="LX3" s="5" t="inlineStr">
        <is>
          <t>IVOL_BID</t>
        </is>
      </c>
      <c r="LY3" s="5" t="inlineStr">
        <is>
          <t>IVOL_ASK</t>
        </is>
      </c>
      <c r="LZ3" s="5" t="inlineStr">
        <is>
          <t>DELTA_MID</t>
        </is>
      </c>
      <c r="MA3" s="5" t="inlineStr">
        <is>
          <t>GAMMA_MID</t>
        </is>
      </c>
      <c r="MB3" s="5" t="inlineStr">
        <is>
          <t>VEGA_MID</t>
        </is>
      </c>
      <c r="MC3" s="5" t="inlineStr">
        <is>
          <t>THETA_MID</t>
        </is>
      </c>
      <c r="MD3" s="5" t="inlineStr">
        <is>
          <t>OPT_UNDL_PX</t>
        </is>
      </c>
      <c r="MF3" s="5" t="inlineStr">
        <is>
          <t>Date</t>
        </is>
      </c>
      <c r="MG3" s="5" t="inlineStr">
        <is>
          <t>PX_BID</t>
        </is>
      </c>
      <c r="MH3" s="5" t="inlineStr">
        <is>
          <t>PX_ASK</t>
        </is>
      </c>
      <c r="MI3" s="5" t="inlineStr">
        <is>
          <t>PX_MID</t>
        </is>
      </c>
      <c r="MJ3" s="5" t="inlineStr">
        <is>
          <t>PX_LAST</t>
        </is>
      </c>
      <c r="MK3" s="5" t="inlineStr">
        <is>
          <t>PX_SETTLE</t>
        </is>
      </c>
      <c r="ML3" s="5" t="inlineStr">
        <is>
          <t>PX_VOLUME</t>
        </is>
      </c>
      <c r="MM3" s="5" t="inlineStr">
        <is>
          <t>OPEN_INT</t>
        </is>
      </c>
      <c r="MN3" s="5" t="inlineStr">
        <is>
          <t>IVOL_MID</t>
        </is>
      </c>
      <c r="MO3" s="5" t="inlineStr">
        <is>
          <t>IVOL_BID</t>
        </is>
      </c>
      <c r="MP3" s="5" t="inlineStr">
        <is>
          <t>IVOL_ASK</t>
        </is>
      </c>
      <c r="MQ3" s="5" t="inlineStr">
        <is>
          <t>DELTA_MID</t>
        </is>
      </c>
      <c r="MR3" s="5" t="inlineStr">
        <is>
          <t>GAMMA_MID</t>
        </is>
      </c>
      <c r="MS3" s="5" t="inlineStr">
        <is>
          <t>VEGA_MID</t>
        </is>
      </c>
      <c r="MT3" s="5" t="inlineStr">
        <is>
          <t>THETA_MID</t>
        </is>
      </c>
      <c r="MU3" s="5" t="inlineStr">
        <is>
          <t>OPT_UNDL_PX</t>
        </is>
      </c>
      <c r="MW3" s="5" t="inlineStr">
        <is>
          <t>Date</t>
        </is>
      </c>
      <c r="MX3" s="5" t="inlineStr">
        <is>
          <t>PX_BID</t>
        </is>
      </c>
      <c r="MY3" s="5" t="inlineStr">
        <is>
          <t>PX_ASK</t>
        </is>
      </c>
      <c r="MZ3" s="5" t="inlineStr">
        <is>
          <t>PX_MID</t>
        </is>
      </c>
      <c r="NA3" s="5" t="inlineStr">
        <is>
          <t>PX_LAST</t>
        </is>
      </c>
      <c r="NB3" s="5" t="inlineStr">
        <is>
          <t>PX_SETTLE</t>
        </is>
      </c>
      <c r="NC3" s="5" t="inlineStr">
        <is>
          <t>PX_VOLUME</t>
        </is>
      </c>
      <c r="ND3" s="5" t="inlineStr">
        <is>
          <t>OPEN_INT</t>
        </is>
      </c>
      <c r="NE3" s="5" t="inlineStr">
        <is>
          <t>IVOL_MID</t>
        </is>
      </c>
      <c r="NF3" s="5" t="inlineStr">
        <is>
          <t>IVOL_BID</t>
        </is>
      </c>
      <c r="NG3" s="5" t="inlineStr">
        <is>
          <t>IVOL_ASK</t>
        </is>
      </c>
      <c r="NH3" s="5" t="inlineStr">
        <is>
          <t>DELTA_MID</t>
        </is>
      </c>
      <c r="NI3" s="5" t="inlineStr">
        <is>
          <t>GAMMA_MID</t>
        </is>
      </c>
      <c r="NJ3" s="5" t="inlineStr">
        <is>
          <t>VEGA_MID</t>
        </is>
      </c>
      <c r="NK3" s="5" t="inlineStr">
        <is>
          <t>THETA_MID</t>
        </is>
      </c>
      <c r="NL3" s="5" t="inlineStr">
        <is>
          <t>OPT_UNDL_PX</t>
        </is>
      </c>
    </row>
    <row r="4">
      <c r="A4" s="2" t="inlineStr">
        <is>
          <t>Strike reference date</t>
        </is>
      </c>
      <c r="B4" s="8">
        <f>B3-45</f>
        <v/>
      </c>
      <c r="D4" s="4">
        <f>BDH(D$1,E$3:S$3,$B$8,$B$9,"Dir=V","Dts=S","Sort=A","Days=T","Fill=B")</f>
        <v/>
      </c>
      <c r="U4" s="4">
        <f>BDH(U$1,V$3:AJ$3,$B$8,$B$9,"Dir=V","Dts=S","Sort=A","Days=T","Fill=B")</f>
        <v/>
      </c>
      <c r="AL4" s="4">
        <f>BDH(AL$1,AM$3:BA$3,$B$8,$B$9,"Dir=V","Dts=S","Sort=A","Days=T","Fill=B")</f>
        <v/>
      </c>
      <c r="BC4" s="4">
        <f>BDH(BC$1,BD$3:BR$3,$B$8,$B$9,"Dir=V","Dts=S","Sort=A","Days=T","Fill=B")</f>
        <v/>
      </c>
      <c r="BT4" s="4">
        <f>BDH(BT$1,BU$3:CI$3,$B$8,$B$9,"Dir=V","Dts=S","Sort=A","Days=T","Fill=B")</f>
        <v/>
      </c>
      <c r="CK4" s="4">
        <f>BDH(CK$1,CL$3:CZ$3,$B$8,$B$9,"Dir=V","Dts=S","Sort=A","Days=T","Fill=B")</f>
        <v/>
      </c>
      <c r="DB4" s="4">
        <f>BDH(DB$1,DC$3:DQ$3,$B$8,$B$9,"Dir=V","Dts=S","Sort=A","Days=T","Fill=B")</f>
        <v/>
      </c>
      <c r="DS4" s="4">
        <f>BDH(DS$1,DT$3:EH$3,$B$8,$B$9,"Dir=V","Dts=S","Sort=A","Days=T","Fill=B")</f>
        <v/>
      </c>
      <c r="EJ4" s="4">
        <f>BDH(EJ$1,EK$3:EY$3,$B$8,$B$9,"Dir=V","Dts=S","Sort=A","Days=T","Fill=B")</f>
        <v/>
      </c>
      <c r="FA4" s="4">
        <f>BDH(FA$1,FB$3:FP$3,$B$8,$B$9,"Dir=V","Dts=S","Sort=A","Days=T","Fill=B")</f>
        <v/>
      </c>
      <c r="FR4" s="4">
        <f>BDH(FR$1,FS$3:GG$3,$B$8,$B$9,"Dir=V","Dts=S","Sort=A","Days=T","Fill=B")</f>
        <v/>
      </c>
      <c r="GI4" s="4">
        <f>BDH(GI$1,GJ$3:GX$3,$B$8,$B$9,"Dir=V","Dts=S","Sort=A","Days=T","Fill=B")</f>
        <v/>
      </c>
      <c r="GZ4" s="4">
        <f>BDH(GZ$1,HA$3:HO$3,$B$8,$B$9,"Dir=V","Dts=S","Sort=A","Days=T","Fill=B")</f>
        <v/>
      </c>
      <c r="HQ4" s="4">
        <f>BDH(HQ$1,HR$3:IF$3,$B$8,$B$9,"Dir=V","Dts=S","Sort=A","Days=T","Fill=B")</f>
        <v/>
      </c>
      <c r="IH4" s="4">
        <f>BDH(IH$1,II$3:IW$3,$B$8,$B$9,"Dir=V","Dts=S","Sort=A","Days=T","Fill=B")</f>
        <v/>
      </c>
      <c r="IY4" s="4">
        <f>BDH(IY$1,IZ$3:JN$3,$B$8,$B$9,"Dir=V","Dts=S","Sort=A","Days=T","Fill=B")</f>
        <v/>
      </c>
      <c r="JP4" s="4">
        <f>BDH(JP$1,JQ$3:KE$3,$B$8,$B$9,"Dir=V","Dts=S","Sort=A","Days=T","Fill=B")</f>
        <v/>
      </c>
      <c r="KG4" s="4">
        <f>BDH(KG$1,KH$3:KV$3,$B$8,$B$9,"Dir=V","Dts=S","Sort=A","Days=T","Fill=B")</f>
        <v/>
      </c>
      <c r="KX4" s="4">
        <f>BDH(KX$1,KY$3:LM$3,$B$8,$B$9,"Dir=V","Dts=S","Sort=A","Days=T","Fill=B")</f>
        <v/>
      </c>
      <c r="LO4" s="4">
        <f>BDH(LO$1,LP$3:MD$3,$B$8,$B$9,"Dir=V","Dts=S","Sort=A","Days=T","Fill=B")</f>
        <v/>
      </c>
      <c r="MF4" s="4">
        <f>BDH(MF$1,MG$3:MU$3,$B$8,$B$9,"Dir=V","Dts=S","Sort=A","Days=T","Fill=B")</f>
        <v/>
      </c>
      <c r="MW4" s="4">
        <f>BDH(MW$1,MX$3:NL$3,$B$8,$B$9,"Dir=V","Dts=S","Sort=A","Days=T","Fill=B")</f>
        <v/>
      </c>
    </row>
    <row r="5">
      <c r="A5" s="2" t="inlineStr">
        <is>
          <t>Unadjusted close then</t>
        </is>
      </c>
      <c r="B5" s="10">
        <f>IF(B2="","",BDH(B2,"PX_LAST",B4,B4,"Days=A","Fill=P","Dts=H","CshAdjNormal=N","CshAdjAbnormal=N","CapChg=N"))</f>
        <v/>
      </c>
    </row>
    <row r="6">
      <c r="A6" s="2" t="inlineStr">
        <is>
          <t>Strike step</t>
        </is>
      </c>
      <c r="B6" s="11">
        <f>IF(ISNUMBER(B5),IF(B5&lt;25,0.5,IF(B5&lt;250,1,5)),"")</f>
        <v/>
      </c>
    </row>
    <row r="7">
      <c r="A7" s="2" t="inlineStr">
        <is>
          <t>ATM strike</t>
        </is>
      </c>
      <c r="B7" s="11">
        <f>IF(ISNUMBER(B5),ROUND(B5/B6,0)*B6,"")</f>
        <v/>
      </c>
    </row>
    <row r="8">
      <c r="A8" s="2" t="inlineStr">
        <is>
          <t>History start</t>
        </is>
      </c>
      <c r="B8" s="8">
        <f>B3-100</f>
        <v/>
      </c>
    </row>
    <row r="9">
      <c r="A9" s="2" t="inlineStr">
        <is>
          <t>History end</t>
        </is>
      </c>
      <c r="B9" s="8">
        <f>B3</f>
        <v/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NL9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2" customWidth="1" min="2" max="2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1" customWidth="1" min="15" max="15"/>
    <col width="11" customWidth="1" min="16" max="16"/>
    <col width="10" customWidth="1" min="17" max="17"/>
    <col width="11" customWidth="1" min="18" max="18"/>
    <col width="13" customWidth="1" min="19" max="19"/>
    <col width="12" customWidth="1" min="21" max="21"/>
    <col width="10" customWidth="1" min="22" max="22"/>
    <col width="10" customWidth="1" min="23" max="23"/>
    <col width="10" customWidth="1" min="24" max="24"/>
    <col width="10" customWidth="1" min="25" max="25"/>
    <col width="11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1" customWidth="1" min="32" max="32"/>
    <col width="11" customWidth="1" min="33" max="33"/>
    <col width="10" customWidth="1" min="34" max="34"/>
    <col width="11" customWidth="1" min="35" max="35"/>
    <col width="13" customWidth="1" min="36" max="36"/>
    <col width="12" customWidth="1" min="38" max="38"/>
    <col width="10" customWidth="1" min="39" max="39"/>
    <col width="10" customWidth="1" min="40" max="40"/>
    <col width="10" customWidth="1" min="41" max="41"/>
    <col width="10" customWidth="1" min="42" max="42"/>
    <col width="11" customWidth="1" min="43" max="43"/>
    <col width="11" customWidth="1" min="44" max="44"/>
    <col width="10" customWidth="1" min="45" max="45"/>
    <col width="10" customWidth="1" min="46" max="46"/>
    <col width="10" customWidth="1" min="47" max="47"/>
    <col width="10" customWidth="1" min="48" max="48"/>
    <col width="11" customWidth="1" min="49" max="49"/>
    <col width="11" customWidth="1" min="50" max="50"/>
    <col width="10" customWidth="1" min="51" max="51"/>
    <col width="11" customWidth="1" min="52" max="52"/>
    <col width="13" customWidth="1" min="53" max="53"/>
    <col width="12" customWidth="1" min="55" max="55"/>
    <col width="10" customWidth="1" min="56" max="56"/>
    <col width="10" customWidth="1" min="57" max="57"/>
    <col width="10" customWidth="1" min="58" max="58"/>
    <col width="10" customWidth="1" min="59" max="59"/>
    <col width="11" customWidth="1" min="60" max="60"/>
    <col width="11" customWidth="1" min="61" max="61"/>
    <col width="10" customWidth="1" min="62" max="62"/>
    <col width="10" customWidth="1" min="63" max="63"/>
    <col width="10" customWidth="1" min="64" max="64"/>
    <col width="10" customWidth="1" min="65" max="65"/>
    <col width="11" customWidth="1" min="66" max="66"/>
    <col width="11" customWidth="1" min="67" max="67"/>
    <col width="10" customWidth="1" min="68" max="68"/>
    <col width="11" customWidth="1" min="69" max="69"/>
    <col width="13" customWidth="1" min="70" max="70"/>
    <col width="12" customWidth="1" min="72" max="72"/>
    <col width="10" customWidth="1" min="73" max="73"/>
    <col width="10" customWidth="1" min="74" max="74"/>
    <col width="10" customWidth="1" min="75" max="75"/>
    <col width="10" customWidth="1" min="76" max="76"/>
    <col width="11" customWidth="1" min="77" max="77"/>
    <col width="11" customWidth="1" min="78" max="78"/>
    <col width="10" customWidth="1" min="79" max="79"/>
    <col width="10" customWidth="1" min="80" max="80"/>
    <col width="10" customWidth="1" min="81" max="81"/>
    <col width="10" customWidth="1" min="82" max="82"/>
    <col width="11" customWidth="1" min="83" max="83"/>
    <col width="11" customWidth="1" min="84" max="84"/>
    <col width="10" customWidth="1" min="85" max="85"/>
    <col width="11" customWidth="1" min="86" max="86"/>
    <col width="13" customWidth="1" min="87" max="87"/>
    <col width="12" customWidth="1" min="89" max="89"/>
    <col width="10" customWidth="1" min="90" max="90"/>
    <col width="10" customWidth="1" min="91" max="91"/>
    <col width="10" customWidth="1" min="92" max="92"/>
    <col width="10" customWidth="1" min="93" max="93"/>
    <col width="11" customWidth="1" min="94" max="94"/>
    <col width="11" customWidth="1" min="95" max="95"/>
    <col width="10" customWidth="1" min="96" max="96"/>
    <col width="10" customWidth="1" min="97" max="97"/>
    <col width="10" customWidth="1" min="98" max="98"/>
    <col width="10" customWidth="1" min="99" max="99"/>
    <col width="11" customWidth="1" min="100" max="100"/>
    <col width="11" customWidth="1" min="101" max="101"/>
    <col width="10" customWidth="1" min="102" max="102"/>
    <col width="11" customWidth="1" min="103" max="103"/>
    <col width="13" customWidth="1" min="104" max="104"/>
    <col width="12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1" customWidth="1" min="111" max="111"/>
    <col width="11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1" customWidth="1" min="117" max="117"/>
    <col width="11" customWidth="1" min="118" max="118"/>
    <col width="10" customWidth="1" min="119" max="119"/>
    <col width="11" customWidth="1" min="120" max="120"/>
    <col width="13" customWidth="1" min="121" max="121"/>
    <col width="12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1" customWidth="1" min="128" max="128"/>
    <col width="11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1" customWidth="1" min="134" max="134"/>
    <col width="11" customWidth="1" min="135" max="135"/>
    <col width="10" customWidth="1" min="136" max="136"/>
    <col width="11" customWidth="1" min="137" max="137"/>
    <col width="13" customWidth="1" min="138" max="138"/>
    <col width="12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1" customWidth="1" min="145" max="145"/>
    <col width="11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1" customWidth="1" min="151" max="151"/>
    <col width="11" customWidth="1" min="152" max="152"/>
    <col width="10" customWidth="1" min="153" max="153"/>
    <col width="11" customWidth="1" min="154" max="154"/>
    <col width="13" customWidth="1" min="155" max="155"/>
    <col width="12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1" customWidth="1" min="162" max="162"/>
    <col width="11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1" customWidth="1" min="168" max="168"/>
    <col width="11" customWidth="1" min="169" max="169"/>
    <col width="10" customWidth="1" min="170" max="170"/>
    <col width="11" customWidth="1" min="171" max="171"/>
    <col width="13" customWidth="1" min="172" max="172"/>
    <col width="12" customWidth="1" min="174" max="174"/>
    <col width="10" customWidth="1" min="175" max="175"/>
    <col width="10" customWidth="1" min="176" max="176"/>
    <col width="10" customWidth="1" min="177" max="177"/>
    <col width="10" customWidth="1" min="178" max="178"/>
    <col width="11" customWidth="1" min="179" max="179"/>
    <col width="11" customWidth="1" min="180" max="180"/>
    <col width="10" customWidth="1" min="181" max="181"/>
    <col width="10" customWidth="1" min="182" max="182"/>
    <col width="10" customWidth="1" min="183" max="183"/>
    <col width="10" customWidth="1" min="184" max="184"/>
    <col width="11" customWidth="1" min="185" max="185"/>
    <col width="11" customWidth="1" min="186" max="186"/>
    <col width="10" customWidth="1" min="187" max="187"/>
    <col width="11" customWidth="1" min="188" max="188"/>
    <col width="13" customWidth="1" min="189" max="189"/>
    <col width="12" customWidth="1" min="191" max="191"/>
    <col width="10" customWidth="1" min="192" max="192"/>
    <col width="10" customWidth="1" min="193" max="193"/>
    <col width="10" customWidth="1" min="194" max="194"/>
    <col width="10" customWidth="1" min="195" max="195"/>
    <col width="11" customWidth="1" min="196" max="196"/>
    <col width="11" customWidth="1" min="197" max="197"/>
    <col width="10" customWidth="1" min="198" max="198"/>
    <col width="10" customWidth="1" min="199" max="199"/>
    <col width="10" customWidth="1" min="200" max="200"/>
    <col width="10" customWidth="1" min="201" max="201"/>
    <col width="11" customWidth="1" min="202" max="202"/>
    <col width="11" customWidth="1" min="203" max="203"/>
    <col width="10" customWidth="1" min="204" max="204"/>
    <col width="11" customWidth="1" min="205" max="205"/>
    <col width="13" customWidth="1" min="206" max="206"/>
    <col width="12" customWidth="1" min="208" max="208"/>
    <col width="10" customWidth="1" min="209" max="209"/>
    <col width="10" customWidth="1" min="210" max="210"/>
    <col width="10" customWidth="1" min="211" max="211"/>
    <col width="10" customWidth="1" min="212" max="212"/>
    <col width="11" customWidth="1" min="213" max="213"/>
    <col width="11" customWidth="1" min="214" max="214"/>
    <col width="10" customWidth="1" min="215" max="215"/>
    <col width="10" customWidth="1" min="216" max="216"/>
    <col width="10" customWidth="1" min="217" max="217"/>
    <col width="10" customWidth="1" min="218" max="218"/>
    <col width="11" customWidth="1" min="219" max="219"/>
    <col width="11" customWidth="1" min="220" max="220"/>
    <col width="10" customWidth="1" min="221" max="221"/>
    <col width="11" customWidth="1" min="222" max="222"/>
    <col width="13" customWidth="1" min="223" max="223"/>
    <col width="12" customWidth="1" min="225" max="225"/>
    <col width="10" customWidth="1" min="226" max="226"/>
    <col width="10" customWidth="1" min="227" max="227"/>
    <col width="10" customWidth="1" min="228" max="228"/>
    <col width="10" customWidth="1" min="229" max="229"/>
    <col width="11" customWidth="1" min="230" max="230"/>
    <col width="11" customWidth="1" min="231" max="231"/>
    <col width="10" customWidth="1" min="232" max="232"/>
    <col width="10" customWidth="1" min="233" max="233"/>
    <col width="10" customWidth="1" min="234" max="234"/>
    <col width="10" customWidth="1" min="235" max="235"/>
    <col width="11" customWidth="1" min="236" max="236"/>
    <col width="11" customWidth="1" min="237" max="237"/>
    <col width="10" customWidth="1" min="238" max="238"/>
    <col width="11" customWidth="1" min="239" max="239"/>
    <col width="13" customWidth="1" min="240" max="240"/>
    <col width="12" customWidth="1" min="242" max="242"/>
    <col width="10" customWidth="1" min="243" max="243"/>
    <col width="10" customWidth="1" min="244" max="244"/>
    <col width="10" customWidth="1" min="245" max="245"/>
    <col width="10" customWidth="1" min="246" max="246"/>
    <col width="11" customWidth="1" min="247" max="247"/>
    <col width="11" customWidth="1" min="248" max="248"/>
    <col width="10" customWidth="1" min="249" max="249"/>
    <col width="10" customWidth="1" min="250" max="250"/>
    <col width="10" customWidth="1" min="251" max="251"/>
    <col width="10" customWidth="1" min="252" max="252"/>
    <col width="11" customWidth="1" min="253" max="253"/>
    <col width="11" customWidth="1" min="254" max="254"/>
    <col width="10" customWidth="1" min="255" max="255"/>
    <col width="11" customWidth="1" min="256" max="256"/>
    <col width="13" customWidth="1" min="257" max="257"/>
    <col width="12" customWidth="1" min="259" max="259"/>
    <col width="10" customWidth="1" min="260" max="260"/>
    <col width="10" customWidth="1" min="261" max="261"/>
    <col width="10" customWidth="1" min="262" max="262"/>
    <col width="10" customWidth="1" min="263" max="263"/>
    <col width="11" customWidth="1" min="264" max="264"/>
    <col width="11" customWidth="1" min="265" max="265"/>
    <col width="10" customWidth="1" min="266" max="266"/>
    <col width="10" customWidth="1" min="267" max="267"/>
    <col width="10" customWidth="1" min="268" max="268"/>
    <col width="10" customWidth="1" min="269" max="269"/>
    <col width="11" customWidth="1" min="270" max="270"/>
    <col width="11" customWidth="1" min="271" max="271"/>
    <col width="10" customWidth="1" min="272" max="272"/>
    <col width="11" customWidth="1" min="273" max="273"/>
    <col width="13" customWidth="1" min="274" max="274"/>
    <col width="12" customWidth="1" min="276" max="276"/>
    <col width="10" customWidth="1" min="277" max="277"/>
    <col width="10" customWidth="1" min="278" max="278"/>
    <col width="10" customWidth="1" min="279" max="279"/>
    <col width="10" customWidth="1" min="280" max="280"/>
    <col width="11" customWidth="1" min="281" max="281"/>
    <col width="11" customWidth="1" min="282" max="282"/>
    <col width="10" customWidth="1" min="283" max="283"/>
    <col width="10" customWidth="1" min="284" max="284"/>
    <col width="10" customWidth="1" min="285" max="285"/>
    <col width="10" customWidth="1" min="286" max="286"/>
    <col width="11" customWidth="1" min="287" max="287"/>
    <col width="11" customWidth="1" min="288" max="288"/>
    <col width="10" customWidth="1" min="289" max="289"/>
    <col width="11" customWidth="1" min="290" max="290"/>
    <col width="13" customWidth="1" min="291" max="291"/>
    <col width="12" customWidth="1" min="293" max="293"/>
    <col width="10" customWidth="1" min="294" max="294"/>
    <col width="10" customWidth="1" min="295" max="295"/>
    <col width="10" customWidth="1" min="296" max="296"/>
    <col width="10" customWidth="1" min="297" max="297"/>
    <col width="11" customWidth="1" min="298" max="298"/>
    <col width="11" customWidth="1" min="299" max="299"/>
    <col width="10" customWidth="1" min="300" max="300"/>
    <col width="10" customWidth="1" min="301" max="301"/>
    <col width="10" customWidth="1" min="302" max="302"/>
    <col width="10" customWidth="1" min="303" max="303"/>
    <col width="11" customWidth="1" min="304" max="304"/>
    <col width="11" customWidth="1" min="305" max="305"/>
    <col width="10" customWidth="1" min="306" max="306"/>
    <col width="11" customWidth="1" min="307" max="307"/>
    <col width="13" customWidth="1" min="308" max="308"/>
    <col width="12" customWidth="1" min="310" max="310"/>
    <col width="10" customWidth="1" min="311" max="311"/>
    <col width="10" customWidth="1" min="312" max="312"/>
    <col width="10" customWidth="1" min="313" max="313"/>
    <col width="10" customWidth="1" min="314" max="314"/>
    <col width="11" customWidth="1" min="315" max="315"/>
    <col width="11" customWidth="1" min="316" max="316"/>
    <col width="10" customWidth="1" min="317" max="317"/>
    <col width="10" customWidth="1" min="318" max="318"/>
    <col width="10" customWidth="1" min="319" max="319"/>
    <col width="10" customWidth="1" min="320" max="320"/>
    <col width="11" customWidth="1" min="321" max="321"/>
    <col width="11" customWidth="1" min="322" max="322"/>
    <col width="10" customWidth="1" min="323" max="323"/>
    <col width="11" customWidth="1" min="324" max="324"/>
    <col width="13" customWidth="1" min="325" max="325"/>
    <col width="12" customWidth="1" min="327" max="327"/>
    <col width="10" customWidth="1" min="328" max="328"/>
    <col width="10" customWidth="1" min="329" max="329"/>
    <col width="10" customWidth="1" min="330" max="330"/>
    <col width="10" customWidth="1" min="331" max="331"/>
    <col width="11" customWidth="1" min="332" max="332"/>
    <col width="11" customWidth="1" min="333" max="333"/>
    <col width="10" customWidth="1" min="334" max="334"/>
    <col width="10" customWidth="1" min="335" max="335"/>
    <col width="10" customWidth="1" min="336" max="336"/>
    <col width="10" customWidth="1" min="337" max="337"/>
    <col width="11" customWidth="1" min="338" max="338"/>
    <col width="11" customWidth="1" min="339" max="339"/>
    <col width="10" customWidth="1" min="340" max="340"/>
    <col width="11" customWidth="1" min="341" max="341"/>
    <col width="13" customWidth="1" min="342" max="342"/>
    <col width="12" customWidth="1" min="344" max="344"/>
    <col width="10" customWidth="1" min="345" max="345"/>
    <col width="10" customWidth="1" min="346" max="346"/>
    <col width="10" customWidth="1" min="347" max="347"/>
    <col width="10" customWidth="1" min="348" max="348"/>
    <col width="11" customWidth="1" min="349" max="349"/>
    <col width="11" customWidth="1" min="350" max="350"/>
    <col width="10" customWidth="1" min="351" max="351"/>
    <col width="10" customWidth="1" min="352" max="352"/>
    <col width="10" customWidth="1" min="353" max="353"/>
    <col width="10" customWidth="1" min="354" max="354"/>
    <col width="11" customWidth="1" min="355" max="355"/>
    <col width="11" customWidth="1" min="356" max="356"/>
    <col width="10" customWidth="1" min="357" max="357"/>
    <col width="11" customWidth="1" min="358" max="358"/>
    <col width="13" customWidth="1" min="359" max="359"/>
    <col width="12" customWidth="1" min="361" max="361"/>
    <col width="10" customWidth="1" min="362" max="362"/>
    <col width="10" customWidth="1" min="363" max="363"/>
    <col width="10" customWidth="1" min="364" max="364"/>
    <col width="10" customWidth="1" min="365" max="365"/>
    <col width="11" customWidth="1" min="366" max="366"/>
    <col width="11" customWidth="1" min="367" max="367"/>
    <col width="10" customWidth="1" min="368" max="368"/>
    <col width="10" customWidth="1" min="369" max="369"/>
    <col width="10" customWidth="1" min="370" max="370"/>
    <col width="10" customWidth="1" min="371" max="371"/>
    <col width="11" customWidth="1" min="372" max="372"/>
    <col width="11" customWidth="1" min="373" max="373"/>
    <col width="10" customWidth="1" min="374" max="374"/>
    <col width="11" customWidth="1" min="375" max="375"/>
    <col width="13" customWidth="1" min="376" max="376"/>
  </cols>
  <sheetData>
    <row r="1">
      <c r="A1" s="2" t="inlineStr">
        <is>
          <t>Month</t>
        </is>
      </c>
      <c r="B1" s="9" t="n">
        <v>2</v>
      </c>
      <c r="D1" s="2">
        <f>IF(ISNUMBER(B$7),"XOP US "&amp;TEXT(B$3,"mm/dd/yy")&amp;" C"&amp;(B$7-5*B$6)&amp;" Equity","")</f>
        <v/>
      </c>
      <c r="U1" s="2">
        <f>IF(ISNUMBER(B$7),"XOP US "&amp;TEXT(B$3,"mm/dd/yy")&amp;" P"&amp;(B$7-5*B$6)&amp;" Equity","")</f>
        <v/>
      </c>
      <c r="AL1" s="2">
        <f>IF(ISNUMBER(B$7),"XOP US "&amp;TEXT(B$3,"mm/dd/yy")&amp;" C"&amp;(B$7-4*B$6)&amp;" Equity","")</f>
        <v/>
      </c>
      <c r="BC1" s="2">
        <f>IF(ISNUMBER(B$7),"XOP US "&amp;TEXT(B$3,"mm/dd/yy")&amp;" P"&amp;(B$7-4*B$6)&amp;" Equity","")</f>
        <v/>
      </c>
      <c r="BT1" s="2">
        <f>IF(ISNUMBER(B$7),"XOP US "&amp;TEXT(B$3,"mm/dd/yy")&amp;" C"&amp;(B$7-3*B$6)&amp;" Equity","")</f>
        <v/>
      </c>
      <c r="CK1" s="2">
        <f>IF(ISNUMBER(B$7),"XOP US "&amp;TEXT(B$3,"mm/dd/yy")&amp;" P"&amp;(B$7-3*B$6)&amp;" Equity","")</f>
        <v/>
      </c>
      <c r="DB1" s="2">
        <f>IF(ISNUMBER(B$7),"XOP US "&amp;TEXT(B$3,"mm/dd/yy")&amp;" C"&amp;(B$7-2*B$6)&amp;" Equity","")</f>
        <v/>
      </c>
      <c r="DS1" s="2">
        <f>IF(ISNUMBER(B$7),"XOP US "&amp;TEXT(B$3,"mm/dd/yy")&amp;" P"&amp;(B$7-2*B$6)&amp;" Equity","")</f>
        <v/>
      </c>
      <c r="EJ1" s="2">
        <f>IF(ISNUMBER(B$7),"XOP US "&amp;TEXT(B$3,"mm/dd/yy")&amp;" C"&amp;(B$7-1*B$6)&amp;" Equity","")</f>
        <v/>
      </c>
      <c r="FA1" s="2">
        <f>IF(ISNUMBER(B$7),"XOP US "&amp;TEXT(B$3,"mm/dd/yy")&amp;" P"&amp;(B$7-1*B$6)&amp;" Equity","")</f>
        <v/>
      </c>
      <c r="FR1" s="2">
        <f>IF(ISNUMBER(B$7),"XOP US "&amp;TEXT(B$3,"mm/dd/yy")&amp;" C"&amp;B$7&amp;" Equity","")</f>
        <v/>
      </c>
      <c r="GI1" s="2">
        <f>IF(ISNUMBER(B$7),"XOP US "&amp;TEXT(B$3,"mm/dd/yy")&amp;" P"&amp;B$7&amp;" Equity","")</f>
        <v/>
      </c>
      <c r="GZ1" s="2">
        <f>IF(ISNUMBER(B$7),"XOP US "&amp;TEXT(B$3,"mm/dd/yy")&amp;" C"&amp;(B$7+1*B$6)&amp;" Equity","")</f>
        <v/>
      </c>
      <c r="HQ1" s="2">
        <f>IF(ISNUMBER(B$7),"XOP US "&amp;TEXT(B$3,"mm/dd/yy")&amp;" P"&amp;(B$7+1*B$6)&amp;" Equity","")</f>
        <v/>
      </c>
      <c r="IH1" s="2">
        <f>IF(ISNUMBER(B$7),"XOP US "&amp;TEXT(B$3,"mm/dd/yy")&amp;" C"&amp;(B$7+2*B$6)&amp;" Equity","")</f>
        <v/>
      </c>
      <c r="IY1" s="2">
        <f>IF(ISNUMBER(B$7),"XOP US "&amp;TEXT(B$3,"mm/dd/yy")&amp;" P"&amp;(B$7+2*B$6)&amp;" Equity","")</f>
        <v/>
      </c>
      <c r="JP1" s="2">
        <f>IF(ISNUMBER(B$7),"XOP US "&amp;TEXT(B$3,"mm/dd/yy")&amp;" C"&amp;(B$7+3*B$6)&amp;" Equity","")</f>
        <v/>
      </c>
      <c r="KG1" s="2">
        <f>IF(ISNUMBER(B$7),"XOP US "&amp;TEXT(B$3,"mm/dd/yy")&amp;" P"&amp;(B$7+3*B$6)&amp;" Equity","")</f>
        <v/>
      </c>
      <c r="KX1" s="2">
        <f>IF(ISNUMBER(B$7),"XOP US "&amp;TEXT(B$3,"mm/dd/yy")&amp;" C"&amp;(B$7+4*B$6)&amp;" Equity","")</f>
        <v/>
      </c>
      <c r="LO1" s="2">
        <f>IF(ISNUMBER(B$7),"XOP US "&amp;TEXT(B$3,"mm/dd/yy")&amp;" P"&amp;(B$7+4*B$6)&amp;" Equity","")</f>
        <v/>
      </c>
      <c r="MF1" s="2">
        <f>IF(ISNUMBER(B$7),"XOP US "&amp;TEXT(B$3,"mm/dd/yy")&amp;" C"&amp;(B$7+5*B$6)&amp;" Equity","")</f>
        <v/>
      </c>
      <c r="MW1" s="2">
        <f>IF(ISNUMBER(B$7),"XOP US "&amp;TEXT(B$3,"mm/dd/yy")&amp;" P"&amp;(B$7+5*B$6)&amp;" Equity","")</f>
        <v/>
      </c>
    </row>
    <row r="2">
      <c r="A2" s="2" t="inlineStr">
        <is>
          <t>Underlying</t>
        </is>
      </c>
      <c r="B2" s="4">
        <f>IF(Settings!$B$17="Y","XOP US Equity","")</f>
        <v/>
      </c>
      <c r="D2" s="4" t="inlineStr">
        <is>
          <t>call -5 from ATM</t>
        </is>
      </c>
      <c r="U2" s="4" t="inlineStr">
        <is>
          <t>put -5 from ATM</t>
        </is>
      </c>
      <c r="AL2" s="4" t="inlineStr">
        <is>
          <t>call -4 from ATM</t>
        </is>
      </c>
      <c r="BC2" s="4" t="inlineStr">
        <is>
          <t>put -4 from ATM</t>
        </is>
      </c>
      <c r="BT2" s="4" t="inlineStr">
        <is>
          <t>call -3 from ATM</t>
        </is>
      </c>
      <c r="CK2" s="4" t="inlineStr">
        <is>
          <t>put -3 from ATM</t>
        </is>
      </c>
      <c r="DB2" s="4" t="inlineStr">
        <is>
          <t>call -2 from ATM</t>
        </is>
      </c>
      <c r="DS2" s="4" t="inlineStr">
        <is>
          <t>put -2 from ATM</t>
        </is>
      </c>
      <c r="EJ2" s="4" t="inlineStr">
        <is>
          <t>call -1 from ATM</t>
        </is>
      </c>
      <c r="FA2" s="4" t="inlineStr">
        <is>
          <t>put -1 from ATM</t>
        </is>
      </c>
      <c r="FR2" s="4" t="inlineStr">
        <is>
          <t>call +0 from ATM</t>
        </is>
      </c>
      <c r="GI2" s="4" t="inlineStr">
        <is>
          <t>put +0 from ATM</t>
        </is>
      </c>
      <c r="GZ2" s="4" t="inlineStr">
        <is>
          <t>call +1 from ATM</t>
        </is>
      </c>
      <c r="HQ2" s="4" t="inlineStr">
        <is>
          <t>put +1 from ATM</t>
        </is>
      </c>
      <c r="IH2" s="4" t="inlineStr">
        <is>
          <t>call +2 from ATM</t>
        </is>
      </c>
      <c r="IY2" s="4" t="inlineStr">
        <is>
          <t>put +2 from ATM</t>
        </is>
      </c>
      <c r="JP2" s="4" t="inlineStr">
        <is>
          <t>call +3 from ATM</t>
        </is>
      </c>
      <c r="KG2" s="4" t="inlineStr">
        <is>
          <t>put +3 from ATM</t>
        </is>
      </c>
      <c r="KX2" s="4" t="inlineStr">
        <is>
          <t>call +4 from ATM</t>
        </is>
      </c>
      <c r="LO2" s="4" t="inlineStr">
        <is>
          <t>put +4 from ATM</t>
        </is>
      </c>
      <c r="MF2" s="4" t="inlineStr">
        <is>
          <t>call +5 from ATM</t>
        </is>
      </c>
      <c r="MW2" s="4" t="inlineStr">
        <is>
          <t>put +5 from ATM</t>
        </is>
      </c>
    </row>
    <row r="3">
      <c r="A3" s="2" t="inlineStr">
        <is>
          <t>Expiry (3rd Friday)</t>
        </is>
      </c>
      <c r="B3" s="3">
        <f>DATE(Settings!$E$17,B1,15)+MOD(6-WEEKDAY(DATE(Settings!$E$17,B1,15)),7)</f>
        <v/>
      </c>
      <c r="D3" s="5" t="inlineStr">
        <is>
          <t>Date</t>
        </is>
      </c>
      <c r="E3" s="5" t="inlineStr">
        <is>
          <t>PX_BID</t>
        </is>
      </c>
      <c r="F3" s="5" t="inlineStr">
        <is>
          <t>PX_ASK</t>
        </is>
      </c>
      <c r="G3" s="5" t="inlineStr">
        <is>
          <t>PX_MID</t>
        </is>
      </c>
      <c r="H3" s="5" t="inlineStr">
        <is>
          <t>PX_LAST</t>
        </is>
      </c>
      <c r="I3" s="5" t="inlineStr">
        <is>
          <t>PX_SETTLE</t>
        </is>
      </c>
      <c r="J3" s="5" t="inlineStr">
        <is>
          <t>PX_VOLUME</t>
        </is>
      </c>
      <c r="K3" s="5" t="inlineStr">
        <is>
          <t>OPEN_INT</t>
        </is>
      </c>
      <c r="L3" s="5" t="inlineStr">
        <is>
          <t>IVOL_MID</t>
        </is>
      </c>
      <c r="M3" s="5" t="inlineStr">
        <is>
          <t>IVOL_BID</t>
        </is>
      </c>
      <c r="N3" s="5" t="inlineStr">
        <is>
          <t>IVOL_ASK</t>
        </is>
      </c>
      <c r="O3" s="5" t="inlineStr">
        <is>
          <t>DELTA_MID</t>
        </is>
      </c>
      <c r="P3" s="5" t="inlineStr">
        <is>
          <t>GAMMA_MID</t>
        </is>
      </c>
      <c r="Q3" s="5" t="inlineStr">
        <is>
          <t>VEGA_MID</t>
        </is>
      </c>
      <c r="R3" s="5" t="inlineStr">
        <is>
          <t>THETA_MID</t>
        </is>
      </c>
      <c r="S3" s="5" t="inlineStr">
        <is>
          <t>OPT_UNDL_PX</t>
        </is>
      </c>
      <c r="U3" s="5" t="inlineStr">
        <is>
          <t>Date</t>
        </is>
      </c>
      <c r="V3" s="5" t="inlineStr">
        <is>
          <t>PX_BID</t>
        </is>
      </c>
      <c r="W3" s="5" t="inlineStr">
        <is>
          <t>PX_ASK</t>
        </is>
      </c>
      <c r="X3" s="5" t="inlineStr">
        <is>
          <t>PX_MID</t>
        </is>
      </c>
      <c r="Y3" s="5" t="inlineStr">
        <is>
          <t>PX_LAST</t>
        </is>
      </c>
      <c r="Z3" s="5" t="inlineStr">
        <is>
          <t>PX_SETTLE</t>
        </is>
      </c>
      <c r="AA3" s="5" t="inlineStr">
        <is>
          <t>PX_VOLUME</t>
        </is>
      </c>
      <c r="AB3" s="5" t="inlineStr">
        <is>
          <t>OPEN_INT</t>
        </is>
      </c>
      <c r="AC3" s="5" t="inlineStr">
        <is>
          <t>IVOL_MID</t>
        </is>
      </c>
      <c r="AD3" s="5" t="inlineStr">
        <is>
          <t>IVOL_BID</t>
        </is>
      </c>
      <c r="AE3" s="5" t="inlineStr">
        <is>
          <t>IVOL_ASK</t>
        </is>
      </c>
      <c r="AF3" s="5" t="inlineStr">
        <is>
          <t>DELTA_MID</t>
        </is>
      </c>
      <c r="AG3" s="5" t="inlineStr">
        <is>
          <t>GAMMA_MID</t>
        </is>
      </c>
      <c r="AH3" s="5" t="inlineStr">
        <is>
          <t>VEGA_MID</t>
        </is>
      </c>
      <c r="AI3" s="5" t="inlineStr">
        <is>
          <t>THETA_MID</t>
        </is>
      </c>
      <c r="AJ3" s="5" t="inlineStr">
        <is>
          <t>OPT_UNDL_PX</t>
        </is>
      </c>
      <c r="AL3" s="5" t="inlineStr">
        <is>
          <t>Date</t>
        </is>
      </c>
      <c r="AM3" s="5" t="inlineStr">
        <is>
          <t>PX_BID</t>
        </is>
      </c>
      <c r="AN3" s="5" t="inlineStr">
        <is>
          <t>PX_ASK</t>
        </is>
      </c>
      <c r="AO3" s="5" t="inlineStr">
        <is>
          <t>PX_MID</t>
        </is>
      </c>
      <c r="AP3" s="5" t="inlineStr">
        <is>
          <t>PX_LAST</t>
        </is>
      </c>
      <c r="AQ3" s="5" t="inlineStr">
        <is>
          <t>PX_SETTLE</t>
        </is>
      </c>
      <c r="AR3" s="5" t="inlineStr">
        <is>
          <t>PX_VOLUME</t>
        </is>
      </c>
      <c r="AS3" s="5" t="inlineStr">
        <is>
          <t>OPEN_INT</t>
        </is>
      </c>
      <c r="AT3" s="5" t="inlineStr">
        <is>
          <t>IVOL_MID</t>
        </is>
      </c>
      <c r="AU3" s="5" t="inlineStr">
        <is>
          <t>IVOL_BID</t>
        </is>
      </c>
      <c r="AV3" s="5" t="inlineStr">
        <is>
          <t>IVOL_ASK</t>
        </is>
      </c>
      <c r="AW3" s="5" t="inlineStr">
        <is>
          <t>DELTA_MID</t>
        </is>
      </c>
      <c r="AX3" s="5" t="inlineStr">
        <is>
          <t>GAMMA_MID</t>
        </is>
      </c>
      <c r="AY3" s="5" t="inlineStr">
        <is>
          <t>VEGA_MID</t>
        </is>
      </c>
      <c r="AZ3" s="5" t="inlineStr">
        <is>
          <t>THETA_MID</t>
        </is>
      </c>
      <c r="BA3" s="5" t="inlineStr">
        <is>
          <t>OPT_UNDL_PX</t>
        </is>
      </c>
      <c r="BC3" s="5" t="inlineStr">
        <is>
          <t>Date</t>
        </is>
      </c>
      <c r="BD3" s="5" t="inlineStr">
        <is>
          <t>PX_BID</t>
        </is>
      </c>
      <c r="BE3" s="5" t="inlineStr">
        <is>
          <t>PX_ASK</t>
        </is>
      </c>
      <c r="BF3" s="5" t="inlineStr">
        <is>
          <t>PX_MID</t>
        </is>
      </c>
      <c r="BG3" s="5" t="inlineStr">
        <is>
          <t>PX_LAST</t>
        </is>
      </c>
      <c r="BH3" s="5" t="inlineStr">
        <is>
          <t>PX_SETTLE</t>
        </is>
      </c>
      <c r="BI3" s="5" t="inlineStr">
        <is>
          <t>PX_VOLUME</t>
        </is>
      </c>
      <c r="BJ3" s="5" t="inlineStr">
        <is>
          <t>OPEN_INT</t>
        </is>
      </c>
      <c r="BK3" s="5" t="inlineStr">
        <is>
          <t>IVOL_MID</t>
        </is>
      </c>
      <c r="BL3" s="5" t="inlineStr">
        <is>
          <t>IVOL_BID</t>
        </is>
      </c>
      <c r="BM3" s="5" t="inlineStr">
        <is>
          <t>IVOL_ASK</t>
        </is>
      </c>
      <c r="BN3" s="5" t="inlineStr">
        <is>
          <t>DELTA_MID</t>
        </is>
      </c>
      <c r="BO3" s="5" t="inlineStr">
        <is>
          <t>GAMMA_MID</t>
        </is>
      </c>
      <c r="BP3" s="5" t="inlineStr">
        <is>
          <t>VEGA_MID</t>
        </is>
      </c>
      <c r="BQ3" s="5" t="inlineStr">
        <is>
          <t>THETA_MID</t>
        </is>
      </c>
      <c r="BR3" s="5" t="inlineStr">
        <is>
          <t>OPT_UNDL_PX</t>
        </is>
      </c>
      <c r="BT3" s="5" t="inlineStr">
        <is>
          <t>Date</t>
        </is>
      </c>
      <c r="BU3" s="5" t="inlineStr">
        <is>
          <t>PX_BID</t>
        </is>
      </c>
      <c r="BV3" s="5" t="inlineStr">
        <is>
          <t>PX_ASK</t>
        </is>
      </c>
      <c r="BW3" s="5" t="inlineStr">
        <is>
          <t>PX_MID</t>
        </is>
      </c>
      <c r="BX3" s="5" t="inlineStr">
        <is>
          <t>PX_LAST</t>
        </is>
      </c>
      <c r="BY3" s="5" t="inlineStr">
        <is>
          <t>PX_SETTLE</t>
        </is>
      </c>
      <c r="BZ3" s="5" t="inlineStr">
        <is>
          <t>PX_VOLUME</t>
        </is>
      </c>
      <c r="CA3" s="5" t="inlineStr">
        <is>
          <t>OPEN_INT</t>
        </is>
      </c>
      <c r="CB3" s="5" t="inlineStr">
        <is>
          <t>IVOL_MID</t>
        </is>
      </c>
      <c r="CC3" s="5" t="inlineStr">
        <is>
          <t>IVOL_BID</t>
        </is>
      </c>
      <c r="CD3" s="5" t="inlineStr">
        <is>
          <t>IVOL_ASK</t>
        </is>
      </c>
      <c r="CE3" s="5" t="inlineStr">
        <is>
          <t>DELTA_MID</t>
        </is>
      </c>
      <c r="CF3" s="5" t="inlineStr">
        <is>
          <t>GAMMA_MID</t>
        </is>
      </c>
      <c r="CG3" s="5" t="inlineStr">
        <is>
          <t>VEGA_MID</t>
        </is>
      </c>
      <c r="CH3" s="5" t="inlineStr">
        <is>
          <t>THETA_MID</t>
        </is>
      </c>
      <c r="CI3" s="5" t="inlineStr">
        <is>
          <t>OPT_UNDL_PX</t>
        </is>
      </c>
      <c r="CK3" s="5" t="inlineStr">
        <is>
          <t>Date</t>
        </is>
      </c>
      <c r="CL3" s="5" t="inlineStr">
        <is>
          <t>PX_BID</t>
        </is>
      </c>
      <c r="CM3" s="5" t="inlineStr">
        <is>
          <t>PX_ASK</t>
        </is>
      </c>
      <c r="CN3" s="5" t="inlineStr">
        <is>
          <t>PX_MID</t>
        </is>
      </c>
      <c r="CO3" s="5" t="inlineStr">
        <is>
          <t>PX_LAST</t>
        </is>
      </c>
      <c r="CP3" s="5" t="inlineStr">
        <is>
          <t>PX_SETTLE</t>
        </is>
      </c>
      <c r="CQ3" s="5" t="inlineStr">
        <is>
          <t>PX_VOLUME</t>
        </is>
      </c>
      <c r="CR3" s="5" t="inlineStr">
        <is>
          <t>OPEN_INT</t>
        </is>
      </c>
      <c r="CS3" s="5" t="inlineStr">
        <is>
          <t>IVOL_MID</t>
        </is>
      </c>
      <c r="CT3" s="5" t="inlineStr">
        <is>
          <t>IVOL_BID</t>
        </is>
      </c>
      <c r="CU3" s="5" t="inlineStr">
        <is>
          <t>IVOL_ASK</t>
        </is>
      </c>
      <c r="CV3" s="5" t="inlineStr">
        <is>
          <t>DELTA_MID</t>
        </is>
      </c>
      <c r="CW3" s="5" t="inlineStr">
        <is>
          <t>GAMMA_MID</t>
        </is>
      </c>
      <c r="CX3" s="5" t="inlineStr">
        <is>
          <t>VEGA_MID</t>
        </is>
      </c>
      <c r="CY3" s="5" t="inlineStr">
        <is>
          <t>THETA_MID</t>
        </is>
      </c>
      <c r="CZ3" s="5" t="inlineStr">
        <is>
          <t>OPT_UNDL_PX</t>
        </is>
      </c>
      <c r="DB3" s="5" t="inlineStr">
        <is>
          <t>Date</t>
        </is>
      </c>
      <c r="DC3" s="5" t="inlineStr">
        <is>
          <t>PX_BID</t>
        </is>
      </c>
      <c r="DD3" s="5" t="inlineStr">
        <is>
          <t>PX_ASK</t>
        </is>
      </c>
      <c r="DE3" s="5" t="inlineStr">
        <is>
          <t>PX_MID</t>
        </is>
      </c>
      <c r="DF3" s="5" t="inlineStr">
        <is>
          <t>PX_LAST</t>
        </is>
      </c>
      <c r="DG3" s="5" t="inlineStr">
        <is>
          <t>PX_SETTLE</t>
        </is>
      </c>
      <c r="DH3" s="5" t="inlineStr">
        <is>
          <t>PX_VOLUME</t>
        </is>
      </c>
      <c r="DI3" s="5" t="inlineStr">
        <is>
          <t>OPEN_INT</t>
        </is>
      </c>
      <c r="DJ3" s="5" t="inlineStr">
        <is>
          <t>IVOL_MID</t>
        </is>
      </c>
      <c r="DK3" s="5" t="inlineStr">
        <is>
          <t>IVOL_BID</t>
        </is>
      </c>
      <c r="DL3" s="5" t="inlineStr">
        <is>
          <t>IVOL_ASK</t>
        </is>
      </c>
      <c r="DM3" s="5" t="inlineStr">
        <is>
          <t>DELTA_MID</t>
        </is>
      </c>
      <c r="DN3" s="5" t="inlineStr">
        <is>
          <t>GAMMA_MID</t>
        </is>
      </c>
      <c r="DO3" s="5" t="inlineStr">
        <is>
          <t>VEGA_MID</t>
        </is>
      </c>
      <c r="DP3" s="5" t="inlineStr">
        <is>
          <t>THETA_MID</t>
        </is>
      </c>
      <c r="DQ3" s="5" t="inlineStr">
        <is>
          <t>OPT_UNDL_PX</t>
        </is>
      </c>
      <c r="DS3" s="5" t="inlineStr">
        <is>
          <t>Date</t>
        </is>
      </c>
      <c r="DT3" s="5" t="inlineStr">
        <is>
          <t>PX_BID</t>
        </is>
      </c>
      <c r="DU3" s="5" t="inlineStr">
        <is>
          <t>PX_ASK</t>
        </is>
      </c>
      <c r="DV3" s="5" t="inlineStr">
        <is>
          <t>PX_MID</t>
        </is>
      </c>
      <c r="DW3" s="5" t="inlineStr">
        <is>
          <t>PX_LAST</t>
        </is>
      </c>
      <c r="DX3" s="5" t="inlineStr">
        <is>
          <t>PX_SETTLE</t>
        </is>
      </c>
      <c r="DY3" s="5" t="inlineStr">
        <is>
          <t>PX_VOLUME</t>
        </is>
      </c>
      <c r="DZ3" s="5" t="inlineStr">
        <is>
          <t>OPEN_INT</t>
        </is>
      </c>
      <c r="EA3" s="5" t="inlineStr">
        <is>
          <t>IVOL_MID</t>
        </is>
      </c>
      <c r="EB3" s="5" t="inlineStr">
        <is>
          <t>IVOL_BID</t>
        </is>
      </c>
      <c r="EC3" s="5" t="inlineStr">
        <is>
          <t>IVOL_ASK</t>
        </is>
      </c>
      <c r="ED3" s="5" t="inlineStr">
        <is>
          <t>DELTA_MID</t>
        </is>
      </c>
      <c r="EE3" s="5" t="inlineStr">
        <is>
          <t>GAMMA_MID</t>
        </is>
      </c>
      <c r="EF3" s="5" t="inlineStr">
        <is>
          <t>VEGA_MID</t>
        </is>
      </c>
      <c r="EG3" s="5" t="inlineStr">
        <is>
          <t>THETA_MID</t>
        </is>
      </c>
      <c r="EH3" s="5" t="inlineStr">
        <is>
          <t>OPT_UNDL_PX</t>
        </is>
      </c>
      <c r="EJ3" s="5" t="inlineStr">
        <is>
          <t>Date</t>
        </is>
      </c>
      <c r="EK3" s="5" t="inlineStr">
        <is>
          <t>PX_BID</t>
        </is>
      </c>
      <c r="EL3" s="5" t="inlineStr">
        <is>
          <t>PX_ASK</t>
        </is>
      </c>
      <c r="EM3" s="5" t="inlineStr">
        <is>
          <t>PX_MID</t>
        </is>
      </c>
      <c r="EN3" s="5" t="inlineStr">
        <is>
          <t>PX_LAST</t>
        </is>
      </c>
      <c r="EO3" s="5" t="inlineStr">
        <is>
          <t>PX_SETTLE</t>
        </is>
      </c>
      <c r="EP3" s="5" t="inlineStr">
        <is>
          <t>PX_VOLUME</t>
        </is>
      </c>
      <c r="EQ3" s="5" t="inlineStr">
        <is>
          <t>OPEN_INT</t>
        </is>
      </c>
      <c r="ER3" s="5" t="inlineStr">
        <is>
          <t>IVOL_MID</t>
        </is>
      </c>
      <c r="ES3" s="5" t="inlineStr">
        <is>
          <t>IVOL_BID</t>
        </is>
      </c>
      <c r="ET3" s="5" t="inlineStr">
        <is>
          <t>IVOL_ASK</t>
        </is>
      </c>
      <c r="EU3" s="5" t="inlineStr">
        <is>
          <t>DELTA_MID</t>
        </is>
      </c>
      <c r="EV3" s="5" t="inlineStr">
        <is>
          <t>GAMMA_MID</t>
        </is>
      </c>
      <c r="EW3" s="5" t="inlineStr">
        <is>
          <t>VEGA_MID</t>
        </is>
      </c>
      <c r="EX3" s="5" t="inlineStr">
        <is>
          <t>THETA_MID</t>
        </is>
      </c>
      <c r="EY3" s="5" t="inlineStr">
        <is>
          <t>OPT_UNDL_PX</t>
        </is>
      </c>
      <c r="FA3" s="5" t="inlineStr">
        <is>
          <t>Date</t>
        </is>
      </c>
      <c r="FB3" s="5" t="inlineStr">
        <is>
          <t>PX_BID</t>
        </is>
      </c>
      <c r="FC3" s="5" t="inlineStr">
        <is>
          <t>PX_ASK</t>
        </is>
      </c>
      <c r="FD3" s="5" t="inlineStr">
        <is>
          <t>PX_MID</t>
        </is>
      </c>
      <c r="FE3" s="5" t="inlineStr">
        <is>
          <t>PX_LAST</t>
        </is>
      </c>
      <c r="FF3" s="5" t="inlineStr">
        <is>
          <t>PX_SETTLE</t>
        </is>
      </c>
      <c r="FG3" s="5" t="inlineStr">
        <is>
          <t>PX_VOLUME</t>
        </is>
      </c>
      <c r="FH3" s="5" t="inlineStr">
        <is>
          <t>OPEN_INT</t>
        </is>
      </c>
      <c r="FI3" s="5" t="inlineStr">
        <is>
          <t>IVOL_MID</t>
        </is>
      </c>
      <c r="FJ3" s="5" t="inlineStr">
        <is>
          <t>IVOL_BID</t>
        </is>
      </c>
      <c r="FK3" s="5" t="inlineStr">
        <is>
          <t>IVOL_ASK</t>
        </is>
      </c>
      <c r="FL3" s="5" t="inlineStr">
        <is>
          <t>DELTA_MID</t>
        </is>
      </c>
      <c r="FM3" s="5" t="inlineStr">
        <is>
          <t>GAMMA_MID</t>
        </is>
      </c>
      <c r="FN3" s="5" t="inlineStr">
        <is>
          <t>VEGA_MID</t>
        </is>
      </c>
      <c r="FO3" s="5" t="inlineStr">
        <is>
          <t>THETA_MID</t>
        </is>
      </c>
      <c r="FP3" s="5" t="inlineStr">
        <is>
          <t>OPT_UNDL_PX</t>
        </is>
      </c>
      <c r="FR3" s="5" t="inlineStr">
        <is>
          <t>Date</t>
        </is>
      </c>
      <c r="FS3" s="5" t="inlineStr">
        <is>
          <t>PX_BID</t>
        </is>
      </c>
      <c r="FT3" s="5" t="inlineStr">
        <is>
          <t>PX_ASK</t>
        </is>
      </c>
      <c r="FU3" s="5" t="inlineStr">
        <is>
          <t>PX_MID</t>
        </is>
      </c>
      <c r="FV3" s="5" t="inlineStr">
        <is>
          <t>PX_LAST</t>
        </is>
      </c>
      <c r="FW3" s="5" t="inlineStr">
        <is>
          <t>PX_SETTLE</t>
        </is>
      </c>
      <c r="FX3" s="5" t="inlineStr">
        <is>
          <t>PX_VOLUME</t>
        </is>
      </c>
      <c r="FY3" s="5" t="inlineStr">
        <is>
          <t>OPEN_INT</t>
        </is>
      </c>
      <c r="FZ3" s="5" t="inlineStr">
        <is>
          <t>IVOL_MID</t>
        </is>
      </c>
      <c r="GA3" s="5" t="inlineStr">
        <is>
          <t>IVOL_BID</t>
        </is>
      </c>
      <c r="GB3" s="5" t="inlineStr">
        <is>
          <t>IVOL_ASK</t>
        </is>
      </c>
      <c r="GC3" s="5" t="inlineStr">
        <is>
          <t>DELTA_MID</t>
        </is>
      </c>
      <c r="GD3" s="5" t="inlineStr">
        <is>
          <t>GAMMA_MID</t>
        </is>
      </c>
      <c r="GE3" s="5" t="inlineStr">
        <is>
          <t>VEGA_MID</t>
        </is>
      </c>
      <c r="GF3" s="5" t="inlineStr">
        <is>
          <t>THETA_MID</t>
        </is>
      </c>
      <c r="GG3" s="5" t="inlineStr">
        <is>
          <t>OPT_UNDL_PX</t>
        </is>
      </c>
      <c r="GI3" s="5" t="inlineStr">
        <is>
          <t>Date</t>
        </is>
      </c>
      <c r="GJ3" s="5" t="inlineStr">
        <is>
          <t>PX_BID</t>
        </is>
      </c>
      <c r="GK3" s="5" t="inlineStr">
        <is>
          <t>PX_ASK</t>
        </is>
      </c>
      <c r="GL3" s="5" t="inlineStr">
        <is>
          <t>PX_MID</t>
        </is>
      </c>
      <c r="GM3" s="5" t="inlineStr">
        <is>
          <t>PX_LAST</t>
        </is>
      </c>
      <c r="GN3" s="5" t="inlineStr">
        <is>
          <t>PX_SETTLE</t>
        </is>
      </c>
      <c r="GO3" s="5" t="inlineStr">
        <is>
          <t>PX_VOLUME</t>
        </is>
      </c>
      <c r="GP3" s="5" t="inlineStr">
        <is>
          <t>OPEN_INT</t>
        </is>
      </c>
      <c r="GQ3" s="5" t="inlineStr">
        <is>
          <t>IVOL_MID</t>
        </is>
      </c>
      <c r="GR3" s="5" t="inlineStr">
        <is>
          <t>IVOL_BID</t>
        </is>
      </c>
      <c r="GS3" s="5" t="inlineStr">
        <is>
          <t>IVOL_ASK</t>
        </is>
      </c>
      <c r="GT3" s="5" t="inlineStr">
        <is>
          <t>DELTA_MID</t>
        </is>
      </c>
      <c r="GU3" s="5" t="inlineStr">
        <is>
          <t>GAMMA_MID</t>
        </is>
      </c>
      <c r="GV3" s="5" t="inlineStr">
        <is>
          <t>VEGA_MID</t>
        </is>
      </c>
      <c r="GW3" s="5" t="inlineStr">
        <is>
          <t>THETA_MID</t>
        </is>
      </c>
      <c r="GX3" s="5" t="inlineStr">
        <is>
          <t>OPT_UNDL_PX</t>
        </is>
      </c>
      <c r="GZ3" s="5" t="inlineStr">
        <is>
          <t>Date</t>
        </is>
      </c>
      <c r="HA3" s="5" t="inlineStr">
        <is>
          <t>PX_BID</t>
        </is>
      </c>
      <c r="HB3" s="5" t="inlineStr">
        <is>
          <t>PX_ASK</t>
        </is>
      </c>
      <c r="HC3" s="5" t="inlineStr">
        <is>
          <t>PX_MID</t>
        </is>
      </c>
      <c r="HD3" s="5" t="inlineStr">
        <is>
          <t>PX_LAST</t>
        </is>
      </c>
      <c r="HE3" s="5" t="inlineStr">
        <is>
          <t>PX_SETTLE</t>
        </is>
      </c>
      <c r="HF3" s="5" t="inlineStr">
        <is>
          <t>PX_VOLUME</t>
        </is>
      </c>
      <c r="HG3" s="5" t="inlineStr">
        <is>
          <t>OPEN_INT</t>
        </is>
      </c>
      <c r="HH3" s="5" t="inlineStr">
        <is>
          <t>IVOL_MID</t>
        </is>
      </c>
      <c r="HI3" s="5" t="inlineStr">
        <is>
          <t>IVOL_BID</t>
        </is>
      </c>
      <c r="HJ3" s="5" t="inlineStr">
        <is>
          <t>IVOL_ASK</t>
        </is>
      </c>
      <c r="HK3" s="5" t="inlineStr">
        <is>
          <t>DELTA_MID</t>
        </is>
      </c>
      <c r="HL3" s="5" t="inlineStr">
        <is>
          <t>GAMMA_MID</t>
        </is>
      </c>
      <c r="HM3" s="5" t="inlineStr">
        <is>
          <t>VEGA_MID</t>
        </is>
      </c>
      <c r="HN3" s="5" t="inlineStr">
        <is>
          <t>THETA_MID</t>
        </is>
      </c>
      <c r="HO3" s="5" t="inlineStr">
        <is>
          <t>OPT_UNDL_PX</t>
        </is>
      </c>
      <c r="HQ3" s="5" t="inlineStr">
        <is>
          <t>Date</t>
        </is>
      </c>
      <c r="HR3" s="5" t="inlineStr">
        <is>
          <t>PX_BID</t>
        </is>
      </c>
      <c r="HS3" s="5" t="inlineStr">
        <is>
          <t>PX_ASK</t>
        </is>
      </c>
      <c r="HT3" s="5" t="inlineStr">
        <is>
          <t>PX_MID</t>
        </is>
      </c>
      <c r="HU3" s="5" t="inlineStr">
        <is>
          <t>PX_LAST</t>
        </is>
      </c>
      <c r="HV3" s="5" t="inlineStr">
        <is>
          <t>PX_SETTLE</t>
        </is>
      </c>
      <c r="HW3" s="5" t="inlineStr">
        <is>
          <t>PX_VOLUME</t>
        </is>
      </c>
      <c r="HX3" s="5" t="inlineStr">
        <is>
          <t>OPEN_INT</t>
        </is>
      </c>
      <c r="HY3" s="5" t="inlineStr">
        <is>
          <t>IVOL_MID</t>
        </is>
      </c>
      <c r="HZ3" s="5" t="inlineStr">
        <is>
          <t>IVOL_BID</t>
        </is>
      </c>
      <c r="IA3" s="5" t="inlineStr">
        <is>
          <t>IVOL_ASK</t>
        </is>
      </c>
      <c r="IB3" s="5" t="inlineStr">
        <is>
          <t>DELTA_MID</t>
        </is>
      </c>
      <c r="IC3" s="5" t="inlineStr">
        <is>
          <t>GAMMA_MID</t>
        </is>
      </c>
      <c r="ID3" s="5" t="inlineStr">
        <is>
          <t>VEGA_MID</t>
        </is>
      </c>
      <c r="IE3" s="5" t="inlineStr">
        <is>
          <t>THETA_MID</t>
        </is>
      </c>
      <c r="IF3" s="5" t="inlineStr">
        <is>
          <t>OPT_UNDL_PX</t>
        </is>
      </c>
      <c r="IH3" s="5" t="inlineStr">
        <is>
          <t>Date</t>
        </is>
      </c>
      <c r="II3" s="5" t="inlineStr">
        <is>
          <t>PX_BID</t>
        </is>
      </c>
      <c r="IJ3" s="5" t="inlineStr">
        <is>
          <t>PX_ASK</t>
        </is>
      </c>
      <c r="IK3" s="5" t="inlineStr">
        <is>
          <t>PX_MID</t>
        </is>
      </c>
      <c r="IL3" s="5" t="inlineStr">
        <is>
          <t>PX_LAST</t>
        </is>
      </c>
      <c r="IM3" s="5" t="inlineStr">
        <is>
          <t>PX_SETTLE</t>
        </is>
      </c>
      <c r="IN3" s="5" t="inlineStr">
        <is>
          <t>PX_VOLUME</t>
        </is>
      </c>
      <c r="IO3" s="5" t="inlineStr">
        <is>
          <t>OPEN_INT</t>
        </is>
      </c>
      <c r="IP3" s="5" t="inlineStr">
        <is>
          <t>IVOL_MID</t>
        </is>
      </c>
      <c r="IQ3" s="5" t="inlineStr">
        <is>
          <t>IVOL_BID</t>
        </is>
      </c>
      <c r="IR3" s="5" t="inlineStr">
        <is>
          <t>IVOL_ASK</t>
        </is>
      </c>
      <c r="IS3" s="5" t="inlineStr">
        <is>
          <t>DELTA_MID</t>
        </is>
      </c>
      <c r="IT3" s="5" t="inlineStr">
        <is>
          <t>GAMMA_MID</t>
        </is>
      </c>
      <c r="IU3" s="5" t="inlineStr">
        <is>
          <t>VEGA_MID</t>
        </is>
      </c>
      <c r="IV3" s="5" t="inlineStr">
        <is>
          <t>THETA_MID</t>
        </is>
      </c>
      <c r="IW3" s="5" t="inlineStr">
        <is>
          <t>OPT_UNDL_PX</t>
        </is>
      </c>
      <c r="IY3" s="5" t="inlineStr">
        <is>
          <t>Date</t>
        </is>
      </c>
      <c r="IZ3" s="5" t="inlineStr">
        <is>
          <t>PX_BID</t>
        </is>
      </c>
      <c r="JA3" s="5" t="inlineStr">
        <is>
          <t>PX_ASK</t>
        </is>
      </c>
      <c r="JB3" s="5" t="inlineStr">
        <is>
          <t>PX_MID</t>
        </is>
      </c>
      <c r="JC3" s="5" t="inlineStr">
        <is>
          <t>PX_LAST</t>
        </is>
      </c>
      <c r="JD3" s="5" t="inlineStr">
        <is>
          <t>PX_SETTLE</t>
        </is>
      </c>
      <c r="JE3" s="5" t="inlineStr">
        <is>
          <t>PX_VOLUME</t>
        </is>
      </c>
      <c r="JF3" s="5" t="inlineStr">
        <is>
          <t>OPEN_INT</t>
        </is>
      </c>
      <c r="JG3" s="5" t="inlineStr">
        <is>
          <t>IVOL_MID</t>
        </is>
      </c>
      <c r="JH3" s="5" t="inlineStr">
        <is>
          <t>IVOL_BID</t>
        </is>
      </c>
      <c r="JI3" s="5" t="inlineStr">
        <is>
          <t>IVOL_ASK</t>
        </is>
      </c>
      <c r="JJ3" s="5" t="inlineStr">
        <is>
          <t>DELTA_MID</t>
        </is>
      </c>
      <c r="JK3" s="5" t="inlineStr">
        <is>
          <t>GAMMA_MID</t>
        </is>
      </c>
      <c r="JL3" s="5" t="inlineStr">
        <is>
          <t>VEGA_MID</t>
        </is>
      </c>
      <c r="JM3" s="5" t="inlineStr">
        <is>
          <t>THETA_MID</t>
        </is>
      </c>
      <c r="JN3" s="5" t="inlineStr">
        <is>
          <t>OPT_UNDL_PX</t>
        </is>
      </c>
      <c r="JP3" s="5" t="inlineStr">
        <is>
          <t>Date</t>
        </is>
      </c>
      <c r="JQ3" s="5" t="inlineStr">
        <is>
          <t>PX_BID</t>
        </is>
      </c>
      <c r="JR3" s="5" t="inlineStr">
        <is>
          <t>PX_ASK</t>
        </is>
      </c>
      <c r="JS3" s="5" t="inlineStr">
        <is>
          <t>PX_MID</t>
        </is>
      </c>
      <c r="JT3" s="5" t="inlineStr">
        <is>
          <t>PX_LAST</t>
        </is>
      </c>
      <c r="JU3" s="5" t="inlineStr">
        <is>
          <t>PX_SETTLE</t>
        </is>
      </c>
      <c r="JV3" s="5" t="inlineStr">
        <is>
          <t>PX_VOLUME</t>
        </is>
      </c>
      <c r="JW3" s="5" t="inlineStr">
        <is>
          <t>OPEN_INT</t>
        </is>
      </c>
      <c r="JX3" s="5" t="inlineStr">
        <is>
          <t>IVOL_MID</t>
        </is>
      </c>
      <c r="JY3" s="5" t="inlineStr">
        <is>
          <t>IVOL_BID</t>
        </is>
      </c>
      <c r="JZ3" s="5" t="inlineStr">
        <is>
          <t>IVOL_ASK</t>
        </is>
      </c>
      <c r="KA3" s="5" t="inlineStr">
        <is>
          <t>DELTA_MID</t>
        </is>
      </c>
      <c r="KB3" s="5" t="inlineStr">
        <is>
          <t>GAMMA_MID</t>
        </is>
      </c>
      <c r="KC3" s="5" t="inlineStr">
        <is>
          <t>VEGA_MID</t>
        </is>
      </c>
      <c r="KD3" s="5" t="inlineStr">
        <is>
          <t>THETA_MID</t>
        </is>
      </c>
      <c r="KE3" s="5" t="inlineStr">
        <is>
          <t>OPT_UNDL_PX</t>
        </is>
      </c>
      <c r="KG3" s="5" t="inlineStr">
        <is>
          <t>Date</t>
        </is>
      </c>
      <c r="KH3" s="5" t="inlineStr">
        <is>
          <t>PX_BID</t>
        </is>
      </c>
      <c r="KI3" s="5" t="inlineStr">
        <is>
          <t>PX_ASK</t>
        </is>
      </c>
      <c r="KJ3" s="5" t="inlineStr">
        <is>
          <t>PX_MID</t>
        </is>
      </c>
      <c r="KK3" s="5" t="inlineStr">
        <is>
          <t>PX_LAST</t>
        </is>
      </c>
      <c r="KL3" s="5" t="inlineStr">
        <is>
          <t>PX_SETTLE</t>
        </is>
      </c>
      <c r="KM3" s="5" t="inlineStr">
        <is>
          <t>PX_VOLUME</t>
        </is>
      </c>
      <c r="KN3" s="5" t="inlineStr">
        <is>
          <t>OPEN_INT</t>
        </is>
      </c>
      <c r="KO3" s="5" t="inlineStr">
        <is>
          <t>IVOL_MID</t>
        </is>
      </c>
      <c r="KP3" s="5" t="inlineStr">
        <is>
          <t>IVOL_BID</t>
        </is>
      </c>
      <c r="KQ3" s="5" t="inlineStr">
        <is>
          <t>IVOL_ASK</t>
        </is>
      </c>
      <c r="KR3" s="5" t="inlineStr">
        <is>
          <t>DELTA_MID</t>
        </is>
      </c>
      <c r="KS3" s="5" t="inlineStr">
        <is>
          <t>GAMMA_MID</t>
        </is>
      </c>
      <c r="KT3" s="5" t="inlineStr">
        <is>
          <t>VEGA_MID</t>
        </is>
      </c>
      <c r="KU3" s="5" t="inlineStr">
        <is>
          <t>THETA_MID</t>
        </is>
      </c>
      <c r="KV3" s="5" t="inlineStr">
        <is>
          <t>OPT_UNDL_PX</t>
        </is>
      </c>
      <c r="KX3" s="5" t="inlineStr">
        <is>
          <t>Date</t>
        </is>
      </c>
      <c r="KY3" s="5" t="inlineStr">
        <is>
          <t>PX_BID</t>
        </is>
      </c>
      <c r="KZ3" s="5" t="inlineStr">
        <is>
          <t>PX_ASK</t>
        </is>
      </c>
      <c r="LA3" s="5" t="inlineStr">
        <is>
          <t>PX_MID</t>
        </is>
      </c>
      <c r="LB3" s="5" t="inlineStr">
        <is>
          <t>PX_LAST</t>
        </is>
      </c>
      <c r="LC3" s="5" t="inlineStr">
        <is>
          <t>PX_SETTLE</t>
        </is>
      </c>
      <c r="LD3" s="5" t="inlineStr">
        <is>
          <t>PX_VOLUME</t>
        </is>
      </c>
      <c r="LE3" s="5" t="inlineStr">
        <is>
          <t>OPEN_INT</t>
        </is>
      </c>
      <c r="LF3" s="5" t="inlineStr">
        <is>
          <t>IVOL_MID</t>
        </is>
      </c>
      <c r="LG3" s="5" t="inlineStr">
        <is>
          <t>IVOL_BID</t>
        </is>
      </c>
      <c r="LH3" s="5" t="inlineStr">
        <is>
          <t>IVOL_ASK</t>
        </is>
      </c>
      <c r="LI3" s="5" t="inlineStr">
        <is>
          <t>DELTA_MID</t>
        </is>
      </c>
      <c r="LJ3" s="5" t="inlineStr">
        <is>
          <t>GAMMA_MID</t>
        </is>
      </c>
      <c r="LK3" s="5" t="inlineStr">
        <is>
          <t>VEGA_MID</t>
        </is>
      </c>
      <c r="LL3" s="5" t="inlineStr">
        <is>
          <t>THETA_MID</t>
        </is>
      </c>
      <c r="LM3" s="5" t="inlineStr">
        <is>
          <t>OPT_UNDL_PX</t>
        </is>
      </c>
      <c r="LO3" s="5" t="inlineStr">
        <is>
          <t>Date</t>
        </is>
      </c>
      <c r="LP3" s="5" t="inlineStr">
        <is>
          <t>PX_BID</t>
        </is>
      </c>
      <c r="LQ3" s="5" t="inlineStr">
        <is>
          <t>PX_ASK</t>
        </is>
      </c>
      <c r="LR3" s="5" t="inlineStr">
        <is>
          <t>PX_MID</t>
        </is>
      </c>
      <c r="LS3" s="5" t="inlineStr">
        <is>
          <t>PX_LAST</t>
        </is>
      </c>
      <c r="LT3" s="5" t="inlineStr">
        <is>
          <t>PX_SETTLE</t>
        </is>
      </c>
      <c r="LU3" s="5" t="inlineStr">
        <is>
          <t>PX_VOLUME</t>
        </is>
      </c>
      <c r="LV3" s="5" t="inlineStr">
        <is>
          <t>OPEN_INT</t>
        </is>
      </c>
      <c r="LW3" s="5" t="inlineStr">
        <is>
          <t>IVOL_MID</t>
        </is>
      </c>
      <c r="LX3" s="5" t="inlineStr">
        <is>
          <t>IVOL_BID</t>
        </is>
      </c>
      <c r="LY3" s="5" t="inlineStr">
        <is>
          <t>IVOL_ASK</t>
        </is>
      </c>
      <c r="LZ3" s="5" t="inlineStr">
        <is>
          <t>DELTA_MID</t>
        </is>
      </c>
      <c r="MA3" s="5" t="inlineStr">
        <is>
          <t>GAMMA_MID</t>
        </is>
      </c>
      <c r="MB3" s="5" t="inlineStr">
        <is>
          <t>VEGA_MID</t>
        </is>
      </c>
      <c r="MC3" s="5" t="inlineStr">
        <is>
          <t>THETA_MID</t>
        </is>
      </c>
      <c r="MD3" s="5" t="inlineStr">
        <is>
          <t>OPT_UNDL_PX</t>
        </is>
      </c>
      <c r="MF3" s="5" t="inlineStr">
        <is>
          <t>Date</t>
        </is>
      </c>
      <c r="MG3" s="5" t="inlineStr">
        <is>
          <t>PX_BID</t>
        </is>
      </c>
      <c r="MH3" s="5" t="inlineStr">
        <is>
          <t>PX_ASK</t>
        </is>
      </c>
      <c r="MI3" s="5" t="inlineStr">
        <is>
          <t>PX_MID</t>
        </is>
      </c>
      <c r="MJ3" s="5" t="inlineStr">
        <is>
          <t>PX_LAST</t>
        </is>
      </c>
      <c r="MK3" s="5" t="inlineStr">
        <is>
          <t>PX_SETTLE</t>
        </is>
      </c>
      <c r="ML3" s="5" t="inlineStr">
        <is>
          <t>PX_VOLUME</t>
        </is>
      </c>
      <c r="MM3" s="5" t="inlineStr">
        <is>
          <t>OPEN_INT</t>
        </is>
      </c>
      <c r="MN3" s="5" t="inlineStr">
        <is>
          <t>IVOL_MID</t>
        </is>
      </c>
      <c r="MO3" s="5" t="inlineStr">
        <is>
          <t>IVOL_BID</t>
        </is>
      </c>
      <c r="MP3" s="5" t="inlineStr">
        <is>
          <t>IVOL_ASK</t>
        </is>
      </c>
      <c r="MQ3" s="5" t="inlineStr">
        <is>
          <t>DELTA_MID</t>
        </is>
      </c>
      <c r="MR3" s="5" t="inlineStr">
        <is>
          <t>GAMMA_MID</t>
        </is>
      </c>
      <c r="MS3" s="5" t="inlineStr">
        <is>
          <t>VEGA_MID</t>
        </is>
      </c>
      <c r="MT3" s="5" t="inlineStr">
        <is>
          <t>THETA_MID</t>
        </is>
      </c>
      <c r="MU3" s="5" t="inlineStr">
        <is>
          <t>OPT_UNDL_PX</t>
        </is>
      </c>
      <c r="MW3" s="5" t="inlineStr">
        <is>
          <t>Date</t>
        </is>
      </c>
      <c r="MX3" s="5" t="inlineStr">
        <is>
          <t>PX_BID</t>
        </is>
      </c>
      <c r="MY3" s="5" t="inlineStr">
        <is>
          <t>PX_ASK</t>
        </is>
      </c>
      <c r="MZ3" s="5" t="inlineStr">
        <is>
          <t>PX_MID</t>
        </is>
      </c>
      <c r="NA3" s="5" t="inlineStr">
        <is>
          <t>PX_LAST</t>
        </is>
      </c>
      <c r="NB3" s="5" t="inlineStr">
        <is>
          <t>PX_SETTLE</t>
        </is>
      </c>
      <c r="NC3" s="5" t="inlineStr">
        <is>
          <t>PX_VOLUME</t>
        </is>
      </c>
      <c r="ND3" s="5" t="inlineStr">
        <is>
          <t>OPEN_INT</t>
        </is>
      </c>
      <c r="NE3" s="5" t="inlineStr">
        <is>
          <t>IVOL_MID</t>
        </is>
      </c>
      <c r="NF3" s="5" t="inlineStr">
        <is>
          <t>IVOL_BID</t>
        </is>
      </c>
      <c r="NG3" s="5" t="inlineStr">
        <is>
          <t>IVOL_ASK</t>
        </is>
      </c>
      <c r="NH3" s="5" t="inlineStr">
        <is>
          <t>DELTA_MID</t>
        </is>
      </c>
      <c r="NI3" s="5" t="inlineStr">
        <is>
          <t>GAMMA_MID</t>
        </is>
      </c>
      <c r="NJ3" s="5" t="inlineStr">
        <is>
          <t>VEGA_MID</t>
        </is>
      </c>
      <c r="NK3" s="5" t="inlineStr">
        <is>
          <t>THETA_MID</t>
        </is>
      </c>
      <c r="NL3" s="5" t="inlineStr">
        <is>
          <t>OPT_UNDL_PX</t>
        </is>
      </c>
    </row>
    <row r="4">
      <c r="A4" s="2" t="inlineStr">
        <is>
          <t>Strike reference date</t>
        </is>
      </c>
      <c r="B4" s="8">
        <f>B3-45</f>
        <v/>
      </c>
      <c r="D4" s="4">
        <f>BDH(D$1,E$3:S$3,$B$8,$B$9,"Dir=V","Dts=S","Sort=A","Days=T","Fill=B")</f>
        <v/>
      </c>
      <c r="U4" s="4">
        <f>BDH(U$1,V$3:AJ$3,$B$8,$B$9,"Dir=V","Dts=S","Sort=A","Days=T","Fill=B")</f>
        <v/>
      </c>
      <c r="AL4" s="4">
        <f>BDH(AL$1,AM$3:BA$3,$B$8,$B$9,"Dir=V","Dts=S","Sort=A","Days=T","Fill=B")</f>
        <v/>
      </c>
      <c r="BC4" s="4">
        <f>BDH(BC$1,BD$3:BR$3,$B$8,$B$9,"Dir=V","Dts=S","Sort=A","Days=T","Fill=B")</f>
        <v/>
      </c>
      <c r="BT4" s="4">
        <f>BDH(BT$1,BU$3:CI$3,$B$8,$B$9,"Dir=V","Dts=S","Sort=A","Days=T","Fill=B")</f>
        <v/>
      </c>
      <c r="CK4" s="4">
        <f>BDH(CK$1,CL$3:CZ$3,$B$8,$B$9,"Dir=V","Dts=S","Sort=A","Days=T","Fill=B")</f>
        <v/>
      </c>
      <c r="DB4" s="4">
        <f>BDH(DB$1,DC$3:DQ$3,$B$8,$B$9,"Dir=V","Dts=S","Sort=A","Days=T","Fill=B")</f>
        <v/>
      </c>
      <c r="DS4" s="4">
        <f>BDH(DS$1,DT$3:EH$3,$B$8,$B$9,"Dir=V","Dts=S","Sort=A","Days=T","Fill=B")</f>
        <v/>
      </c>
      <c r="EJ4" s="4">
        <f>BDH(EJ$1,EK$3:EY$3,$B$8,$B$9,"Dir=V","Dts=S","Sort=A","Days=T","Fill=B")</f>
        <v/>
      </c>
      <c r="FA4" s="4">
        <f>BDH(FA$1,FB$3:FP$3,$B$8,$B$9,"Dir=V","Dts=S","Sort=A","Days=T","Fill=B")</f>
        <v/>
      </c>
      <c r="FR4" s="4">
        <f>BDH(FR$1,FS$3:GG$3,$B$8,$B$9,"Dir=V","Dts=S","Sort=A","Days=T","Fill=B")</f>
        <v/>
      </c>
      <c r="GI4" s="4">
        <f>BDH(GI$1,GJ$3:GX$3,$B$8,$B$9,"Dir=V","Dts=S","Sort=A","Days=T","Fill=B")</f>
        <v/>
      </c>
      <c r="GZ4" s="4">
        <f>BDH(GZ$1,HA$3:HO$3,$B$8,$B$9,"Dir=V","Dts=S","Sort=A","Days=T","Fill=B")</f>
        <v/>
      </c>
      <c r="HQ4" s="4">
        <f>BDH(HQ$1,HR$3:IF$3,$B$8,$B$9,"Dir=V","Dts=S","Sort=A","Days=T","Fill=B")</f>
        <v/>
      </c>
      <c r="IH4" s="4">
        <f>BDH(IH$1,II$3:IW$3,$B$8,$B$9,"Dir=V","Dts=S","Sort=A","Days=T","Fill=B")</f>
        <v/>
      </c>
      <c r="IY4" s="4">
        <f>BDH(IY$1,IZ$3:JN$3,$B$8,$B$9,"Dir=V","Dts=S","Sort=A","Days=T","Fill=B")</f>
        <v/>
      </c>
      <c r="JP4" s="4">
        <f>BDH(JP$1,JQ$3:KE$3,$B$8,$B$9,"Dir=V","Dts=S","Sort=A","Days=T","Fill=B")</f>
        <v/>
      </c>
      <c r="KG4" s="4">
        <f>BDH(KG$1,KH$3:KV$3,$B$8,$B$9,"Dir=V","Dts=S","Sort=A","Days=T","Fill=B")</f>
        <v/>
      </c>
      <c r="KX4" s="4">
        <f>BDH(KX$1,KY$3:LM$3,$B$8,$B$9,"Dir=V","Dts=S","Sort=A","Days=T","Fill=B")</f>
        <v/>
      </c>
      <c r="LO4" s="4">
        <f>BDH(LO$1,LP$3:MD$3,$B$8,$B$9,"Dir=V","Dts=S","Sort=A","Days=T","Fill=B")</f>
        <v/>
      </c>
      <c r="MF4" s="4">
        <f>BDH(MF$1,MG$3:MU$3,$B$8,$B$9,"Dir=V","Dts=S","Sort=A","Days=T","Fill=B")</f>
        <v/>
      </c>
      <c r="MW4" s="4">
        <f>BDH(MW$1,MX$3:NL$3,$B$8,$B$9,"Dir=V","Dts=S","Sort=A","Days=T","Fill=B")</f>
        <v/>
      </c>
    </row>
    <row r="5">
      <c r="A5" s="2" t="inlineStr">
        <is>
          <t>Unadjusted close then</t>
        </is>
      </c>
      <c r="B5" s="10">
        <f>IF(B2="","",BDH(B2,"PX_LAST",B4,B4,"Days=A","Fill=P","Dts=H","CshAdjNormal=N","CshAdjAbnormal=N","CapChg=N"))</f>
        <v/>
      </c>
    </row>
    <row r="6">
      <c r="A6" s="2" t="inlineStr">
        <is>
          <t>Strike step</t>
        </is>
      </c>
      <c r="B6" s="11">
        <f>IF(ISNUMBER(B5),IF(B5&lt;25,0.5,IF(B5&lt;250,1,5)),"")</f>
        <v/>
      </c>
    </row>
    <row r="7">
      <c r="A7" s="2" t="inlineStr">
        <is>
          <t>ATM strike</t>
        </is>
      </c>
      <c r="B7" s="11">
        <f>IF(ISNUMBER(B5),ROUND(B5/B6,0)*B6,"")</f>
        <v/>
      </c>
    </row>
    <row r="8">
      <c r="A8" s="2" t="inlineStr">
        <is>
          <t>History start</t>
        </is>
      </c>
      <c r="B8" s="8">
        <f>B3-100</f>
        <v/>
      </c>
    </row>
    <row r="9">
      <c r="A9" s="2" t="inlineStr">
        <is>
          <t>History end</t>
        </is>
      </c>
      <c r="B9" s="8">
        <f>B3</f>
        <v/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NL9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2" customWidth="1" min="2" max="2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1" customWidth="1" min="15" max="15"/>
    <col width="11" customWidth="1" min="16" max="16"/>
    <col width="10" customWidth="1" min="17" max="17"/>
    <col width="11" customWidth="1" min="18" max="18"/>
    <col width="13" customWidth="1" min="19" max="19"/>
    <col width="12" customWidth="1" min="21" max="21"/>
    <col width="10" customWidth="1" min="22" max="22"/>
    <col width="10" customWidth="1" min="23" max="23"/>
    <col width="10" customWidth="1" min="24" max="24"/>
    <col width="10" customWidth="1" min="25" max="25"/>
    <col width="11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1" customWidth="1" min="32" max="32"/>
    <col width="11" customWidth="1" min="33" max="33"/>
    <col width="10" customWidth="1" min="34" max="34"/>
    <col width="11" customWidth="1" min="35" max="35"/>
    <col width="13" customWidth="1" min="36" max="36"/>
    <col width="12" customWidth="1" min="38" max="38"/>
    <col width="10" customWidth="1" min="39" max="39"/>
    <col width="10" customWidth="1" min="40" max="40"/>
    <col width="10" customWidth="1" min="41" max="41"/>
    <col width="10" customWidth="1" min="42" max="42"/>
    <col width="11" customWidth="1" min="43" max="43"/>
    <col width="11" customWidth="1" min="44" max="44"/>
    <col width="10" customWidth="1" min="45" max="45"/>
    <col width="10" customWidth="1" min="46" max="46"/>
    <col width="10" customWidth="1" min="47" max="47"/>
    <col width="10" customWidth="1" min="48" max="48"/>
    <col width="11" customWidth="1" min="49" max="49"/>
    <col width="11" customWidth="1" min="50" max="50"/>
    <col width="10" customWidth="1" min="51" max="51"/>
    <col width="11" customWidth="1" min="52" max="52"/>
    <col width="13" customWidth="1" min="53" max="53"/>
    <col width="12" customWidth="1" min="55" max="55"/>
    <col width="10" customWidth="1" min="56" max="56"/>
    <col width="10" customWidth="1" min="57" max="57"/>
    <col width="10" customWidth="1" min="58" max="58"/>
    <col width="10" customWidth="1" min="59" max="59"/>
    <col width="11" customWidth="1" min="60" max="60"/>
    <col width="11" customWidth="1" min="61" max="61"/>
    <col width="10" customWidth="1" min="62" max="62"/>
    <col width="10" customWidth="1" min="63" max="63"/>
    <col width="10" customWidth="1" min="64" max="64"/>
    <col width="10" customWidth="1" min="65" max="65"/>
    <col width="11" customWidth="1" min="66" max="66"/>
    <col width="11" customWidth="1" min="67" max="67"/>
    <col width="10" customWidth="1" min="68" max="68"/>
    <col width="11" customWidth="1" min="69" max="69"/>
    <col width="13" customWidth="1" min="70" max="70"/>
    <col width="12" customWidth="1" min="72" max="72"/>
    <col width="10" customWidth="1" min="73" max="73"/>
    <col width="10" customWidth="1" min="74" max="74"/>
    <col width="10" customWidth="1" min="75" max="75"/>
    <col width="10" customWidth="1" min="76" max="76"/>
    <col width="11" customWidth="1" min="77" max="77"/>
    <col width="11" customWidth="1" min="78" max="78"/>
    <col width="10" customWidth="1" min="79" max="79"/>
    <col width="10" customWidth="1" min="80" max="80"/>
    <col width="10" customWidth="1" min="81" max="81"/>
    <col width="10" customWidth="1" min="82" max="82"/>
    <col width="11" customWidth="1" min="83" max="83"/>
    <col width="11" customWidth="1" min="84" max="84"/>
    <col width="10" customWidth="1" min="85" max="85"/>
    <col width="11" customWidth="1" min="86" max="86"/>
    <col width="13" customWidth="1" min="87" max="87"/>
    <col width="12" customWidth="1" min="89" max="89"/>
    <col width="10" customWidth="1" min="90" max="90"/>
    <col width="10" customWidth="1" min="91" max="91"/>
    <col width="10" customWidth="1" min="92" max="92"/>
    <col width="10" customWidth="1" min="93" max="93"/>
    <col width="11" customWidth="1" min="94" max="94"/>
    <col width="11" customWidth="1" min="95" max="95"/>
    <col width="10" customWidth="1" min="96" max="96"/>
    <col width="10" customWidth="1" min="97" max="97"/>
    <col width="10" customWidth="1" min="98" max="98"/>
    <col width="10" customWidth="1" min="99" max="99"/>
    <col width="11" customWidth="1" min="100" max="100"/>
    <col width="11" customWidth="1" min="101" max="101"/>
    <col width="10" customWidth="1" min="102" max="102"/>
    <col width="11" customWidth="1" min="103" max="103"/>
    <col width="13" customWidth="1" min="104" max="104"/>
    <col width="12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1" customWidth="1" min="111" max="111"/>
    <col width="11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1" customWidth="1" min="117" max="117"/>
    <col width="11" customWidth="1" min="118" max="118"/>
    <col width="10" customWidth="1" min="119" max="119"/>
    <col width="11" customWidth="1" min="120" max="120"/>
    <col width="13" customWidth="1" min="121" max="121"/>
    <col width="12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1" customWidth="1" min="128" max="128"/>
    <col width="11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1" customWidth="1" min="134" max="134"/>
    <col width="11" customWidth="1" min="135" max="135"/>
    <col width="10" customWidth="1" min="136" max="136"/>
    <col width="11" customWidth="1" min="137" max="137"/>
    <col width="13" customWidth="1" min="138" max="138"/>
    <col width="12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1" customWidth="1" min="145" max="145"/>
    <col width="11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1" customWidth="1" min="151" max="151"/>
    <col width="11" customWidth="1" min="152" max="152"/>
    <col width="10" customWidth="1" min="153" max="153"/>
    <col width="11" customWidth="1" min="154" max="154"/>
    <col width="13" customWidth="1" min="155" max="155"/>
    <col width="12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1" customWidth="1" min="162" max="162"/>
    <col width="11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1" customWidth="1" min="168" max="168"/>
    <col width="11" customWidth="1" min="169" max="169"/>
    <col width="10" customWidth="1" min="170" max="170"/>
    <col width="11" customWidth="1" min="171" max="171"/>
    <col width="13" customWidth="1" min="172" max="172"/>
    <col width="12" customWidth="1" min="174" max="174"/>
    <col width="10" customWidth="1" min="175" max="175"/>
    <col width="10" customWidth="1" min="176" max="176"/>
    <col width="10" customWidth="1" min="177" max="177"/>
    <col width="10" customWidth="1" min="178" max="178"/>
    <col width="11" customWidth="1" min="179" max="179"/>
    <col width="11" customWidth="1" min="180" max="180"/>
    <col width="10" customWidth="1" min="181" max="181"/>
    <col width="10" customWidth="1" min="182" max="182"/>
    <col width="10" customWidth="1" min="183" max="183"/>
    <col width="10" customWidth="1" min="184" max="184"/>
    <col width="11" customWidth="1" min="185" max="185"/>
    <col width="11" customWidth="1" min="186" max="186"/>
    <col width="10" customWidth="1" min="187" max="187"/>
    <col width="11" customWidth="1" min="188" max="188"/>
    <col width="13" customWidth="1" min="189" max="189"/>
    <col width="12" customWidth="1" min="191" max="191"/>
    <col width="10" customWidth="1" min="192" max="192"/>
    <col width="10" customWidth="1" min="193" max="193"/>
    <col width="10" customWidth="1" min="194" max="194"/>
    <col width="10" customWidth="1" min="195" max="195"/>
    <col width="11" customWidth="1" min="196" max="196"/>
    <col width="11" customWidth="1" min="197" max="197"/>
    <col width="10" customWidth="1" min="198" max="198"/>
    <col width="10" customWidth="1" min="199" max="199"/>
    <col width="10" customWidth="1" min="200" max="200"/>
    <col width="10" customWidth="1" min="201" max="201"/>
    <col width="11" customWidth="1" min="202" max="202"/>
    <col width="11" customWidth="1" min="203" max="203"/>
    <col width="10" customWidth="1" min="204" max="204"/>
    <col width="11" customWidth="1" min="205" max="205"/>
    <col width="13" customWidth="1" min="206" max="206"/>
    <col width="12" customWidth="1" min="208" max="208"/>
    <col width="10" customWidth="1" min="209" max="209"/>
    <col width="10" customWidth="1" min="210" max="210"/>
    <col width="10" customWidth="1" min="211" max="211"/>
    <col width="10" customWidth="1" min="212" max="212"/>
    <col width="11" customWidth="1" min="213" max="213"/>
    <col width="11" customWidth="1" min="214" max="214"/>
    <col width="10" customWidth="1" min="215" max="215"/>
    <col width="10" customWidth="1" min="216" max="216"/>
    <col width="10" customWidth="1" min="217" max="217"/>
    <col width="10" customWidth="1" min="218" max="218"/>
    <col width="11" customWidth="1" min="219" max="219"/>
    <col width="11" customWidth="1" min="220" max="220"/>
    <col width="10" customWidth="1" min="221" max="221"/>
    <col width="11" customWidth="1" min="222" max="222"/>
    <col width="13" customWidth="1" min="223" max="223"/>
    <col width="12" customWidth="1" min="225" max="225"/>
    <col width="10" customWidth="1" min="226" max="226"/>
    <col width="10" customWidth="1" min="227" max="227"/>
    <col width="10" customWidth="1" min="228" max="228"/>
    <col width="10" customWidth="1" min="229" max="229"/>
    <col width="11" customWidth="1" min="230" max="230"/>
    <col width="11" customWidth="1" min="231" max="231"/>
    <col width="10" customWidth="1" min="232" max="232"/>
    <col width="10" customWidth="1" min="233" max="233"/>
    <col width="10" customWidth="1" min="234" max="234"/>
    <col width="10" customWidth="1" min="235" max="235"/>
    <col width="11" customWidth="1" min="236" max="236"/>
    <col width="11" customWidth="1" min="237" max="237"/>
    <col width="10" customWidth="1" min="238" max="238"/>
    <col width="11" customWidth="1" min="239" max="239"/>
    <col width="13" customWidth="1" min="240" max="240"/>
    <col width="12" customWidth="1" min="242" max="242"/>
    <col width="10" customWidth="1" min="243" max="243"/>
    <col width="10" customWidth="1" min="244" max="244"/>
    <col width="10" customWidth="1" min="245" max="245"/>
    <col width="10" customWidth="1" min="246" max="246"/>
    <col width="11" customWidth="1" min="247" max="247"/>
    <col width="11" customWidth="1" min="248" max="248"/>
    <col width="10" customWidth="1" min="249" max="249"/>
    <col width="10" customWidth="1" min="250" max="250"/>
    <col width="10" customWidth="1" min="251" max="251"/>
    <col width="10" customWidth="1" min="252" max="252"/>
    <col width="11" customWidth="1" min="253" max="253"/>
    <col width="11" customWidth="1" min="254" max="254"/>
    <col width="10" customWidth="1" min="255" max="255"/>
    <col width="11" customWidth="1" min="256" max="256"/>
    <col width="13" customWidth="1" min="257" max="257"/>
    <col width="12" customWidth="1" min="259" max="259"/>
    <col width="10" customWidth="1" min="260" max="260"/>
    <col width="10" customWidth="1" min="261" max="261"/>
    <col width="10" customWidth="1" min="262" max="262"/>
    <col width="10" customWidth="1" min="263" max="263"/>
    <col width="11" customWidth="1" min="264" max="264"/>
    <col width="11" customWidth="1" min="265" max="265"/>
    <col width="10" customWidth="1" min="266" max="266"/>
    <col width="10" customWidth="1" min="267" max="267"/>
    <col width="10" customWidth="1" min="268" max="268"/>
    <col width="10" customWidth="1" min="269" max="269"/>
    <col width="11" customWidth="1" min="270" max="270"/>
    <col width="11" customWidth="1" min="271" max="271"/>
    <col width="10" customWidth="1" min="272" max="272"/>
    <col width="11" customWidth="1" min="273" max="273"/>
    <col width="13" customWidth="1" min="274" max="274"/>
    <col width="12" customWidth="1" min="276" max="276"/>
    <col width="10" customWidth="1" min="277" max="277"/>
    <col width="10" customWidth="1" min="278" max="278"/>
    <col width="10" customWidth="1" min="279" max="279"/>
    <col width="10" customWidth="1" min="280" max="280"/>
    <col width="11" customWidth="1" min="281" max="281"/>
    <col width="11" customWidth="1" min="282" max="282"/>
    <col width="10" customWidth="1" min="283" max="283"/>
    <col width="10" customWidth="1" min="284" max="284"/>
    <col width="10" customWidth="1" min="285" max="285"/>
    <col width="10" customWidth="1" min="286" max="286"/>
    <col width="11" customWidth="1" min="287" max="287"/>
    <col width="11" customWidth="1" min="288" max="288"/>
    <col width="10" customWidth="1" min="289" max="289"/>
    <col width="11" customWidth="1" min="290" max="290"/>
    <col width="13" customWidth="1" min="291" max="291"/>
    <col width="12" customWidth="1" min="293" max="293"/>
    <col width="10" customWidth="1" min="294" max="294"/>
    <col width="10" customWidth="1" min="295" max="295"/>
    <col width="10" customWidth="1" min="296" max="296"/>
    <col width="10" customWidth="1" min="297" max="297"/>
    <col width="11" customWidth="1" min="298" max="298"/>
    <col width="11" customWidth="1" min="299" max="299"/>
    <col width="10" customWidth="1" min="300" max="300"/>
    <col width="10" customWidth="1" min="301" max="301"/>
    <col width="10" customWidth="1" min="302" max="302"/>
    <col width="10" customWidth="1" min="303" max="303"/>
    <col width="11" customWidth="1" min="304" max="304"/>
    <col width="11" customWidth="1" min="305" max="305"/>
    <col width="10" customWidth="1" min="306" max="306"/>
    <col width="11" customWidth="1" min="307" max="307"/>
    <col width="13" customWidth="1" min="308" max="308"/>
    <col width="12" customWidth="1" min="310" max="310"/>
    <col width="10" customWidth="1" min="311" max="311"/>
    <col width="10" customWidth="1" min="312" max="312"/>
    <col width="10" customWidth="1" min="313" max="313"/>
    <col width="10" customWidth="1" min="314" max="314"/>
    <col width="11" customWidth="1" min="315" max="315"/>
    <col width="11" customWidth="1" min="316" max="316"/>
    <col width="10" customWidth="1" min="317" max="317"/>
    <col width="10" customWidth="1" min="318" max="318"/>
    <col width="10" customWidth="1" min="319" max="319"/>
    <col width="10" customWidth="1" min="320" max="320"/>
    <col width="11" customWidth="1" min="321" max="321"/>
    <col width="11" customWidth="1" min="322" max="322"/>
    <col width="10" customWidth="1" min="323" max="323"/>
    <col width="11" customWidth="1" min="324" max="324"/>
    <col width="13" customWidth="1" min="325" max="325"/>
    <col width="12" customWidth="1" min="327" max="327"/>
    <col width="10" customWidth="1" min="328" max="328"/>
    <col width="10" customWidth="1" min="329" max="329"/>
    <col width="10" customWidth="1" min="330" max="330"/>
    <col width="10" customWidth="1" min="331" max="331"/>
    <col width="11" customWidth="1" min="332" max="332"/>
    <col width="11" customWidth="1" min="333" max="333"/>
    <col width="10" customWidth="1" min="334" max="334"/>
    <col width="10" customWidth="1" min="335" max="335"/>
    <col width="10" customWidth="1" min="336" max="336"/>
    <col width="10" customWidth="1" min="337" max="337"/>
    <col width="11" customWidth="1" min="338" max="338"/>
    <col width="11" customWidth="1" min="339" max="339"/>
    <col width="10" customWidth="1" min="340" max="340"/>
    <col width="11" customWidth="1" min="341" max="341"/>
    <col width="13" customWidth="1" min="342" max="342"/>
    <col width="12" customWidth="1" min="344" max="344"/>
    <col width="10" customWidth="1" min="345" max="345"/>
    <col width="10" customWidth="1" min="346" max="346"/>
    <col width="10" customWidth="1" min="347" max="347"/>
    <col width="10" customWidth="1" min="348" max="348"/>
    <col width="11" customWidth="1" min="349" max="349"/>
    <col width="11" customWidth="1" min="350" max="350"/>
    <col width="10" customWidth="1" min="351" max="351"/>
    <col width="10" customWidth="1" min="352" max="352"/>
    <col width="10" customWidth="1" min="353" max="353"/>
    <col width="10" customWidth="1" min="354" max="354"/>
    <col width="11" customWidth="1" min="355" max="355"/>
    <col width="11" customWidth="1" min="356" max="356"/>
    <col width="10" customWidth="1" min="357" max="357"/>
    <col width="11" customWidth="1" min="358" max="358"/>
    <col width="13" customWidth="1" min="359" max="359"/>
    <col width="12" customWidth="1" min="361" max="361"/>
    <col width="10" customWidth="1" min="362" max="362"/>
    <col width="10" customWidth="1" min="363" max="363"/>
    <col width="10" customWidth="1" min="364" max="364"/>
    <col width="10" customWidth="1" min="365" max="365"/>
    <col width="11" customWidth="1" min="366" max="366"/>
    <col width="11" customWidth="1" min="367" max="367"/>
    <col width="10" customWidth="1" min="368" max="368"/>
    <col width="10" customWidth="1" min="369" max="369"/>
    <col width="10" customWidth="1" min="370" max="370"/>
    <col width="10" customWidth="1" min="371" max="371"/>
    <col width="11" customWidth="1" min="372" max="372"/>
    <col width="11" customWidth="1" min="373" max="373"/>
    <col width="10" customWidth="1" min="374" max="374"/>
    <col width="11" customWidth="1" min="375" max="375"/>
    <col width="13" customWidth="1" min="376" max="376"/>
  </cols>
  <sheetData>
    <row r="1">
      <c r="A1" s="2" t="inlineStr">
        <is>
          <t>Month</t>
        </is>
      </c>
      <c r="B1" s="9" t="n">
        <v>3</v>
      </c>
      <c r="D1" s="2">
        <f>IF(ISNUMBER(B$7),"XOP US "&amp;TEXT(B$3,"mm/dd/yy")&amp;" C"&amp;(B$7-5*B$6)&amp;" Equity","")</f>
        <v/>
      </c>
      <c r="U1" s="2">
        <f>IF(ISNUMBER(B$7),"XOP US "&amp;TEXT(B$3,"mm/dd/yy")&amp;" P"&amp;(B$7-5*B$6)&amp;" Equity","")</f>
        <v/>
      </c>
      <c r="AL1" s="2">
        <f>IF(ISNUMBER(B$7),"XOP US "&amp;TEXT(B$3,"mm/dd/yy")&amp;" C"&amp;(B$7-4*B$6)&amp;" Equity","")</f>
        <v/>
      </c>
      <c r="BC1" s="2">
        <f>IF(ISNUMBER(B$7),"XOP US "&amp;TEXT(B$3,"mm/dd/yy")&amp;" P"&amp;(B$7-4*B$6)&amp;" Equity","")</f>
        <v/>
      </c>
      <c r="BT1" s="2">
        <f>IF(ISNUMBER(B$7),"XOP US "&amp;TEXT(B$3,"mm/dd/yy")&amp;" C"&amp;(B$7-3*B$6)&amp;" Equity","")</f>
        <v/>
      </c>
      <c r="CK1" s="2">
        <f>IF(ISNUMBER(B$7),"XOP US "&amp;TEXT(B$3,"mm/dd/yy")&amp;" P"&amp;(B$7-3*B$6)&amp;" Equity","")</f>
        <v/>
      </c>
      <c r="DB1" s="2">
        <f>IF(ISNUMBER(B$7),"XOP US "&amp;TEXT(B$3,"mm/dd/yy")&amp;" C"&amp;(B$7-2*B$6)&amp;" Equity","")</f>
        <v/>
      </c>
      <c r="DS1" s="2">
        <f>IF(ISNUMBER(B$7),"XOP US "&amp;TEXT(B$3,"mm/dd/yy")&amp;" P"&amp;(B$7-2*B$6)&amp;" Equity","")</f>
        <v/>
      </c>
      <c r="EJ1" s="2">
        <f>IF(ISNUMBER(B$7),"XOP US "&amp;TEXT(B$3,"mm/dd/yy")&amp;" C"&amp;(B$7-1*B$6)&amp;" Equity","")</f>
        <v/>
      </c>
      <c r="FA1" s="2">
        <f>IF(ISNUMBER(B$7),"XOP US "&amp;TEXT(B$3,"mm/dd/yy")&amp;" P"&amp;(B$7-1*B$6)&amp;" Equity","")</f>
        <v/>
      </c>
      <c r="FR1" s="2">
        <f>IF(ISNUMBER(B$7),"XOP US "&amp;TEXT(B$3,"mm/dd/yy")&amp;" C"&amp;B$7&amp;" Equity","")</f>
        <v/>
      </c>
      <c r="GI1" s="2">
        <f>IF(ISNUMBER(B$7),"XOP US "&amp;TEXT(B$3,"mm/dd/yy")&amp;" P"&amp;B$7&amp;" Equity","")</f>
        <v/>
      </c>
      <c r="GZ1" s="2">
        <f>IF(ISNUMBER(B$7),"XOP US "&amp;TEXT(B$3,"mm/dd/yy")&amp;" C"&amp;(B$7+1*B$6)&amp;" Equity","")</f>
        <v/>
      </c>
      <c r="HQ1" s="2">
        <f>IF(ISNUMBER(B$7),"XOP US "&amp;TEXT(B$3,"mm/dd/yy")&amp;" P"&amp;(B$7+1*B$6)&amp;" Equity","")</f>
        <v/>
      </c>
      <c r="IH1" s="2">
        <f>IF(ISNUMBER(B$7),"XOP US "&amp;TEXT(B$3,"mm/dd/yy")&amp;" C"&amp;(B$7+2*B$6)&amp;" Equity","")</f>
        <v/>
      </c>
      <c r="IY1" s="2">
        <f>IF(ISNUMBER(B$7),"XOP US "&amp;TEXT(B$3,"mm/dd/yy")&amp;" P"&amp;(B$7+2*B$6)&amp;" Equity","")</f>
        <v/>
      </c>
      <c r="JP1" s="2">
        <f>IF(ISNUMBER(B$7),"XOP US "&amp;TEXT(B$3,"mm/dd/yy")&amp;" C"&amp;(B$7+3*B$6)&amp;" Equity","")</f>
        <v/>
      </c>
      <c r="KG1" s="2">
        <f>IF(ISNUMBER(B$7),"XOP US "&amp;TEXT(B$3,"mm/dd/yy")&amp;" P"&amp;(B$7+3*B$6)&amp;" Equity","")</f>
        <v/>
      </c>
      <c r="KX1" s="2">
        <f>IF(ISNUMBER(B$7),"XOP US "&amp;TEXT(B$3,"mm/dd/yy")&amp;" C"&amp;(B$7+4*B$6)&amp;" Equity","")</f>
        <v/>
      </c>
      <c r="LO1" s="2">
        <f>IF(ISNUMBER(B$7),"XOP US "&amp;TEXT(B$3,"mm/dd/yy")&amp;" P"&amp;(B$7+4*B$6)&amp;" Equity","")</f>
        <v/>
      </c>
      <c r="MF1" s="2">
        <f>IF(ISNUMBER(B$7),"XOP US "&amp;TEXT(B$3,"mm/dd/yy")&amp;" C"&amp;(B$7+5*B$6)&amp;" Equity","")</f>
        <v/>
      </c>
      <c r="MW1" s="2">
        <f>IF(ISNUMBER(B$7),"XOP US "&amp;TEXT(B$3,"mm/dd/yy")&amp;" P"&amp;(B$7+5*B$6)&amp;" Equity","")</f>
        <v/>
      </c>
    </row>
    <row r="2">
      <c r="A2" s="2" t="inlineStr">
        <is>
          <t>Underlying</t>
        </is>
      </c>
      <c r="B2" s="4">
        <f>IF(Settings!$B$17="Y","XOP US Equity","")</f>
        <v/>
      </c>
      <c r="D2" s="4" t="inlineStr">
        <is>
          <t>call -5 from ATM</t>
        </is>
      </c>
      <c r="U2" s="4" t="inlineStr">
        <is>
          <t>put -5 from ATM</t>
        </is>
      </c>
      <c r="AL2" s="4" t="inlineStr">
        <is>
          <t>call -4 from ATM</t>
        </is>
      </c>
      <c r="BC2" s="4" t="inlineStr">
        <is>
          <t>put -4 from ATM</t>
        </is>
      </c>
      <c r="BT2" s="4" t="inlineStr">
        <is>
          <t>call -3 from ATM</t>
        </is>
      </c>
      <c r="CK2" s="4" t="inlineStr">
        <is>
          <t>put -3 from ATM</t>
        </is>
      </c>
      <c r="DB2" s="4" t="inlineStr">
        <is>
          <t>call -2 from ATM</t>
        </is>
      </c>
      <c r="DS2" s="4" t="inlineStr">
        <is>
          <t>put -2 from ATM</t>
        </is>
      </c>
      <c r="EJ2" s="4" t="inlineStr">
        <is>
          <t>call -1 from ATM</t>
        </is>
      </c>
      <c r="FA2" s="4" t="inlineStr">
        <is>
          <t>put -1 from ATM</t>
        </is>
      </c>
      <c r="FR2" s="4" t="inlineStr">
        <is>
          <t>call +0 from ATM</t>
        </is>
      </c>
      <c r="GI2" s="4" t="inlineStr">
        <is>
          <t>put +0 from ATM</t>
        </is>
      </c>
      <c r="GZ2" s="4" t="inlineStr">
        <is>
          <t>call +1 from ATM</t>
        </is>
      </c>
      <c r="HQ2" s="4" t="inlineStr">
        <is>
          <t>put +1 from ATM</t>
        </is>
      </c>
      <c r="IH2" s="4" t="inlineStr">
        <is>
          <t>call +2 from ATM</t>
        </is>
      </c>
      <c r="IY2" s="4" t="inlineStr">
        <is>
          <t>put +2 from ATM</t>
        </is>
      </c>
      <c r="JP2" s="4" t="inlineStr">
        <is>
          <t>call +3 from ATM</t>
        </is>
      </c>
      <c r="KG2" s="4" t="inlineStr">
        <is>
          <t>put +3 from ATM</t>
        </is>
      </c>
      <c r="KX2" s="4" t="inlineStr">
        <is>
          <t>call +4 from ATM</t>
        </is>
      </c>
      <c r="LO2" s="4" t="inlineStr">
        <is>
          <t>put +4 from ATM</t>
        </is>
      </c>
      <c r="MF2" s="4" t="inlineStr">
        <is>
          <t>call +5 from ATM</t>
        </is>
      </c>
      <c r="MW2" s="4" t="inlineStr">
        <is>
          <t>put +5 from ATM</t>
        </is>
      </c>
    </row>
    <row r="3">
      <c r="A3" s="2" t="inlineStr">
        <is>
          <t>Expiry (3rd Friday)</t>
        </is>
      </c>
      <c r="B3" s="3">
        <f>DATE(Settings!$E$17,B1,15)+MOD(6-WEEKDAY(DATE(Settings!$E$17,B1,15)),7)</f>
        <v/>
      </c>
      <c r="D3" s="5" t="inlineStr">
        <is>
          <t>Date</t>
        </is>
      </c>
      <c r="E3" s="5" t="inlineStr">
        <is>
          <t>PX_BID</t>
        </is>
      </c>
      <c r="F3" s="5" t="inlineStr">
        <is>
          <t>PX_ASK</t>
        </is>
      </c>
      <c r="G3" s="5" t="inlineStr">
        <is>
          <t>PX_MID</t>
        </is>
      </c>
      <c r="H3" s="5" t="inlineStr">
        <is>
          <t>PX_LAST</t>
        </is>
      </c>
      <c r="I3" s="5" t="inlineStr">
        <is>
          <t>PX_SETTLE</t>
        </is>
      </c>
      <c r="J3" s="5" t="inlineStr">
        <is>
          <t>PX_VOLUME</t>
        </is>
      </c>
      <c r="K3" s="5" t="inlineStr">
        <is>
          <t>OPEN_INT</t>
        </is>
      </c>
      <c r="L3" s="5" t="inlineStr">
        <is>
          <t>IVOL_MID</t>
        </is>
      </c>
      <c r="M3" s="5" t="inlineStr">
        <is>
          <t>IVOL_BID</t>
        </is>
      </c>
      <c r="N3" s="5" t="inlineStr">
        <is>
          <t>IVOL_ASK</t>
        </is>
      </c>
      <c r="O3" s="5" t="inlineStr">
        <is>
          <t>DELTA_MID</t>
        </is>
      </c>
      <c r="P3" s="5" t="inlineStr">
        <is>
          <t>GAMMA_MID</t>
        </is>
      </c>
      <c r="Q3" s="5" t="inlineStr">
        <is>
          <t>VEGA_MID</t>
        </is>
      </c>
      <c r="R3" s="5" t="inlineStr">
        <is>
          <t>THETA_MID</t>
        </is>
      </c>
      <c r="S3" s="5" t="inlineStr">
        <is>
          <t>OPT_UNDL_PX</t>
        </is>
      </c>
      <c r="U3" s="5" t="inlineStr">
        <is>
          <t>Date</t>
        </is>
      </c>
      <c r="V3" s="5" t="inlineStr">
        <is>
          <t>PX_BID</t>
        </is>
      </c>
      <c r="W3" s="5" t="inlineStr">
        <is>
          <t>PX_ASK</t>
        </is>
      </c>
      <c r="X3" s="5" t="inlineStr">
        <is>
          <t>PX_MID</t>
        </is>
      </c>
      <c r="Y3" s="5" t="inlineStr">
        <is>
          <t>PX_LAST</t>
        </is>
      </c>
      <c r="Z3" s="5" t="inlineStr">
        <is>
          <t>PX_SETTLE</t>
        </is>
      </c>
      <c r="AA3" s="5" t="inlineStr">
        <is>
          <t>PX_VOLUME</t>
        </is>
      </c>
      <c r="AB3" s="5" t="inlineStr">
        <is>
          <t>OPEN_INT</t>
        </is>
      </c>
      <c r="AC3" s="5" t="inlineStr">
        <is>
          <t>IVOL_MID</t>
        </is>
      </c>
      <c r="AD3" s="5" t="inlineStr">
        <is>
          <t>IVOL_BID</t>
        </is>
      </c>
      <c r="AE3" s="5" t="inlineStr">
        <is>
          <t>IVOL_ASK</t>
        </is>
      </c>
      <c r="AF3" s="5" t="inlineStr">
        <is>
          <t>DELTA_MID</t>
        </is>
      </c>
      <c r="AG3" s="5" t="inlineStr">
        <is>
          <t>GAMMA_MID</t>
        </is>
      </c>
      <c r="AH3" s="5" t="inlineStr">
        <is>
          <t>VEGA_MID</t>
        </is>
      </c>
      <c r="AI3" s="5" t="inlineStr">
        <is>
          <t>THETA_MID</t>
        </is>
      </c>
      <c r="AJ3" s="5" t="inlineStr">
        <is>
          <t>OPT_UNDL_PX</t>
        </is>
      </c>
      <c r="AL3" s="5" t="inlineStr">
        <is>
          <t>Date</t>
        </is>
      </c>
      <c r="AM3" s="5" t="inlineStr">
        <is>
          <t>PX_BID</t>
        </is>
      </c>
      <c r="AN3" s="5" t="inlineStr">
        <is>
          <t>PX_ASK</t>
        </is>
      </c>
      <c r="AO3" s="5" t="inlineStr">
        <is>
          <t>PX_MID</t>
        </is>
      </c>
      <c r="AP3" s="5" t="inlineStr">
        <is>
          <t>PX_LAST</t>
        </is>
      </c>
      <c r="AQ3" s="5" t="inlineStr">
        <is>
          <t>PX_SETTLE</t>
        </is>
      </c>
      <c r="AR3" s="5" t="inlineStr">
        <is>
          <t>PX_VOLUME</t>
        </is>
      </c>
      <c r="AS3" s="5" t="inlineStr">
        <is>
          <t>OPEN_INT</t>
        </is>
      </c>
      <c r="AT3" s="5" t="inlineStr">
        <is>
          <t>IVOL_MID</t>
        </is>
      </c>
      <c r="AU3" s="5" t="inlineStr">
        <is>
          <t>IVOL_BID</t>
        </is>
      </c>
      <c r="AV3" s="5" t="inlineStr">
        <is>
          <t>IVOL_ASK</t>
        </is>
      </c>
      <c r="AW3" s="5" t="inlineStr">
        <is>
          <t>DELTA_MID</t>
        </is>
      </c>
      <c r="AX3" s="5" t="inlineStr">
        <is>
          <t>GAMMA_MID</t>
        </is>
      </c>
      <c r="AY3" s="5" t="inlineStr">
        <is>
          <t>VEGA_MID</t>
        </is>
      </c>
      <c r="AZ3" s="5" t="inlineStr">
        <is>
          <t>THETA_MID</t>
        </is>
      </c>
      <c r="BA3" s="5" t="inlineStr">
        <is>
          <t>OPT_UNDL_PX</t>
        </is>
      </c>
      <c r="BC3" s="5" t="inlineStr">
        <is>
          <t>Date</t>
        </is>
      </c>
      <c r="BD3" s="5" t="inlineStr">
        <is>
          <t>PX_BID</t>
        </is>
      </c>
      <c r="BE3" s="5" t="inlineStr">
        <is>
          <t>PX_ASK</t>
        </is>
      </c>
      <c r="BF3" s="5" t="inlineStr">
        <is>
          <t>PX_MID</t>
        </is>
      </c>
      <c r="BG3" s="5" t="inlineStr">
        <is>
          <t>PX_LAST</t>
        </is>
      </c>
      <c r="BH3" s="5" t="inlineStr">
        <is>
          <t>PX_SETTLE</t>
        </is>
      </c>
      <c r="BI3" s="5" t="inlineStr">
        <is>
          <t>PX_VOLUME</t>
        </is>
      </c>
      <c r="BJ3" s="5" t="inlineStr">
        <is>
          <t>OPEN_INT</t>
        </is>
      </c>
      <c r="BK3" s="5" t="inlineStr">
        <is>
          <t>IVOL_MID</t>
        </is>
      </c>
      <c r="BL3" s="5" t="inlineStr">
        <is>
          <t>IVOL_BID</t>
        </is>
      </c>
      <c r="BM3" s="5" t="inlineStr">
        <is>
          <t>IVOL_ASK</t>
        </is>
      </c>
      <c r="BN3" s="5" t="inlineStr">
        <is>
          <t>DELTA_MID</t>
        </is>
      </c>
      <c r="BO3" s="5" t="inlineStr">
        <is>
          <t>GAMMA_MID</t>
        </is>
      </c>
      <c r="BP3" s="5" t="inlineStr">
        <is>
          <t>VEGA_MID</t>
        </is>
      </c>
      <c r="BQ3" s="5" t="inlineStr">
        <is>
          <t>THETA_MID</t>
        </is>
      </c>
      <c r="BR3" s="5" t="inlineStr">
        <is>
          <t>OPT_UNDL_PX</t>
        </is>
      </c>
      <c r="BT3" s="5" t="inlineStr">
        <is>
          <t>Date</t>
        </is>
      </c>
      <c r="BU3" s="5" t="inlineStr">
        <is>
          <t>PX_BID</t>
        </is>
      </c>
      <c r="BV3" s="5" t="inlineStr">
        <is>
          <t>PX_ASK</t>
        </is>
      </c>
      <c r="BW3" s="5" t="inlineStr">
        <is>
          <t>PX_MID</t>
        </is>
      </c>
      <c r="BX3" s="5" t="inlineStr">
        <is>
          <t>PX_LAST</t>
        </is>
      </c>
      <c r="BY3" s="5" t="inlineStr">
        <is>
          <t>PX_SETTLE</t>
        </is>
      </c>
      <c r="BZ3" s="5" t="inlineStr">
        <is>
          <t>PX_VOLUME</t>
        </is>
      </c>
      <c r="CA3" s="5" t="inlineStr">
        <is>
          <t>OPEN_INT</t>
        </is>
      </c>
      <c r="CB3" s="5" t="inlineStr">
        <is>
          <t>IVOL_MID</t>
        </is>
      </c>
      <c r="CC3" s="5" t="inlineStr">
        <is>
          <t>IVOL_BID</t>
        </is>
      </c>
      <c r="CD3" s="5" t="inlineStr">
        <is>
          <t>IVOL_ASK</t>
        </is>
      </c>
      <c r="CE3" s="5" t="inlineStr">
        <is>
          <t>DELTA_MID</t>
        </is>
      </c>
      <c r="CF3" s="5" t="inlineStr">
        <is>
          <t>GAMMA_MID</t>
        </is>
      </c>
      <c r="CG3" s="5" t="inlineStr">
        <is>
          <t>VEGA_MID</t>
        </is>
      </c>
      <c r="CH3" s="5" t="inlineStr">
        <is>
          <t>THETA_MID</t>
        </is>
      </c>
      <c r="CI3" s="5" t="inlineStr">
        <is>
          <t>OPT_UNDL_PX</t>
        </is>
      </c>
      <c r="CK3" s="5" t="inlineStr">
        <is>
          <t>Date</t>
        </is>
      </c>
      <c r="CL3" s="5" t="inlineStr">
        <is>
          <t>PX_BID</t>
        </is>
      </c>
      <c r="CM3" s="5" t="inlineStr">
        <is>
          <t>PX_ASK</t>
        </is>
      </c>
      <c r="CN3" s="5" t="inlineStr">
        <is>
          <t>PX_MID</t>
        </is>
      </c>
      <c r="CO3" s="5" t="inlineStr">
        <is>
          <t>PX_LAST</t>
        </is>
      </c>
      <c r="CP3" s="5" t="inlineStr">
        <is>
          <t>PX_SETTLE</t>
        </is>
      </c>
      <c r="CQ3" s="5" t="inlineStr">
        <is>
          <t>PX_VOLUME</t>
        </is>
      </c>
      <c r="CR3" s="5" t="inlineStr">
        <is>
          <t>OPEN_INT</t>
        </is>
      </c>
      <c r="CS3" s="5" t="inlineStr">
        <is>
          <t>IVOL_MID</t>
        </is>
      </c>
      <c r="CT3" s="5" t="inlineStr">
        <is>
          <t>IVOL_BID</t>
        </is>
      </c>
      <c r="CU3" s="5" t="inlineStr">
        <is>
          <t>IVOL_ASK</t>
        </is>
      </c>
      <c r="CV3" s="5" t="inlineStr">
        <is>
          <t>DELTA_MID</t>
        </is>
      </c>
      <c r="CW3" s="5" t="inlineStr">
        <is>
          <t>GAMMA_MID</t>
        </is>
      </c>
      <c r="CX3" s="5" t="inlineStr">
        <is>
          <t>VEGA_MID</t>
        </is>
      </c>
      <c r="CY3" s="5" t="inlineStr">
        <is>
          <t>THETA_MID</t>
        </is>
      </c>
      <c r="CZ3" s="5" t="inlineStr">
        <is>
          <t>OPT_UNDL_PX</t>
        </is>
      </c>
      <c r="DB3" s="5" t="inlineStr">
        <is>
          <t>Date</t>
        </is>
      </c>
      <c r="DC3" s="5" t="inlineStr">
        <is>
          <t>PX_BID</t>
        </is>
      </c>
      <c r="DD3" s="5" t="inlineStr">
        <is>
          <t>PX_ASK</t>
        </is>
      </c>
      <c r="DE3" s="5" t="inlineStr">
        <is>
          <t>PX_MID</t>
        </is>
      </c>
      <c r="DF3" s="5" t="inlineStr">
        <is>
          <t>PX_LAST</t>
        </is>
      </c>
      <c r="DG3" s="5" t="inlineStr">
        <is>
          <t>PX_SETTLE</t>
        </is>
      </c>
      <c r="DH3" s="5" t="inlineStr">
        <is>
          <t>PX_VOLUME</t>
        </is>
      </c>
      <c r="DI3" s="5" t="inlineStr">
        <is>
          <t>OPEN_INT</t>
        </is>
      </c>
      <c r="DJ3" s="5" t="inlineStr">
        <is>
          <t>IVOL_MID</t>
        </is>
      </c>
      <c r="DK3" s="5" t="inlineStr">
        <is>
          <t>IVOL_BID</t>
        </is>
      </c>
      <c r="DL3" s="5" t="inlineStr">
        <is>
          <t>IVOL_ASK</t>
        </is>
      </c>
      <c r="DM3" s="5" t="inlineStr">
        <is>
          <t>DELTA_MID</t>
        </is>
      </c>
      <c r="DN3" s="5" t="inlineStr">
        <is>
          <t>GAMMA_MID</t>
        </is>
      </c>
      <c r="DO3" s="5" t="inlineStr">
        <is>
          <t>VEGA_MID</t>
        </is>
      </c>
      <c r="DP3" s="5" t="inlineStr">
        <is>
          <t>THETA_MID</t>
        </is>
      </c>
      <c r="DQ3" s="5" t="inlineStr">
        <is>
          <t>OPT_UNDL_PX</t>
        </is>
      </c>
      <c r="DS3" s="5" t="inlineStr">
        <is>
          <t>Date</t>
        </is>
      </c>
      <c r="DT3" s="5" t="inlineStr">
        <is>
          <t>PX_BID</t>
        </is>
      </c>
      <c r="DU3" s="5" t="inlineStr">
        <is>
          <t>PX_ASK</t>
        </is>
      </c>
      <c r="DV3" s="5" t="inlineStr">
        <is>
          <t>PX_MID</t>
        </is>
      </c>
      <c r="DW3" s="5" t="inlineStr">
        <is>
          <t>PX_LAST</t>
        </is>
      </c>
      <c r="DX3" s="5" t="inlineStr">
        <is>
          <t>PX_SETTLE</t>
        </is>
      </c>
      <c r="DY3" s="5" t="inlineStr">
        <is>
          <t>PX_VOLUME</t>
        </is>
      </c>
      <c r="DZ3" s="5" t="inlineStr">
        <is>
          <t>OPEN_INT</t>
        </is>
      </c>
      <c r="EA3" s="5" t="inlineStr">
        <is>
          <t>IVOL_MID</t>
        </is>
      </c>
      <c r="EB3" s="5" t="inlineStr">
        <is>
          <t>IVOL_BID</t>
        </is>
      </c>
      <c r="EC3" s="5" t="inlineStr">
        <is>
          <t>IVOL_ASK</t>
        </is>
      </c>
      <c r="ED3" s="5" t="inlineStr">
        <is>
          <t>DELTA_MID</t>
        </is>
      </c>
      <c r="EE3" s="5" t="inlineStr">
        <is>
          <t>GAMMA_MID</t>
        </is>
      </c>
      <c r="EF3" s="5" t="inlineStr">
        <is>
          <t>VEGA_MID</t>
        </is>
      </c>
      <c r="EG3" s="5" t="inlineStr">
        <is>
          <t>THETA_MID</t>
        </is>
      </c>
      <c r="EH3" s="5" t="inlineStr">
        <is>
          <t>OPT_UNDL_PX</t>
        </is>
      </c>
      <c r="EJ3" s="5" t="inlineStr">
        <is>
          <t>Date</t>
        </is>
      </c>
      <c r="EK3" s="5" t="inlineStr">
        <is>
          <t>PX_BID</t>
        </is>
      </c>
      <c r="EL3" s="5" t="inlineStr">
        <is>
          <t>PX_ASK</t>
        </is>
      </c>
      <c r="EM3" s="5" t="inlineStr">
        <is>
          <t>PX_MID</t>
        </is>
      </c>
      <c r="EN3" s="5" t="inlineStr">
        <is>
          <t>PX_LAST</t>
        </is>
      </c>
      <c r="EO3" s="5" t="inlineStr">
        <is>
          <t>PX_SETTLE</t>
        </is>
      </c>
      <c r="EP3" s="5" t="inlineStr">
        <is>
          <t>PX_VOLUME</t>
        </is>
      </c>
      <c r="EQ3" s="5" t="inlineStr">
        <is>
          <t>OPEN_INT</t>
        </is>
      </c>
      <c r="ER3" s="5" t="inlineStr">
        <is>
          <t>IVOL_MID</t>
        </is>
      </c>
      <c r="ES3" s="5" t="inlineStr">
        <is>
          <t>IVOL_BID</t>
        </is>
      </c>
      <c r="ET3" s="5" t="inlineStr">
        <is>
          <t>IVOL_ASK</t>
        </is>
      </c>
      <c r="EU3" s="5" t="inlineStr">
        <is>
          <t>DELTA_MID</t>
        </is>
      </c>
      <c r="EV3" s="5" t="inlineStr">
        <is>
          <t>GAMMA_MID</t>
        </is>
      </c>
      <c r="EW3" s="5" t="inlineStr">
        <is>
          <t>VEGA_MID</t>
        </is>
      </c>
      <c r="EX3" s="5" t="inlineStr">
        <is>
          <t>THETA_MID</t>
        </is>
      </c>
      <c r="EY3" s="5" t="inlineStr">
        <is>
          <t>OPT_UNDL_PX</t>
        </is>
      </c>
      <c r="FA3" s="5" t="inlineStr">
        <is>
          <t>Date</t>
        </is>
      </c>
      <c r="FB3" s="5" t="inlineStr">
        <is>
          <t>PX_BID</t>
        </is>
      </c>
      <c r="FC3" s="5" t="inlineStr">
        <is>
          <t>PX_ASK</t>
        </is>
      </c>
      <c r="FD3" s="5" t="inlineStr">
        <is>
          <t>PX_MID</t>
        </is>
      </c>
      <c r="FE3" s="5" t="inlineStr">
        <is>
          <t>PX_LAST</t>
        </is>
      </c>
      <c r="FF3" s="5" t="inlineStr">
        <is>
          <t>PX_SETTLE</t>
        </is>
      </c>
      <c r="FG3" s="5" t="inlineStr">
        <is>
          <t>PX_VOLUME</t>
        </is>
      </c>
      <c r="FH3" s="5" t="inlineStr">
        <is>
          <t>OPEN_INT</t>
        </is>
      </c>
      <c r="FI3" s="5" t="inlineStr">
        <is>
          <t>IVOL_MID</t>
        </is>
      </c>
      <c r="FJ3" s="5" t="inlineStr">
        <is>
          <t>IVOL_BID</t>
        </is>
      </c>
      <c r="FK3" s="5" t="inlineStr">
        <is>
          <t>IVOL_ASK</t>
        </is>
      </c>
      <c r="FL3" s="5" t="inlineStr">
        <is>
          <t>DELTA_MID</t>
        </is>
      </c>
      <c r="FM3" s="5" t="inlineStr">
        <is>
          <t>GAMMA_MID</t>
        </is>
      </c>
      <c r="FN3" s="5" t="inlineStr">
        <is>
          <t>VEGA_MID</t>
        </is>
      </c>
      <c r="FO3" s="5" t="inlineStr">
        <is>
          <t>THETA_MID</t>
        </is>
      </c>
      <c r="FP3" s="5" t="inlineStr">
        <is>
          <t>OPT_UNDL_PX</t>
        </is>
      </c>
      <c r="FR3" s="5" t="inlineStr">
        <is>
          <t>Date</t>
        </is>
      </c>
      <c r="FS3" s="5" t="inlineStr">
        <is>
          <t>PX_BID</t>
        </is>
      </c>
      <c r="FT3" s="5" t="inlineStr">
        <is>
          <t>PX_ASK</t>
        </is>
      </c>
      <c r="FU3" s="5" t="inlineStr">
        <is>
          <t>PX_MID</t>
        </is>
      </c>
      <c r="FV3" s="5" t="inlineStr">
        <is>
          <t>PX_LAST</t>
        </is>
      </c>
      <c r="FW3" s="5" t="inlineStr">
        <is>
          <t>PX_SETTLE</t>
        </is>
      </c>
      <c r="FX3" s="5" t="inlineStr">
        <is>
          <t>PX_VOLUME</t>
        </is>
      </c>
      <c r="FY3" s="5" t="inlineStr">
        <is>
          <t>OPEN_INT</t>
        </is>
      </c>
      <c r="FZ3" s="5" t="inlineStr">
        <is>
          <t>IVOL_MID</t>
        </is>
      </c>
      <c r="GA3" s="5" t="inlineStr">
        <is>
          <t>IVOL_BID</t>
        </is>
      </c>
      <c r="GB3" s="5" t="inlineStr">
        <is>
          <t>IVOL_ASK</t>
        </is>
      </c>
      <c r="GC3" s="5" t="inlineStr">
        <is>
          <t>DELTA_MID</t>
        </is>
      </c>
      <c r="GD3" s="5" t="inlineStr">
        <is>
          <t>GAMMA_MID</t>
        </is>
      </c>
      <c r="GE3" s="5" t="inlineStr">
        <is>
          <t>VEGA_MID</t>
        </is>
      </c>
      <c r="GF3" s="5" t="inlineStr">
        <is>
          <t>THETA_MID</t>
        </is>
      </c>
      <c r="GG3" s="5" t="inlineStr">
        <is>
          <t>OPT_UNDL_PX</t>
        </is>
      </c>
      <c r="GI3" s="5" t="inlineStr">
        <is>
          <t>Date</t>
        </is>
      </c>
      <c r="GJ3" s="5" t="inlineStr">
        <is>
          <t>PX_BID</t>
        </is>
      </c>
      <c r="GK3" s="5" t="inlineStr">
        <is>
          <t>PX_ASK</t>
        </is>
      </c>
      <c r="GL3" s="5" t="inlineStr">
        <is>
          <t>PX_MID</t>
        </is>
      </c>
      <c r="GM3" s="5" t="inlineStr">
        <is>
          <t>PX_LAST</t>
        </is>
      </c>
      <c r="GN3" s="5" t="inlineStr">
        <is>
          <t>PX_SETTLE</t>
        </is>
      </c>
      <c r="GO3" s="5" t="inlineStr">
        <is>
          <t>PX_VOLUME</t>
        </is>
      </c>
      <c r="GP3" s="5" t="inlineStr">
        <is>
          <t>OPEN_INT</t>
        </is>
      </c>
      <c r="GQ3" s="5" t="inlineStr">
        <is>
          <t>IVOL_MID</t>
        </is>
      </c>
      <c r="GR3" s="5" t="inlineStr">
        <is>
          <t>IVOL_BID</t>
        </is>
      </c>
      <c r="GS3" s="5" t="inlineStr">
        <is>
          <t>IVOL_ASK</t>
        </is>
      </c>
      <c r="GT3" s="5" t="inlineStr">
        <is>
          <t>DELTA_MID</t>
        </is>
      </c>
      <c r="GU3" s="5" t="inlineStr">
        <is>
          <t>GAMMA_MID</t>
        </is>
      </c>
      <c r="GV3" s="5" t="inlineStr">
        <is>
          <t>VEGA_MID</t>
        </is>
      </c>
      <c r="GW3" s="5" t="inlineStr">
        <is>
          <t>THETA_MID</t>
        </is>
      </c>
      <c r="GX3" s="5" t="inlineStr">
        <is>
          <t>OPT_UNDL_PX</t>
        </is>
      </c>
      <c r="GZ3" s="5" t="inlineStr">
        <is>
          <t>Date</t>
        </is>
      </c>
      <c r="HA3" s="5" t="inlineStr">
        <is>
          <t>PX_BID</t>
        </is>
      </c>
      <c r="HB3" s="5" t="inlineStr">
        <is>
          <t>PX_ASK</t>
        </is>
      </c>
      <c r="HC3" s="5" t="inlineStr">
        <is>
          <t>PX_MID</t>
        </is>
      </c>
      <c r="HD3" s="5" t="inlineStr">
        <is>
          <t>PX_LAST</t>
        </is>
      </c>
      <c r="HE3" s="5" t="inlineStr">
        <is>
          <t>PX_SETTLE</t>
        </is>
      </c>
      <c r="HF3" s="5" t="inlineStr">
        <is>
          <t>PX_VOLUME</t>
        </is>
      </c>
      <c r="HG3" s="5" t="inlineStr">
        <is>
          <t>OPEN_INT</t>
        </is>
      </c>
      <c r="HH3" s="5" t="inlineStr">
        <is>
          <t>IVOL_MID</t>
        </is>
      </c>
      <c r="HI3" s="5" t="inlineStr">
        <is>
          <t>IVOL_BID</t>
        </is>
      </c>
      <c r="HJ3" s="5" t="inlineStr">
        <is>
          <t>IVOL_ASK</t>
        </is>
      </c>
      <c r="HK3" s="5" t="inlineStr">
        <is>
          <t>DELTA_MID</t>
        </is>
      </c>
      <c r="HL3" s="5" t="inlineStr">
        <is>
          <t>GAMMA_MID</t>
        </is>
      </c>
      <c r="HM3" s="5" t="inlineStr">
        <is>
          <t>VEGA_MID</t>
        </is>
      </c>
      <c r="HN3" s="5" t="inlineStr">
        <is>
          <t>THETA_MID</t>
        </is>
      </c>
      <c r="HO3" s="5" t="inlineStr">
        <is>
          <t>OPT_UNDL_PX</t>
        </is>
      </c>
      <c r="HQ3" s="5" t="inlineStr">
        <is>
          <t>Date</t>
        </is>
      </c>
      <c r="HR3" s="5" t="inlineStr">
        <is>
          <t>PX_BID</t>
        </is>
      </c>
      <c r="HS3" s="5" t="inlineStr">
        <is>
          <t>PX_ASK</t>
        </is>
      </c>
      <c r="HT3" s="5" t="inlineStr">
        <is>
          <t>PX_MID</t>
        </is>
      </c>
      <c r="HU3" s="5" t="inlineStr">
        <is>
          <t>PX_LAST</t>
        </is>
      </c>
      <c r="HV3" s="5" t="inlineStr">
        <is>
          <t>PX_SETTLE</t>
        </is>
      </c>
      <c r="HW3" s="5" t="inlineStr">
        <is>
          <t>PX_VOLUME</t>
        </is>
      </c>
      <c r="HX3" s="5" t="inlineStr">
        <is>
          <t>OPEN_INT</t>
        </is>
      </c>
      <c r="HY3" s="5" t="inlineStr">
        <is>
          <t>IVOL_MID</t>
        </is>
      </c>
      <c r="HZ3" s="5" t="inlineStr">
        <is>
          <t>IVOL_BID</t>
        </is>
      </c>
      <c r="IA3" s="5" t="inlineStr">
        <is>
          <t>IVOL_ASK</t>
        </is>
      </c>
      <c r="IB3" s="5" t="inlineStr">
        <is>
          <t>DELTA_MID</t>
        </is>
      </c>
      <c r="IC3" s="5" t="inlineStr">
        <is>
          <t>GAMMA_MID</t>
        </is>
      </c>
      <c r="ID3" s="5" t="inlineStr">
        <is>
          <t>VEGA_MID</t>
        </is>
      </c>
      <c r="IE3" s="5" t="inlineStr">
        <is>
          <t>THETA_MID</t>
        </is>
      </c>
      <c r="IF3" s="5" t="inlineStr">
        <is>
          <t>OPT_UNDL_PX</t>
        </is>
      </c>
      <c r="IH3" s="5" t="inlineStr">
        <is>
          <t>Date</t>
        </is>
      </c>
      <c r="II3" s="5" t="inlineStr">
        <is>
          <t>PX_BID</t>
        </is>
      </c>
      <c r="IJ3" s="5" t="inlineStr">
        <is>
          <t>PX_ASK</t>
        </is>
      </c>
      <c r="IK3" s="5" t="inlineStr">
        <is>
          <t>PX_MID</t>
        </is>
      </c>
      <c r="IL3" s="5" t="inlineStr">
        <is>
          <t>PX_LAST</t>
        </is>
      </c>
      <c r="IM3" s="5" t="inlineStr">
        <is>
          <t>PX_SETTLE</t>
        </is>
      </c>
      <c r="IN3" s="5" t="inlineStr">
        <is>
          <t>PX_VOLUME</t>
        </is>
      </c>
      <c r="IO3" s="5" t="inlineStr">
        <is>
          <t>OPEN_INT</t>
        </is>
      </c>
      <c r="IP3" s="5" t="inlineStr">
        <is>
          <t>IVOL_MID</t>
        </is>
      </c>
      <c r="IQ3" s="5" t="inlineStr">
        <is>
          <t>IVOL_BID</t>
        </is>
      </c>
      <c r="IR3" s="5" t="inlineStr">
        <is>
          <t>IVOL_ASK</t>
        </is>
      </c>
      <c r="IS3" s="5" t="inlineStr">
        <is>
          <t>DELTA_MID</t>
        </is>
      </c>
      <c r="IT3" s="5" t="inlineStr">
        <is>
          <t>GAMMA_MID</t>
        </is>
      </c>
      <c r="IU3" s="5" t="inlineStr">
        <is>
          <t>VEGA_MID</t>
        </is>
      </c>
      <c r="IV3" s="5" t="inlineStr">
        <is>
          <t>THETA_MID</t>
        </is>
      </c>
      <c r="IW3" s="5" t="inlineStr">
        <is>
          <t>OPT_UNDL_PX</t>
        </is>
      </c>
      <c r="IY3" s="5" t="inlineStr">
        <is>
          <t>Date</t>
        </is>
      </c>
      <c r="IZ3" s="5" t="inlineStr">
        <is>
          <t>PX_BID</t>
        </is>
      </c>
      <c r="JA3" s="5" t="inlineStr">
        <is>
          <t>PX_ASK</t>
        </is>
      </c>
      <c r="JB3" s="5" t="inlineStr">
        <is>
          <t>PX_MID</t>
        </is>
      </c>
      <c r="JC3" s="5" t="inlineStr">
        <is>
          <t>PX_LAST</t>
        </is>
      </c>
      <c r="JD3" s="5" t="inlineStr">
        <is>
          <t>PX_SETTLE</t>
        </is>
      </c>
      <c r="JE3" s="5" t="inlineStr">
        <is>
          <t>PX_VOLUME</t>
        </is>
      </c>
      <c r="JF3" s="5" t="inlineStr">
        <is>
          <t>OPEN_INT</t>
        </is>
      </c>
      <c r="JG3" s="5" t="inlineStr">
        <is>
          <t>IVOL_MID</t>
        </is>
      </c>
      <c r="JH3" s="5" t="inlineStr">
        <is>
          <t>IVOL_BID</t>
        </is>
      </c>
      <c r="JI3" s="5" t="inlineStr">
        <is>
          <t>IVOL_ASK</t>
        </is>
      </c>
      <c r="JJ3" s="5" t="inlineStr">
        <is>
          <t>DELTA_MID</t>
        </is>
      </c>
      <c r="JK3" s="5" t="inlineStr">
        <is>
          <t>GAMMA_MID</t>
        </is>
      </c>
      <c r="JL3" s="5" t="inlineStr">
        <is>
          <t>VEGA_MID</t>
        </is>
      </c>
      <c r="JM3" s="5" t="inlineStr">
        <is>
          <t>THETA_MID</t>
        </is>
      </c>
      <c r="JN3" s="5" t="inlineStr">
        <is>
          <t>OPT_UNDL_PX</t>
        </is>
      </c>
      <c r="JP3" s="5" t="inlineStr">
        <is>
          <t>Date</t>
        </is>
      </c>
      <c r="JQ3" s="5" t="inlineStr">
        <is>
          <t>PX_BID</t>
        </is>
      </c>
      <c r="JR3" s="5" t="inlineStr">
        <is>
          <t>PX_ASK</t>
        </is>
      </c>
      <c r="JS3" s="5" t="inlineStr">
        <is>
          <t>PX_MID</t>
        </is>
      </c>
      <c r="JT3" s="5" t="inlineStr">
        <is>
          <t>PX_LAST</t>
        </is>
      </c>
      <c r="JU3" s="5" t="inlineStr">
        <is>
          <t>PX_SETTLE</t>
        </is>
      </c>
      <c r="JV3" s="5" t="inlineStr">
        <is>
          <t>PX_VOLUME</t>
        </is>
      </c>
      <c r="JW3" s="5" t="inlineStr">
        <is>
          <t>OPEN_INT</t>
        </is>
      </c>
      <c r="JX3" s="5" t="inlineStr">
        <is>
          <t>IVOL_MID</t>
        </is>
      </c>
      <c r="JY3" s="5" t="inlineStr">
        <is>
          <t>IVOL_BID</t>
        </is>
      </c>
      <c r="JZ3" s="5" t="inlineStr">
        <is>
          <t>IVOL_ASK</t>
        </is>
      </c>
      <c r="KA3" s="5" t="inlineStr">
        <is>
          <t>DELTA_MID</t>
        </is>
      </c>
      <c r="KB3" s="5" t="inlineStr">
        <is>
          <t>GAMMA_MID</t>
        </is>
      </c>
      <c r="KC3" s="5" t="inlineStr">
        <is>
          <t>VEGA_MID</t>
        </is>
      </c>
      <c r="KD3" s="5" t="inlineStr">
        <is>
          <t>THETA_MID</t>
        </is>
      </c>
      <c r="KE3" s="5" t="inlineStr">
        <is>
          <t>OPT_UNDL_PX</t>
        </is>
      </c>
      <c r="KG3" s="5" t="inlineStr">
        <is>
          <t>Date</t>
        </is>
      </c>
      <c r="KH3" s="5" t="inlineStr">
        <is>
          <t>PX_BID</t>
        </is>
      </c>
      <c r="KI3" s="5" t="inlineStr">
        <is>
          <t>PX_ASK</t>
        </is>
      </c>
      <c r="KJ3" s="5" t="inlineStr">
        <is>
          <t>PX_MID</t>
        </is>
      </c>
      <c r="KK3" s="5" t="inlineStr">
        <is>
          <t>PX_LAST</t>
        </is>
      </c>
      <c r="KL3" s="5" t="inlineStr">
        <is>
          <t>PX_SETTLE</t>
        </is>
      </c>
      <c r="KM3" s="5" t="inlineStr">
        <is>
          <t>PX_VOLUME</t>
        </is>
      </c>
      <c r="KN3" s="5" t="inlineStr">
        <is>
          <t>OPEN_INT</t>
        </is>
      </c>
      <c r="KO3" s="5" t="inlineStr">
        <is>
          <t>IVOL_MID</t>
        </is>
      </c>
      <c r="KP3" s="5" t="inlineStr">
        <is>
          <t>IVOL_BID</t>
        </is>
      </c>
      <c r="KQ3" s="5" t="inlineStr">
        <is>
          <t>IVOL_ASK</t>
        </is>
      </c>
      <c r="KR3" s="5" t="inlineStr">
        <is>
          <t>DELTA_MID</t>
        </is>
      </c>
      <c r="KS3" s="5" t="inlineStr">
        <is>
          <t>GAMMA_MID</t>
        </is>
      </c>
      <c r="KT3" s="5" t="inlineStr">
        <is>
          <t>VEGA_MID</t>
        </is>
      </c>
      <c r="KU3" s="5" t="inlineStr">
        <is>
          <t>THETA_MID</t>
        </is>
      </c>
      <c r="KV3" s="5" t="inlineStr">
        <is>
          <t>OPT_UNDL_PX</t>
        </is>
      </c>
      <c r="KX3" s="5" t="inlineStr">
        <is>
          <t>Date</t>
        </is>
      </c>
      <c r="KY3" s="5" t="inlineStr">
        <is>
          <t>PX_BID</t>
        </is>
      </c>
      <c r="KZ3" s="5" t="inlineStr">
        <is>
          <t>PX_ASK</t>
        </is>
      </c>
      <c r="LA3" s="5" t="inlineStr">
        <is>
          <t>PX_MID</t>
        </is>
      </c>
      <c r="LB3" s="5" t="inlineStr">
        <is>
          <t>PX_LAST</t>
        </is>
      </c>
      <c r="LC3" s="5" t="inlineStr">
        <is>
          <t>PX_SETTLE</t>
        </is>
      </c>
      <c r="LD3" s="5" t="inlineStr">
        <is>
          <t>PX_VOLUME</t>
        </is>
      </c>
      <c r="LE3" s="5" t="inlineStr">
        <is>
          <t>OPEN_INT</t>
        </is>
      </c>
      <c r="LF3" s="5" t="inlineStr">
        <is>
          <t>IVOL_MID</t>
        </is>
      </c>
      <c r="LG3" s="5" t="inlineStr">
        <is>
          <t>IVOL_BID</t>
        </is>
      </c>
      <c r="LH3" s="5" t="inlineStr">
        <is>
          <t>IVOL_ASK</t>
        </is>
      </c>
      <c r="LI3" s="5" t="inlineStr">
        <is>
          <t>DELTA_MID</t>
        </is>
      </c>
      <c r="LJ3" s="5" t="inlineStr">
        <is>
          <t>GAMMA_MID</t>
        </is>
      </c>
      <c r="LK3" s="5" t="inlineStr">
        <is>
          <t>VEGA_MID</t>
        </is>
      </c>
      <c r="LL3" s="5" t="inlineStr">
        <is>
          <t>THETA_MID</t>
        </is>
      </c>
      <c r="LM3" s="5" t="inlineStr">
        <is>
          <t>OPT_UNDL_PX</t>
        </is>
      </c>
      <c r="LO3" s="5" t="inlineStr">
        <is>
          <t>Date</t>
        </is>
      </c>
      <c r="LP3" s="5" t="inlineStr">
        <is>
          <t>PX_BID</t>
        </is>
      </c>
      <c r="LQ3" s="5" t="inlineStr">
        <is>
          <t>PX_ASK</t>
        </is>
      </c>
      <c r="LR3" s="5" t="inlineStr">
        <is>
          <t>PX_MID</t>
        </is>
      </c>
      <c r="LS3" s="5" t="inlineStr">
        <is>
          <t>PX_LAST</t>
        </is>
      </c>
      <c r="LT3" s="5" t="inlineStr">
        <is>
          <t>PX_SETTLE</t>
        </is>
      </c>
      <c r="LU3" s="5" t="inlineStr">
        <is>
          <t>PX_VOLUME</t>
        </is>
      </c>
      <c r="LV3" s="5" t="inlineStr">
        <is>
          <t>OPEN_INT</t>
        </is>
      </c>
      <c r="LW3" s="5" t="inlineStr">
        <is>
          <t>IVOL_MID</t>
        </is>
      </c>
      <c r="LX3" s="5" t="inlineStr">
        <is>
          <t>IVOL_BID</t>
        </is>
      </c>
      <c r="LY3" s="5" t="inlineStr">
        <is>
          <t>IVOL_ASK</t>
        </is>
      </c>
      <c r="LZ3" s="5" t="inlineStr">
        <is>
          <t>DELTA_MID</t>
        </is>
      </c>
      <c r="MA3" s="5" t="inlineStr">
        <is>
          <t>GAMMA_MID</t>
        </is>
      </c>
      <c r="MB3" s="5" t="inlineStr">
        <is>
          <t>VEGA_MID</t>
        </is>
      </c>
      <c r="MC3" s="5" t="inlineStr">
        <is>
          <t>THETA_MID</t>
        </is>
      </c>
      <c r="MD3" s="5" t="inlineStr">
        <is>
          <t>OPT_UNDL_PX</t>
        </is>
      </c>
      <c r="MF3" s="5" t="inlineStr">
        <is>
          <t>Date</t>
        </is>
      </c>
      <c r="MG3" s="5" t="inlineStr">
        <is>
          <t>PX_BID</t>
        </is>
      </c>
      <c r="MH3" s="5" t="inlineStr">
        <is>
          <t>PX_ASK</t>
        </is>
      </c>
      <c r="MI3" s="5" t="inlineStr">
        <is>
          <t>PX_MID</t>
        </is>
      </c>
      <c r="MJ3" s="5" t="inlineStr">
        <is>
          <t>PX_LAST</t>
        </is>
      </c>
      <c r="MK3" s="5" t="inlineStr">
        <is>
          <t>PX_SETTLE</t>
        </is>
      </c>
      <c r="ML3" s="5" t="inlineStr">
        <is>
          <t>PX_VOLUME</t>
        </is>
      </c>
      <c r="MM3" s="5" t="inlineStr">
        <is>
          <t>OPEN_INT</t>
        </is>
      </c>
      <c r="MN3" s="5" t="inlineStr">
        <is>
          <t>IVOL_MID</t>
        </is>
      </c>
      <c r="MO3" s="5" t="inlineStr">
        <is>
          <t>IVOL_BID</t>
        </is>
      </c>
      <c r="MP3" s="5" t="inlineStr">
        <is>
          <t>IVOL_ASK</t>
        </is>
      </c>
      <c r="MQ3" s="5" t="inlineStr">
        <is>
          <t>DELTA_MID</t>
        </is>
      </c>
      <c r="MR3" s="5" t="inlineStr">
        <is>
          <t>GAMMA_MID</t>
        </is>
      </c>
      <c r="MS3" s="5" t="inlineStr">
        <is>
          <t>VEGA_MID</t>
        </is>
      </c>
      <c r="MT3" s="5" t="inlineStr">
        <is>
          <t>THETA_MID</t>
        </is>
      </c>
      <c r="MU3" s="5" t="inlineStr">
        <is>
          <t>OPT_UNDL_PX</t>
        </is>
      </c>
      <c r="MW3" s="5" t="inlineStr">
        <is>
          <t>Date</t>
        </is>
      </c>
      <c r="MX3" s="5" t="inlineStr">
        <is>
          <t>PX_BID</t>
        </is>
      </c>
      <c r="MY3" s="5" t="inlineStr">
        <is>
          <t>PX_ASK</t>
        </is>
      </c>
      <c r="MZ3" s="5" t="inlineStr">
        <is>
          <t>PX_MID</t>
        </is>
      </c>
      <c r="NA3" s="5" t="inlineStr">
        <is>
          <t>PX_LAST</t>
        </is>
      </c>
      <c r="NB3" s="5" t="inlineStr">
        <is>
          <t>PX_SETTLE</t>
        </is>
      </c>
      <c r="NC3" s="5" t="inlineStr">
        <is>
          <t>PX_VOLUME</t>
        </is>
      </c>
      <c r="ND3" s="5" t="inlineStr">
        <is>
          <t>OPEN_INT</t>
        </is>
      </c>
      <c r="NE3" s="5" t="inlineStr">
        <is>
          <t>IVOL_MID</t>
        </is>
      </c>
      <c r="NF3" s="5" t="inlineStr">
        <is>
          <t>IVOL_BID</t>
        </is>
      </c>
      <c r="NG3" s="5" t="inlineStr">
        <is>
          <t>IVOL_ASK</t>
        </is>
      </c>
      <c r="NH3" s="5" t="inlineStr">
        <is>
          <t>DELTA_MID</t>
        </is>
      </c>
      <c r="NI3" s="5" t="inlineStr">
        <is>
          <t>GAMMA_MID</t>
        </is>
      </c>
      <c r="NJ3" s="5" t="inlineStr">
        <is>
          <t>VEGA_MID</t>
        </is>
      </c>
      <c r="NK3" s="5" t="inlineStr">
        <is>
          <t>THETA_MID</t>
        </is>
      </c>
      <c r="NL3" s="5" t="inlineStr">
        <is>
          <t>OPT_UNDL_PX</t>
        </is>
      </c>
    </row>
    <row r="4">
      <c r="A4" s="2" t="inlineStr">
        <is>
          <t>Strike reference date</t>
        </is>
      </c>
      <c r="B4" s="8">
        <f>B3-45</f>
        <v/>
      </c>
      <c r="D4" s="4">
        <f>BDH(D$1,E$3:S$3,$B$8,$B$9,"Dir=V","Dts=S","Sort=A","Days=T","Fill=B")</f>
        <v/>
      </c>
      <c r="U4" s="4">
        <f>BDH(U$1,V$3:AJ$3,$B$8,$B$9,"Dir=V","Dts=S","Sort=A","Days=T","Fill=B")</f>
        <v/>
      </c>
      <c r="AL4" s="4">
        <f>BDH(AL$1,AM$3:BA$3,$B$8,$B$9,"Dir=V","Dts=S","Sort=A","Days=T","Fill=B")</f>
        <v/>
      </c>
      <c r="BC4" s="4">
        <f>BDH(BC$1,BD$3:BR$3,$B$8,$B$9,"Dir=V","Dts=S","Sort=A","Days=T","Fill=B")</f>
        <v/>
      </c>
      <c r="BT4" s="4">
        <f>BDH(BT$1,BU$3:CI$3,$B$8,$B$9,"Dir=V","Dts=S","Sort=A","Days=T","Fill=B")</f>
        <v/>
      </c>
      <c r="CK4" s="4">
        <f>BDH(CK$1,CL$3:CZ$3,$B$8,$B$9,"Dir=V","Dts=S","Sort=A","Days=T","Fill=B")</f>
        <v/>
      </c>
      <c r="DB4" s="4">
        <f>BDH(DB$1,DC$3:DQ$3,$B$8,$B$9,"Dir=V","Dts=S","Sort=A","Days=T","Fill=B")</f>
        <v/>
      </c>
      <c r="DS4" s="4">
        <f>BDH(DS$1,DT$3:EH$3,$B$8,$B$9,"Dir=V","Dts=S","Sort=A","Days=T","Fill=B")</f>
        <v/>
      </c>
      <c r="EJ4" s="4">
        <f>BDH(EJ$1,EK$3:EY$3,$B$8,$B$9,"Dir=V","Dts=S","Sort=A","Days=T","Fill=B")</f>
        <v/>
      </c>
      <c r="FA4" s="4">
        <f>BDH(FA$1,FB$3:FP$3,$B$8,$B$9,"Dir=V","Dts=S","Sort=A","Days=T","Fill=B")</f>
        <v/>
      </c>
      <c r="FR4" s="4">
        <f>BDH(FR$1,FS$3:GG$3,$B$8,$B$9,"Dir=V","Dts=S","Sort=A","Days=T","Fill=B")</f>
        <v/>
      </c>
      <c r="GI4" s="4">
        <f>BDH(GI$1,GJ$3:GX$3,$B$8,$B$9,"Dir=V","Dts=S","Sort=A","Days=T","Fill=B")</f>
        <v/>
      </c>
      <c r="GZ4" s="4">
        <f>BDH(GZ$1,HA$3:HO$3,$B$8,$B$9,"Dir=V","Dts=S","Sort=A","Days=T","Fill=B")</f>
        <v/>
      </c>
      <c r="HQ4" s="4">
        <f>BDH(HQ$1,HR$3:IF$3,$B$8,$B$9,"Dir=V","Dts=S","Sort=A","Days=T","Fill=B")</f>
        <v/>
      </c>
      <c r="IH4" s="4">
        <f>BDH(IH$1,II$3:IW$3,$B$8,$B$9,"Dir=V","Dts=S","Sort=A","Days=T","Fill=B")</f>
        <v/>
      </c>
      <c r="IY4" s="4">
        <f>BDH(IY$1,IZ$3:JN$3,$B$8,$B$9,"Dir=V","Dts=S","Sort=A","Days=T","Fill=B")</f>
        <v/>
      </c>
      <c r="JP4" s="4">
        <f>BDH(JP$1,JQ$3:KE$3,$B$8,$B$9,"Dir=V","Dts=S","Sort=A","Days=T","Fill=B")</f>
        <v/>
      </c>
      <c r="KG4" s="4">
        <f>BDH(KG$1,KH$3:KV$3,$B$8,$B$9,"Dir=V","Dts=S","Sort=A","Days=T","Fill=B")</f>
        <v/>
      </c>
      <c r="KX4" s="4">
        <f>BDH(KX$1,KY$3:LM$3,$B$8,$B$9,"Dir=V","Dts=S","Sort=A","Days=T","Fill=B")</f>
        <v/>
      </c>
      <c r="LO4" s="4">
        <f>BDH(LO$1,LP$3:MD$3,$B$8,$B$9,"Dir=V","Dts=S","Sort=A","Days=T","Fill=B")</f>
        <v/>
      </c>
      <c r="MF4" s="4">
        <f>BDH(MF$1,MG$3:MU$3,$B$8,$B$9,"Dir=V","Dts=S","Sort=A","Days=T","Fill=B")</f>
        <v/>
      </c>
      <c r="MW4" s="4">
        <f>BDH(MW$1,MX$3:NL$3,$B$8,$B$9,"Dir=V","Dts=S","Sort=A","Days=T","Fill=B")</f>
        <v/>
      </c>
    </row>
    <row r="5">
      <c r="A5" s="2" t="inlineStr">
        <is>
          <t>Unadjusted close then</t>
        </is>
      </c>
      <c r="B5" s="10">
        <f>IF(B2="","",BDH(B2,"PX_LAST",B4,B4,"Days=A","Fill=P","Dts=H","CshAdjNormal=N","CshAdjAbnormal=N","CapChg=N"))</f>
        <v/>
      </c>
    </row>
    <row r="6">
      <c r="A6" s="2" t="inlineStr">
        <is>
          <t>Strike step</t>
        </is>
      </c>
      <c r="B6" s="11">
        <f>IF(ISNUMBER(B5),IF(B5&lt;25,0.5,IF(B5&lt;250,1,5)),"")</f>
        <v/>
      </c>
    </row>
    <row r="7">
      <c r="A7" s="2" t="inlineStr">
        <is>
          <t>ATM strike</t>
        </is>
      </c>
      <c r="B7" s="11">
        <f>IF(ISNUMBER(B5),ROUND(B5/B6,0)*B6,"")</f>
        <v/>
      </c>
    </row>
    <row r="8">
      <c r="A8" s="2" t="inlineStr">
        <is>
          <t>History start</t>
        </is>
      </c>
      <c r="B8" s="8">
        <f>B3-100</f>
        <v/>
      </c>
    </row>
    <row r="9">
      <c r="A9" s="2" t="inlineStr">
        <is>
          <t>History end</t>
        </is>
      </c>
      <c r="B9" s="8">
        <f>B3</f>
        <v/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NL9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2" customWidth="1" min="2" max="2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1" customWidth="1" min="15" max="15"/>
    <col width="11" customWidth="1" min="16" max="16"/>
    <col width="10" customWidth="1" min="17" max="17"/>
    <col width="11" customWidth="1" min="18" max="18"/>
    <col width="13" customWidth="1" min="19" max="19"/>
    <col width="12" customWidth="1" min="21" max="21"/>
    <col width="10" customWidth="1" min="22" max="22"/>
    <col width="10" customWidth="1" min="23" max="23"/>
    <col width="10" customWidth="1" min="24" max="24"/>
    <col width="10" customWidth="1" min="25" max="25"/>
    <col width="11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1" customWidth="1" min="32" max="32"/>
    <col width="11" customWidth="1" min="33" max="33"/>
    <col width="10" customWidth="1" min="34" max="34"/>
    <col width="11" customWidth="1" min="35" max="35"/>
    <col width="13" customWidth="1" min="36" max="36"/>
    <col width="12" customWidth="1" min="38" max="38"/>
    <col width="10" customWidth="1" min="39" max="39"/>
    <col width="10" customWidth="1" min="40" max="40"/>
    <col width="10" customWidth="1" min="41" max="41"/>
    <col width="10" customWidth="1" min="42" max="42"/>
    <col width="11" customWidth="1" min="43" max="43"/>
    <col width="11" customWidth="1" min="44" max="44"/>
    <col width="10" customWidth="1" min="45" max="45"/>
    <col width="10" customWidth="1" min="46" max="46"/>
    <col width="10" customWidth="1" min="47" max="47"/>
    <col width="10" customWidth="1" min="48" max="48"/>
    <col width="11" customWidth="1" min="49" max="49"/>
    <col width="11" customWidth="1" min="50" max="50"/>
    <col width="10" customWidth="1" min="51" max="51"/>
    <col width="11" customWidth="1" min="52" max="52"/>
    <col width="13" customWidth="1" min="53" max="53"/>
    <col width="12" customWidth="1" min="55" max="55"/>
    <col width="10" customWidth="1" min="56" max="56"/>
    <col width="10" customWidth="1" min="57" max="57"/>
    <col width="10" customWidth="1" min="58" max="58"/>
    <col width="10" customWidth="1" min="59" max="59"/>
    <col width="11" customWidth="1" min="60" max="60"/>
    <col width="11" customWidth="1" min="61" max="61"/>
    <col width="10" customWidth="1" min="62" max="62"/>
    <col width="10" customWidth="1" min="63" max="63"/>
    <col width="10" customWidth="1" min="64" max="64"/>
    <col width="10" customWidth="1" min="65" max="65"/>
    <col width="11" customWidth="1" min="66" max="66"/>
    <col width="11" customWidth="1" min="67" max="67"/>
    <col width="10" customWidth="1" min="68" max="68"/>
    <col width="11" customWidth="1" min="69" max="69"/>
    <col width="13" customWidth="1" min="70" max="70"/>
    <col width="12" customWidth="1" min="72" max="72"/>
    <col width="10" customWidth="1" min="73" max="73"/>
    <col width="10" customWidth="1" min="74" max="74"/>
    <col width="10" customWidth="1" min="75" max="75"/>
    <col width="10" customWidth="1" min="76" max="76"/>
    <col width="11" customWidth="1" min="77" max="77"/>
    <col width="11" customWidth="1" min="78" max="78"/>
    <col width="10" customWidth="1" min="79" max="79"/>
    <col width="10" customWidth="1" min="80" max="80"/>
    <col width="10" customWidth="1" min="81" max="81"/>
    <col width="10" customWidth="1" min="82" max="82"/>
    <col width="11" customWidth="1" min="83" max="83"/>
    <col width="11" customWidth="1" min="84" max="84"/>
    <col width="10" customWidth="1" min="85" max="85"/>
    <col width="11" customWidth="1" min="86" max="86"/>
    <col width="13" customWidth="1" min="87" max="87"/>
    <col width="12" customWidth="1" min="89" max="89"/>
    <col width="10" customWidth="1" min="90" max="90"/>
    <col width="10" customWidth="1" min="91" max="91"/>
    <col width="10" customWidth="1" min="92" max="92"/>
    <col width="10" customWidth="1" min="93" max="93"/>
    <col width="11" customWidth="1" min="94" max="94"/>
    <col width="11" customWidth="1" min="95" max="95"/>
    <col width="10" customWidth="1" min="96" max="96"/>
    <col width="10" customWidth="1" min="97" max="97"/>
    <col width="10" customWidth="1" min="98" max="98"/>
    <col width="10" customWidth="1" min="99" max="99"/>
    <col width="11" customWidth="1" min="100" max="100"/>
    <col width="11" customWidth="1" min="101" max="101"/>
    <col width="10" customWidth="1" min="102" max="102"/>
    <col width="11" customWidth="1" min="103" max="103"/>
    <col width="13" customWidth="1" min="104" max="104"/>
    <col width="12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1" customWidth="1" min="111" max="111"/>
    <col width="11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1" customWidth="1" min="117" max="117"/>
    <col width="11" customWidth="1" min="118" max="118"/>
    <col width="10" customWidth="1" min="119" max="119"/>
    <col width="11" customWidth="1" min="120" max="120"/>
    <col width="13" customWidth="1" min="121" max="121"/>
    <col width="12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1" customWidth="1" min="128" max="128"/>
    <col width="11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1" customWidth="1" min="134" max="134"/>
    <col width="11" customWidth="1" min="135" max="135"/>
    <col width="10" customWidth="1" min="136" max="136"/>
    <col width="11" customWidth="1" min="137" max="137"/>
    <col width="13" customWidth="1" min="138" max="138"/>
    <col width="12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1" customWidth="1" min="145" max="145"/>
    <col width="11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1" customWidth="1" min="151" max="151"/>
    <col width="11" customWidth="1" min="152" max="152"/>
    <col width="10" customWidth="1" min="153" max="153"/>
    <col width="11" customWidth="1" min="154" max="154"/>
    <col width="13" customWidth="1" min="155" max="155"/>
    <col width="12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1" customWidth="1" min="162" max="162"/>
    <col width="11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1" customWidth="1" min="168" max="168"/>
    <col width="11" customWidth="1" min="169" max="169"/>
    <col width="10" customWidth="1" min="170" max="170"/>
    <col width="11" customWidth="1" min="171" max="171"/>
    <col width="13" customWidth="1" min="172" max="172"/>
    <col width="12" customWidth="1" min="174" max="174"/>
    <col width="10" customWidth="1" min="175" max="175"/>
    <col width="10" customWidth="1" min="176" max="176"/>
    <col width="10" customWidth="1" min="177" max="177"/>
    <col width="10" customWidth="1" min="178" max="178"/>
    <col width="11" customWidth="1" min="179" max="179"/>
    <col width="11" customWidth="1" min="180" max="180"/>
    <col width="10" customWidth="1" min="181" max="181"/>
    <col width="10" customWidth="1" min="182" max="182"/>
    <col width="10" customWidth="1" min="183" max="183"/>
    <col width="10" customWidth="1" min="184" max="184"/>
    <col width="11" customWidth="1" min="185" max="185"/>
    <col width="11" customWidth="1" min="186" max="186"/>
    <col width="10" customWidth="1" min="187" max="187"/>
    <col width="11" customWidth="1" min="188" max="188"/>
    <col width="13" customWidth="1" min="189" max="189"/>
    <col width="12" customWidth="1" min="191" max="191"/>
    <col width="10" customWidth="1" min="192" max="192"/>
    <col width="10" customWidth="1" min="193" max="193"/>
    <col width="10" customWidth="1" min="194" max="194"/>
    <col width="10" customWidth="1" min="195" max="195"/>
    <col width="11" customWidth="1" min="196" max="196"/>
    <col width="11" customWidth="1" min="197" max="197"/>
    <col width="10" customWidth="1" min="198" max="198"/>
    <col width="10" customWidth="1" min="199" max="199"/>
    <col width="10" customWidth="1" min="200" max="200"/>
    <col width="10" customWidth="1" min="201" max="201"/>
    <col width="11" customWidth="1" min="202" max="202"/>
    <col width="11" customWidth="1" min="203" max="203"/>
    <col width="10" customWidth="1" min="204" max="204"/>
    <col width="11" customWidth="1" min="205" max="205"/>
    <col width="13" customWidth="1" min="206" max="206"/>
    <col width="12" customWidth="1" min="208" max="208"/>
    <col width="10" customWidth="1" min="209" max="209"/>
    <col width="10" customWidth="1" min="210" max="210"/>
    <col width="10" customWidth="1" min="211" max="211"/>
    <col width="10" customWidth="1" min="212" max="212"/>
    <col width="11" customWidth="1" min="213" max="213"/>
    <col width="11" customWidth="1" min="214" max="214"/>
    <col width="10" customWidth="1" min="215" max="215"/>
    <col width="10" customWidth="1" min="216" max="216"/>
    <col width="10" customWidth="1" min="217" max="217"/>
    <col width="10" customWidth="1" min="218" max="218"/>
    <col width="11" customWidth="1" min="219" max="219"/>
    <col width="11" customWidth="1" min="220" max="220"/>
    <col width="10" customWidth="1" min="221" max="221"/>
    <col width="11" customWidth="1" min="222" max="222"/>
    <col width="13" customWidth="1" min="223" max="223"/>
    <col width="12" customWidth="1" min="225" max="225"/>
    <col width="10" customWidth="1" min="226" max="226"/>
    <col width="10" customWidth="1" min="227" max="227"/>
    <col width="10" customWidth="1" min="228" max="228"/>
    <col width="10" customWidth="1" min="229" max="229"/>
    <col width="11" customWidth="1" min="230" max="230"/>
    <col width="11" customWidth="1" min="231" max="231"/>
    <col width="10" customWidth="1" min="232" max="232"/>
    <col width="10" customWidth="1" min="233" max="233"/>
    <col width="10" customWidth="1" min="234" max="234"/>
    <col width="10" customWidth="1" min="235" max="235"/>
    <col width="11" customWidth="1" min="236" max="236"/>
    <col width="11" customWidth="1" min="237" max="237"/>
    <col width="10" customWidth="1" min="238" max="238"/>
    <col width="11" customWidth="1" min="239" max="239"/>
    <col width="13" customWidth="1" min="240" max="240"/>
    <col width="12" customWidth="1" min="242" max="242"/>
    <col width="10" customWidth="1" min="243" max="243"/>
    <col width="10" customWidth="1" min="244" max="244"/>
    <col width="10" customWidth="1" min="245" max="245"/>
    <col width="10" customWidth="1" min="246" max="246"/>
    <col width="11" customWidth="1" min="247" max="247"/>
    <col width="11" customWidth="1" min="248" max="248"/>
    <col width="10" customWidth="1" min="249" max="249"/>
    <col width="10" customWidth="1" min="250" max="250"/>
    <col width="10" customWidth="1" min="251" max="251"/>
    <col width="10" customWidth="1" min="252" max="252"/>
    <col width="11" customWidth="1" min="253" max="253"/>
    <col width="11" customWidth="1" min="254" max="254"/>
    <col width="10" customWidth="1" min="255" max="255"/>
    <col width="11" customWidth="1" min="256" max="256"/>
    <col width="13" customWidth="1" min="257" max="257"/>
    <col width="12" customWidth="1" min="259" max="259"/>
    <col width="10" customWidth="1" min="260" max="260"/>
    <col width="10" customWidth="1" min="261" max="261"/>
    <col width="10" customWidth="1" min="262" max="262"/>
    <col width="10" customWidth="1" min="263" max="263"/>
    <col width="11" customWidth="1" min="264" max="264"/>
    <col width="11" customWidth="1" min="265" max="265"/>
    <col width="10" customWidth="1" min="266" max="266"/>
    <col width="10" customWidth="1" min="267" max="267"/>
    <col width="10" customWidth="1" min="268" max="268"/>
    <col width="10" customWidth="1" min="269" max="269"/>
    <col width="11" customWidth="1" min="270" max="270"/>
    <col width="11" customWidth="1" min="271" max="271"/>
    <col width="10" customWidth="1" min="272" max="272"/>
    <col width="11" customWidth="1" min="273" max="273"/>
    <col width="13" customWidth="1" min="274" max="274"/>
    <col width="12" customWidth="1" min="276" max="276"/>
    <col width="10" customWidth="1" min="277" max="277"/>
    <col width="10" customWidth="1" min="278" max="278"/>
    <col width="10" customWidth="1" min="279" max="279"/>
    <col width="10" customWidth="1" min="280" max="280"/>
    <col width="11" customWidth="1" min="281" max="281"/>
    <col width="11" customWidth="1" min="282" max="282"/>
    <col width="10" customWidth="1" min="283" max="283"/>
    <col width="10" customWidth="1" min="284" max="284"/>
    <col width="10" customWidth="1" min="285" max="285"/>
    <col width="10" customWidth="1" min="286" max="286"/>
    <col width="11" customWidth="1" min="287" max="287"/>
    <col width="11" customWidth="1" min="288" max="288"/>
    <col width="10" customWidth="1" min="289" max="289"/>
    <col width="11" customWidth="1" min="290" max="290"/>
    <col width="13" customWidth="1" min="291" max="291"/>
    <col width="12" customWidth="1" min="293" max="293"/>
    <col width="10" customWidth="1" min="294" max="294"/>
    <col width="10" customWidth="1" min="295" max="295"/>
    <col width="10" customWidth="1" min="296" max="296"/>
    <col width="10" customWidth="1" min="297" max="297"/>
    <col width="11" customWidth="1" min="298" max="298"/>
    <col width="11" customWidth="1" min="299" max="299"/>
    <col width="10" customWidth="1" min="300" max="300"/>
    <col width="10" customWidth="1" min="301" max="301"/>
    <col width="10" customWidth="1" min="302" max="302"/>
    <col width="10" customWidth="1" min="303" max="303"/>
    <col width="11" customWidth="1" min="304" max="304"/>
    <col width="11" customWidth="1" min="305" max="305"/>
    <col width="10" customWidth="1" min="306" max="306"/>
    <col width="11" customWidth="1" min="307" max="307"/>
    <col width="13" customWidth="1" min="308" max="308"/>
    <col width="12" customWidth="1" min="310" max="310"/>
    <col width="10" customWidth="1" min="311" max="311"/>
    <col width="10" customWidth="1" min="312" max="312"/>
    <col width="10" customWidth="1" min="313" max="313"/>
    <col width="10" customWidth="1" min="314" max="314"/>
    <col width="11" customWidth="1" min="315" max="315"/>
    <col width="11" customWidth="1" min="316" max="316"/>
    <col width="10" customWidth="1" min="317" max="317"/>
    <col width="10" customWidth="1" min="318" max="318"/>
    <col width="10" customWidth="1" min="319" max="319"/>
    <col width="10" customWidth="1" min="320" max="320"/>
    <col width="11" customWidth="1" min="321" max="321"/>
    <col width="11" customWidth="1" min="322" max="322"/>
    <col width="10" customWidth="1" min="323" max="323"/>
    <col width="11" customWidth="1" min="324" max="324"/>
    <col width="13" customWidth="1" min="325" max="325"/>
    <col width="12" customWidth="1" min="327" max="327"/>
    <col width="10" customWidth="1" min="328" max="328"/>
    <col width="10" customWidth="1" min="329" max="329"/>
    <col width="10" customWidth="1" min="330" max="330"/>
    <col width="10" customWidth="1" min="331" max="331"/>
    <col width="11" customWidth="1" min="332" max="332"/>
    <col width="11" customWidth="1" min="333" max="333"/>
    <col width="10" customWidth="1" min="334" max="334"/>
    <col width="10" customWidth="1" min="335" max="335"/>
    <col width="10" customWidth="1" min="336" max="336"/>
    <col width="10" customWidth="1" min="337" max="337"/>
    <col width="11" customWidth="1" min="338" max="338"/>
    <col width="11" customWidth="1" min="339" max="339"/>
    <col width="10" customWidth="1" min="340" max="340"/>
    <col width="11" customWidth="1" min="341" max="341"/>
    <col width="13" customWidth="1" min="342" max="342"/>
    <col width="12" customWidth="1" min="344" max="344"/>
    <col width="10" customWidth="1" min="345" max="345"/>
    <col width="10" customWidth="1" min="346" max="346"/>
    <col width="10" customWidth="1" min="347" max="347"/>
    <col width="10" customWidth="1" min="348" max="348"/>
    <col width="11" customWidth="1" min="349" max="349"/>
    <col width="11" customWidth="1" min="350" max="350"/>
    <col width="10" customWidth="1" min="351" max="351"/>
    <col width="10" customWidth="1" min="352" max="352"/>
    <col width="10" customWidth="1" min="353" max="353"/>
    <col width="10" customWidth="1" min="354" max="354"/>
    <col width="11" customWidth="1" min="355" max="355"/>
    <col width="11" customWidth="1" min="356" max="356"/>
    <col width="10" customWidth="1" min="357" max="357"/>
    <col width="11" customWidth="1" min="358" max="358"/>
    <col width="13" customWidth="1" min="359" max="359"/>
    <col width="12" customWidth="1" min="361" max="361"/>
    <col width="10" customWidth="1" min="362" max="362"/>
    <col width="10" customWidth="1" min="363" max="363"/>
    <col width="10" customWidth="1" min="364" max="364"/>
    <col width="10" customWidth="1" min="365" max="365"/>
    <col width="11" customWidth="1" min="366" max="366"/>
    <col width="11" customWidth="1" min="367" max="367"/>
    <col width="10" customWidth="1" min="368" max="368"/>
    <col width="10" customWidth="1" min="369" max="369"/>
    <col width="10" customWidth="1" min="370" max="370"/>
    <col width="10" customWidth="1" min="371" max="371"/>
    <col width="11" customWidth="1" min="372" max="372"/>
    <col width="11" customWidth="1" min="373" max="373"/>
    <col width="10" customWidth="1" min="374" max="374"/>
    <col width="11" customWidth="1" min="375" max="375"/>
    <col width="13" customWidth="1" min="376" max="376"/>
  </cols>
  <sheetData>
    <row r="1">
      <c r="A1" s="2" t="inlineStr">
        <is>
          <t>Month</t>
        </is>
      </c>
      <c r="B1" s="9" t="n">
        <v>4</v>
      </c>
      <c r="D1" s="2">
        <f>IF(ISNUMBER(B$7),"XOP US "&amp;TEXT(B$3,"mm/dd/yy")&amp;" C"&amp;(B$7-5*B$6)&amp;" Equity","")</f>
        <v/>
      </c>
      <c r="U1" s="2">
        <f>IF(ISNUMBER(B$7),"XOP US "&amp;TEXT(B$3,"mm/dd/yy")&amp;" P"&amp;(B$7-5*B$6)&amp;" Equity","")</f>
        <v/>
      </c>
      <c r="AL1" s="2">
        <f>IF(ISNUMBER(B$7),"XOP US "&amp;TEXT(B$3,"mm/dd/yy")&amp;" C"&amp;(B$7-4*B$6)&amp;" Equity","")</f>
        <v/>
      </c>
      <c r="BC1" s="2">
        <f>IF(ISNUMBER(B$7),"XOP US "&amp;TEXT(B$3,"mm/dd/yy")&amp;" P"&amp;(B$7-4*B$6)&amp;" Equity","")</f>
        <v/>
      </c>
      <c r="BT1" s="2">
        <f>IF(ISNUMBER(B$7),"XOP US "&amp;TEXT(B$3,"mm/dd/yy")&amp;" C"&amp;(B$7-3*B$6)&amp;" Equity","")</f>
        <v/>
      </c>
      <c r="CK1" s="2">
        <f>IF(ISNUMBER(B$7),"XOP US "&amp;TEXT(B$3,"mm/dd/yy")&amp;" P"&amp;(B$7-3*B$6)&amp;" Equity","")</f>
        <v/>
      </c>
      <c r="DB1" s="2">
        <f>IF(ISNUMBER(B$7),"XOP US "&amp;TEXT(B$3,"mm/dd/yy")&amp;" C"&amp;(B$7-2*B$6)&amp;" Equity","")</f>
        <v/>
      </c>
      <c r="DS1" s="2">
        <f>IF(ISNUMBER(B$7),"XOP US "&amp;TEXT(B$3,"mm/dd/yy")&amp;" P"&amp;(B$7-2*B$6)&amp;" Equity","")</f>
        <v/>
      </c>
      <c r="EJ1" s="2">
        <f>IF(ISNUMBER(B$7),"XOP US "&amp;TEXT(B$3,"mm/dd/yy")&amp;" C"&amp;(B$7-1*B$6)&amp;" Equity","")</f>
        <v/>
      </c>
      <c r="FA1" s="2">
        <f>IF(ISNUMBER(B$7),"XOP US "&amp;TEXT(B$3,"mm/dd/yy")&amp;" P"&amp;(B$7-1*B$6)&amp;" Equity","")</f>
        <v/>
      </c>
      <c r="FR1" s="2">
        <f>IF(ISNUMBER(B$7),"XOP US "&amp;TEXT(B$3,"mm/dd/yy")&amp;" C"&amp;B$7&amp;" Equity","")</f>
        <v/>
      </c>
      <c r="GI1" s="2">
        <f>IF(ISNUMBER(B$7),"XOP US "&amp;TEXT(B$3,"mm/dd/yy")&amp;" P"&amp;B$7&amp;" Equity","")</f>
        <v/>
      </c>
      <c r="GZ1" s="2">
        <f>IF(ISNUMBER(B$7),"XOP US "&amp;TEXT(B$3,"mm/dd/yy")&amp;" C"&amp;(B$7+1*B$6)&amp;" Equity","")</f>
        <v/>
      </c>
      <c r="HQ1" s="2">
        <f>IF(ISNUMBER(B$7),"XOP US "&amp;TEXT(B$3,"mm/dd/yy")&amp;" P"&amp;(B$7+1*B$6)&amp;" Equity","")</f>
        <v/>
      </c>
      <c r="IH1" s="2">
        <f>IF(ISNUMBER(B$7),"XOP US "&amp;TEXT(B$3,"mm/dd/yy")&amp;" C"&amp;(B$7+2*B$6)&amp;" Equity","")</f>
        <v/>
      </c>
      <c r="IY1" s="2">
        <f>IF(ISNUMBER(B$7),"XOP US "&amp;TEXT(B$3,"mm/dd/yy")&amp;" P"&amp;(B$7+2*B$6)&amp;" Equity","")</f>
        <v/>
      </c>
      <c r="JP1" s="2">
        <f>IF(ISNUMBER(B$7),"XOP US "&amp;TEXT(B$3,"mm/dd/yy")&amp;" C"&amp;(B$7+3*B$6)&amp;" Equity","")</f>
        <v/>
      </c>
      <c r="KG1" s="2">
        <f>IF(ISNUMBER(B$7),"XOP US "&amp;TEXT(B$3,"mm/dd/yy")&amp;" P"&amp;(B$7+3*B$6)&amp;" Equity","")</f>
        <v/>
      </c>
      <c r="KX1" s="2">
        <f>IF(ISNUMBER(B$7),"XOP US "&amp;TEXT(B$3,"mm/dd/yy")&amp;" C"&amp;(B$7+4*B$6)&amp;" Equity","")</f>
        <v/>
      </c>
      <c r="LO1" s="2">
        <f>IF(ISNUMBER(B$7),"XOP US "&amp;TEXT(B$3,"mm/dd/yy")&amp;" P"&amp;(B$7+4*B$6)&amp;" Equity","")</f>
        <v/>
      </c>
      <c r="MF1" s="2">
        <f>IF(ISNUMBER(B$7),"XOP US "&amp;TEXT(B$3,"mm/dd/yy")&amp;" C"&amp;(B$7+5*B$6)&amp;" Equity","")</f>
        <v/>
      </c>
      <c r="MW1" s="2">
        <f>IF(ISNUMBER(B$7),"XOP US "&amp;TEXT(B$3,"mm/dd/yy")&amp;" P"&amp;(B$7+5*B$6)&amp;" Equity","")</f>
        <v/>
      </c>
    </row>
    <row r="2">
      <c r="A2" s="2" t="inlineStr">
        <is>
          <t>Underlying</t>
        </is>
      </c>
      <c r="B2" s="4">
        <f>IF(Settings!$B$17="Y","XOP US Equity","")</f>
        <v/>
      </c>
      <c r="D2" s="4" t="inlineStr">
        <is>
          <t>call -5 from ATM</t>
        </is>
      </c>
      <c r="U2" s="4" t="inlineStr">
        <is>
          <t>put -5 from ATM</t>
        </is>
      </c>
      <c r="AL2" s="4" t="inlineStr">
        <is>
          <t>call -4 from ATM</t>
        </is>
      </c>
      <c r="BC2" s="4" t="inlineStr">
        <is>
          <t>put -4 from ATM</t>
        </is>
      </c>
      <c r="BT2" s="4" t="inlineStr">
        <is>
          <t>call -3 from ATM</t>
        </is>
      </c>
      <c r="CK2" s="4" t="inlineStr">
        <is>
          <t>put -3 from ATM</t>
        </is>
      </c>
      <c r="DB2" s="4" t="inlineStr">
        <is>
          <t>call -2 from ATM</t>
        </is>
      </c>
      <c r="DS2" s="4" t="inlineStr">
        <is>
          <t>put -2 from ATM</t>
        </is>
      </c>
      <c r="EJ2" s="4" t="inlineStr">
        <is>
          <t>call -1 from ATM</t>
        </is>
      </c>
      <c r="FA2" s="4" t="inlineStr">
        <is>
          <t>put -1 from ATM</t>
        </is>
      </c>
      <c r="FR2" s="4" t="inlineStr">
        <is>
          <t>call +0 from ATM</t>
        </is>
      </c>
      <c r="GI2" s="4" t="inlineStr">
        <is>
          <t>put +0 from ATM</t>
        </is>
      </c>
      <c r="GZ2" s="4" t="inlineStr">
        <is>
          <t>call +1 from ATM</t>
        </is>
      </c>
      <c r="HQ2" s="4" t="inlineStr">
        <is>
          <t>put +1 from ATM</t>
        </is>
      </c>
      <c r="IH2" s="4" t="inlineStr">
        <is>
          <t>call +2 from ATM</t>
        </is>
      </c>
      <c r="IY2" s="4" t="inlineStr">
        <is>
          <t>put +2 from ATM</t>
        </is>
      </c>
      <c r="JP2" s="4" t="inlineStr">
        <is>
          <t>call +3 from ATM</t>
        </is>
      </c>
      <c r="KG2" s="4" t="inlineStr">
        <is>
          <t>put +3 from ATM</t>
        </is>
      </c>
      <c r="KX2" s="4" t="inlineStr">
        <is>
          <t>call +4 from ATM</t>
        </is>
      </c>
      <c r="LO2" s="4" t="inlineStr">
        <is>
          <t>put +4 from ATM</t>
        </is>
      </c>
      <c r="MF2" s="4" t="inlineStr">
        <is>
          <t>call +5 from ATM</t>
        </is>
      </c>
      <c r="MW2" s="4" t="inlineStr">
        <is>
          <t>put +5 from ATM</t>
        </is>
      </c>
    </row>
    <row r="3">
      <c r="A3" s="2" t="inlineStr">
        <is>
          <t>Expiry (3rd Friday)</t>
        </is>
      </c>
      <c r="B3" s="3">
        <f>DATE(Settings!$E$17,B1,15)+MOD(6-WEEKDAY(DATE(Settings!$E$17,B1,15)),7)</f>
        <v/>
      </c>
      <c r="D3" s="5" t="inlineStr">
        <is>
          <t>Date</t>
        </is>
      </c>
      <c r="E3" s="5" t="inlineStr">
        <is>
          <t>PX_BID</t>
        </is>
      </c>
      <c r="F3" s="5" t="inlineStr">
        <is>
          <t>PX_ASK</t>
        </is>
      </c>
      <c r="G3" s="5" t="inlineStr">
        <is>
          <t>PX_MID</t>
        </is>
      </c>
      <c r="H3" s="5" t="inlineStr">
        <is>
          <t>PX_LAST</t>
        </is>
      </c>
      <c r="I3" s="5" t="inlineStr">
        <is>
          <t>PX_SETTLE</t>
        </is>
      </c>
      <c r="J3" s="5" t="inlineStr">
        <is>
          <t>PX_VOLUME</t>
        </is>
      </c>
      <c r="K3" s="5" t="inlineStr">
        <is>
          <t>OPEN_INT</t>
        </is>
      </c>
      <c r="L3" s="5" t="inlineStr">
        <is>
          <t>IVOL_MID</t>
        </is>
      </c>
      <c r="M3" s="5" t="inlineStr">
        <is>
          <t>IVOL_BID</t>
        </is>
      </c>
      <c r="N3" s="5" t="inlineStr">
        <is>
          <t>IVOL_ASK</t>
        </is>
      </c>
      <c r="O3" s="5" t="inlineStr">
        <is>
          <t>DELTA_MID</t>
        </is>
      </c>
      <c r="P3" s="5" t="inlineStr">
        <is>
          <t>GAMMA_MID</t>
        </is>
      </c>
      <c r="Q3" s="5" t="inlineStr">
        <is>
          <t>VEGA_MID</t>
        </is>
      </c>
      <c r="R3" s="5" t="inlineStr">
        <is>
          <t>THETA_MID</t>
        </is>
      </c>
      <c r="S3" s="5" t="inlineStr">
        <is>
          <t>OPT_UNDL_PX</t>
        </is>
      </c>
      <c r="U3" s="5" t="inlineStr">
        <is>
          <t>Date</t>
        </is>
      </c>
      <c r="V3" s="5" t="inlineStr">
        <is>
          <t>PX_BID</t>
        </is>
      </c>
      <c r="W3" s="5" t="inlineStr">
        <is>
          <t>PX_ASK</t>
        </is>
      </c>
      <c r="X3" s="5" t="inlineStr">
        <is>
          <t>PX_MID</t>
        </is>
      </c>
      <c r="Y3" s="5" t="inlineStr">
        <is>
          <t>PX_LAST</t>
        </is>
      </c>
      <c r="Z3" s="5" t="inlineStr">
        <is>
          <t>PX_SETTLE</t>
        </is>
      </c>
      <c r="AA3" s="5" t="inlineStr">
        <is>
          <t>PX_VOLUME</t>
        </is>
      </c>
      <c r="AB3" s="5" t="inlineStr">
        <is>
          <t>OPEN_INT</t>
        </is>
      </c>
      <c r="AC3" s="5" t="inlineStr">
        <is>
          <t>IVOL_MID</t>
        </is>
      </c>
      <c r="AD3" s="5" t="inlineStr">
        <is>
          <t>IVOL_BID</t>
        </is>
      </c>
      <c r="AE3" s="5" t="inlineStr">
        <is>
          <t>IVOL_ASK</t>
        </is>
      </c>
      <c r="AF3" s="5" t="inlineStr">
        <is>
          <t>DELTA_MID</t>
        </is>
      </c>
      <c r="AG3" s="5" t="inlineStr">
        <is>
          <t>GAMMA_MID</t>
        </is>
      </c>
      <c r="AH3" s="5" t="inlineStr">
        <is>
          <t>VEGA_MID</t>
        </is>
      </c>
      <c r="AI3" s="5" t="inlineStr">
        <is>
          <t>THETA_MID</t>
        </is>
      </c>
      <c r="AJ3" s="5" t="inlineStr">
        <is>
          <t>OPT_UNDL_PX</t>
        </is>
      </c>
      <c r="AL3" s="5" t="inlineStr">
        <is>
          <t>Date</t>
        </is>
      </c>
      <c r="AM3" s="5" t="inlineStr">
        <is>
          <t>PX_BID</t>
        </is>
      </c>
      <c r="AN3" s="5" t="inlineStr">
        <is>
          <t>PX_ASK</t>
        </is>
      </c>
      <c r="AO3" s="5" t="inlineStr">
        <is>
          <t>PX_MID</t>
        </is>
      </c>
      <c r="AP3" s="5" t="inlineStr">
        <is>
          <t>PX_LAST</t>
        </is>
      </c>
      <c r="AQ3" s="5" t="inlineStr">
        <is>
          <t>PX_SETTLE</t>
        </is>
      </c>
      <c r="AR3" s="5" t="inlineStr">
        <is>
          <t>PX_VOLUME</t>
        </is>
      </c>
      <c r="AS3" s="5" t="inlineStr">
        <is>
          <t>OPEN_INT</t>
        </is>
      </c>
      <c r="AT3" s="5" t="inlineStr">
        <is>
          <t>IVOL_MID</t>
        </is>
      </c>
      <c r="AU3" s="5" t="inlineStr">
        <is>
          <t>IVOL_BID</t>
        </is>
      </c>
      <c r="AV3" s="5" t="inlineStr">
        <is>
          <t>IVOL_ASK</t>
        </is>
      </c>
      <c r="AW3" s="5" t="inlineStr">
        <is>
          <t>DELTA_MID</t>
        </is>
      </c>
      <c r="AX3" s="5" t="inlineStr">
        <is>
          <t>GAMMA_MID</t>
        </is>
      </c>
      <c r="AY3" s="5" t="inlineStr">
        <is>
          <t>VEGA_MID</t>
        </is>
      </c>
      <c r="AZ3" s="5" t="inlineStr">
        <is>
          <t>THETA_MID</t>
        </is>
      </c>
      <c r="BA3" s="5" t="inlineStr">
        <is>
          <t>OPT_UNDL_PX</t>
        </is>
      </c>
      <c r="BC3" s="5" t="inlineStr">
        <is>
          <t>Date</t>
        </is>
      </c>
      <c r="BD3" s="5" t="inlineStr">
        <is>
          <t>PX_BID</t>
        </is>
      </c>
      <c r="BE3" s="5" t="inlineStr">
        <is>
          <t>PX_ASK</t>
        </is>
      </c>
      <c r="BF3" s="5" t="inlineStr">
        <is>
          <t>PX_MID</t>
        </is>
      </c>
      <c r="BG3" s="5" t="inlineStr">
        <is>
          <t>PX_LAST</t>
        </is>
      </c>
      <c r="BH3" s="5" t="inlineStr">
        <is>
          <t>PX_SETTLE</t>
        </is>
      </c>
      <c r="BI3" s="5" t="inlineStr">
        <is>
          <t>PX_VOLUME</t>
        </is>
      </c>
      <c r="BJ3" s="5" t="inlineStr">
        <is>
          <t>OPEN_INT</t>
        </is>
      </c>
      <c r="BK3" s="5" t="inlineStr">
        <is>
          <t>IVOL_MID</t>
        </is>
      </c>
      <c r="BL3" s="5" t="inlineStr">
        <is>
          <t>IVOL_BID</t>
        </is>
      </c>
      <c r="BM3" s="5" t="inlineStr">
        <is>
          <t>IVOL_ASK</t>
        </is>
      </c>
      <c r="BN3" s="5" t="inlineStr">
        <is>
          <t>DELTA_MID</t>
        </is>
      </c>
      <c r="BO3" s="5" t="inlineStr">
        <is>
          <t>GAMMA_MID</t>
        </is>
      </c>
      <c r="BP3" s="5" t="inlineStr">
        <is>
          <t>VEGA_MID</t>
        </is>
      </c>
      <c r="BQ3" s="5" t="inlineStr">
        <is>
          <t>THETA_MID</t>
        </is>
      </c>
      <c r="BR3" s="5" t="inlineStr">
        <is>
          <t>OPT_UNDL_PX</t>
        </is>
      </c>
      <c r="BT3" s="5" t="inlineStr">
        <is>
          <t>Date</t>
        </is>
      </c>
      <c r="BU3" s="5" t="inlineStr">
        <is>
          <t>PX_BID</t>
        </is>
      </c>
      <c r="BV3" s="5" t="inlineStr">
        <is>
          <t>PX_ASK</t>
        </is>
      </c>
      <c r="BW3" s="5" t="inlineStr">
        <is>
          <t>PX_MID</t>
        </is>
      </c>
      <c r="BX3" s="5" t="inlineStr">
        <is>
          <t>PX_LAST</t>
        </is>
      </c>
      <c r="BY3" s="5" t="inlineStr">
        <is>
          <t>PX_SETTLE</t>
        </is>
      </c>
      <c r="BZ3" s="5" t="inlineStr">
        <is>
          <t>PX_VOLUME</t>
        </is>
      </c>
      <c r="CA3" s="5" t="inlineStr">
        <is>
          <t>OPEN_INT</t>
        </is>
      </c>
      <c r="CB3" s="5" t="inlineStr">
        <is>
          <t>IVOL_MID</t>
        </is>
      </c>
      <c r="CC3" s="5" t="inlineStr">
        <is>
          <t>IVOL_BID</t>
        </is>
      </c>
      <c r="CD3" s="5" t="inlineStr">
        <is>
          <t>IVOL_ASK</t>
        </is>
      </c>
      <c r="CE3" s="5" t="inlineStr">
        <is>
          <t>DELTA_MID</t>
        </is>
      </c>
      <c r="CF3" s="5" t="inlineStr">
        <is>
          <t>GAMMA_MID</t>
        </is>
      </c>
      <c r="CG3" s="5" t="inlineStr">
        <is>
          <t>VEGA_MID</t>
        </is>
      </c>
      <c r="CH3" s="5" t="inlineStr">
        <is>
          <t>THETA_MID</t>
        </is>
      </c>
      <c r="CI3" s="5" t="inlineStr">
        <is>
          <t>OPT_UNDL_PX</t>
        </is>
      </c>
      <c r="CK3" s="5" t="inlineStr">
        <is>
          <t>Date</t>
        </is>
      </c>
      <c r="CL3" s="5" t="inlineStr">
        <is>
          <t>PX_BID</t>
        </is>
      </c>
      <c r="CM3" s="5" t="inlineStr">
        <is>
          <t>PX_ASK</t>
        </is>
      </c>
      <c r="CN3" s="5" t="inlineStr">
        <is>
          <t>PX_MID</t>
        </is>
      </c>
      <c r="CO3" s="5" t="inlineStr">
        <is>
          <t>PX_LAST</t>
        </is>
      </c>
      <c r="CP3" s="5" t="inlineStr">
        <is>
          <t>PX_SETTLE</t>
        </is>
      </c>
      <c r="CQ3" s="5" t="inlineStr">
        <is>
          <t>PX_VOLUME</t>
        </is>
      </c>
      <c r="CR3" s="5" t="inlineStr">
        <is>
          <t>OPEN_INT</t>
        </is>
      </c>
      <c r="CS3" s="5" t="inlineStr">
        <is>
          <t>IVOL_MID</t>
        </is>
      </c>
      <c r="CT3" s="5" t="inlineStr">
        <is>
          <t>IVOL_BID</t>
        </is>
      </c>
      <c r="CU3" s="5" t="inlineStr">
        <is>
          <t>IVOL_ASK</t>
        </is>
      </c>
      <c r="CV3" s="5" t="inlineStr">
        <is>
          <t>DELTA_MID</t>
        </is>
      </c>
      <c r="CW3" s="5" t="inlineStr">
        <is>
          <t>GAMMA_MID</t>
        </is>
      </c>
      <c r="CX3" s="5" t="inlineStr">
        <is>
          <t>VEGA_MID</t>
        </is>
      </c>
      <c r="CY3" s="5" t="inlineStr">
        <is>
          <t>THETA_MID</t>
        </is>
      </c>
      <c r="CZ3" s="5" t="inlineStr">
        <is>
          <t>OPT_UNDL_PX</t>
        </is>
      </c>
      <c r="DB3" s="5" t="inlineStr">
        <is>
          <t>Date</t>
        </is>
      </c>
      <c r="DC3" s="5" t="inlineStr">
        <is>
          <t>PX_BID</t>
        </is>
      </c>
      <c r="DD3" s="5" t="inlineStr">
        <is>
          <t>PX_ASK</t>
        </is>
      </c>
      <c r="DE3" s="5" t="inlineStr">
        <is>
          <t>PX_MID</t>
        </is>
      </c>
      <c r="DF3" s="5" t="inlineStr">
        <is>
          <t>PX_LAST</t>
        </is>
      </c>
      <c r="DG3" s="5" t="inlineStr">
        <is>
          <t>PX_SETTLE</t>
        </is>
      </c>
      <c r="DH3" s="5" t="inlineStr">
        <is>
          <t>PX_VOLUME</t>
        </is>
      </c>
      <c r="DI3" s="5" t="inlineStr">
        <is>
          <t>OPEN_INT</t>
        </is>
      </c>
      <c r="DJ3" s="5" t="inlineStr">
        <is>
          <t>IVOL_MID</t>
        </is>
      </c>
      <c r="DK3" s="5" t="inlineStr">
        <is>
          <t>IVOL_BID</t>
        </is>
      </c>
      <c r="DL3" s="5" t="inlineStr">
        <is>
          <t>IVOL_ASK</t>
        </is>
      </c>
      <c r="DM3" s="5" t="inlineStr">
        <is>
          <t>DELTA_MID</t>
        </is>
      </c>
      <c r="DN3" s="5" t="inlineStr">
        <is>
          <t>GAMMA_MID</t>
        </is>
      </c>
      <c r="DO3" s="5" t="inlineStr">
        <is>
          <t>VEGA_MID</t>
        </is>
      </c>
      <c r="DP3" s="5" t="inlineStr">
        <is>
          <t>THETA_MID</t>
        </is>
      </c>
      <c r="DQ3" s="5" t="inlineStr">
        <is>
          <t>OPT_UNDL_PX</t>
        </is>
      </c>
      <c r="DS3" s="5" t="inlineStr">
        <is>
          <t>Date</t>
        </is>
      </c>
      <c r="DT3" s="5" t="inlineStr">
        <is>
          <t>PX_BID</t>
        </is>
      </c>
      <c r="DU3" s="5" t="inlineStr">
        <is>
          <t>PX_ASK</t>
        </is>
      </c>
      <c r="DV3" s="5" t="inlineStr">
        <is>
          <t>PX_MID</t>
        </is>
      </c>
      <c r="DW3" s="5" t="inlineStr">
        <is>
          <t>PX_LAST</t>
        </is>
      </c>
      <c r="DX3" s="5" t="inlineStr">
        <is>
          <t>PX_SETTLE</t>
        </is>
      </c>
      <c r="DY3" s="5" t="inlineStr">
        <is>
          <t>PX_VOLUME</t>
        </is>
      </c>
      <c r="DZ3" s="5" t="inlineStr">
        <is>
          <t>OPEN_INT</t>
        </is>
      </c>
      <c r="EA3" s="5" t="inlineStr">
        <is>
          <t>IVOL_MID</t>
        </is>
      </c>
      <c r="EB3" s="5" t="inlineStr">
        <is>
          <t>IVOL_BID</t>
        </is>
      </c>
      <c r="EC3" s="5" t="inlineStr">
        <is>
          <t>IVOL_ASK</t>
        </is>
      </c>
      <c r="ED3" s="5" t="inlineStr">
        <is>
          <t>DELTA_MID</t>
        </is>
      </c>
      <c r="EE3" s="5" t="inlineStr">
        <is>
          <t>GAMMA_MID</t>
        </is>
      </c>
      <c r="EF3" s="5" t="inlineStr">
        <is>
          <t>VEGA_MID</t>
        </is>
      </c>
      <c r="EG3" s="5" t="inlineStr">
        <is>
          <t>THETA_MID</t>
        </is>
      </c>
      <c r="EH3" s="5" t="inlineStr">
        <is>
          <t>OPT_UNDL_PX</t>
        </is>
      </c>
      <c r="EJ3" s="5" t="inlineStr">
        <is>
          <t>Date</t>
        </is>
      </c>
      <c r="EK3" s="5" t="inlineStr">
        <is>
          <t>PX_BID</t>
        </is>
      </c>
      <c r="EL3" s="5" t="inlineStr">
        <is>
          <t>PX_ASK</t>
        </is>
      </c>
      <c r="EM3" s="5" t="inlineStr">
        <is>
          <t>PX_MID</t>
        </is>
      </c>
      <c r="EN3" s="5" t="inlineStr">
        <is>
          <t>PX_LAST</t>
        </is>
      </c>
      <c r="EO3" s="5" t="inlineStr">
        <is>
          <t>PX_SETTLE</t>
        </is>
      </c>
      <c r="EP3" s="5" t="inlineStr">
        <is>
          <t>PX_VOLUME</t>
        </is>
      </c>
      <c r="EQ3" s="5" t="inlineStr">
        <is>
          <t>OPEN_INT</t>
        </is>
      </c>
      <c r="ER3" s="5" t="inlineStr">
        <is>
          <t>IVOL_MID</t>
        </is>
      </c>
      <c r="ES3" s="5" t="inlineStr">
        <is>
          <t>IVOL_BID</t>
        </is>
      </c>
      <c r="ET3" s="5" t="inlineStr">
        <is>
          <t>IVOL_ASK</t>
        </is>
      </c>
      <c r="EU3" s="5" t="inlineStr">
        <is>
          <t>DELTA_MID</t>
        </is>
      </c>
      <c r="EV3" s="5" t="inlineStr">
        <is>
          <t>GAMMA_MID</t>
        </is>
      </c>
      <c r="EW3" s="5" t="inlineStr">
        <is>
          <t>VEGA_MID</t>
        </is>
      </c>
      <c r="EX3" s="5" t="inlineStr">
        <is>
          <t>THETA_MID</t>
        </is>
      </c>
      <c r="EY3" s="5" t="inlineStr">
        <is>
          <t>OPT_UNDL_PX</t>
        </is>
      </c>
      <c r="FA3" s="5" t="inlineStr">
        <is>
          <t>Date</t>
        </is>
      </c>
      <c r="FB3" s="5" t="inlineStr">
        <is>
          <t>PX_BID</t>
        </is>
      </c>
      <c r="FC3" s="5" t="inlineStr">
        <is>
          <t>PX_ASK</t>
        </is>
      </c>
      <c r="FD3" s="5" t="inlineStr">
        <is>
          <t>PX_MID</t>
        </is>
      </c>
      <c r="FE3" s="5" t="inlineStr">
        <is>
          <t>PX_LAST</t>
        </is>
      </c>
      <c r="FF3" s="5" t="inlineStr">
        <is>
          <t>PX_SETTLE</t>
        </is>
      </c>
      <c r="FG3" s="5" t="inlineStr">
        <is>
          <t>PX_VOLUME</t>
        </is>
      </c>
      <c r="FH3" s="5" t="inlineStr">
        <is>
          <t>OPEN_INT</t>
        </is>
      </c>
      <c r="FI3" s="5" t="inlineStr">
        <is>
          <t>IVOL_MID</t>
        </is>
      </c>
      <c r="FJ3" s="5" t="inlineStr">
        <is>
          <t>IVOL_BID</t>
        </is>
      </c>
      <c r="FK3" s="5" t="inlineStr">
        <is>
          <t>IVOL_ASK</t>
        </is>
      </c>
      <c r="FL3" s="5" t="inlineStr">
        <is>
          <t>DELTA_MID</t>
        </is>
      </c>
      <c r="FM3" s="5" t="inlineStr">
        <is>
          <t>GAMMA_MID</t>
        </is>
      </c>
      <c r="FN3" s="5" t="inlineStr">
        <is>
          <t>VEGA_MID</t>
        </is>
      </c>
      <c r="FO3" s="5" t="inlineStr">
        <is>
          <t>THETA_MID</t>
        </is>
      </c>
      <c r="FP3" s="5" t="inlineStr">
        <is>
          <t>OPT_UNDL_PX</t>
        </is>
      </c>
      <c r="FR3" s="5" t="inlineStr">
        <is>
          <t>Date</t>
        </is>
      </c>
      <c r="FS3" s="5" t="inlineStr">
        <is>
          <t>PX_BID</t>
        </is>
      </c>
      <c r="FT3" s="5" t="inlineStr">
        <is>
          <t>PX_ASK</t>
        </is>
      </c>
      <c r="FU3" s="5" t="inlineStr">
        <is>
          <t>PX_MID</t>
        </is>
      </c>
      <c r="FV3" s="5" t="inlineStr">
        <is>
          <t>PX_LAST</t>
        </is>
      </c>
      <c r="FW3" s="5" t="inlineStr">
        <is>
          <t>PX_SETTLE</t>
        </is>
      </c>
      <c r="FX3" s="5" t="inlineStr">
        <is>
          <t>PX_VOLUME</t>
        </is>
      </c>
      <c r="FY3" s="5" t="inlineStr">
        <is>
          <t>OPEN_INT</t>
        </is>
      </c>
      <c r="FZ3" s="5" t="inlineStr">
        <is>
          <t>IVOL_MID</t>
        </is>
      </c>
      <c r="GA3" s="5" t="inlineStr">
        <is>
          <t>IVOL_BID</t>
        </is>
      </c>
      <c r="GB3" s="5" t="inlineStr">
        <is>
          <t>IVOL_ASK</t>
        </is>
      </c>
      <c r="GC3" s="5" t="inlineStr">
        <is>
          <t>DELTA_MID</t>
        </is>
      </c>
      <c r="GD3" s="5" t="inlineStr">
        <is>
          <t>GAMMA_MID</t>
        </is>
      </c>
      <c r="GE3" s="5" t="inlineStr">
        <is>
          <t>VEGA_MID</t>
        </is>
      </c>
      <c r="GF3" s="5" t="inlineStr">
        <is>
          <t>THETA_MID</t>
        </is>
      </c>
      <c r="GG3" s="5" t="inlineStr">
        <is>
          <t>OPT_UNDL_PX</t>
        </is>
      </c>
      <c r="GI3" s="5" t="inlineStr">
        <is>
          <t>Date</t>
        </is>
      </c>
      <c r="GJ3" s="5" t="inlineStr">
        <is>
          <t>PX_BID</t>
        </is>
      </c>
      <c r="GK3" s="5" t="inlineStr">
        <is>
          <t>PX_ASK</t>
        </is>
      </c>
      <c r="GL3" s="5" t="inlineStr">
        <is>
          <t>PX_MID</t>
        </is>
      </c>
      <c r="GM3" s="5" t="inlineStr">
        <is>
          <t>PX_LAST</t>
        </is>
      </c>
      <c r="GN3" s="5" t="inlineStr">
        <is>
          <t>PX_SETTLE</t>
        </is>
      </c>
      <c r="GO3" s="5" t="inlineStr">
        <is>
          <t>PX_VOLUME</t>
        </is>
      </c>
      <c r="GP3" s="5" t="inlineStr">
        <is>
          <t>OPEN_INT</t>
        </is>
      </c>
      <c r="GQ3" s="5" t="inlineStr">
        <is>
          <t>IVOL_MID</t>
        </is>
      </c>
      <c r="GR3" s="5" t="inlineStr">
        <is>
          <t>IVOL_BID</t>
        </is>
      </c>
      <c r="GS3" s="5" t="inlineStr">
        <is>
          <t>IVOL_ASK</t>
        </is>
      </c>
      <c r="GT3" s="5" t="inlineStr">
        <is>
          <t>DELTA_MID</t>
        </is>
      </c>
      <c r="GU3" s="5" t="inlineStr">
        <is>
          <t>GAMMA_MID</t>
        </is>
      </c>
      <c r="GV3" s="5" t="inlineStr">
        <is>
          <t>VEGA_MID</t>
        </is>
      </c>
      <c r="GW3" s="5" t="inlineStr">
        <is>
          <t>THETA_MID</t>
        </is>
      </c>
      <c r="GX3" s="5" t="inlineStr">
        <is>
          <t>OPT_UNDL_PX</t>
        </is>
      </c>
      <c r="GZ3" s="5" t="inlineStr">
        <is>
          <t>Date</t>
        </is>
      </c>
      <c r="HA3" s="5" t="inlineStr">
        <is>
          <t>PX_BID</t>
        </is>
      </c>
      <c r="HB3" s="5" t="inlineStr">
        <is>
          <t>PX_ASK</t>
        </is>
      </c>
      <c r="HC3" s="5" t="inlineStr">
        <is>
          <t>PX_MID</t>
        </is>
      </c>
      <c r="HD3" s="5" t="inlineStr">
        <is>
          <t>PX_LAST</t>
        </is>
      </c>
      <c r="HE3" s="5" t="inlineStr">
        <is>
          <t>PX_SETTLE</t>
        </is>
      </c>
      <c r="HF3" s="5" t="inlineStr">
        <is>
          <t>PX_VOLUME</t>
        </is>
      </c>
      <c r="HG3" s="5" t="inlineStr">
        <is>
          <t>OPEN_INT</t>
        </is>
      </c>
      <c r="HH3" s="5" t="inlineStr">
        <is>
          <t>IVOL_MID</t>
        </is>
      </c>
      <c r="HI3" s="5" t="inlineStr">
        <is>
          <t>IVOL_BID</t>
        </is>
      </c>
      <c r="HJ3" s="5" t="inlineStr">
        <is>
          <t>IVOL_ASK</t>
        </is>
      </c>
      <c r="HK3" s="5" t="inlineStr">
        <is>
          <t>DELTA_MID</t>
        </is>
      </c>
      <c r="HL3" s="5" t="inlineStr">
        <is>
          <t>GAMMA_MID</t>
        </is>
      </c>
      <c r="HM3" s="5" t="inlineStr">
        <is>
          <t>VEGA_MID</t>
        </is>
      </c>
      <c r="HN3" s="5" t="inlineStr">
        <is>
          <t>THETA_MID</t>
        </is>
      </c>
      <c r="HO3" s="5" t="inlineStr">
        <is>
          <t>OPT_UNDL_PX</t>
        </is>
      </c>
      <c r="HQ3" s="5" t="inlineStr">
        <is>
          <t>Date</t>
        </is>
      </c>
      <c r="HR3" s="5" t="inlineStr">
        <is>
          <t>PX_BID</t>
        </is>
      </c>
      <c r="HS3" s="5" t="inlineStr">
        <is>
          <t>PX_ASK</t>
        </is>
      </c>
      <c r="HT3" s="5" t="inlineStr">
        <is>
          <t>PX_MID</t>
        </is>
      </c>
      <c r="HU3" s="5" t="inlineStr">
        <is>
          <t>PX_LAST</t>
        </is>
      </c>
      <c r="HV3" s="5" t="inlineStr">
        <is>
          <t>PX_SETTLE</t>
        </is>
      </c>
      <c r="HW3" s="5" t="inlineStr">
        <is>
          <t>PX_VOLUME</t>
        </is>
      </c>
      <c r="HX3" s="5" t="inlineStr">
        <is>
          <t>OPEN_INT</t>
        </is>
      </c>
      <c r="HY3" s="5" t="inlineStr">
        <is>
          <t>IVOL_MID</t>
        </is>
      </c>
      <c r="HZ3" s="5" t="inlineStr">
        <is>
          <t>IVOL_BID</t>
        </is>
      </c>
      <c r="IA3" s="5" t="inlineStr">
        <is>
          <t>IVOL_ASK</t>
        </is>
      </c>
      <c r="IB3" s="5" t="inlineStr">
        <is>
          <t>DELTA_MID</t>
        </is>
      </c>
      <c r="IC3" s="5" t="inlineStr">
        <is>
          <t>GAMMA_MID</t>
        </is>
      </c>
      <c r="ID3" s="5" t="inlineStr">
        <is>
          <t>VEGA_MID</t>
        </is>
      </c>
      <c r="IE3" s="5" t="inlineStr">
        <is>
          <t>THETA_MID</t>
        </is>
      </c>
      <c r="IF3" s="5" t="inlineStr">
        <is>
          <t>OPT_UNDL_PX</t>
        </is>
      </c>
      <c r="IH3" s="5" t="inlineStr">
        <is>
          <t>Date</t>
        </is>
      </c>
      <c r="II3" s="5" t="inlineStr">
        <is>
          <t>PX_BID</t>
        </is>
      </c>
      <c r="IJ3" s="5" t="inlineStr">
        <is>
          <t>PX_ASK</t>
        </is>
      </c>
      <c r="IK3" s="5" t="inlineStr">
        <is>
          <t>PX_MID</t>
        </is>
      </c>
      <c r="IL3" s="5" t="inlineStr">
        <is>
          <t>PX_LAST</t>
        </is>
      </c>
      <c r="IM3" s="5" t="inlineStr">
        <is>
          <t>PX_SETTLE</t>
        </is>
      </c>
      <c r="IN3" s="5" t="inlineStr">
        <is>
          <t>PX_VOLUME</t>
        </is>
      </c>
      <c r="IO3" s="5" t="inlineStr">
        <is>
          <t>OPEN_INT</t>
        </is>
      </c>
      <c r="IP3" s="5" t="inlineStr">
        <is>
          <t>IVOL_MID</t>
        </is>
      </c>
      <c r="IQ3" s="5" t="inlineStr">
        <is>
          <t>IVOL_BID</t>
        </is>
      </c>
      <c r="IR3" s="5" t="inlineStr">
        <is>
          <t>IVOL_ASK</t>
        </is>
      </c>
      <c r="IS3" s="5" t="inlineStr">
        <is>
          <t>DELTA_MID</t>
        </is>
      </c>
      <c r="IT3" s="5" t="inlineStr">
        <is>
          <t>GAMMA_MID</t>
        </is>
      </c>
      <c r="IU3" s="5" t="inlineStr">
        <is>
          <t>VEGA_MID</t>
        </is>
      </c>
      <c r="IV3" s="5" t="inlineStr">
        <is>
          <t>THETA_MID</t>
        </is>
      </c>
      <c r="IW3" s="5" t="inlineStr">
        <is>
          <t>OPT_UNDL_PX</t>
        </is>
      </c>
      <c r="IY3" s="5" t="inlineStr">
        <is>
          <t>Date</t>
        </is>
      </c>
      <c r="IZ3" s="5" t="inlineStr">
        <is>
          <t>PX_BID</t>
        </is>
      </c>
      <c r="JA3" s="5" t="inlineStr">
        <is>
          <t>PX_ASK</t>
        </is>
      </c>
      <c r="JB3" s="5" t="inlineStr">
        <is>
          <t>PX_MID</t>
        </is>
      </c>
      <c r="JC3" s="5" t="inlineStr">
        <is>
          <t>PX_LAST</t>
        </is>
      </c>
      <c r="JD3" s="5" t="inlineStr">
        <is>
          <t>PX_SETTLE</t>
        </is>
      </c>
      <c r="JE3" s="5" t="inlineStr">
        <is>
          <t>PX_VOLUME</t>
        </is>
      </c>
      <c r="JF3" s="5" t="inlineStr">
        <is>
          <t>OPEN_INT</t>
        </is>
      </c>
      <c r="JG3" s="5" t="inlineStr">
        <is>
          <t>IVOL_MID</t>
        </is>
      </c>
      <c r="JH3" s="5" t="inlineStr">
        <is>
          <t>IVOL_BID</t>
        </is>
      </c>
      <c r="JI3" s="5" t="inlineStr">
        <is>
          <t>IVOL_ASK</t>
        </is>
      </c>
      <c r="JJ3" s="5" t="inlineStr">
        <is>
          <t>DELTA_MID</t>
        </is>
      </c>
      <c r="JK3" s="5" t="inlineStr">
        <is>
          <t>GAMMA_MID</t>
        </is>
      </c>
      <c r="JL3" s="5" t="inlineStr">
        <is>
          <t>VEGA_MID</t>
        </is>
      </c>
      <c r="JM3" s="5" t="inlineStr">
        <is>
          <t>THETA_MID</t>
        </is>
      </c>
      <c r="JN3" s="5" t="inlineStr">
        <is>
          <t>OPT_UNDL_PX</t>
        </is>
      </c>
      <c r="JP3" s="5" t="inlineStr">
        <is>
          <t>Date</t>
        </is>
      </c>
      <c r="JQ3" s="5" t="inlineStr">
        <is>
          <t>PX_BID</t>
        </is>
      </c>
      <c r="JR3" s="5" t="inlineStr">
        <is>
          <t>PX_ASK</t>
        </is>
      </c>
      <c r="JS3" s="5" t="inlineStr">
        <is>
          <t>PX_MID</t>
        </is>
      </c>
      <c r="JT3" s="5" t="inlineStr">
        <is>
          <t>PX_LAST</t>
        </is>
      </c>
      <c r="JU3" s="5" t="inlineStr">
        <is>
          <t>PX_SETTLE</t>
        </is>
      </c>
      <c r="JV3" s="5" t="inlineStr">
        <is>
          <t>PX_VOLUME</t>
        </is>
      </c>
      <c r="JW3" s="5" t="inlineStr">
        <is>
          <t>OPEN_INT</t>
        </is>
      </c>
      <c r="JX3" s="5" t="inlineStr">
        <is>
          <t>IVOL_MID</t>
        </is>
      </c>
      <c r="JY3" s="5" t="inlineStr">
        <is>
          <t>IVOL_BID</t>
        </is>
      </c>
      <c r="JZ3" s="5" t="inlineStr">
        <is>
          <t>IVOL_ASK</t>
        </is>
      </c>
      <c r="KA3" s="5" t="inlineStr">
        <is>
          <t>DELTA_MID</t>
        </is>
      </c>
      <c r="KB3" s="5" t="inlineStr">
        <is>
          <t>GAMMA_MID</t>
        </is>
      </c>
      <c r="KC3" s="5" t="inlineStr">
        <is>
          <t>VEGA_MID</t>
        </is>
      </c>
      <c r="KD3" s="5" t="inlineStr">
        <is>
          <t>THETA_MID</t>
        </is>
      </c>
      <c r="KE3" s="5" t="inlineStr">
        <is>
          <t>OPT_UNDL_PX</t>
        </is>
      </c>
      <c r="KG3" s="5" t="inlineStr">
        <is>
          <t>Date</t>
        </is>
      </c>
      <c r="KH3" s="5" t="inlineStr">
        <is>
          <t>PX_BID</t>
        </is>
      </c>
      <c r="KI3" s="5" t="inlineStr">
        <is>
          <t>PX_ASK</t>
        </is>
      </c>
      <c r="KJ3" s="5" t="inlineStr">
        <is>
          <t>PX_MID</t>
        </is>
      </c>
      <c r="KK3" s="5" t="inlineStr">
        <is>
          <t>PX_LAST</t>
        </is>
      </c>
      <c r="KL3" s="5" t="inlineStr">
        <is>
          <t>PX_SETTLE</t>
        </is>
      </c>
      <c r="KM3" s="5" t="inlineStr">
        <is>
          <t>PX_VOLUME</t>
        </is>
      </c>
      <c r="KN3" s="5" t="inlineStr">
        <is>
          <t>OPEN_INT</t>
        </is>
      </c>
      <c r="KO3" s="5" t="inlineStr">
        <is>
          <t>IVOL_MID</t>
        </is>
      </c>
      <c r="KP3" s="5" t="inlineStr">
        <is>
          <t>IVOL_BID</t>
        </is>
      </c>
      <c r="KQ3" s="5" t="inlineStr">
        <is>
          <t>IVOL_ASK</t>
        </is>
      </c>
      <c r="KR3" s="5" t="inlineStr">
        <is>
          <t>DELTA_MID</t>
        </is>
      </c>
      <c r="KS3" s="5" t="inlineStr">
        <is>
          <t>GAMMA_MID</t>
        </is>
      </c>
      <c r="KT3" s="5" t="inlineStr">
        <is>
          <t>VEGA_MID</t>
        </is>
      </c>
      <c r="KU3" s="5" t="inlineStr">
        <is>
          <t>THETA_MID</t>
        </is>
      </c>
      <c r="KV3" s="5" t="inlineStr">
        <is>
          <t>OPT_UNDL_PX</t>
        </is>
      </c>
      <c r="KX3" s="5" t="inlineStr">
        <is>
          <t>Date</t>
        </is>
      </c>
      <c r="KY3" s="5" t="inlineStr">
        <is>
          <t>PX_BID</t>
        </is>
      </c>
      <c r="KZ3" s="5" t="inlineStr">
        <is>
          <t>PX_ASK</t>
        </is>
      </c>
      <c r="LA3" s="5" t="inlineStr">
        <is>
          <t>PX_MID</t>
        </is>
      </c>
      <c r="LB3" s="5" t="inlineStr">
        <is>
          <t>PX_LAST</t>
        </is>
      </c>
      <c r="LC3" s="5" t="inlineStr">
        <is>
          <t>PX_SETTLE</t>
        </is>
      </c>
      <c r="LD3" s="5" t="inlineStr">
        <is>
          <t>PX_VOLUME</t>
        </is>
      </c>
      <c r="LE3" s="5" t="inlineStr">
        <is>
          <t>OPEN_INT</t>
        </is>
      </c>
      <c r="LF3" s="5" t="inlineStr">
        <is>
          <t>IVOL_MID</t>
        </is>
      </c>
      <c r="LG3" s="5" t="inlineStr">
        <is>
          <t>IVOL_BID</t>
        </is>
      </c>
      <c r="LH3" s="5" t="inlineStr">
        <is>
          <t>IVOL_ASK</t>
        </is>
      </c>
      <c r="LI3" s="5" t="inlineStr">
        <is>
          <t>DELTA_MID</t>
        </is>
      </c>
      <c r="LJ3" s="5" t="inlineStr">
        <is>
          <t>GAMMA_MID</t>
        </is>
      </c>
      <c r="LK3" s="5" t="inlineStr">
        <is>
          <t>VEGA_MID</t>
        </is>
      </c>
      <c r="LL3" s="5" t="inlineStr">
        <is>
          <t>THETA_MID</t>
        </is>
      </c>
      <c r="LM3" s="5" t="inlineStr">
        <is>
          <t>OPT_UNDL_PX</t>
        </is>
      </c>
      <c r="LO3" s="5" t="inlineStr">
        <is>
          <t>Date</t>
        </is>
      </c>
      <c r="LP3" s="5" t="inlineStr">
        <is>
          <t>PX_BID</t>
        </is>
      </c>
      <c r="LQ3" s="5" t="inlineStr">
        <is>
          <t>PX_ASK</t>
        </is>
      </c>
      <c r="LR3" s="5" t="inlineStr">
        <is>
          <t>PX_MID</t>
        </is>
      </c>
      <c r="LS3" s="5" t="inlineStr">
        <is>
          <t>PX_LAST</t>
        </is>
      </c>
      <c r="LT3" s="5" t="inlineStr">
        <is>
          <t>PX_SETTLE</t>
        </is>
      </c>
      <c r="LU3" s="5" t="inlineStr">
        <is>
          <t>PX_VOLUME</t>
        </is>
      </c>
      <c r="LV3" s="5" t="inlineStr">
        <is>
          <t>OPEN_INT</t>
        </is>
      </c>
      <c r="LW3" s="5" t="inlineStr">
        <is>
          <t>IVOL_MID</t>
        </is>
      </c>
      <c r="LX3" s="5" t="inlineStr">
        <is>
          <t>IVOL_BID</t>
        </is>
      </c>
      <c r="LY3" s="5" t="inlineStr">
        <is>
          <t>IVOL_ASK</t>
        </is>
      </c>
      <c r="LZ3" s="5" t="inlineStr">
        <is>
          <t>DELTA_MID</t>
        </is>
      </c>
      <c r="MA3" s="5" t="inlineStr">
        <is>
          <t>GAMMA_MID</t>
        </is>
      </c>
      <c r="MB3" s="5" t="inlineStr">
        <is>
          <t>VEGA_MID</t>
        </is>
      </c>
      <c r="MC3" s="5" t="inlineStr">
        <is>
          <t>THETA_MID</t>
        </is>
      </c>
      <c r="MD3" s="5" t="inlineStr">
        <is>
          <t>OPT_UNDL_PX</t>
        </is>
      </c>
      <c r="MF3" s="5" t="inlineStr">
        <is>
          <t>Date</t>
        </is>
      </c>
      <c r="MG3" s="5" t="inlineStr">
        <is>
          <t>PX_BID</t>
        </is>
      </c>
      <c r="MH3" s="5" t="inlineStr">
        <is>
          <t>PX_ASK</t>
        </is>
      </c>
      <c r="MI3" s="5" t="inlineStr">
        <is>
          <t>PX_MID</t>
        </is>
      </c>
      <c r="MJ3" s="5" t="inlineStr">
        <is>
          <t>PX_LAST</t>
        </is>
      </c>
      <c r="MK3" s="5" t="inlineStr">
        <is>
          <t>PX_SETTLE</t>
        </is>
      </c>
      <c r="ML3" s="5" t="inlineStr">
        <is>
          <t>PX_VOLUME</t>
        </is>
      </c>
      <c r="MM3" s="5" t="inlineStr">
        <is>
          <t>OPEN_INT</t>
        </is>
      </c>
      <c r="MN3" s="5" t="inlineStr">
        <is>
          <t>IVOL_MID</t>
        </is>
      </c>
      <c r="MO3" s="5" t="inlineStr">
        <is>
          <t>IVOL_BID</t>
        </is>
      </c>
      <c r="MP3" s="5" t="inlineStr">
        <is>
          <t>IVOL_ASK</t>
        </is>
      </c>
      <c r="MQ3" s="5" t="inlineStr">
        <is>
          <t>DELTA_MID</t>
        </is>
      </c>
      <c r="MR3" s="5" t="inlineStr">
        <is>
          <t>GAMMA_MID</t>
        </is>
      </c>
      <c r="MS3" s="5" t="inlineStr">
        <is>
          <t>VEGA_MID</t>
        </is>
      </c>
      <c r="MT3" s="5" t="inlineStr">
        <is>
          <t>THETA_MID</t>
        </is>
      </c>
      <c r="MU3" s="5" t="inlineStr">
        <is>
          <t>OPT_UNDL_PX</t>
        </is>
      </c>
      <c r="MW3" s="5" t="inlineStr">
        <is>
          <t>Date</t>
        </is>
      </c>
      <c r="MX3" s="5" t="inlineStr">
        <is>
          <t>PX_BID</t>
        </is>
      </c>
      <c r="MY3" s="5" t="inlineStr">
        <is>
          <t>PX_ASK</t>
        </is>
      </c>
      <c r="MZ3" s="5" t="inlineStr">
        <is>
          <t>PX_MID</t>
        </is>
      </c>
      <c r="NA3" s="5" t="inlineStr">
        <is>
          <t>PX_LAST</t>
        </is>
      </c>
      <c r="NB3" s="5" t="inlineStr">
        <is>
          <t>PX_SETTLE</t>
        </is>
      </c>
      <c r="NC3" s="5" t="inlineStr">
        <is>
          <t>PX_VOLUME</t>
        </is>
      </c>
      <c r="ND3" s="5" t="inlineStr">
        <is>
          <t>OPEN_INT</t>
        </is>
      </c>
      <c r="NE3" s="5" t="inlineStr">
        <is>
          <t>IVOL_MID</t>
        </is>
      </c>
      <c r="NF3" s="5" t="inlineStr">
        <is>
          <t>IVOL_BID</t>
        </is>
      </c>
      <c r="NG3" s="5" t="inlineStr">
        <is>
          <t>IVOL_ASK</t>
        </is>
      </c>
      <c r="NH3" s="5" t="inlineStr">
        <is>
          <t>DELTA_MID</t>
        </is>
      </c>
      <c r="NI3" s="5" t="inlineStr">
        <is>
          <t>GAMMA_MID</t>
        </is>
      </c>
      <c r="NJ3" s="5" t="inlineStr">
        <is>
          <t>VEGA_MID</t>
        </is>
      </c>
      <c r="NK3" s="5" t="inlineStr">
        <is>
          <t>THETA_MID</t>
        </is>
      </c>
      <c r="NL3" s="5" t="inlineStr">
        <is>
          <t>OPT_UNDL_PX</t>
        </is>
      </c>
    </row>
    <row r="4">
      <c r="A4" s="2" t="inlineStr">
        <is>
          <t>Strike reference date</t>
        </is>
      </c>
      <c r="B4" s="8">
        <f>B3-45</f>
        <v/>
      </c>
      <c r="D4" s="4">
        <f>BDH(D$1,E$3:S$3,$B$8,$B$9,"Dir=V","Dts=S","Sort=A","Days=T","Fill=B")</f>
        <v/>
      </c>
      <c r="U4" s="4">
        <f>BDH(U$1,V$3:AJ$3,$B$8,$B$9,"Dir=V","Dts=S","Sort=A","Days=T","Fill=B")</f>
        <v/>
      </c>
      <c r="AL4" s="4">
        <f>BDH(AL$1,AM$3:BA$3,$B$8,$B$9,"Dir=V","Dts=S","Sort=A","Days=T","Fill=B")</f>
        <v/>
      </c>
      <c r="BC4" s="4">
        <f>BDH(BC$1,BD$3:BR$3,$B$8,$B$9,"Dir=V","Dts=S","Sort=A","Days=T","Fill=B")</f>
        <v/>
      </c>
      <c r="BT4" s="4">
        <f>BDH(BT$1,BU$3:CI$3,$B$8,$B$9,"Dir=V","Dts=S","Sort=A","Days=T","Fill=B")</f>
        <v/>
      </c>
      <c r="CK4" s="4">
        <f>BDH(CK$1,CL$3:CZ$3,$B$8,$B$9,"Dir=V","Dts=S","Sort=A","Days=T","Fill=B")</f>
        <v/>
      </c>
      <c r="DB4" s="4">
        <f>BDH(DB$1,DC$3:DQ$3,$B$8,$B$9,"Dir=V","Dts=S","Sort=A","Days=T","Fill=B")</f>
        <v/>
      </c>
      <c r="DS4" s="4">
        <f>BDH(DS$1,DT$3:EH$3,$B$8,$B$9,"Dir=V","Dts=S","Sort=A","Days=T","Fill=B")</f>
        <v/>
      </c>
      <c r="EJ4" s="4">
        <f>BDH(EJ$1,EK$3:EY$3,$B$8,$B$9,"Dir=V","Dts=S","Sort=A","Days=T","Fill=B")</f>
        <v/>
      </c>
      <c r="FA4" s="4">
        <f>BDH(FA$1,FB$3:FP$3,$B$8,$B$9,"Dir=V","Dts=S","Sort=A","Days=T","Fill=B")</f>
        <v/>
      </c>
      <c r="FR4" s="4">
        <f>BDH(FR$1,FS$3:GG$3,$B$8,$B$9,"Dir=V","Dts=S","Sort=A","Days=T","Fill=B")</f>
        <v/>
      </c>
      <c r="GI4" s="4">
        <f>BDH(GI$1,GJ$3:GX$3,$B$8,$B$9,"Dir=V","Dts=S","Sort=A","Days=T","Fill=B")</f>
        <v/>
      </c>
      <c r="GZ4" s="4">
        <f>BDH(GZ$1,HA$3:HO$3,$B$8,$B$9,"Dir=V","Dts=S","Sort=A","Days=T","Fill=B")</f>
        <v/>
      </c>
      <c r="HQ4" s="4">
        <f>BDH(HQ$1,HR$3:IF$3,$B$8,$B$9,"Dir=V","Dts=S","Sort=A","Days=T","Fill=B")</f>
        <v/>
      </c>
      <c r="IH4" s="4">
        <f>BDH(IH$1,II$3:IW$3,$B$8,$B$9,"Dir=V","Dts=S","Sort=A","Days=T","Fill=B")</f>
        <v/>
      </c>
      <c r="IY4" s="4">
        <f>BDH(IY$1,IZ$3:JN$3,$B$8,$B$9,"Dir=V","Dts=S","Sort=A","Days=T","Fill=B")</f>
        <v/>
      </c>
      <c r="JP4" s="4">
        <f>BDH(JP$1,JQ$3:KE$3,$B$8,$B$9,"Dir=V","Dts=S","Sort=A","Days=T","Fill=B")</f>
        <v/>
      </c>
      <c r="KG4" s="4">
        <f>BDH(KG$1,KH$3:KV$3,$B$8,$B$9,"Dir=V","Dts=S","Sort=A","Days=T","Fill=B")</f>
        <v/>
      </c>
      <c r="KX4" s="4">
        <f>BDH(KX$1,KY$3:LM$3,$B$8,$B$9,"Dir=V","Dts=S","Sort=A","Days=T","Fill=B")</f>
        <v/>
      </c>
      <c r="LO4" s="4">
        <f>BDH(LO$1,LP$3:MD$3,$B$8,$B$9,"Dir=V","Dts=S","Sort=A","Days=T","Fill=B")</f>
        <v/>
      </c>
      <c r="MF4" s="4">
        <f>BDH(MF$1,MG$3:MU$3,$B$8,$B$9,"Dir=V","Dts=S","Sort=A","Days=T","Fill=B")</f>
        <v/>
      </c>
      <c r="MW4" s="4">
        <f>BDH(MW$1,MX$3:NL$3,$B$8,$B$9,"Dir=V","Dts=S","Sort=A","Days=T","Fill=B")</f>
        <v/>
      </c>
    </row>
    <row r="5">
      <c r="A5" s="2" t="inlineStr">
        <is>
          <t>Unadjusted close then</t>
        </is>
      </c>
      <c r="B5" s="10">
        <f>IF(B2="","",BDH(B2,"PX_LAST",B4,B4,"Days=A","Fill=P","Dts=H","CshAdjNormal=N","CshAdjAbnormal=N","CapChg=N"))</f>
        <v/>
      </c>
    </row>
    <row r="6">
      <c r="A6" s="2" t="inlineStr">
        <is>
          <t>Strike step</t>
        </is>
      </c>
      <c r="B6" s="11">
        <f>IF(ISNUMBER(B5),IF(B5&lt;25,0.5,IF(B5&lt;250,1,5)),"")</f>
        <v/>
      </c>
    </row>
    <row r="7">
      <c r="A7" s="2" t="inlineStr">
        <is>
          <t>ATM strike</t>
        </is>
      </c>
      <c r="B7" s="11">
        <f>IF(ISNUMBER(B5),ROUND(B5/B6,0)*B6,"")</f>
        <v/>
      </c>
    </row>
    <row r="8">
      <c r="A8" s="2" t="inlineStr">
        <is>
          <t>History start</t>
        </is>
      </c>
      <c r="B8" s="8">
        <f>B3-100</f>
        <v/>
      </c>
    </row>
    <row r="9">
      <c r="A9" s="2" t="inlineStr">
        <is>
          <t>History end</t>
        </is>
      </c>
      <c r="B9" s="8">
        <f>B3</f>
        <v/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NL9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2" customWidth="1" min="2" max="2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1" customWidth="1" min="15" max="15"/>
    <col width="11" customWidth="1" min="16" max="16"/>
    <col width="10" customWidth="1" min="17" max="17"/>
    <col width="11" customWidth="1" min="18" max="18"/>
    <col width="13" customWidth="1" min="19" max="19"/>
    <col width="12" customWidth="1" min="21" max="21"/>
    <col width="10" customWidth="1" min="22" max="22"/>
    <col width="10" customWidth="1" min="23" max="23"/>
    <col width="10" customWidth="1" min="24" max="24"/>
    <col width="10" customWidth="1" min="25" max="25"/>
    <col width="11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1" customWidth="1" min="32" max="32"/>
    <col width="11" customWidth="1" min="33" max="33"/>
    <col width="10" customWidth="1" min="34" max="34"/>
    <col width="11" customWidth="1" min="35" max="35"/>
    <col width="13" customWidth="1" min="36" max="36"/>
    <col width="12" customWidth="1" min="38" max="38"/>
    <col width="10" customWidth="1" min="39" max="39"/>
    <col width="10" customWidth="1" min="40" max="40"/>
    <col width="10" customWidth="1" min="41" max="41"/>
    <col width="10" customWidth="1" min="42" max="42"/>
    <col width="11" customWidth="1" min="43" max="43"/>
    <col width="11" customWidth="1" min="44" max="44"/>
    <col width="10" customWidth="1" min="45" max="45"/>
    <col width="10" customWidth="1" min="46" max="46"/>
    <col width="10" customWidth="1" min="47" max="47"/>
    <col width="10" customWidth="1" min="48" max="48"/>
    <col width="11" customWidth="1" min="49" max="49"/>
    <col width="11" customWidth="1" min="50" max="50"/>
    <col width="10" customWidth="1" min="51" max="51"/>
    <col width="11" customWidth="1" min="52" max="52"/>
    <col width="13" customWidth="1" min="53" max="53"/>
    <col width="12" customWidth="1" min="55" max="55"/>
    <col width="10" customWidth="1" min="56" max="56"/>
    <col width="10" customWidth="1" min="57" max="57"/>
    <col width="10" customWidth="1" min="58" max="58"/>
    <col width="10" customWidth="1" min="59" max="59"/>
    <col width="11" customWidth="1" min="60" max="60"/>
    <col width="11" customWidth="1" min="61" max="61"/>
    <col width="10" customWidth="1" min="62" max="62"/>
    <col width="10" customWidth="1" min="63" max="63"/>
    <col width="10" customWidth="1" min="64" max="64"/>
    <col width="10" customWidth="1" min="65" max="65"/>
    <col width="11" customWidth="1" min="66" max="66"/>
    <col width="11" customWidth="1" min="67" max="67"/>
    <col width="10" customWidth="1" min="68" max="68"/>
    <col width="11" customWidth="1" min="69" max="69"/>
    <col width="13" customWidth="1" min="70" max="70"/>
    <col width="12" customWidth="1" min="72" max="72"/>
    <col width="10" customWidth="1" min="73" max="73"/>
    <col width="10" customWidth="1" min="74" max="74"/>
    <col width="10" customWidth="1" min="75" max="75"/>
    <col width="10" customWidth="1" min="76" max="76"/>
    <col width="11" customWidth="1" min="77" max="77"/>
    <col width="11" customWidth="1" min="78" max="78"/>
    <col width="10" customWidth="1" min="79" max="79"/>
    <col width="10" customWidth="1" min="80" max="80"/>
    <col width="10" customWidth="1" min="81" max="81"/>
    <col width="10" customWidth="1" min="82" max="82"/>
    <col width="11" customWidth="1" min="83" max="83"/>
    <col width="11" customWidth="1" min="84" max="84"/>
    <col width="10" customWidth="1" min="85" max="85"/>
    <col width="11" customWidth="1" min="86" max="86"/>
    <col width="13" customWidth="1" min="87" max="87"/>
    <col width="12" customWidth="1" min="89" max="89"/>
    <col width="10" customWidth="1" min="90" max="90"/>
    <col width="10" customWidth="1" min="91" max="91"/>
    <col width="10" customWidth="1" min="92" max="92"/>
    <col width="10" customWidth="1" min="93" max="93"/>
    <col width="11" customWidth="1" min="94" max="94"/>
    <col width="11" customWidth="1" min="95" max="95"/>
    <col width="10" customWidth="1" min="96" max="96"/>
    <col width="10" customWidth="1" min="97" max="97"/>
    <col width="10" customWidth="1" min="98" max="98"/>
    <col width="10" customWidth="1" min="99" max="99"/>
    <col width="11" customWidth="1" min="100" max="100"/>
    <col width="11" customWidth="1" min="101" max="101"/>
    <col width="10" customWidth="1" min="102" max="102"/>
    <col width="11" customWidth="1" min="103" max="103"/>
    <col width="13" customWidth="1" min="104" max="104"/>
    <col width="12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1" customWidth="1" min="111" max="111"/>
    <col width="11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1" customWidth="1" min="117" max="117"/>
    <col width="11" customWidth="1" min="118" max="118"/>
    <col width="10" customWidth="1" min="119" max="119"/>
    <col width="11" customWidth="1" min="120" max="120"/>
    <col width="13" customWidth="1" min="121" max="121"/>
    <col width="12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1" customWidth="1" min="128" max="128"/>
    <col width="11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1" customWidth="1" min="134" max="134"/>
    <col width="11" customWidth="1" min="135" max="135"/>
    <col width="10" customWidth="1" min="136" max="136"/>
    <col width="11" customWidth="1" min="137" max="137"/>
    <col width="13" customWidth="1" min="138" max="138"/>
    <col width="12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1" customWidth="1" min="145" max="145"/>
    <col width="11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1" customWidth="1" min="151" max="151"/>
    <col width="11" customWidth="1" min="152" max="152"/>
    <col width="10" customWidth="1" min="153" max="153"/>
    <col width="11" customWidth="1" min="154" max="154"/>
    <col width="13" customWidth="1" min="155" max="155"/>
    <col width="12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1" customWidth="1" min="162" max="162"/>
    <col width="11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1" customWidth="1" min="168" max="168"/>
    <col width="11" customWidth="1" min="169" max="169"/>
    <col width="10" customWidth="1" min="170" max="170"/>
    <col width="11" customWidth="1" min="171" max="171"/>
    <col width="13" customWidth="1" min="172" max="172"/>
    <col width="12" customWidth="1" min="174" max="174"/>
    <col width="10" customWidth="1" min="175" max="175"/>
    <col width="10" customWidth="1" min="176" max="176"/>
    <col width="10" customWidth="1" min="177" max="177"/>
    <col width="10" customWidth="1" min="178" max="178"/>
    <col width="11" customWidth="1" min="179" max="179"/>
    <col width="11" customWidth="1" min="180" max="180"/>
    <col width="10" customWidth="1" min="181" max="181"/>
    <col width="10" customWidth="1" min="182" max="182"/>
    <col width="10" customWidth="1" min="183" max="183"/>
    <col width="10" customWidth="1" min="184" max="184"/>
    <col width="11" customWidth="1" min="185" max="185"/>
    <col width="11" customWidth="1" min="186" max="186"/>
    <col width="10" customWidth="1" min="187" max="187"/>
    <col width="11" customWidth="1" min="188" max="188"/>
    <col width="13" customWidth="1" min="189" max="189"/>
    <col width="12" customWidth="1" min="191" max="191"/>
    <col width="10" customWidth="1" min="192" max="192"/>
    <col width="10" customWidth="1" min="193" max="193"/>
    <col width="10" customWidth="1" min="194" max="194"/>
    <col width="10" customWidth="1" min="195" max="195"/>
    <col width="11" customWidth="1" min="196" max="196"/>
    <col width="11" customWidth="1" min="197" max="197"/>
    <col width="10" customWidth="1" min="198" max="198"/>
    <col width="10" customWidth="1" min="199" max="199"/>
    <col width="10" customWidth="1" min="200" max="200"/>
    <col width="10" customWidth="1" min="201" max="201"/>
    <col width="11" customWidth="1" min="202" max="202"/>
    <col width="11" customWidth="1" min="203" max="203"/>
    <col width="10" customWidth="1" min="204" max="204"/>
    <col width="11" customWidth="1" min="205" max="205"/>
    <col width="13" customWidth="1" min="206" max="206"/>
    <col width="12" customWidth="1" min="208" max="208"/>
    <col width="10" customWidth="1" min="209" max="209"/>
    <col width="10" customWidth="1" min="210" max="210"/>
    <col width="10" customWidth="1" min="211" max="211"/>
    <col width="10" customWidth="1" min="212" max="212"/>
    <col width="11" customWidth="1" min="213" max="213"/>
    <col width="11" customWidth="1" min="214" max="214"/>
    <col width="10" customWidth="1" min="215" max="215"/>
    <col width="10" customWidth="1" min="216" max="216"/>
    <col width="10" customWidth="1" min="217" max="217"/>
    <col width="10" customWidth="1" min="218" max="218"/>
    <col width="11" customWidth="1" min="219" max="219"/>
    <col width="11" customWidth="1" min="220" max="220"/>
    <col width="10" customWidth="1" min="221" max="221"/>
    <col width="11" customWidth="1" min="222" max="222"/>
    <col width="13" customWidth="1" min="223" max="223"/>
    <col width="12" customWidth="1" min="225" max="225"/>
    <col width="10" customWidth="1" min="226" max="226"/>
    <col width="10" customWidth="1" min="227" max="227"/>
    <col width="10" customWidth="1" min="228" max="228"/>
    <col width="10" customWidth="1" min="229" max="229"/>
    <col width="11" customWidth="1" min="230" max="230"/>
    <col width="11" customWidth="1" min="231" max="231"/>
    <col width="10" customWidth="1" min="232" max="232"/>
    <col width="10" customWidth="1" min="233" max="233"/>
    <col width="10" customWidth="1" min="234" max="234"/>
    <col width="10" customWidth="1" min="235" max="235"/>
    <col width="11" customWidth="1" min="236" max="236"/>
    <col width="11" customWidth="1" min="237" max="237"/>
    <col width="10" customWidth="1" min="238" max="238"/>
    <col width="11" customWidth="1" min="239" max="239"/>
    <col width="13" customWidth="1" min="240" max="240"/>
    <col width="12" customWidth="1" min="242" max="242"/>
    <col width="10" customWidth="1" min="243" max="243"/>
    <col width="10" customWidth="1" min="244" max="244"/>
    <col width="10" customWidth="1" min="245" max="245"/>
    <col width="10" customWidth="1" min="246" max="246"/>
    <col width="11" customWidth="1" min="247" max="247"/>
    <col width="11" customWidth="1" min="248" max="248"/>
    <col width="10" customWidth="1" min="249" max="249"/>
    <col width="10" customWidth="1" min="250" max="250"/>
    <col width="10" customWidth="1" min="251" max="251"/>
    <col width="10" customWidth="1" min="252" max="252"/>
    <col width="11" customWidth="1" min="253" max="253"/>
    <col width="11" customWidth="1" min="254" max="254"/>
    <col width="10" customWidth="1" min="255" max="255"/>
    <col width="11" customWidth="1" min="256" max="256"/>
    <col width="13" customWidth="1" min="257" max="257"/>
    <col width="12" customWidth="1" min="259" max="259"/>
    <col width="10" customWidth="1" min="260" max="260"/>
    <col width="10" customWidth="1" min="261" max="261"/>
    <col width="10" customWidth="1" min="262" max="262"/>
    <col width="10" customWidth="1" min="263" max="263"/>
    <col width="11" customWidth="1" min="264" max="264"/>
    <col width="11" customWidth="1" min="265" max="265"/>
    <col width="10" customWidth="1" min="266" max="266"/>
    <col width="10" customWidth="1" min="267" max="267"/>
    <col width="10" customWidth="1" min="268" max="268"/>
    <col width="10" customWidth="1" min="269" max="269"/>
    <col width="11" customWidth="1" min="270" max="270"/>
    <col width="11" customWidth="1" min="271" max="271"/>
    <col width="10" customWidth="1" min="272" max="272"/>
    <col width="11" customWidth="1" min="273" max="273"/>
    <col width="13" customWidth="1" min="274" max="274"/>
    <col width="12" customWidth="1" min="276" max="276"/>
    <col width="10" customWidth="1" min="277" max="277"/>
    <col width="10" customWidth="1" min="278" max="278"/>
    <col width="10" customWidth="1" min="279" max="279"/>
    <col width="10" customWidth="1" min="280" max="280"/>
    <col width="11" customWidth="1" min="281" max="281"/>
    <col width="11" customWidth="1" min="282" max="282"/>
    <col width="10" customWidth="1" min="283" max="283"/>
    <col width="10" customWidth="1" min="284" max="284"/>
    <col width="10" customWidth="1" min="285" max="285"/>
    <col width="10" customWidth="1" min="286" max="286"/>
    <col width="11" customWidth="1" min="287" max="287"/>
    <col width="11" customWidth="1" min="288" max="288"/>
    <col width="10" customWidth="1" min="289" max="289"/>
    <col width="11" customWidth="1" min="290" max="290"/>
    <col width="13" customWidth="1" min="291" max="291"/>
    <col width="12" customWidth="1" min="293" max="293"/>
    <col width="10" customWidth="1" min="294" max="294"/>
    <col width="10" customWidth="1" min="295" max="295"/>
    <col width="10" customWidth="1" min="296" max="296"/>
    <col width="10" customWidth="1" min="297" max="297"/>
    <col width="11" customWidth="1" min="298" max="298"/>
    <col width="11" customWidth="1" min="299" max="299"/>
    <col width="10" customWidth="1" min="300" max="300"/>
    <col width="10" customWidth="1" min="301" max="301"/>
    <col width="10" customWidth="1" min="302" max="302"/>
    <col width="10" customWidth="1" min="303" max="303"/>
    <col width="11" customWidth="1" min="304" max="304"/>
    <col width="11" customWidth="1" min="305" max="305"/>
    <col width="10" customWidth="1" min="306" max="306"/>
    <col width="11" customWidth="1" min="307" max="307"/>
    <col width="13" customWidth="1" min="308" max="308"/>
    <col width="12" customWidth="1" min="310" max="310"/>
    <col width="10" customWidth="1" min="311" max="311"/>
    <col width="10" customWidth="1" min="312" max="312"/>
    <col width="10" customWidth="1" min="313" max="313"/>
    <col width="10" customWidth="1" min="314" max="314"/>
    <col width="11" customWidth="1" min="315" max="315"/>
    <col width="11" customWidth="1" min="316" max="316"/>
    <col width="10" customWidth="1" min="317" max="317"/>
    <col width="10" customWidth="1" min="318" max="318"/>
    <col width="10" customWidth="1" min="319" max="319"/>
    <col width="10" customWidth="1" min="320" max="320"/>
    <col width="11" customWidth="1" min="321" max="321"/>
    <col width="11" customWidth="1" min="322" max="322"/>
    <col width="10" customWidth="1" min="323" max="323"/>
    <col width="11" customWidth="1" min="324" max="324"/>
    <col width="13" customWidth="1" min="325" max="325"/>
    <col width="12" customWidth="1" min="327" max="327"/>
    <col width="10" customWidth="1" min="328" max="328"/>
    <col width="10" customWidth="1" min="329" max="329"/>
    <col width="10" customWidth="1" min="330" max="330"/>
    <col width="10" customWidth="1" min="331" max="331"/>
    <col width="11" customWidth="1" min="332" max="332"/>
    <col width="11" customWidth="1" min="333" max="333"/>
    <col width="10" customWidth="1" min="334" max="334"/>
    <col width="10" customWidth="1" min="335" max="335"/>
    <col width="10" customWidth="1" min="336" max="336"/>
    <col width="10" customWidth="1" min="337" max="337"/>
    <col width="11" customWidth="1" min="338" max="338"/>
    <col width="11" customWidth="1" min="339" max="339"/>
    <col width="10" customWidth="1" min="340" max="340"/>
    <col width="11" customWidth="1" min="341" max="341"/>
    <col width="13" customWidth="1" min="342" max="342"/>
    <col width="12" customWidth="1" min="344" max="344"/>
    <col width="10" customWidth="1" min="345" max="345"/>
    <col width="10" customWidth="1" min="346" max="346"/>
    <col width="10" customWidth="1" min="347" max="347"/>
    <col width="10" customWidth="1" min="348" max="348"/>
    <col width="11" customWidth="1" min="349" max="349"/>
    <col width="11" customWidth="1" min="350" max="350"/>
    <col width="10" customWidth="1" min="351" max="351"/>
    <col width="10" customWidth="1" min="352" max="352"/>
    <col width="10" customWidth="1" min="353" max="353"/>
    <col width="10" customWidth="1" min="354" max="354"/>
    <col width="11" customWidth="1" min="355" max="355"/>
    <col width="11" customWidth="1" min="356" max="356"/>
    <col width="10" customWidth="1" min="357" max="357"/>
    <col width="11" customWidth="1" min="358" max="358"/>
    <col width="13" customWidth="1" min="359" max="359"/>
    <col width="12" customWidth="1" min="361" max="361"/>
    <col width="10" customWidth="1" min="362" max="362"/>
    <col width="10" customWidth="1" min="363" max="363"/>
    <col width="10" customWidth="1" min="364" max="364"/>
    <col width="10" customWidth="1" min="365" max="365"/>
    <col width="11" customWidth="1" min="366" max="366"/>
    <col width="11" customWidth="1" min="367" max="367"/>
    <col width="10" customWidth="1" min="368" max="368"/>
    <col width="10" customWidth="1" min="369" max="369"/>
    <col width="10" customWidth="1" min="370" max="370"/>
    <col width="10" customWidth="1" min="371" max="371"/>
    <col width="11" customWidth="1" min="372" max="372"/>
    <col width="11" customWidth="1" min="373" max="373"/>
    <col width="10" customWidth="1" min="374" max="374"/>
    <col width="11" customWidth="1" min="375" max="375"/>
    <col width="13" customWidth="1" min="376" max="376"/>
  </cols>
  <sheetData>
    <row r="1">
      <c r="A1" s="2" t="inlineStr">
        <is>
          <t>Month</t>
        </is>
      </c>
      <c r="B1" s="9" t="n">
        <v>5</v>
      </c>
      <c r="D1" s="2">
        <f>IF(ISNUMBER(B$7),"XOP US "&amp;TEXT(B$3,"mm/dd/yy")&amp;" C"&amp;(B$7-5*B$6)&amp;" Equity","")</f>
        <v/>
      </c>
      <c r="U1" s="2">
        <f>IF(ISNUMBER(B$7),"XOP US "&amp;TEXT(B$3,"mm/dd/yy")&amp;" P"&amp;(B$7-5*B$6)&amp;" Equity","")</f>
        <v/>
      </c>
      <c r="AL1" s="2">
        <f>IF(ISNUMBER(B$7),"XOP US "&amp;TEXT(B$3,"mm/dd/yy")&amp;" C"&amp;(B$7-4*B$6)&amp;" Equity","")</f>
        <v/>
      </c>
      <c r="BC1" s="2">
        <f>IF(ISNUMBER(B$7),"XOP US "&amp;TEXT(B$3,"mm/dd/yy")&amp;" P"&amp;(B$7-4*B$6)&amp;" Equity","")</f>
        <v/>
      </c>
      <c r="BT1" s="2">
        <f>IF(ISNUMBER(B$7),"XOP US "&amp;TEXT(B$3,"mm/dd/yy")&amp;" C"&amp;(B$7-3*B$6)&amp;" Equity","")</f>
        <v/>
      </c>
      <c r="CK1" s="2">
        <f>IF(ISNUMBER(B$7),"XOP US "&amp;TEXT(B$3,"mm/dd/yy")&amp;" P"&amp;(B$7-3*B$6)&amp;" Equity","")</f>
        <v/>
      </c>
      <c r="DB1" s="2">
        <f>IF(ISNUMBER(B$7),"XOP US "&amp;TEXT(B$3,"mm/dd/yy")&amp;" C"&amp;(B$7-2*B$6)&amp;" Equity","")</f>
        <v/>
      </c>
      <c r="DS1" s="2">
        <f>IF(ISNUMBER(B$7),"XOP US "&amp;TEXT(B$3,"mm/dd/yy")&amp;" P"&amp;(B$7-2*B$6)&amp;" Equity","")</f>
        <v/>
      </c>
      <c r="EJ1" s="2">
        <f>IF(ISNUMBER(B$7),"XOP US "&amp;TEXT(B$3,"mm/dd/yy")&amp;" C"&amp;(B$7-1*B$6)&amp;" Equity","")</f>
        <v/>
      </c>
      <c r="FA1" s="2">
        <f>IF(ISNUMBER(B$7),"XOP US "&amp;TEXT(B$3,"mm/dd/yy")&amp;" P"&amp;(B$7-1*B$6)&amp;" Equity","")</f>
        <v/>
      </c>
      <c r="FR1" s="2">
        <f>IF(ISNUMBER(B$7),"XOP US "&amp;TEXT(B$3,"mm/dd/yy")&amp;" C"&amp;B$7&amp;" Equity","")</f>
        <v/>
      </c>
      <c r="GI1" s="2">
        <f>IF(ISNUMBER(B$7),"XOP US "&amp;TEXT(B$3,"mm/dd/yy")&amp;" P"&amp;B$7&amp;" Equity","")</f>
        <v/>
      </c>
      <c r="GZ1" s="2">
        <f>IF(ISNUMBER(B$7),"XOP US "&amp;TEXT(B$3,"mm/dd/yy")&amp;" C"&amp;(B$7+1*B$6)&amp;" Equity","")</f>
        <v/>
      </c>
      <c r="HQ1" s="2">
        <f>IF(ISNUMBER(B$7),"XOP US "&amp;TEXT(B$3,"mm/dd/yy")&amp;" P"&amp;(B$7+1*B$6)&amp;" Equity","")</f>
        <v/>
      </c>
      <c r="IH1" s="2">
        <f>IF(ISNUMBER(B$7),"XOP US "&amp;TEXT(B$3,"mm/dd/yy")&amp;" C"&amp;(B$7+2*B$6)&amp;" Equity","")</f>
        <v/>
      </c>
      <c r="IY1" s="2">
        <f>IF(ISNUMBER(B$7),"XOP US "&amp;TEXT(B$3,"mm/dd/yy")&amp;" P"&amp;(B$7+2*B$6)&amp;" Equity","")</f>
        <v/>
      </c>
      <c r="JP1" s="2">
        <f>IF(ISNUMBER(B$7),"XOP US "&amp;TEXT(B$3,"mm/dd/yy")&amp;" C"&amp;(B$7+3*B$6)&amp;" Equity","")</f>
        <v/>
      </c>
      <c r="KG1" s="2">
        <f>IF(ISNUMBER(B$7),"XOP US "&amp;TEXT(B$3,"mm/dd/yy")&amp;" P"&amp;(B$7+3*B$6)&amp;" Equity","")</f>
        <v/>
      </c>
      <c r="KX1" s="2">
        <f>IF(ISNUMBER(B$7),"XOP US "&amp;TEXT(B$3,"mm/dd/yy")&amp;" C"&amp;(B$7+4*B$6)&amp;" Equity","")</f>
        <v/>
      </c>
      <c r="LO1" s="2">
        <f>IF(ISNUMBER(B$7),"XOP US "&amp;TEXT(B$3,"mm/dd/yy")&amp;" P"&amp;(B$7+4*B$6)&amp;" Equity","")</f>
        <v/>
      </c>
      <c r="MF1" s="2">
        <f>IF(ISNUMBER(B$7),"XOP US "&amp;TEXT(B$3,"mm/dd/yy")&amp;" C"&amp;(B$7+5*B$6)&amp;" Equity","")</f>
        <v/>
      </c>
      <c r="MW1" s="2">
        <f>IF(ISNUMBER(B$7),"XOP US "&amp;TEXT(B$3,"mm/dd/yy")&amp;" P"&amp;(B$7+5*B$6)&amp;" Equity","")</f>
        <v/>
      </c>
    </row>
    <row r="2">
      <c r="A2" s="2" t="inlineStr">
        <is>
          <t>Underlying</t>
        </is>
      </c>
      <c r="B2" s="4">
        <f>IF(Settings!$B$17="Y","XOP US Equity","")</f>
        <v/>
      </c>
      <c r="D2" s="4" t="inlineStr">
        <is>
          <t>call -5 from ATM</t>
        </is>
      </c>
      <c r="U2" s="4" t="inlineStr">
        <is>
          <t>put -5 from ATM</t>
        </is>
      </c>
      <c r="AL2" s="4" t="inlineStr">
        <is>
          <t>call -4 from ATM</t>
        </is>
      </c>
      <c r="BC2" s="4" t="inlineStr">
        <is>
          <t>put -4 from ATM</t>
        </is>
      </c>
      <c r="BT2" s="4" t="inlineStr">
        <is>
          <t>call -3 from ATM</t>
        </is>
      </c>
      <c r="CK2" s="4" t="inlineStr">
        <is>
          <t>put -3 from ATM</t>
        </is>
      </c>
      <c r="DB2" s="4" t="inlineStr">
        <is>
          <t>call -2 from ATM</t>
        </is>
      </c>
      <c r="DS2" s="4" t="inlineStr">
        <is>
          <t>put -2 from ATM</t>
        </is>
      </c>
      <c r="EJ2" s="4" t="inlineStr">
        <is>
          <t>call -1 from ATM</t>
        </is>
      </c>
      <c r="FA2" s="4" t="inlineStr">
        <is>
          <t>put -1 from ATM</t>
        </is>
      </c>
      <c r="FR2" s="4" t="inlineStr">
        <is>
          <t>call +0 from ATM</t>
        </is>
      </c>
      <c r="GI2" s="4" t="inlineStr">
        <is>
          <t>put +0 from ATM</t>
        </is>
      </c>
      <c r="GZ2" s="4" t="inlineStr">
        <is>
          <t>call +1 from ATM</t>
        </is>
      </c>
      <c r="HQ2" s="4" t="inlineStr">
        <is>
          <t>put +1 from ATM</t>
        </is>
      </c>
      <c r="IH2" s="4" t="inlineStr">
        <is>
          <t>call +2 from ATM</t>
        </is>
      </c>
      <c r="IY2" s="4" t="inlineStr">
        <is>
          <t>put +2 from ATM</t>
        </is>
      </c>
      <c r="JP2" s="4" t="inlineStr">
        <is>
          <t>call +3 from ATM</t>
        </is>
      </c>
      <c r="KG2" s="4" t="inlineStr">
        <is>
          <t>put +3 from ATM</t>
        </is>
      </c>
      <c r="KX2" s="4" t="inlineStr">
        <is>
          <t>call +4 from ATM</t>
        </is>
      </c>
      <c r="LO2" s="4" t="inlineStr">
        <is>
          <t>put +4 from ATM</t>
        </is>
      </c>
      <c r="MF2" s="4" t="inlineStr">
        <is>
          <t>call +5 from ATM</t>
        </is>
      </c>
      <c r="MW2" s="4" t="inlineStr">
        <is>
          <t>put +5 from ATM</t>
        </is>
      </c>
    </row>
    <row r="3">
      <c r="A3" s="2" t="inlineStr">
        <is>
          <t>Expiry (3rd Friday)</t>
        </is>
      </c>
      <c r="B3" s="3">
        <f>DATE(Settings!$E$17,B1,15)+MOD(6-WEEKDAY(DATE(Settings!$E$17,B1,15)),7)</f>
        <v/>
      </c>
      <c r="D3" s="5" t="inlineStr">
        <is>
          <t>Date</t>
        </is>
      </c>
      <c r="E3" s="5" t="inlineStr">
        <is>
          <t>PX_BID</t>
        </is>
      </c>
      <c r="F3" s="5" t="inlineStr">
        <is>
          <t>PX_ASK</t>
        </is>
      </c>
      <c r="G3" s="5" t="inlineStr">
        <is>
          <t>PX_MID</t>
        </is>
      </c>
      <c r="H3" s="5" t="inlineStr">
        <is>
          <t>PX_LAST</t>
        </is>
      </c>
      <c r="I3" s="5" t="inlineStr">
        <is>
          <t>PX_SETTLE</t>
        </is>
      </c>
      <c r="J3" s="5" t="inlineStr">
        <is>
          <t>PX_VOLUME</t>
        </is>
      </c>
      <c r="K3" s="5" t="inlineStr">
        <is>
          <t>OPEN_INT</t>
        </is>
      </c>
      <c r="L3" s="5" t="inlineStr">
        <is>
          <t>IVOL_MID</t>
        </is>
      </c>
      <c r="M3" s="5" t="inlineStr">
        <is>
          <t>IVOL_BID</t>
        </is>
      </c>
      <c r="N3" s="5" t="inlineStr">
        <is>
          <t>IVOL_ASK</t>
        </is>
      </c>
      <c r="O3" s="5" t="inlineStr">
        <is>
          <t>DELTA_MID</t>
        </is>
      </c>
      <c r="P3" s="5" t="inlineStr">
        <is>
          <t>GAMMA_MID</t>
        </is>
      </c>
      <c r="Q3" s="5" t="inlineStr">
        <is>
          <t>VEGA_MID</t>
        </is>
      </c>
      <c r="R3" s="5" t="inlineStr">
        <is>
          <t>THETA_MID</t>
        </is>
      </c>
      <c r="S3" s="5" t="inlineStr">
        <is>
          <t>OPT_UNDL_PX</t>
        </is>
      </c>
      <c r="U3" s="5" t="inlineStr">
        <is>
          <t>Date</t>
        </is>
      </c>
      <c r="V3" s="5" t="inlineStr">
        <is>
          <t>PX_BID</t>
        </is>
      </c>
      <c r="W3" s="5" t="inlineStr">
        <is>
          <t>PX_ASK</t>
        </is>
      </c>
      <c r="X3" s="5" t="inlineStr">
        <is>
          <t>PX_MID</t>
        </is>
      </c>
      <c r="Y3" s="5" t="inlineStr">
        <is>
          <t>PX_LAST</t>
        </is>
      </c>
      <c r="Z3" s="5" t="inlineStr">
        <is>
          <t>PX_SETTLE</t>
        </is>
      </c>
      <c r="AA3" s="5" t="inlineStr">
        <is>
          <t>PX_VOLUME</t>
        </is>
      </c>
      <c r="AB3" s="5" t="inlineStr">
        <is>
          <t>OPEN_INT</t>
        </is>
      </c>
      <c r="AC3" s="5" t="inlineStr">
        <is>
          <t>IVOL_MID</t>
        </is>
      </c>
      <c r="AD3" s="5" t="inlineStr">
        <is>
          <t>IVOL_BID</t>
        </is>
      </c>
      <c r="AE3" s="5" t="inlineStr">
        <is>
          <t>IVOL_ASK</t>
        </is>
      </c>
      <c r="AF3" s="5" t="inlineStr">
        <is>
          <t>DELTA_MID</t>
        </is>
      </c>
      <c r="AG3" s="5" t="inlineStr">
        <is>
          <t>GAMMA_MID</t>
        </is>
      </c>
      <c r="AH3" s="5" t="inlineStr">
        <is>
          <t>VEGA_MID</t>
        </is>
      </c>
      <c r="AI3" s="5" t="inlineStr">
        <is>
          <t>THETA_MID</t>
        </is>
      </c>
      <c r="AJ3" s="5" t="inlineStr">
        <is>
          <t>OPT_UNDL_PX</t>
        </is>
      </c>
      <c r="AL3" s="5" t="inlineStr">
        <is>
          <t>Date</t>
        </is>
      </c>
      <c r="AM3" s="5" t="inlineStr">
        <is>
          <t>PX_BID</t>
        </is>
      </c>
      <c r="AN3" s="5" t="inlineStr">
        <is>
          <t>PX_ASK</t>
        </is>
      </c>
      <c r="AO3" s="5" t="inlineStr">
        <is>
          <t>PX_MID</t>
        </is>
      </c>
      <c r="AP3" s="5" t="inlineStr">
        <is>
          <t>PX_LAST</t>
        </is>
      </c>
      <c r="AQ3" s="5" t="inlineStr">
        <is>
          <t>PX_SETTLE</t>
        </is>
      </c>
      <c r="AR3" s="5" t="inlineStr">
        <is>
          <t>PX_VOLUME</t>
        </is>
      </c>
      <c r="AS3" s="5" t="inlineStr">
        <is>
          <t>OPEN_INT</t>
        </is>
      </c>
      <c r="AT3" s="5" t="inlineStr">
        <is>
          <t>IVOL_MID</t>
        </is>
      </c>
      <c r="AU3" s="5" t="inlineStr">
        <is>
          <t>IVOL_BID</t>
        </is>
      </c>
      <c r="AV3" s="5" t="inlineStr">
        <is>
          <t>IVOL_ASK</t>
        </is>
      </c>
      <c r="AW3" s="5" t="inlineStr">
        <is>
          <t>DELTA_MID</t>
        </is>
      </c>
      <c r="AX3" s="5" t="inlineStr">
        <is>
          <t>GAMMA_MID</t>
        </is>
      </c>
      <c r="AY3" s="5" t="inlineStr">
        <is>
          <t>VEGA_MID</t>
        </is>
      </c>
      <c r="AZ3" s="5" t="inlineStr">
        <is>
          <t>THETA_MID</t>
        </is>
      </c>
      <c r="BA3" s="5" t="inlineStr">
        <is>
          <t>OPT_UNDL_PX</t>
        </is>
      </c>
      <c r="BC3" s="5" t="inlineStr">
        <is>
          <t>Date</t>
        </is>
      </c>
      <c r="BD3" s="5" t="inlineStr">
        <is>
          <t>PX_BID</t>
        </is>
      </c>
      <c r="BE3" s="5" t="inlineStr">
        <is>
          <t>PX_ASK</t>
        </is>
      </c>
      <c r="BF3" s="5" t="inlineStr">
        <is>
          <t>PX_MID</t>
        </is>
      </c>
      <c r="BG3" s="5" t="inlineStr">
        <is>
          <t>PX_LAST</t>
        </is>
      </c>
      <c r="BH3" s="5" t="inlineStr">
        <is>
          <t>PX_SETTLE</t>
        </is>
      </c>
      <c r="BI3" s="5" t="inlineStr">
        <is>
          <t>PX_VOLUME</t>
        </is>
      </c>
      <c r="BJ3" s="5" t="inlineStr">
        <is>
          <t>OPEN_INT</t>
        </is>
      </c>
      <c r="BK3" s="5" t="inlineStr">
        <is>
          <t>IVOL_MID</t>
        </is>
      </c>
      <c r="BL3" s="5" t="inlineStr">
        <is>
          <t>IVOL_BID</t>
        </is>
      </c>
      <c r="BM3" s="5" t="inlineStr">
        <is>
          <t>IVOL_ASK</t>
        </is>
      </c>
      <c r="BN3" s="5" t="inlineStr">
        <is>
          <t>DELTA_MID</t>
        </is>
      </c>
      <c r="BO3" s="5" t="inlineStr">
        <is>
          <t>GAMMA_MID</t>
        </is>
      </c>
      <c r="BP3" s="5" t="inlineStr">
        <is>
          <t>VEGA_MID</t>
        </is>
      </c>
      <c r="BQ3" s="5" t="inlineStr">
        <is>
          <t>THETA_MID</t>
        </is>
      </c>
      <c r="BR3" s="5" t="inlineStr">
        <is>
          <t>OPT_UNDL_PX</t>
        </is>
      </c>
      <c r="BT3" s="5" t="inlineStr">
        <is>
          <t>Date</t>
        </is>
      </c>
      <c r="BU3" s="5" t="inlineStr">
        <is>
          <t>PX_BID</t>
        </is>
      </c>
      <c r="BV3" s="5" t="inlineStr">
        <is>
          <t>PX_ASK</t>
        </is>
      </c>
      <c r="BW3" s="5" t="inlineStr">
        <is>
          <t>PX_MID</t>
        </is>
      </c>
      <c r="BX3" s="5" t="inlineStr">
        <is>
          <t>PX_LAST</t>
        </is>
      </c>
      <c r="BY3" s="5" t="inlineStr">
        <is>
          <t>PX_SETTLE</t>
        </is>
      </c>
      <c r="BZ3" s="5" t="inlineStr">
        <is>
          <t>PX_VOLUME</t>
        </is>
      </c>
      <c r="CA3" s="5" t="inlineStr">
        <is>
          <t>OPEN_INT</t>
        </is>
      </c>
      <c r="CB3" s="5" t="inlineStr">
        <is>
          <t>IVOL_MID</t>
        </is>
      </c>
      <c r="CC3" s="5" t="inlineStr">
        <is>
          <t>IVOL_BID</t>
        </is>
      </c>
      <c r="CD3" s="5" t="inlineStr">
        <is>
          <t>IVOL_ASK</t>
        </is>
      </c>
      <c r="CE3" s="5" t="inlineStr">
        <is>
          <t>DELTA_MID</t>
        </is>
      </c>
      <c r="CF3" s="5" t="inlineStr">
        <is>
          <t>GAMMA_MID</t>
        </is>
      </c>
      <c r="CG3" s="5" t="inlineStr">
        <is>
          <t>VEGA_MID</t>
        </is>
      </c>
      <c r="CH3" s="5" t="inlineStr">
        <is>
          <t>THETA_MID</t>
        </is>
      </c>
      <c r="CI3" s="5" t="inlineStr">
        <is>
          <t>OPT_UNDL_PX</t>
        </is>
      </c>
      <c r="CK3" s="5" t="inlineStr">
        <is>
          <t>Date</t>
        </is>
      </c>
      <c r="CL3" s="5" t="inlineStr">
        <is>
          <t>PX_BID</t>
        </is>
      </c>
      <c r="CM3" s="5" t="inlineStr">
        <is>
          <t>PX_ASK</t>
        </is>
      </c>
      <c r="CN3" s="5" t="inlineStr">
        <is>
          <t>PX_MID</t>
        </is>
      </c>
      <c r="CO3" s="5" t="inlineStr">
        <is>
          <t>PX_LAST</t>
        </is>
      </c>
      <c r="CP3" s="5" t="inlineStr">
        <is>
          <t>PX_SETTLE</t>
        </is>
      </c>
      <c r="CQ3" s="5" t="inlineStr">
        <is>
          <t>PX_VOLUME</t>
        </is>
      </c>
      <c r="CR3" s="5" t="inlineStr">
        <is>
          <t>OPEN_INT</t>
        </is>
      </c>
      <c r="CS3" s="5" t="inlineStr">
        <is>
          <t>IVOL_MID</t>
        </is>
      </c>
      <c r="CT3" s="5" t="inlineStr">
        <is>
          <t>IVOL_BID</t>
        </is>
      </c>
      <c r="CU3" s="5" t="inlineStr">
        <is>
          <t>IVOL_ASK</t>
        </is>
      </c>
      <c r="CV3" s="5" t="inlineStr">
        <is>
          <t>DELTA_MID</t>
        </is>
      </c>
      <c r="CW3" s="5" t="inlineStr">
        <is>
          <t>GAMMA_MID</t>
        </is>
      </c>
      <c r="CX3" s="5" t="inlineStr">
        <is>
          <t>VEGA_MID</t>
        </is>
      </c>
      <c r="CY3" s="5" t="inlineStr">
        <is>
          <t>THETA_MID</t>
        </is>
      </c>
      <c r="CZ3" s="5" t="inlineStr">
        <is>
          <t>OPT_UNDL_PX</t>
        </is>
      </c>
      <c r="DB3" s="5" t="inlineStr">
        <is>
          <t>Date</t>
        </is>
      </c>
      <c r="DC3" s="5" t="inlineStr">
        <is>
          <t>PX_BID</t>
        </is>
      </c>
      <c r="DD3" s="5" t="inlineStr">
        <is>
          <t>PX_ASK</t>
        </is>
      </c>
      <c r="DE3" s="5" t="inlineStr">
        <is>
          <t>PX_MID</t>
        </is>
      </c>
      <c r="DF3" s="5" t="inlineStr">
        <is>
          <t>PX_LAST</t>
        </is>
      </c>
      <c r="DG3" s="5" t="inlineStr">
        <is>
          <t>PX_SETTLE</t>
        </is>
      </c>
      <c r="DH3" s="5" t="inlineStr">
        <is>
          <t>PX_VOLUME</t>
        </is>
      </c>
      <c r="DI3" s="5" t="inlineStr">
        <is>
          <t>OPEN_INT</t>
        </is>
      </c>
      <c r="DJ3" s="5" t="inlineStr">
        <is>
          <t>IVOL_MID</t>
        </is>
      </c>
      <c r="DK3" s="5" t="inlineStr">
        <is>
          <t>IVOL_BID</t>
        </is>
      </c>
      <c r="DL3" s="5" t="inlineStr">
        <is>
          <t>IVOL_ASK</t>
        </is>
      </c>
      <c r="DM3" s="5" t="inlineStr">
        <is>
          <t>DELTA_MID</t>
        </is>
      </c>
      <c r="DN3" s="5" t="inlineStr">
        <is>
          <t>GAMMA_MID</t>
        </is>
      </c>
      <c r="DO3" s="5" t="inlineStr">
        <is>
          <t>VEGA_MID</t>
        </is>
      </c>
      <c r="DP3" s="5" t="inlineStr">
        <is>
          <t>THETA_MID</t>
        </is>
      </c>
      <c r="DQ3" s="5" t="inlineStr">
        <is>
          <t>OPT_UNDL_PX</t>
        </is>
      </c>
      <c r="DS3" s="5" t="inlineStr">
        <is>
          <t>Date</t>
        </is>
      </c>
      <c r="DT3" s="5" t="inlineStr">
        <is>
          <t>PX_BID</t>
        </is>
      </c>
      <c r="DU3" s="5" t="inlineStr">
        <is>
          <t>PX_ASK</t>
        </is>
      </c>
      <c r="DV3" s="5" t="inlineStr">
        <is>
          <t>PX_MID</t>
        </is>
      </c>
      <c r="DW3" s="5" t="inlineStr">
        <is>
          <t>PX_LAST</t>
        </is>
      </c>
      <c r="DX3" s="5" t="inlineStr">
        <is>
          <t>PX_SETTLE</t>
        </is>
      </c>
      <c r="DY3" s="5" t="inlineStr">
        <is>
          <t>PX_VOLUME</t>
        </is>
      </c>
      <c r="DZ3" s="5" t="inlineStr">
        <is>
          <t>OPEN_INT</t>
        </is>
      </c>
      <c r="EA3" s="5" t="inlineStr">
        <is>
          <t>IVOL_MID</t>
        </is>
      </c>
      <c r="EB3" s="5" t="inlineStr">
        <is>
          <t>IVOL_BID</t>
        </is>
      </c>
      <c r="EC3" s="5" t="inlineStr">
        <is>
          <t>IVOL_ASK</t>
        </is>
      </c>
      <c r="ED3" s="5" t="inlineStr">
        <is>
          <t>DELTA_MID</t>
        </is>
      </c>
      <c r="EE3" s="5" t="inlineStr">
        <is>
          <t>GAMMA_MID</t>
        </is>
      </c>
      <c r="EF3" s="5" t="inlineStr">
        <is>
          <t>VEGA_MID</t>
        </is>
      </c>
      <c r="EG3" s="5" t="inlineStr">
        <is>
          <t>THETA_MID</t>
        </is>
      </c>
      <c r="EH3" s="5" t="inlineStr">
        <is>
          <t>OPT_UNDL_PX</t>
        </is>
      </c>
      <c r="EJ3" s="5" t="inlineStr">
        <is>
          <t>Date</t>
        </is>
      </c>
      <c r="EK3" s="5" t="inlineStr">
        <is>
          <t>PX_BID</t>
        </is>
      </c>
      <c r="EL3" s="5" t="inlineStr">
        <is>
          <t>PX_ASK</t>
        </is>
      </c>
      <c r="EM3" s="5" t="inlineStr">
        <is>
          <t>PX_MID</t>
        </is>
      </c>
      <c r="EN3" s="5" t="inlineStr">
        <is>
          <t>PX_LAST</t>
        </is>
      </c>
      <c r="EO3" s="5" t="inlineStr">
        <is>
          <t>PX_SETTLE</t>
        </is>
      </c>
      <c r="EP3" s="5" t="inlineStr">
        <is>
          <t>PX_VOLUME</t>
        </is>
      </c>
      <c r="EQ3" s="5" t="inlineStr">
        <is>
          <t>OPEN_INT</t>
        </is>
      </c>
      <c r="ER3" s="5" t="inlineStr">
        <is>
          <t>IVOL_MID</t>
        </is>
      </c>
      <c r="ES3" s="5" t="inlineStr">
        <is>
          <t>IVOL_BID</t>
        </is>
      </c>
      <c r="ET3" s="5" t="inlineStr">
        <is>
          <t>IVOL_ASK</t>
        </is>
      </c>
      <c r="EU3" s="5" t="inlineStr">
        <is>
          <t>DELTA_MID</t>
        </is>
      </c>
      <c r="EV3" s="5" t="inlineStr">
        <is>
          <t>GAMMA_MID</t>
        </is>
      </c>
      <c r="EW3" s="5" t="inlineStr">
        <is>
          <t>VEGA_MID</t>
        </is>
      </c>
      <c r="EX3" s="5" t="inlineStr">
        <is>
          <t>THETA_MID</t>
        </is>
      </c>
      <c r="EY3" s="5" t="inlineStr">
        <is>
          <t>OPT_UNDL_PX</t>
        </is>
      </c>
      <c r="FA3" s="5" t="inlineStr">
        <is>
          <t>Date</t>
        </is>
      </c>
      <c r="FB3" s="5" t="inlineStr">
        <is>
          <t>PX_BID</t>
        </is>
      </c>
      <c r="FC3" s="5" t="inlineStr">
        <is>
          <t>PX_ASK</t>
        </is>
      </c>
      <c r="FD3" s="5" t="inlineStr">
        <is>
          <t>PX_MID</t>
        </is>
      </c>
      <c r="FE3" s="5" t="inlineStr">
        <is>
          <t>PX_LAST</t>
        </is>
      </c>
      <c r="FF3" s="5" t="inlineStr">
        <is>
          <t>PX_SETTLE</t>
        </is>
      </c>
      <c r="FG3" s="5" t="inlineStr">
        <is>
          <t>PX_VOLUME</t>
        </is>
      </c>
      <c r="FH3" s="5" t="inlineStr">
        <is>
          <t>OPEN_INT</t>
        </is>
      </c>
      <c r="FI3" s="5" t="inlineStr">
        <is>
          <t>IVOL_MID</t>
        </is>
      </c>
      <c r="FJ3" s="5" t="inlineStr">
        <is>
          <t>IVOL_BID</t>
        </is>
      </c>
      <c r="FK3" s="5" t="inlineStr">
        <is>
          <t>IVOL_ASK</t>
        </is>
      </c>
      <c r="FL3" s="5" t="inlineStr">
        <is>
          <t>DELTA_MID</t>
        </is>
      </c>
      <c r="FM3" s="5" t="inlineStr">
        <is>
          <t>GAMMA_MID</t>
        </is>
      </c>
      <c r="FN3" s="5" t="inlineStr">
        <is>
          <t>VEGA_MID</t>
        </is>
      </c>
      <c r="FO3" s="5" t="inlineStr">
        <is>
          <t>THETA_MID</t>
        </is>
      </c>
      <c r="FP3" s="5" t="inlineStr">
        <is>
          <t>OPT_UNDL_PX</t>
        </is>
      </c>
      <c r="FR3" s="5" t="inlineStr">
        <is>
          <t>Date</t>
        </is>
      </c>
      <c r="FS3" s="5" t="inlineStr">
        <is>
          <t>PX_BID</t>
        </is>
      </c>
      <c r="FT3" s="5" t="inlineStr">
        <is>
          <t>PX_ASK</t>
        </is>
      </c>
      <c r="FU3" s="5" t="inlineStr">
        <is>
          <t>PX_MID</t>
        </is>
      </c>
      <c r="FV3" s="5" t="inlineStr">
        <is>
          <t>PX_LAST</t>
        </is>
      </c>
      <c r="FW3" s="5" t="inlineStr">
        <is>
          <t>PX_SETTLE</t>
        </is>
      </c>
      <c r="FX3" s="5" t="inlineStr">
        <is>
          <t>PX_VOLUME</t>
        </is>
      </c>
      <c r="FY3" s="5" t="inlineStr">
        <is>
          <t>OPEN_INT</t>
        </is>
      </c>
      <c r="FZ3" s="5" t="inlineStr">
        <is>
          <t>IVOL_MID</t>
        </is>
      </c>
      <c r="GA3" s="5" t="inlineStr">
        <is>
          <t>IVOL_BID</t>
        </is>
      </c>
      <c r="GB3" s="5" t="inlineStr">
        <is>
          <t>IVOL_ASK</t>
        </is>
      </c>
      <c r="GC3" s="5" t="inlineStr">
        <is>
          <t>DELTA_MID</t>
        </is>
      </c>
      <c r="GD3" s="5" t="inlineStr">
        <is>
          <t>GAMMA_MID</t>
        </is>
      </c>
      <c r="GE3" s="5" t="inlineStr">
        <is>
          <t>VEGA_MID</t>
        </is>
      </c>
      <c r="GF3" s="5" t="inlineStr">
        <is>
          <t>THETA_MID</t>
        </is>
      </c>
      <c r="GG3" s="5" t="inlineStr">
        <is>
          <t>OPT_UNDL_PX</t>
        </is>
      </c>
      <c r="GI3" s="5" t="inlineStr">
        <is>
          <t>Date</t>
        </is>
      </c>
      <c r="GJ3" s="5" t="inlineStr">
        <is>
          <t>PX_BID</t>
        </is>
      </c>
      <c r="GK3" s="5" t="inlineStr">
        <is>
          <t>PX_ASK</t>
        </is>
      </c>
      <c r="GL3" s="5" t="inlineStr">
        <is>
          <t>PX_MID</t>
        </is>
      </c>
      <c r="GM3" s="5" t="inlineStr">
        <is>
          <t>PX_LAST</t>
        </is>
      </c>
      <c r="GN3" s="5" t="inlineStr">
        <is>
          <t>PX_SETTLE</t>
        </is>
      </c>
      <c r="GO3" s="5" t="inlineStr">
        <is>
          <t>PX_VOLUME</t>
        </is>
      </c>
      <c r="GP3" s="5" t="inlineStr">
        <is>
          <t>OPEN_INT</t>
        </is>
      </c>
      <c r="GQ3" s="5" t="inlineStr">
        <is>
          <t>IVOL_MID</t>
        </is>
      </c>
      <c r="GR3" s="5" t="inlineStr">
        <is>
          <t>IVOL_BID</t>
        </is>
      </c>
      <c r="GS3" s="5" t="inlineStr">
        <is>
          <t>IVOL_ASK</t>
        </is>
      </c>
      <c r="GT3" s="5" t="inlineStr">
        <is>
          <t>DELTA_MID</t>
        </is>
      </c>
      <c r="GU3" s="5" t="inlineStr">
        <is>
          <t>GAMMA_MID</t>
        </is>
      </c>
      <c r="GV3" s="5" t="inlineStr">
        <is>
          <t>VEGA_MID</t>
        </is>
      </c>
      <c r="GW3" s="5" t="inlineStr">
        <is>
          <t>THETA_MID</t>
        </is>
      </c>
      <c r="GX3" s="5" t="inlineStr">
        <is>
          <t>OPT_UNDL_PX</t>
        </is>
      </c>
      <c r="GZ3" s="5" t="inlineStr">
        <is>
          <t>Date</t>
        </is>
      </c>
      <c r="HA3" s="5" t="inlineStr">
        <is>
          <t>PX_BID</t>
        </is>
      </c>
      <c r="HB3" s="5" t="inlineStr">
        <is>
          <t>PX_ASK</t>
        </is>
      </c>
      <c r="HC3" s="5" t="inlineStr">
        <is>
          <t>PX_MID</t>
        </is>
      </c>
      <c r="HD3" s="5" t="inlineStr">
        <is>
          <t>PX_LAST</t>
        </is>
      </c>
      <c r="HE3" s="5" t="inlineStr">
        <is>
          <t>PX_SETTLE</t>
        </is>
      </c>
      <c r="HF3" s="5" t="inlineStr">
        <is>
          <t>PX_VOLUME</t>
        </is>
      </c>
      <c r="HG3" s="5" t="inlineStr">
        <is>
          <t>OPEN_INT</t>
        </is>
      </c>
      <c r="HH3" s="5" t="inlineStr">
        <is>
          <t>IVOL_MID</t>
        </is>
      </c>
      <c r="HI3" s="5" t="inlineStr">
        <is>
          <t>IVOL_BID</t>
        </is>
      </c>
      <c r="HJ3" s="5" t="inlineStr">
        <is>
          <t>IVOL_ASK</t>
        </is>
      </c>
      <c r="HK3" s="5" t="inlineStr">
        <is>
          <t>DELTA_MID</t>
        </is>
      </c>
      <c r="HL3" s="5" t="inlineStr">
        <is>
          <t>GAMMA_MID</t>
        </is>
      </c>
      <c r="HM3" s="5" t="inlineStr">
        <is>
          <t>VEGA_MID</t>
        </is>
      </c>
      <c r="HN3" s="5" t="inlineStr">
        <is>
          <t>THETA_MID</t>
        </is>
      </c>
      <c r="HO3" s="5" t="inlineStr">
        <is>
          <t>OPT_UNDL_PX</t>
        </is>
      </c>
      <c r="HQ3" s="5" t="inlineStr">
        <is>
          <t>Date</t>
        </is>
      </c>
      <c r="HR3" s="5" t="inlineStr">
        <is>
          <t>PX_BID</t>
        </is>
      </c>
      <c r="HS3" s="5" t="inlineStr">
        <is>
          <t>PX_ASK</t>
        </is>
      </c>
      <c r="HT3" s="5" t="inlineStr">
        <is>
          <t>PX_MID</t>
        </is>
      </c>
      <c r="HU3" s="5" t="inlineStr">
        <is>
          <t>PX_LAST</t>
        </is>
      </c>
      <c r="HV3" s="5" t="inlineStr">
        <is>
          <t>PX_SETTLE</t>
        </is>
      </c>
      <c r="HW3" s="5" t="inlineStr">
        <is>
          <t>PX_VOLUME</t>
        </is>
      </c>
      <c r="HX3" s="5" t="inlineStr">
        <is>
          <t>OPEN_INT</t>
        </is>
      </c>
      <c r="HY3" s="5" t="inlineStr">
        <is>
          <t>IVOL_MID</t>
        </is>
      </c>
      <c r="HZ3" s="5" t="inlineStr">
        <is>
          <t>IVOL_BID</t>
        </is>
      </c>
      <c r="IA3" s="5" t="inlineStr">
        <is>
          <t>IVOL_ASK</t>
        </is>
      </c>
      <c r="IB3" s="5" t="inlineStr">
        <is>
          <t>DELTA_MID</t>
        </is>
      </c>
      <c r="IC3" s="5" t="inlineStr">
        <is>
          <t>GAMMA_MID</t>
        </is>
      </c>
      <c r="ID3" s="5" t="inlineStr">
        <is>
          <t>VEGA_MID</t>
        </is>
      </c>
      <c r="IE3" s="5" t="inlineStr">
        <is>
          <t>THETA_MID</t>
        </is>
      </c>
      <c r="IF3" s="5" t="inlineStr">
        <is>
          <t>OPT_UNDL_PX</t>
        </is>
      </c>
      <c r="IH3" s="5" t="inlineStr">
        <is>
          <t>Date</t>
        </is>
      </c>
      <c r="II3" s="5" t="inlineStr">
        <is>
          <t>PX_BID</t>
        </is>
      </c>
      <c r="IJ3" s="5" t="inlineStr">
        <is>
          <t>PX_ASK</t>
        </is>
      </c>
      <c r="IK3" s="5" t="inlineStr">
        <is>
          <t>PX_MID</t>
        </is>
      </c>
      <c r="IL3" s="5" t="inlineStr">
        <is>
          <t>PX_LAST</t>
        </is>
      </c>
      <c r="IM3" s="5" t="inlineStr">
        <is>
          <t>PX_SETTLE</t>
        </is>
      </c>
      <c r="IN3" s="5" t="inlineStr">
        <is>
          <t>PX_VOLUME</t>
        </is>
      </c>
      <c r="IO3" s="5" t="inlineStr">
        <is>
          <t>OPEN_INT</t>
        </is>
      </c>
      <c r="IP3" s="5" t="inlineStr">
        <is>
          <t>IVOL_MID</t>
        </is>
      </c>
      <c r="IQ3" s="5" t="inlineStr">
        <is>
          <t>IVOL_BID</t>
        </is>
      </c>
      <c r="IR3" s="5" t="inlineStr">
        <is>
          <t>IVOL_ASK</t>
        </is>
      </c>
      <c r="IS3" s="5" t="inlineStr">
        <is>
          <t>DELTA_MID</t>
        </is>
      </c>
      <c r="IT3" s="5" t="inlineStr">
        <is>
          <t>GAMMA_MID</t>
        </is>
      </c>
      <c r="IU3" s="5" t="inlineStr">
        <is>
          <t>VEGA_MID</t>
        </is>
      </c>
      <c r="IV3" s="5" t="inlineStr">
        <is>
          <t>THETA_MID</t>
        </is>
      </c>
      <c r="IW3" s="5" t="inlineStr">
        <is>
          <t>OPT_UNDL_PX</t>
        </is>
      </c>
      <c r="IY3" s="5" t="inlineStr">
        <is>
          <t>Date</t>
        </is>
      </c>
      <c r="IZ3" s="5" t="inlineStr">
        <is>
          <t>PX_BID</t>
        </is>
      </c>
      <c r="JA3" s="5" t="inlineStr">
        <is>
          <t>PX_ASK</t>
        </is>
      </c>
      <c r="JB3" s="5" t="inlineStr">
        <is>
          <t>PX_MID</t>
        </is>
      </c>
      <c r="JC3" s="5" t="inlineStr">
        <is>
          <t>PX_LAST</t>
        </is>
      </c>
      <c r="JD3" s="5" t="inlineStr">
        <is>
          <t>PX_SETTLE</t>
        </is>
      </c>
      <c r="JE3" s="5" t="inlineStr">
        <is>
          <t>PX_VOLUME</t>
        </is>
      </c>
      <c r="JF3" s="5" t="inlineStr">
        <is>
          <t>OPEN_INT</t>
        </is>
      </c>
      <c r="JG3" s="5" t="inlineStr">
        <is>
          <t>IVOL_MID</t>
        </is>
      </c>
      <c r="JH3" s="5" t="inlineStr">
        <is>
          <t>IVOL_BID</t>
        </is>
      </c>
      <c r="JI3" s="5" t="inlineStr">
        <is>
          <t>IVOL_ASK</t>
        </is>
      </c>
      <c r="JJ3" s="5" t="inlineStr">
        <is>
          <t>DELTA_MID</t>
        </is>
      </c>
      <c r="JK3" s="5" t="inlineStr">
        <is>
          <t>GAMMA_MID</t>
        </is>
      </c>
      <c r="JL3" s="5" t="inlineStr">
        <is>
          <t>VEGA_MID</t>
        </is>
      </c>
      <c r="JM3" s="5" t="inlineStr">
        <is>
          <t>THETA_MID</t>
        </is>
      </c>
      <c r="JN3" s="5" t="inlineStr">
        <is>
          <t>OPT_UNDL_PX</t>
        </is>
      </c>
      <c r="JP3" s="5" t="inlineStr">
        <is>
          <t>Date</t>
        </is>
      </c>
      <c r="JQ3" s="5" t="inlineStr">
        <is>
          <t>PX_BID</t>
        </is>
      </c>
      <c r="JR3" s="5" t="inlineStr">
        <is>
          <t>PX_ASK</t>
        </is>
      </c>
      <c r="JS3" s="5" t="inlineStr">
        <is>
          <t>PX_MID</t>
        </is>
      </c>
      <c r="JT3" s="5" t="inlineStr">
        <is>
          <t>PX_LAST</t>
        </is>
      </c>
      <c r="JU3" s="5" t="inlineStr">
        <is>
          <t>PX_SETTLE</t>
        </is>
      </c>
      <c r="JV3" s="5" t="inlineStr">
        <is>
          <t>PX_VOLUME</t>
        </is>
      </c>
      <c r="JW3" s="5" t="inlineStr">
        <is>
          <t>OPEN_INT</t>
        </is>
      </c>
      <c r="JX3" s="5" t="inlineStr">
        <is>
          <t>IVOL_MID</t>
        </is>
      </c>
      <c r="JY3" s="5" t="inlineStr">
        <is>
          <t>IVOL_BID</t>
        </is>
      </c>
      <c r="JZ3" s="5" t="inlineStr">
        <is>
          <t>IVOL_ASK</t>
        </is>
      </c>
      <c r="KA3" s="5" t="inlineStr">
        <is>
          <t>DELTA_MID</t>
        </is>
      </c>
      <c r="KB3" s="5" t="inlineStr">
        <is>
          <t>GAMMA_MID</t>
        </is>
      </c>
      <c r="KC3" s="5" t="inlineStr">
        <is>
          <t>VEGA_MID</t>
        </is>
      </c>
      <c r="KD3" s="5" t="inlineStr">
        <is>
          <t>THETA_MID</t>
        </is>
      </c>
      <c r="KE3" s="5" t="inlineStr">
        <is>
          <t>OPT_UNDL_PX</t>
        </is>
      </c>
      <c r="KG3" s="5" t="inlineStr">
        <is>
          <t>Date</t>
        </is>
      </c>
      <c r="KH3" s="5" t="inlineStr">
        <is>
          <t>PX_BID</t>
        </is>
      </c>
      <c r="KI3" s="5" t="inlineStr">
        <is>
          <t>PX_ASK</t>
        </is>
      </c>
      <c r="KJ3" s="5" t="inlineStr">
        <is>
          <t>PX_MID</t>
        </is>
      </c>
      <c r="KK3" s="5" t="inlineStr">
        <is>
          <t>PX_LAST</t>
        </is>
      </c>
      <c r="KL3" s="5" t="inlineStr">
        <is>
          <t>PX_SETTLE</t>
        </is>
      </c>
      <c r="KM3" s="5" t="inlineStr">
        <is>
          <t>PX_VOLUME</t>
        </is>
      </c>
      <c r="KN3" s="5" t="inlineStr">
        <is>
          <t>OPEN_INT</t>
        </is>
      </c>
      <c r="KO3" s="5" t="inlineStr">
        <is>
          <t>IVOL_MID</t>
        </is>
      </c>
      <c r="KP3" s="5" t="inlineStr">
        <is>
          <t>IVOL_BID</t>
        </is>
      </c>
      <c r="KQ3" s="5" t="inlineStr">
        <is>
          <t>IVOL_ASK</t>
        </is>
      </c>
      <c r="KR3" s="5" t="inlineStr">
        <is>
          <t>DELTA_MID</t>
        </is>
      </c>
      <c r="KS3" s="5" t="inlineStr">
        <is>
          <t>GAMMA_MID</t>
        </is>
      </c>
      <c r="KT3" s="5" t="inlineStr">
        <is>
          <t>VEGA_MID</t>
        </is>
      </c>
      <c r="KU3" s="5" t="inlineStr">
        <is>
          <t>THETA_MID</t>
        </is>
      </c>
      <c r="KV3" s="5" t="inlineStr">
        <is>
          <t>OPT_UNDL_PX</t>
        </is>
      </c>
      <c r="KX3" s="5" t="inlineStr">
        <is>
          <t>Date</t>
        </is>
      </c>
      <c r="KY3" s="5" t="inlineStr">
        <is>
          <t>PX_BID</t>
        </is>
      </c>
      <c r="KZ3" s="5" t="inlineStr">
        <is>
          <t>PX_ASK</t>
        </is>
      </c>
      <c r="LA3" s="5" t="inlineStr">
        <is>
          <t>PX_MID</t>
        </is>
      </c>
      <c r="LB3" s="5" t="inlineStr">
        <is>
          <t>PX_LAST</t>
        </is>
      </c>
      <c r="LC3" s="5" t="inlineStr">
        <is>
          <t>PX_SETTLE</t>
        </is>
      </c>
      <c r="LD3" s="5" t="inlineStr">
        <is>
          <t>PX_VOLUME</t>
        </is>
      </c>
      <c r="LE3" s="5" t="inlineStr">
        <is>
          <t>OPEN_INT</t>
        </is>
      </c>
      <c r="LF3" s="5" t="inlineStr">
        <is>
          <t>IVOL_MID</t>
        </is>
      </c>
      <c r="LG3" s="5" t="inlineStr">
        <is>
          <t>IVOL_BID</t>
        </is>
      </c>
      <c r="LH3" s="5" t="inlineStr">
        <is>
          <t>IVOL_ASK</t>
        </is>
      </c>
      <c r="LI3" s="5" t="inlineStr">
        <is>
          <t>DELTA_MID</t>
        </is>
      </c>
      <c r="LJ3" s="5" t="inlineStr">
        <is>
          <t>GAMMA_MID</t>
        </is>
      </c>
      <c r="LK3" s="5" t="inlineStr">
        <is>
          <t>VEGA_MID</t>
        </is>
      </c>
      <c r="LL3" s="5" t="inlineStr">
        <is>
          <t>THETA_MID</t>
        </is>
      </c>
      <c r="LM3" s="5" t="inlineStr">
        <is>
          <t>OPT_UNDL_PX</t>
        </is>
      </c>
      <c r="LO3" s="5" t="inlineStr">
        <is>
          <t>Date</t>
        </is>
      </c>
      <c r="LP3" s="5" t="inlineStr">
        <is>
          <t>PX_BID</t>
        </is>
      </c>
      <c r="LQ3" s="5" t="inlineStr">
        <is>
          <t>PX_ASK</t>
        </is>
      </c>
      <c r="LR3" s="5" t="inlineStr">
        <is>
          <t>PX_MID</t>
        </is>
      </c>
      <c r="LS3" s="5" t="inlineStr">
        <is>
          <t>PX_LAST</t>
        </is>
      </c>
      <c r="LT3" s="5" t="inlineStr">
        <is>
          <t>PX_SETTLE</t>
        </is>
      </c>
      <c r="LU3" s="5" t="inlineStr">
        <is>
          <t>PX_VOLUME</t>
        </is>
      </c>
      <c r="LV3" s="5" t="inlineStr">
        <is>
          <t>OPEN_INT</t>
        </is>
      </c>
      <c r="LW3" s="5" t="inlineStr">
        <is>
          <t>IVOL_MID</t>
        </is>
      </c>
      <c r="LX3" s="5" t="inlineStr">
        <is>
          <t>IVOL_BID</t>
        </is>
      </c>
      <c r="LY3" s="5" t="inlineStr">
        <is>
          <t>IVOL_ASK</t>
        </is>
      </c>
      <c r="LZ3" s="5" t="inlineStr">
        <is>
          <t>DELTA_MID</t>
        </is>
      </c>
      <c r="MA3" s="5" t="inlineStr">
        <is>
          <t>GAMMA_MID</t>
        </is>
      </c>
      <c r="MB3" s="5" t="inlineStr">
        <is>
          <t>VEGA_MID</t>
        </is>
      </c>
      <c r="MC3" s="5" t="inlineStr">
        <is>
          <t>THETA_MID</t>
        </is>
      </c>
      <c r="MD3" s="5" t="inlineStr">
        <is>
          <t>OPT_UNDL_PX</t>
        </is>
      </c>
      <c r="MF3" s="5" t="inlineStr">
        <is>
          <t>Date</t>
        </is>
      </c>
      <c r="MG3" s="5" t="inlineStr">
        <is>
          <t>PX_BID</t>
        </is>
      </c>
      <c r="MH3" s="5" t="inlineStr">
        <is>
          <t>PX_ASK</t>
        </is>
      </c>
      <c r="MI3" s="5" t="inlineStr">
        <is>
          <t>PX_MID</t>
        </is>
      </c>
      <c r="MJ3" s="5" t="inlineStr">
        <is>
          <t>PX_LAST</t>
        </is>
      </c>
      <c r="MK3" s="5" t="inlineStr">
        <is>
          <t>PX_SETTLE</t>
        </is>
      </c>
      <c r="ML3" s="5" t="inlineStr">
        <is>
          <t>PX_VOLUME</t>
        </is>
      </c>
      <c r="MM3" s="5" t="inlineStr">
        <is>
          <t>OPEN_INT</t>
        </is>
      </c>
      <c r="MN3" s="5" t="inlineStr">
        <is>
          <t>IVOL_MID</t>
        </is>
      </c>
      <c r="MO3" s="5" t="inlineStr">
        <is>
          <t>IVOL_BID</t>
        </is>
      </c>
      <c r="MP3" s="5" t="inlineStr">
        <is>
          <t>IVOL_ASK</t>
        </is>
      </c>
      <c r="MQ3" s="5" t="inlineStr">
        <is>
          <t>DELTA_MID</t>
        </is>
      </c>
      <c r="MR3" s="5" t="inlineStr">
        <is>
          <t>GAMMA_MID</t>
        </is>
      </c>
      <c r="MS3" s="5" t="inlineStr">
        <is>
          <t>VEGA_MID</t>
        </is>
      </c>
      <c r="MT3" s="5" t="inlineStr">
        <is>
          <t>THETA_MID</t>
        </is>
      </c>
      <c r="MU3" s="5" t="inlineStr">
        <is>
          <t>OPT_UNDL_PX</t>
        </is>
      </c>
      <c r="MW3" s="5" t="inlineStr">
        <is>
          <t>Date</t>
        </is>
      </c>
      <c r="MX3" s="5" t="inlineStr">
        <is>
          <t>PX_BID</t>
        </is>
      </c>
      <c r="MY3" s="5" t="inlineStr">
        <is>
          <t>PX_ASK</t>
        </is>
      </c>
      <c r="MZ3" s="5" t="inlineStr">
        <is>
          <t>PX_MID</t>
        </is>
      </c>
      <c r="NA3" s="5" t="inlineStr">
        <is>
          <t>PX_LAST</t>
        </is>
      </c>
      <c r="NB3" s="5" t="inlineStr">
        <is>
          <t>PX_SETTLE</t>
        </is>
      </c>
      <c r="NC3" s="5" t="inlineStr">
        <is>
          <t>PX_VOLUME</t>
        </is>
      </c>
      <c r="ND3" s="5" t="inlineStr">
        <is>
          <t>OPEN_INT</t>
        </is>
      </c>
      <c r="NE3" s="5" t="inlineStr">
        <is>
          <t>IVOL_MID</t>
        </is>
      </c>
      <c r="NF3" s="5" t="inlineStr">
        <is>
          <t>IVOL_BID</t>
        </is>
      </c>
      <c r="NG3" s="5" t="inlineStr">
        <is>
          <t>IVOL_ASK</t>
        </is>
      </c>
      <c r="NH3" s="5" t="inlineStr">
        <is>
          <t>DELTA_MID</t>
        </is>
      </c>
      <c r="NI3" s="5" t="inlineStr">
        <is>
          <t>GAMMA_MID</t>
        </is>
      </c>
      <c r="NJ3" s="5" t="inlineStr">
        <is>
          <t>VEGA_MID</t>
        </is>
      </c>
      <c r="NK3" s="5" t="inlineStr">
        <is>
          <t>THETA_MID</t>
        </is>
      </c>
      <c r="NL3" s="5" t="inlineStr">
        <is>
          <t>OPT_UNDL_PX</t>
        </is>
      </c>
    </row>
    <row r="4">
      <c r="A4" s="2" t="inlineStr">
        <is>
          <t>Strike reference date</t>
        </is>
      </c>
      <c r="B4" s="8">
        <f>B3-45</f>
        <v/>
      </c>
      <c r="D4" s="4">
        <f>BDH(D$1,E$3:S$3,$B$8,$B$9,"Dir=V","Dts=S","Sort=A","Days=T","Fill=B")</f>
        <v/>
      </c>
      <c r="U4" s="4">
        <f>BDH(U$1,V$3:AJ$3,$B$8,$B$9,"Dir=V","Dts=S","Sort=A","Days=T","Fill=B")</f>
        <v/>
      </c>
      <c r="AL4" s="4">
        <f>BDH(AL$1,AM$3:BA$3,$B$8,$B$9,"Dir=V","Dts=S","Sort=A","Days=T","Fill=B")</f>
        <v/>
      </c>
      <c r="BC4" s="4">
        <f>BDH(BC$1,BD$3:BR$3,$B$8,$B$9,"Dir=V","Dts=S","Sort=A","Days=T","Fill=B")</f>
        <v/>
      </c>
      <c r="BT4" s="4">
        <f>BDH(BT$1,BU$3:CI$3,$B$8,$B$9,"Dir=V","Dts=S","Sort=A","Days=T","Fill=B")</f>
        <v/>
      </c>
      <c r="CK4" s="4">
        <f>BDH(CK$1,CL$3:CZ$3,$B$8,$B$9,"Dir=V","Dts=S","Sort=A","Days=T","Fill=B")</f>
        <v/>
      </c>
      <c r="DB4" s="4">
        <f>BDH(DB$1,DC$3:DQ$3,$B$8,$B$9,"Dir=V","Dts=S","Sort=A","Days=T","Fill=B")</f>
        <v/>
      </c>
      <c r="DS4" s="4">
        <f>BDH(DS$1,DT$3:EH$3,$B$8,$B$9,"Dir=V","Dts=S","Sort=A","Days=T","Fill=B")</f>
        <v/>
      </c>
      <c r="EJ4" s="4">
        <f>BDH(EJ$1,EK$3:EY$3,$B$8,$B$9,"Dir=V","Dts=S","Sort=A","Days=T","Fill=B")</f>
        <v/>
      </c>
      <c r="FA4" s="4">
        <f>BDH(FA$1,FB$3:FP$3,$B$8,$B$9,"Dir=V","Dts=S","Sort=A","Days=T","Fill=B")</f>
        <v/>
      </c>
      <c r="FR4" s="4">
        <f>BDH(FR$1,FS$3:GG$3,$B$8,$B$9,"Dir=V","Dts=S","Sort=A","Days=T","Fill=B")</f>
        <v/>
      </c>
      <c r="GI4" s="4">
        <f>BDH(GI$1,GJ$3:GX$3,$B$8,$B$9,"Dir=V","Dts=S","Sort=A","Days=T","Fill=B")</f>
        <v/>
      </c>
      <c r="GZ4" s="4">
        <f>BDH(GZ$1,HA$3:HO$3,$B$8,$B$9,"Dir=V","Dts=S","Sort=A","Days=T","Fill=B")</f>
        <v/>
      </c>
      <c r="HQ4" s="4">
        <f>BDH(HQ$1,HR$3:IF$3,$B$8,$B$9,"Dir=V","Dts=S","Sort=A","Days=T","Fill=B")</f>
        <v/>
      </c>
      <c r="IH4" s="4">
        <f>BDH(IH$1,II$3:IW$3,$B$8,$B$9,"Dir=V","Dts=S","Sort=A","Days=T","Fill=B")</f>
        <v/>
      </c>
      <c r="IY4" s="4">
        <f>BDH(IY$1,IZ$3:JN$3,$B$8,$B$9,"Dir=V","Dts=S","Sort=A","Days=T","Fill=B")</f>
        <v/>
      </c>
      <c r="JP4" s="4">
        <f>BDH(JP$1,JQ$3:KE$3,$B$8,$B$9,"Dir=V","Dts=S","Sort=A","Days=T","Fill=B")</f>
        <v/>
      </c>
      <c r="KG4" s="4">
        <f>BDH(KG$1,KH$3:KV$3,$B$8,$B$9,"Dir=V","Dts=S","Sort=A","Days=T","Fill=B")</f>
        <v/>
      </c>
      <c r="KX4" s="4">
        <f>BDH(KX$1,KY$3:LM$3,$B$8,$B$9,"Dir=V","Dts=S","Sort=A","Days=T","Fill=B")</f>
        <v/>
      </c>
      <c r="LO4" s="4">
        <f>BDH(LO$1,LP$3:MD$3,$B$8,$B$9,"Dir=V","Dts=S","Sort=A","Days=T","Fill=B")</f>
        <v/>
      </c>
      <c r="MF4" s="4">
        <f>BDH(MF$1,MG$3:MU$3,$B$8,$B$9,"Dir=V","Dts=S","Sort=A","Days=T","Fill=B")</f>
        <v/>
      </c>
      <c r="MW4" s="4">
        <f>BDH(MW$1,MX$3:NL$3,$B$8,$B$9,"Dir=V","Dts=S","Sort=A","Days=T","Fill=B")</f>
        <v/>
      </c>
    </row>
    <row r="5">
      <c r="A5" s="2" t="inlineStr">
        <is>
          <t>Unadjusted close then</t>
        </is>
      </c>
      <c r="B5" s="10">
        <f>IF(B2="","",BDH(B2,"PX_LAST",B4,B4,"Days=A","Fill=P","Dts=H","CshAdjNormal=N","CshAdjAbnormal=N","CapChg=N"))</f>
        <v/>
      </c>
    </row>
    <row r="6">
      <c r="A6" s="2" t="inlineStr">
        <is>
          <t>Strike step</t>
        </is>
      </c>
      <c r="B6" s="11">
        <f>IF(ISNUMBER(B5),IF(B5&lt;25,0.5,IF(B5&lt;250,1,5)),"")</f>
        <v/>
      </c>
    </row>
    <row r="7">
      <c r="A7" s="2" t="inlineStr">
        <is>
          <t>ATM strike</t>
        </is>
      </c>
      <c r="B7" s="11">
        <f>IF(ISNUMBER(B5),ROUND(B5/B6,0)*B6,"")</f>
        <v/>
      </c>
    </row>
    <row r="8">
      <c r="A8" s="2" t="inlineStr">
        <is>
          <t>History start</t>
        </is>
      </c>
      <c r="B8" s="8">
        <f>B3-100</f>
        <v/>
      </c>
    </row>
    <row r="9">
      <c r="A9" s="2" t="inlineStr">
        <is>
          <t>History end</t>
        </is>
      </c>
      <c r="B9" s="8">
        <f>B3</f>
        <v/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NL9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2" customWidth="1" min="2" max="2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1" customWidth="1" min="15" max="15"/>
    <col width="11" customWidth="1" min="16" max="16"/>
    <col width="10" customWidth="1" min="17" max="17"/>
    <col width="11" customWidth="1" min="18" max="18"/>
    <col width="13" customWidth="1" min="19" max="19"/>
    <col width="12" customWidth="1" min="21" max="21"/>
    <col width="10" customWidth="1" min="22" max="22"/>
    <col width="10" customWidth="1" min="23" max="23"/>
    <col width="10" customWidth="1" min="24" max="24"/>
    <col width="10" customWidth="1" min="25" max="25"/>
    <col width="11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1" customWidth="1" min="32" max="32"/>
    <col width="11" customWidth="1" min="33" max="33"/>
    <col width="10" customWidth="1" min="34" max="34"/>
    <col width="11" customWidth="1" min="35" max="35"/>
    <col width="13" customWidth="1" min="36" max="36"/>
    <col width="12" customWidth="1" min="38" max="38"/>
    <col width="10" customWidth="1" min="39" max="39"/>
    <col width="10" customWidth="1" min="40" max="40"/>
    <col width="10" customWidth="1" min="41" max="41"/>
    <col width="10" customWidth="1" min="42" max="42"/>
    <col width="11" customWidth="1" min="43" max="43"/>
    <col width="11" customWidth="1" min="44" max="44"/>
    <col width="10" customWidth="1" min="45" max="45"/>
    <col width="10" customWidth="1" min="46" max="46"/>
    <col width="10" customWidth="1" min="47" max="47"/>
    <col width="10" customWidth="1" min="48" max="48"/>
    <col width="11" customWidth="1" min="49" max="49"/>
    <col width="11" customWidth="1" min="50" max="50"/>
    <col width="10" customWidth="1" min="51" max="51"/>
    <col width="11" customWidth="1" min="52" max="52"/>
    <col width="13" customWidth="1" min="53" max="53"/>
    <col width="12" customWidth="1" min="55" max="55"/>
    <col width="10" customWidth="1" min="56" max="56"/>
    <col width="10" customWidth="1" min="57" max="57"/>
    <col width="10" customWidth="1" min="58" max="58"/>
    <col width="10" customWidth="1" min="59" max="59"/>
    <col width="11" customWidth="1" min="60" max="60"/>
    <col width="11" customWidth="1" min="61" max="61"/>
    <col width="10" customWidth="1" min="62" max="62"/>
    <col width="10" customWidth="1" min="63" max="63"/>
    <col width="10" customWidth="1" min="64" max="64"/>
    <col width="10" customWidth="1" min="65" max="65"/>
    <col width="11" customWidth="1" min="66" max="66"/>
    <col width="11" customWidth="1" min="67" max="67"/>
    <col width="10" customWidth="1" min="68" max="68"/>
    <col width="11" customWidth="1" min="69" max="69"/>
    <col width="13" customWidth="1" min="70" max="70"/>
    <col width="12" customWidth="1" min="72" max="72"/>
    <col width="10" customWidth="1" min="73" max="73"/>
    <col width="10" customWidth="1" min="74" max="74"/>
    <col width="10" customWidth="1" min="75" max="75"/>
    <col width="10" customWidth="1" min="76" max="76"/>
    <col width="11" customWidth="1" min="77" max="77"/>
    <col width="11" customWidth="1" min="78" max="78"/>
    <col width="10" customWidth="1" min="79" max="79"/>
    <col width="10" customWidth="1" min="80" max="80"/>
    <col width="10" customWidth="1" min="81" max="81"/>
    <col width="10" customWidth="1" min="82" max="82"/>
    <col width="11" customWidth="1" min="83" max="83"/>
    <col width="11" customWidth="1" min="84" max="84"/>
    <col width="10" customWidth="1" min="85" max="85"/>
    <col width="11" customWidth="1" min="86" max="86"/>
    <col width="13" customWidth="1" min="87" max="87"/>
    <col width="12" customWidth="1" min="89" max="89"/>
    <col width="10" customWidth="1" min="90" max="90"/>
    <col width="10" customWidth="1" min="91" max="91"/>
    <col width="10" customWidth="1" min="92" max="92"/>
    <col width="10" customWidth="1" min="93" max="93"/>
    <col width="11" customWidth="1" min="94" max="94"/>
    <col width="11" customWidth="1" min="95" max="95"/>
    <col width="10" customWidth="1" min="96" max="96"/>
    <col width="10" customWidth="1" min="97" max="97"/>
    <col width="10" customWidth="1" min="98" max="98"/>
    <col width="10" customWidth="1" min="99" max="99"/>
    <col width="11" customWidth="1" min="100" max="100"/>
    <col width="11" customWidth="1" min="101" max="101"/>
    <col width="10" customWidth="1" min="102" max="102"/>
    <col width="11" customWidth="1" min="103" max="103"/>
    <col width="13" customWidth="1" min="104" max="104"/>
    <col width="12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1" customWidth="1" min="111" max="111"/>
    <col width="11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1" customWidth="1" min="117" max="117"/>
    <col width="11" customWidth="1" min="118" max="118"/>
    <col width="10" customWidth="1" min="119" max="119"/>
    <col width="11" customWidth="1" min="120" max="120"/>
    <col width="13" customWidth="1" min="121" max="121"/>
    <col width="12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1" customWidth="1" min="128" max="128"/>
    <col width="11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1" customWidth="1" min="134" max="134"/>
    <col width="11" customWidth="1" min="135" max="135"/>
    <col width="10" customWidth="1" min="136" max="136"/>
    <col width="11" customWidth="1" min="137" max="137"/>
    <col width="13" customWidth="1" min="138" max="138"/>
    <col width="12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1" customWidth="1" min="145" max="145"/>
    <col width="11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1" customWidth="1" min="151" max="151"/>
    <col width="11" customWidth="1" min="152" max="152"/>
    <col width="10" customWidth="1" min="153" max="153"/>
    <col width="11" customWidth="1" min="154" max="154"/>
    <col width="13" customWidth="1" min="155" max="155"/>
    <col width="12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1" customWidth="1" min="162" max="162"/>
    <col width="11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1" customWidth="1" min="168" max="168"/>
    <col width="11" customWidth="1" min="169" max="169"/>
    <col width="10" customWidth="1" min="170" max="170"/>
    <col width="11" customWidth="1" min="171" max="171"/>
    <col width="13" customWidth="1" min="172" max="172"/>
    <col width="12" customWidth="1" min="174" max="174"/>
    <col width="10" customWidth="1" min="175" max="175"/>
    <col width="10" customWidth="1" min="176" max="176"/>
    <col width="10" customWidth="1" min="177" max="177"/>
    <col width="10" customWidth="1" min="178" max="178"/>
    <col width="11" customWidth="1" min="179" max="179"/>
    <col width="11" customWidth="1" min="180" max="180"/>
    <col width="10" customWidth="1" min="181" max="181"/>
    <col width="10" customWidth="1" min="182" max="182"/>
    <col width="10" customWidth="1" min="183" max="183"/>
    <col width="10" customWidth="1" min="184" max="184"/>
    <col width="11" customWidth="1" min="185" max="185"/>
    <col width="11" customWidth="1" min="186" max="186"/>
    <col width="10" customWidth="1" min="187" max="187"/>
    <col width="11" customWidth="1" min="188" max="188"/>
    <col width="13" customWidth="1" min="189" max="189"/>
    <col width="12" customWidth="1" min="191" max="191"/>
    <col width="10" customWidth="1" min="192" max="192"/>
    <col width="10" customWidth="1" min="193" max="193"/>
    <col width="10" customWidth="1" min="194" max="194"/>
    <col width="10" customWidth="1" min="195" max="195"/>
    <col width="11" customWidth="1" min="196" max="196"/>
    <col width="11" customWidth="1" min="197" max="197"/>
    <col width="10" customWidth="1" min="198" max="198"/>
    <col width="10" customWidth="1" min="199" max="199"/>
    <col width="10" customWidth="1" min="200" max="200"/>
    <col width="10" customWidth="1" min="201" max="201"/>
    <col width="11" customWidth="1" min="202" max="202"/>
    <col width="11" customWidth="1" min="203" max="203"/>
    <col width="10" customWidth="1" min="204" max="204"/>
    <col width="11" customWidth="1" min="205" max="205"/>
    <col width="13" customWidth="1" min="206" max="206"/>
    <col width="12" customWidth="1" min="208" max="208"/>
    <col width="10" customWidth="1" min="209" max="209"/>
    <col width="10" customWidth="1" min="210" max="210"/>
    <col width="10" customWidth="1" min="211" max="211"/>
    <col width="10" customWidth="1" min="212" max="212"/>
    <col width="11" customWidth="1" min="213" max="213"/>
    <col width="11" customWidth="1" min="214" max="214"/>
    <col width="10" customWidth="1" min="215" max="215"/>
    <col width="10" customWidth="1" min="216" max="216"/>
    <col width="10" customWidth="1" min="217" max="217"/>
    <col width="10" customWidth="1" min="218" max="218"/>
    <col width="11" customWidth="1" min="219" max="219"/>
    <col width="11" customWidth="1" min="220" max="220"/>
    <col width="10" customWidth="1" min="221" max="221"/>
    <col width="11" customWidth="1" min="222" max="222"/>
    <col width="13" customWidth="1" min="223" max="223"/>
    <col width="12" customWidth="1" min="225" max="225"/>
    <col width="10" customWidth="1" min="226" max="226"/>
    <col width="10" customWidth="1" min="227" max="227"/>
    <col width="10" customWidth="1" min="228" max="228"/>
    <col width="10" customWidth="1" min="229" max="229"/>
    <col width="11" customWidth="1" min="230" max="230"/>
    <col width="11" customWidth="1" min="231" max="231"/>
    <col width="10" customWidth="1" min="232" max="232"/>
    <col width="10" customWidth="1" min="233" max="233"/>
    <col width="10" customWidth="1" min="234" max="234"/>
    <col width="10" customWidth="1" min="235" max="235"/>
    <col width="11" customWidth="1" min="236" max="236"/>
    <col width="11" customWidth="1" min="237" max="237"/>
    <col width="10" customWidth="1" min="238" max="238"/>
    <col width="11" customWidth="1" min="239" max="239"/>
    <col width="13" customWidth="1" min="240" max="240"/>
    <col width="12" customWidth="1" min="242" max="242"/>
    <col width="10" customWidth="1" min="243" max="243"/>
    <col width="10" customWidth="1" min="244" max="244"/>
    <col width="10" customWidth="1" min="245" max="245"/>
    <col width="10" customWidth="1" min="246" max="246"/>
    <col width="11" customWidth="1" min="247" max="247"/>
    <col width="11" customWidth="1" min="248" max="248"/>
    <col width="10" customWidth="1" min="249" max="249"/>
    <col width="10" customWidth="1" min="250" max="250"/>
    <col width="10" customWidth="1" min="251" max="251"/>
    <col width="10" customWidth="1" min="252" max="252"/>
    <col width="11" customWidth="1" min="253" max="253"/>
    <col width="11" customWidth="1" min="254" max="254"/>
    <col width="10" customWidth="1" min="255" max="255"/>
    <col width="11" customWidth="1" min="256" max="256"/>
    <col width="13" customWidth="1" min="257" max="257"/>
    <col width="12" customWidth="1" min="259" max="259"/>
    <col width="10" customWidth="1" min="260" max="260"/>
    <col width="10" customWidth="1" min="261" max="261"/>
    <col width="10" customWidth="1" min="262" max="262"/>
    <col width="10" customWidth="1" min="263" max="263"/>
    <col width="11" customWidth="1" min="264" max="264"/>
    <col width="11" customWidth="1" min="265" max="265"/>
    <col width="10" customWidth="1" min="266" max="266"/>
    <col width="10" customWidth="1" min="267" max="267"/>
    <col width="10" customWidth="1" min="268" max="268"/>
    <col width="10" customWidth="1" min="269" max="269"/>
    <col width="11" customWidth="1" min="270" max="270"/>
    <col width="11" customWidth="1" min="271" max="271"/>
    <col width="10" customWidth="1" min="272" max="272"/>
    <col width="11" customWidth="1" min="273" max="273"/>
    <col width="13" customWidth="1" min="274" max="274"/>
    <col width="12" customWidth="1" min="276" max="276"/>
    <col width="10" customWidth="1" min="277" max="277"/>
    <col width="10" customWidth="1" min="278" max="278"/>
    <col width="10" customWidth="1" min="279" max="279"/>
    <col width="10" customWidth="1" min="280" max="280"/>
    <col width="11" customWidth="1" min="281" max="281"/>
    <col width="11" customWidth="1" min="282" max="282"/>
    <col width="10" customWidth="1" min="283" max="283"/>
    <col width="10" customWidth="1" min="284" max="284"/>
    <col width="10" customWidth="1" min="285" max="285"/>
    <col width="10" customWidth="1" min="286" max="286"/>
    <col width="11" customWidth="1" min="287" max="287"/>
    <col width="11" customWidth="1" min="288" max="288"/>
    <col width="10" customWidth="1" min="289" max="289"/>
    <col width="11" customWidth="1" min="290" max="290"/>
    <col width="13" customWidth="1" min="291" max="291"/>
    <col width="12" customWidth="1" min="293" max="293"/>
    <col width="10" customWidth="1" min="294" max="294"/>
    <col width="10" customWidth="1" min="295" max="295"/>
    <col width="10" customWidth="1" min="296" max="296"/>
    <col width="10" customWidth="1" min="297" max="297"/>
    <col width="11" customWidth="1" min="298" max="298"/>
    <col width="11" customWidth="1" min="299" max="299"/>
    <col width="10" customWidth="1" min="300" max="300"/>
    <col width="10" customWidth="1" min="301" max="301"/>
    <col width="10" customWidth="1" min="302" max="302"/>
    <col width="10" customWidth="1" min="303" max="303"/>
    <col width="11" customWidth="1" min="304" max="304"/>
    <col width="11" customWidth="1" min="305" max="305"/>
    <col width="10" customWidth="1" min="306" max="306"/>
    <col width="11" customWidth="1" min="307" max="307"/>
    <col width="13" customWidth="1" min="308" max="308"/>
    <col width="12" customWidth="1" min="310" max="310"/>
    <col width="10" customWidth="1" min="311" max="311"/>
    <col width="10" customWidth="1" min="312" max="312"/>
    <col width="10" customWidth="1" min="313" max="313"/>
    <col width="10" customWidth="1" min="314" max="314"/>
    <col width="11" customWidth="1" min="315" max="315"/>
    <col width="11" customWidth="1" min="316" max="316"/>
    <col width="10" customWidth="1" min="317" max="317"/>
    <col width="10" customWidth="1" min="318" max="318"/>
    <col width="10" customWidth="1" min="319" max="319"/>
    <col width="10" customWidth="1" min="320" max="320"/>
    <col width="11" customWidth="1" min="321" max="321"/>
    <col width="11" customWidth="1" min="322" max="322"/>
    <col width="10" customWidth="1" min="323" max="323"/>
    <col width="11" customWidth="1" min="324" max="324"/>
    <col width="13" customWidth="1" min="325" max="325"/>
    <col width="12" customWidth="1" min="327" max="327"/>
    <col width="10" customWidth="1" min="328" max="328"/>
    <col width="10" customWidth="1" min="329" max="329"/>
    <col width="10" customWidth="1" min="330" max="330"/>
    <col width="10" customWidth="1" min="331" max="331"/>
    <col width="11" customWidth="1" min="332" max="332"/>
    <col width="11" customWidth="1" min="333" max="333"/>
    <col width="10" customWidth="1" min="334" max="334"/>
    <col width="10" customWidth="1" min="335" max="335"/>
    <col width="10" customWidth="1" min="336" max="336"/>
    <col width="10" customWidth="1" min="337" max="337"/>
    <col width="11" customWidth="1" min="338" max="338"/>
    <col width="11" customWidth="1" min="339" max="339"/>
    <col width="10" customWidth="1" min="340" max="340"/>
    <col width="11" customWidth="1" min="341" max="341"/>
    <col width="13" customWidth="1" min="342" max="342"/>
    <col width="12" customWidth="1" min="344" max="344"/>
    <col width="10" customWidth="1" min="345" max="345"/>
    <col width="10" customWidth="1" min="346" max="346"/>
    <col width="10" customWidth="1" min="347" max="347"/>
    <col width="10" customWidth="1" min="348" max="348"/>
    <col width="11" customWidth="1" min="349" max="349"/>
    <col width="11" customWidth="1" min="350" max="350"/>
    <col width="10" customWidth="1" min="351" max="351"/>
    <col width="10" customWidth="1" min="352" max="352"/>
    <col width="10" customWidth="1" min="353" max="353"/>
    <col width="10" customWidth="1" min="354" max="354"/>
    <col width="11" customWidth="1" min="355" max="355"/>
    <col width="11" customWidth="1" min="356" max="356"/>
    <col width="10" customWidth="1" min="357" max="357"/>
    <col width="11" customWidth="1" min="358" max="358"/>
    <col width="13" customWidth="1" min="359" max="359"/>
    <col width="12" customWidth="1" min="361" max="361"/>
    <col width="10" customWidth="1" min="362" max="362"/>
    <col width="10" customWidth="1" min="363" max="363"/>
    <col width="10" customWidth="1" min="364" max="364"/>
    <col width="10" customWidth="1" min="365" max="365"/>
    <col width="11" customWidth="1" min="366" max="366"/>
    <col width="11" customWidth="1" min="367" max="367"/>
    <col width="10" customWidth="1" min="368" max="368"/>
    <col width="10" customWidth="1" min="369" max="369"/>
    <col width="10" customWidth="1" min="370" max="370"/>
    <col width="10" customWidth="1" min="371" max="371"/>
    <col width="11" customWidth="1" min="372" max="372"/>
    <col width="11" customWidth="1" min="373" max="373"/>
    <col width="10" customWidth="1" min="374" max="374"/>
    <col width="11" customWidth="1" min="375" max="375"/>
    <col width="13" customWidth="1" min="376" max="376"/>
  </cols>
  <sheetData>
    <row r="1">
      <c r="A1" s="2" t="inlineStr">
        <is>
          <t>Month</t>
        </is>
      </c>
      <c r="B1" s="9" t="n">
        <v>6</v>
      </c>
      <c r="D1" s="2">
        <f>IF(ISNUMBER(B$7),"XOP US "&amp;TEXT(B$3,"mm/dd/yy")&amp;" C"&amp;(B$7-5*B$6)&amp;" Equity","")</f>
        <v/>
      </c>
      <c r="U1" s="2">
        <f>IF(ISNUMBER(B$7),"XOP US "&amp;TEXT(B$3,"mm/dd/yy")&amp;" P"&amp;(B$7-5*B$6)&amp;" Equity","")</f>
        <v/>
      </c>
      <c r="AL1" s="2">
        <f>IF(ISNUMBER(B$7),"XOP US "&amp;TEXT(B$3,"mm/dd/yy")&amp;" C"&amp;(B$7-4*B$6)&amp;" Equity","")</f>
        <v/>
      </c>
      <c r="BC1" s="2">
        <f>IF(ISNUMBER(B$7),"XOP US "&amp;TEXT(B$3,"mm/dd/yy")&amp;" P"&amp;(B$7-4*B$6)&amp;" Equity","")</f>
        <v/>
      </c>
      <c r="BT1" s="2">
        <f>IF(ISNUMBER(B$7),"XOP US "&amp;TEXT(B$3,"mm/dd/yy")&amp;" C"&amp;(B$7-3*B$6)&amp;" Equity","")</f>
        <v/>
      </c>
      <c r="CK1" s="2">
        <f>IF(ISNUMBER(B$7),"XOP US "&amp;TEXT(B$3,"mm/dd/yy")&amp;" P"&amp;(B$7-3*B$6)&amp;" Equity","")</f>
        <v/>
      </c>
      <c r="DB1" s="2">
        <f>IF(ISNUMBER(B$7),"XOP US "&amp;TEXT(B$3,"mm/dd/yy")&amp;" C"&amp;(B$7-2*B$6)&amp;" Equity","")</f>
        <v/>
      </c>
      <c r="DS1" s="2">
        <f>IF(ISNUMBER(B$7),"XOP US "&amp;TEXT(B$3,"mm/dd/yy")&amp;" P"&amp;(B$7-2*B$6)&amp;" Equity","")</f>
        <v/>
      </c>
      <c r="EJ1" s="2">
        <f>IF(ISNUMBER(B$7),"XOP US "&amp;TEXT(B$3,"mm/dd/yy")&amp;" C"&amp;(B$7-1*B$6)&amp;" Equity","")</f>
        <v/>
      </c>
      <c r="FA1" s="2">
        <f>IF(ISNUMBER(B$7),"XOP US "&amp;TEXT(B$3,"mm/dd/yy")&amp;" P"&amp;(B$7-1*B$6)&amp;" Equity","")</f>
        <v/>
      </c>
      <c r="FR1" s="2">
        <f>IF(ISNUMBER(B$7),"XOP US "&amp;TEXT(B$3,"mm/dd/yy")&amp;" C"&amp;B$7&amp;" Equity","")</f>
        <v/>
      </c>
      <c r="GI1" s="2">
        <f>IF(ISNUMBER(B$7),"XOP US "&amp;TEXT(B$3,"mm/dd/yy")&amp;" P"&amp;B$7&amp;" Equity","")</f>
        <v/>
      </c>
      <c r="GZ1" s="2">
        <f>IF(ISNUMBER(B$7),"XOP US "&amp;TEXT(B$3,"mm/dd/yy")&amp;" C"&amp;(B$7+1*B$6)&amp;" Equity","")</f>
        <v/>
      </c>
      <c r="HQ1" s="2">
        <f>IF(ISNUMBER(B$7),"XOP US "&amp;TEXT(B$3,"mm/dd/yy")&amp;" P"&amp;(B$7+1*B$6)&amp;" Equity","")</f>
        <v/>
      </c>
      <c r="IH1" s="2">
        <f>IF(ISNUMBER(B$7),"XOP US "&amp;TEXT(B$3,"mm/dd/yy")&amp;" C"&amp;(B$7+2*B$6)&amp;" Equity","")</f>
        <v/>
      </c>
      <c r="IY1" s="2">
        <f>IF(ISNUMBER(B$7),"XOP US "&amp;TEXT(B$3,"mm/dd/yy")&amp;" P"&amp;(B$7+2*B$6)&amp;" Equity","")</f>
        <v/>
      </c>
      <c r="JP1" s="2">
        <f>IF(ISNUMBER(B$7),"XOP US "&amp;TEXT(B$3,"mm/dd/yy")&amp;" C"&amp;(B$7+3*B$6)&amp;" Equity","")</f>
        <v/>
      </c>
      <c r="KG1" s="2">
        <f>IF(ISNUMBER(B$7),"XOP US "&amp;TEXT(B$3,"mm/dd/yy")&amp;" P"&amp;(B$7+3*B$6)&amp;" Equity","")</f>
        <v/>
      </c>
      <c r="KX1" s="2">
        <f>IF(ISNUMBER(B$7),"XOP US "&amp;TEXT(B$3,"mm/dd/yy")&amp;" C"&amp;(B$7+4*B$6)&amp;" Equity","")</f>
        <v/>
      </c>
      <c r="LO1" s="2">
        <f>IF(ISNUMBER(B$7),"XOP US "&amp;TEXT(B$3,"mm/dd/yy")&amp;" P"&amp;(B$7+4*B$6)&amp;" Equity","")</f>
        <v/>
      </c>
      <c r="MF1" s="2">
        <f>IF(ISNUMBER(B$7),"XOP US "&amp;TEXT(B$3,"mm/dd/yy")&amp;" C"&amp;(B$7+5*B$6)&amp;" Equity","")</f>
        <v/>
      </c>
      <c r="MW1" s="2">
        <f>IF(ISNUMBER(B$7),"XOP US "&amp;TEXT(B$3,"mm/dd/yy")&amp;" P"&amp;(B$7+5*B$6)&amp;" Equity","")</f>
        <v/>
      </c>
    </row>
    <row r="2">
      <c r="A2" s="2" t="inlineStr">
        <is>
          <t>Underlying</t>
        </is>
      </c>
      <c r="B2" s="4">
        <f>IF(Settings!$B$17="Y","XOP US Equity","")</f>
        <v/>
      </c>
      <c r="D2" s="4" t="inlineStr">
        <is>
          <t>call -5 from ATM</t>
        </is>
      </c>
      <c r="U2" s="4" t="inlineStr">
        <is>
          <t>put -5 from ATM</t>
        </is>
      </c>
      <c r="AL2" s="4" t="inlineStr">
        <is>
          <t>call -4 from ATM</t>
        </is>
      </c>
      <c r="BC2" s="4" t="inlineStr">
        <is>
          <t>put -4 from ATM</t>
        </is>
      </c>
      <c r="BT2" s="4" t="inlineStr">
        <is>
          <t>call -3 from ATM</t>
        </is>
      </c>
      <c r="CK2" s="4" t="inlineStr">
        <is>
          <t>put -3 from ATM</t>
        </is>
      </c>
      <c r="DB2" s="4" t="inlineStr">
        <is>
          <t>call -2 from ATM</t>
        </is>
      </c>
      <c r="DS2" s="4" t="inlineStr">
        <is>
          <t>put -2 from ATM</t>
        </is>
      </c>
      <c r="EJ2" s="4" t="inlineStr">
        <is>
          <t>call -1 from ATM</t>
        </is>
      </c>
      <c r="FA2" s="4" t="inlineStr">
        <is>
          <t>put -1 from ATM</t>
        </is>
      </c>
      <c r="FR2" s="4" t="inlineStr">
        <is>
          <t>call +0 from ATM</t>
        </is>
      </c>
      <c r="GI2" s="4" t="inlineStr">
        <is>
          <t>put +0 from ATM</t>
        </is>
      </c>
      <c r="GZ2" s="4" t="inlineStr">
        <is>
          <t>call +1 from ATM</t>
        </is>
      </c>
      <c r="HQ2" s="4" t="inlineStr">
        <is>
          <t>put +1 from ATM</t>
        </is>
      </c>
      <c r="IH2" s="4" t="inlineStr">
        <is>
          <t>call +2 from ATM</t>
        </is>
      </c>
      <c r="IY2" s="4" t="inlineStr">
        <is>
          <t>put +2 from ATM</t>
        </is>
      </c>
      <c r="JP2" s="4" t="inlineStr">
        <is>
          <t>call +3 from ATM</t>
        </is>
      </c>
      <c r="KG2" s="4" t="inlineStr">
        <is>
          <t>put +3 from ATM</t>
        </is>
      </c>
      <c r="KX2" s="4" t="inlineStr">
        <is>
          <t>call +4 from ATM</t>
        </is>
      </c>
      <c r="LO2" s="4" t="inlineStr">
        <is>
          <t>put +4 from ATM</t>
        </is>
      </c>
      <c r="MF2" s="4" t="inlineStr">
        <is>
          <t>call +5 from ATM</t>
        </is>
      </c>
      <c r="MW2" s="4" t="inlineStr">
        <is>
          <t>put +5 from ATM</t>
        </is>
      </c>
    </row>
    <row r="3">
      <c r="A3" s="2" t="inlineStr">
        <is>
          <t>Expiry (3rd Friday)</t>
        </is>
      </c>
      <c r="B3" s="3">
        <f>DATE(Settings!$E$17,B1,15)+MOD(6-WEEKDAY(DATE(Settings!$E$17,B1,15)),7)</f>
        <v/>
      </c>
      <c r="D3" s="5" t="inlineStr">
        <is>
          <t>Date</t>
        </is>
      </c>
      <c r="E3" s="5" t="inlineStr">
        <is>
          <t>PX_BID</t>
        </is>
      </c>
      <c r="F3" s="5" t="inlineStr">
        <is>
          <t>PX_ASK</t>
        </is>
      </c>
      <c r="G3" s="5" t="inlineStr">
        <is>
          <t>PX_MID</t>
        </is>
      </c>
      <c r="H3" s="5" t="inlineStr">
        <is>
          <t>PX_LAST</t>
        </is>
      </c>
      <c r="I3" s="5" t="inlineStr">
        <is>
          <t>PX_SETTLE</t>
        </is>
      </c>
      <c r="J3" s="5" t="inlineStr">
        <is>
          <t>PX_VOLUME</t>
        </is>
      </c>
      <c r="K3" s="5" t="inlineStr">
        <is>
          <t>OPEN_INT</t>
        </is>
      </c>
      <c r="L3" s="5" t="inlineStr">
        <is>
          <t>IVOL_MID</t>
        </is>
      </c>
      <c r="M3" s="5" t="inlineStr">
        <is>
          <t>IVOL_BID</t>
        </is>
      </c>
      <c r="N3" s="5" t="inlineStr">
        <is>
          <t>IVOL_ASK</t>
        </is>
      </c>
      <c r="O3" s="5" t="inlineStr">
        <is>
          <t>DELTA_MID</t>
        </is>
      </c>
      <c r="P3" s="5" t="inlineStr">
        <is>
          <t>GAMMA_MID</t>
        </is>
      </c>
      <c r="Q3" s="5" t="inlineStr">
        <is>
          <t>VEGA_MID</t>
        </is>
      </c>
      <c r="R3" s="5" t="inlineStr">
        <is>
          <t>THETA_MID</t>
        </is>
      </c>
      <c r="S3" s="5" t="inlineStr">
        <is>
          <t>OPT_UNDL_PX</t>
        </is>
      </c>
      <c r="U3" s="5" t="inlineStr">
        <is>
          <t>Date</t>
        </is>
      </c>
      <c r="V3" s="5" t="inlineStr">
        <is>
          <t>PX_BID</t>
        </is>
      </c>
      <c r="W3" s="5" t="inlineStr">
        <is>
          <t>PX_ASK</t>
        </is>
      </c>
      <c r="X3" s="5" t="inlineStr">
        <is>
          <t>PX_MID</t>
        </is>
      </c>
      <c r="Y3" s="5" t="inlineStr">
        <is>
          <t>PX_LAST</t>
        </is>
      </c>
      <c r="Z3" s="5" t="inlineStr">
        <is>
          <t>PX_SETTLE</t>
        </is>
      </c>
      <c r="AA3" s="5" t="inlineStr">
        <is>
          <t>PX_VOLUME</t>
        </is>
      </c>
      <c r="AB3" s="5" t="inlineStr">
        <is>
          <t>OPEN_INT</t>
        </is>
      </c>
      <c r="AC3" s="5" t="inlineStr">
        <is>
          <t>IVOL_MID</t>
        </is>
      </c>
      <c r="AD3" s="5" t="inlineStr">
        <is>
          <t>IVOL_BID</t>
        </is>
      </c>
      <c r="AE3" s="5" t="inlineStr">
        <is>
          <t>IVOL_ASK</t>
        </is>
      </c>
      <c r="AF3" s="5" t="inlineStr">
        <is>
          <t>DELTA_MID</t>
        </is>
      </c>
      <c r="AG3" s="5" t="inlineStr">
        <is>
          <t>GAMMA_MID</t>
        </is>
      </c>
      <c r="AH3" s="5" t="inlineStr">
        <is>
          <t>VEGA_MID</t>
        </is>
      </c>
      <c r="AI3" s="5" t="inlineStr">
        <is>
          <t>THETA_MID</t>
        </is>
      </c>
      <c r="AJ3" s="5" t="inlineStr">
        <is>
          <t>OPT_UNDL_PX</t>
        </is>
      </c>
      <c r="AL3" s="5" t="inlineStr">
        <is>
          <t>Date</t>
        </is>
      </c>
      <c r="AM3" s="5" t="inlineStr">
        <is>
          <t>PX_BID</t>
        </is>
      </c>
      <c r="AN3" s="5" t="inlineStr">
        <is>
          <t>PX_ASK</t>
        </is>
      </c>
      <c r="AO3" s="5" t="inlineStr">
        <is>
          <t>PX_MID</t>
        </is>
      </c>
      <c r="AP3" s="5" t="inlineStr">
        <is>
          <t>PX_LAST</t>
        </is>
      </c>
      <c r="AQ3" s="5" t="inlineStr">
        <is>
          <t>PX_SETTLE</t>
        </is>
      </c>
      <c r="AR3" s="5" t="inlineStr">
        <is>
          <t>PX_VOLUME</t>
        </is>
      </c>
      <c r="AS3" s="5" t="inlineStr">
        <is>
          <t>OPEN_INT</t>
        </is>
      </c>
      <c r="AT3" s="5" t="inlineStr">
        <is>
          <t>IVOL_MID</t>
        </is>
      </c>
      <c r="AU3" s="5" t="inlineStr">
        <is>
          <t>IVOL_BID</t>
        </is>
      </c>
      <c r="AV3" s="5" t="inlineStr">
        <is>
          <t>IVOL_ASK</t>
        </is>
      </c>
      <c r="AW3" s="5" t="inlineStr">
        <is>
          <t>DELTA_MID</t>
        </is>
      </c>
      <c r="AX3" s="5" t="inlineStr">
        <is>
          <t>GAMMA_MID</t>
        </is>
      </c>
      <c r="AY3" s="5" t="inlineStr">
        <is>
          <t>VEGA_MID</t>
        </is>
      </c>
      <c r="AZ3" s="5" t="inlineStr">
        <is>
          <t>THETA_MID</t>
        </is>
      </c>
      <c r="BA3" s="5" t="inlineStr">
        <is>
          <t>OPT_UNDL_PX</t>
        </is>
      </c>
      <c r="BC3" s="5" t="inlineStr">
        <is>
          <t>Date</t>
        </is>
      </c>
      <c r="BD3" s="5" t="inlineStr">
        <is>
          <t>PX_BID</t>
        </is>
      </c>
      <c r="BE3" s="5" t="inlineStr">
        <is>
          <t>PX_ASK</t>
        </is>
      </c>
      <c r="BF3" s="5" t="inlineStr">
        <is>
          <t>PX_MID</t>
        </is>
      </c>
      <c r="BG3" s="5" t="inlineStr">
        <is>
          <t>PX_LAST</t>
        </is>
      </c>
      <c r="BH3" s="5" t="inlineStr">
        <is>
          <t>PX_SETTLE</t>
        </is>
      </c>
      <c r="BI3" s="5" t="inlineStr">
        <is>
          <t>PX_VOLUME</t>
        </is>
      </c>
      <c r="BJ3" s="5" t="inlineStr">
        <is>
          <t>OPEN_INT</t>
        </is>
      </c>
      <c r="BK3" s="5" t="inlineStr">
        <is>
          <t>IVOL_MID</t>
        </is>
      </c>
      <c r="BL3" s="5" t="inlineStr">
        <is>
          <t>IVOL_BID</t>
        </is>
      </c>
      <c r="BM3" s="5" t="inlineStr">
        <is>
          <t>IVOL_ASK</t>
        </is>
      </c>
      <c r="BN3" s="5" t="inlineStr">
        <is>
          <t>DELTA_MID</t>
        </is>
      </c>
      <c r="BO3" s="5" t="inlineStr">
        <is>
          <t>GAMMA_MID</t>
        </is>
      </c>
      <c r="BP3" s="5" t="inlineStr">
        <is>
          <t>VEGA_MID</t>
        </is>
      </c>
      <c r="BQ3" s="5" t="inlineStr">
        <is>
          <t>THETA_MID</t>
        </is>
      </c>
      <c r="BR3" s="5" t="inlineStr">
        <is>
          <t>OPT_UNDL_PX</t>
        </is>
      </c>
      <c r="BT3" s="5" t="inlineStr">
        <is>
          <t>Date</t>
        </is>
      </c>
      <c r="BU3" s="5" t="inlineStr">
        <is>
          <t>PX_BID</t>
        </is>
      </c>
      <c r="BV3" s="5" t="inlineStr">
        <is>
          <t>PX_ASK</t>
        </is>
      </c>
      <c r="BW3" s="5" t="inlineStr">
        <is>
          <t>PX_MID</t>
        </is>
      </c>
      <c r="BX3" s="5" t="inlineStr">
        <is>
          <t>PX_LAST</t>
        </is>
      </c>
      <c r="BY3" s="5" t="inlineStr">
        <is>
          <t>PX_SETTLE</t>
        </is>
      </c>
      <c r="BZ3" s="5" t="inlineStr">
        <is>
          <t>PX_VOLUME</t>
        </is>
      </c>
      <c r="CA3" s="5" t="inlineStr">
        <is>
          <t>OPEN_INT</t>
        </is>
      </c>
      <c r="CB3" s="5" t="inlineStr">
        <is>
          <t>IVOL_MID</t>
        </is>
      </c>
      <c r="CC3" s="5" t="inlineStr">
        <is>
          <t>IVOL_BID</t>
        </is>
      </c>
      <c r="CD3" s="5" t="inlineStr">
        <is>
          <t>IVOL_ASK</t>
        </is>
      </c>
      <c r="CE3" s="5" t="inlineStr">
        <is>
          <t>DELTA_MID</t>
        </is>
      </c>
      <c r="CF3" s="5" t="inlineStr">
        <is>
          <t>GAMMA_MID</t>
        </is>
      </c>
      <c r="CG3" s="5" t="inlineStr">
        <is>
          <t>VEGA_MID</t>
        </is>
      </c>
      <c r="CH3" s="5" t="inlineStr">
        <is>
          <t>THETA_MID</t>
        </is>
      </c>
      <c r="CI3" s="5" t="inlineStr">
        <is>
          <t>OPT_UNDL_PX</t>
        </is>
      </c>
      <c r="CK3" s="5" t="inlineStr">
        <is>
          <t>Date</t>
        </is>
      </c>
      <c r="CL3" s="5" t="inlineStr">
        <is>
          <t>PX_BID</t>
        </is>
      </c>
      <c r="CM3" s="5" t="inlineStr">
        <is>
          <t>PX_ASK</t>
        </is>
      </c>
      <c r="CN3" s="5" t="inlineStr">
        <is>
          <t>PX_MID</t>
        </is>
      </c>
      <c r="CO3" s="5" t="inlineStr">
        <is>
          <t>PX_LAST</t>
        </is>
      </c>
      <c r="CP3" s="5" t="inlineStr">
        <is>
          <t>PX_SETTLE</t>
        </is>
      </c>
      <c r="CQ3" s="5" t="inlineStr">
        <is>
          <t>PX_VOLUME</t>
        </is>
      </c>
      <c r="CR3" s="5" t="inlineStr">
        <is>
          <t>OPEN_INT</t>
        </is>
      </c>
      <c r="CS3" s="5" t="inlineStr">
        <is>
          <t>IVOL_MID</t>
        </is>
      </c>
      <c r="CT3" s="5" t="inlineStr">
        <is>
          <t>IVOL_BID</t>
        </is>
      </c>
      <c r="CU3" s="5" t="inlineStr">
        <is>
          <t>IVOL_ASK</t>
        </is>
      </c>
      <c r="CV3" s="5" t="inlineStr">
        <is>
          <t>DELTA_MID</t>
        </is>
      </c>
      <c r="CW3" s="5" t="inlineStr">
        <is>
          <t>GAMMA_MID</t>
        </is>
      </c>
      <c r="CX3" s="5" t="inlineStr">
        <is>
          <t>VEGA_MID</t>
        </is>
      </c>
      <c r="CY3" s="5" t="inlineStr">
        <is>
          <t>THETA_MID</t>
        </is>
      </c>
      <c r="CZ3" s="5" t="inlineStr">
        <is>
          <t>OPT_UNDL_PX</t>
        </is>
      </c>
      <c r="DB3" s="5" t="inlineStr">
        <is>
          <t>Date</t>
        </is>
      </c>
      <c r="DC3" s="5" t="inlineStr">
        <is>
          <t>PX_BID</t>
        </is>
      </c>
      <c r="DD3" s="5" t="inlineStr">
        <is>
          <t>PX_ASK</t>
        </is>
      </c>
      <c r="DE3" s="5" t="inlineStr">
        <is>
          <t>PX_MID</t>
        </is>
      </c>
      <c r="DF3" s="5" t="inlineStr">
        <is>
          <t>PX_LAST</t>
        </is>
      </c>
      <c r="DG3" s="5" t="inlineStr">
        <is>
          <t>PX_SETTLE</t>
        </is>
      </c>
      <c r="DH3" s="5" t="inlineStr">
        <is>
          <t>PX_VOLUME</t>
        </is>
      </c>
      <c r="DI3" s="5" t="inlineStr">
        <is>
          <t>OPEN_INT</t>
        </is>
      </c>
      <c r="DJ3" s="5" t="inlineStr">
        <is>
          <t>IVOL_MID</t>
        </is>
      </c>
      <c r="DK3" s="5" t="inlineStr">
        <is>
          <t>IVOL_BID</t>
        </is>
      </c>
      <c r="DL3" s="5" t="inlineStr">
        <is>
          <t>IVOL_ASK</t>
        </is>
      </c>
      <c r="DM3" s="5" t="inlineStr">
        <is>
          <t>DELTA_MID</t>
        </is>
      </c>
      <c r="DN3" s="5" t="inlineStr">
        <is>
          <t>GAMMA_MID</t>
        </is>
      </c>
      <c r="DO3" s="5" t="inlineStr">
        <is>
          <t>VEGA_MID</t>
        </is>
      </c>
      <c r="DP3" s="5" t="inlineStr">
        <is>
          <t>THETA_MID</t>
        </is>
      </c>
      <c r="DQ3" s="5" t="inlineStr">
        <is>
          <t>OPT_UNDL_PX</t>
        </is>
      </c>
      <c r="DS3" s="5" t="inlineStr">
        <is>
          <t>Date</t>
        </is>
      </c>
      <c r="DT3" s="5" t="inlineStr">
        <is>
          <t>PX_BID</t>
        </is>
      </c>
      <c r="DU3" s="5" t="inlineStr">
        <is>
          <t>PX_ASK</t>
        </is>
      </c>
      <c r="DV3" s="5" t="inlineStr">
        <is>
          <t>PX_MID</t>
        </is>
      </c>
      <c r="DW3" s="5" t="inlineStr">
        <is>
          <t>PX_LAST</t>
        </is>
      </c>
      <c r="DX3" s="5" t="inlineStr">
        <is>
          <t>PX_SETTLE</t>
        </is>
      </c>
      <c r="DY3" s="5" t="inlineStr">
        <is>
          <t>PX_VOLUME</t>
        </is>
      </c>
      <c r="DZ3" s="5" t="inlineStr">
        <is>
          <t>OPEN_INT</t>
        </is>
      </c>
      <c r="EA3" s="5" t="inlineStr">
        <is>
          <t>IVOL_MID</t>
        </is>
      </c>
      <c r="EB3" s="5" t="inlineStr">
        <is>
          <t>IVOL_BID</t>
        </is>
      </c>
      <c r="EC3" s="5" t="inlineStr">
        <is>
          <t>IVOL_ASK</t>
        </is>
      </c>
      <c r="ED3" s="5" t="inlineStr">
        <is>
          <t>DELTA_MID</t>
        </is>
      </c>
      <c r="EE3" s="5" t="inlineStr">
        <is>
          <t>GAMMA_MID</t>
        </is>
      </c>
      <c r="EF3" s="5" t="inlineStr">
        <is>
          <t>VEGA_MID</t>
        </is>
      </c>
      <c r="EG3" s="5" t="inlineStr">
        <is>
          <t>THETA_MID</t>
        </is>
      </c>
      <c r="EH3" s="5" t="inlineStr">
        <is>
          <t>OPT_UNDL_PX</t>
        </is>
      </c>
      <c r="EJ3" s="5" t="inlineStr">
        <is>
          <t>Date</t>
        </is>
      </c>
      <c r="EK3" s="5" t="inlineStr">
        <is>
          <t>PX_BID</t>
        </is>
      </c>
      <c r="EL3" s="5" t="inlineStr">
        <is>
          <t>PX_ASK</t>
        </is>
      </c>
      <c r="EM3" s="5" t="inlineStr">
        <is>
          <t>PX_MID</t>
        </is>
      </c>
      <c r="EN3" s="5" t="inlineStr">
        <is>
          <t>PX_LAST</t>
        </is>
      </c>
      <c r="EO3" s="5" t="inlineStr">
        <is>
          <t>PX_SETTLE</t>
        </is>
      </c>
      <c r="EP3" s="5" t="inlineStr">
        <is>
          <t>PX_VOLUME</t>
        </is>
      </c>
      <c r="EQ3" s="5" t="inlineStr">
        <is>
          <t>OPEN_INT</t>
        </is>
      </c>
      <c r="ER3" s="5" t="inlineStr">
        <is>
          <t>IVOL_MID</t>
        </is>
      </c>
      <c r="ES3" s="5" t="inlineStr">
        <is>
          <t>IVOL_BID</t>
        </is>
      </c>
      <c r="ET3" s="5" t="inlineStr">
        <is>
          <t>IVOL_ASK</t>
        </is>
      </c>
      <c r="EU3" s="5" t="inlineStr">
        <is>
          <t>DELTA_MID</t>
        </is>
      </c>
      <c r="EV3" s="5" t="inlineStr">
        <is>
          <t>GAMMA_MID</t>
        </is>
      </c>
      <c r="EW3" s="5" t="inlineStr">
        <is>
          <t>VEGA_MID</t>
        </is>
      </c>
      <c r="EX3" s="5" t="inlineStr">
        <is>
          <t>THETA_MID</t>
        </is>
      </c>
      <c r="EY3" s="5" t="inlineStr">
        <is>
          <t>OPT_UNDL_PX</t>
        </is>
      </c>
      <c r="FA3" s="5" t="inlineStr">
        <is>
          <t>Date</t>
        </is>
      </c>
      <c r="FB3" s="5" t="inlineStr">
        <is>
          <t>PX_BID</t>
        </is>
      </c>
      <c r="FC3" s="5" t="inlineStr">
        <is>
          <t>PX_ASK</t>
        </is>
      </c>
      <c r="FD3" s="5" t="inlineStr">
        <is>
          <t>PX_MID</t>
        </is>
      </c>
      <c r="FE3" s="5" t="inlineStr">
        <is>
          <t>PX_LAST</t>
        </is>
      </c>
      <c r="FF3" s="5" t="inlineStr">
        <is>
          <t>PX_SETTLE</t>
        </is>
      </c>
      <c r="FG3" s="5" t="inlineStr">
        <is>
          <t>PX_VOLUME</t>
        </is>
      </c>
      <c r="FH3" s="5" t="inlineStr">
        <is>
          <t>OPEN_INT</t>
        </is>
      </c>
      <c r="FI3" s="5" t="inlineStr">
        <is>
          <t>IVOL_MID</t>
        </is>
      </c>
      <c r="FJ3" s="5" t="inlineStr">
        <is>
          <t>IVOL_BID</t>
        </is>
      </c>
      <c r="FK3" s="5" t="inlineStr">
        <is>
          <t>IVOL_ASK</t>
        </is>
      </c>
      <c r="FL3" s="5" t="inlineStr">
        <is>
          <t>DELTA_MID</t>
        </is>
      </c>
      <c r="FM3" s="5" t="inlineStr">
        <is>
          <t>GAMMA_MID</t>
        </is>
      </c>
      <c r="FN3" s="5" t="inlineStr">
        <is>
          <t>VEGA_MID</t>
        </is>
      </c>
      <c r="FO3" s="5" t="inlineStr">
        <is>
          <t>THETA_MID</t>
        </is>
      </c>
      <c r="FP3" s="5" t="inlineStr">
        <is>
          <t>OPT_UNDL_PX</t>
        </is>
      </c>
      <c r="FR3" s="5" t="inlineStr">
        <is>
          <t>Date</t>
        </is>
      </c>
      <c r="FS3" s="5" t="inlineStr">
        <is>
          <t>PX_BID</t>
        </is>
      </c>
      <c r="FT3" s="5" t="inlineStr">
        <is>
          <t>PX_ASK</t>
        </is>
      </c>
      <c r="FU3" s="5" t="inlineStr">
        <is>
          <t>PX_MID</t>
        </is>
      </c>
      <c r="FV3" s="5" t="inlineStr">
        <is>
          <t>PX_LAST</t>
        </is>
      </c>
      <c r="FW3" s="5" t="inlineStr">
        <is>
          <t>PX_SETTLE</t>
        </is>
      </c>
      <c r="FX3" s="5" t="inlineStr">
        <is>
          <t>PX_VOLUME</t>
        </is>
      </c>
      <c r="FY3" s="5" t="inlineStr">
        <is>
          <t>OPEN_INT</t>
        </is>
      </c>
      <c r="FZ3" s="5" t="inlineStr">
        <is>
          <t>IVOL_MID</t>
        </is>
      </c>
      <c r="GA3" s="5" t="inlineStr">
        <is>
          <t>IVOL_BID</t>
        </is>
      </c>
      <c r="GB3" s="5" t="inlineStr">
        <is>
          <t>IVOL_ASK</t>
        </is>
      </c>
      <c r="GC3" s="5" t="inlineStr">
        <is>
          <t>DELTA_MID</t>
        </is>
      </c>
      <c r="GD3" s="5" t="inlineStr">
        <is>
          <t>GAMMA_MID</t>
        </is>
      </c>
      <c r="GE3" s="5" t="inlineStr">
        <is>
          <t>VEGA_MID</t>
        </is>
      </c>
      <c r="GF3" s="5" t="inlineStr">
        <is>
          <t>THETA_MID</t>
        </is>
      </c>
      <c r="GG3" s="5" t="inlineStr">
        <is>
          <t>OPT_UNDL_PX</t>
        </is>
      </c>
      <c r="GI3" s="5" t="inlineStr">
        <is>
          <t>Date</t>
        </is>
      </c>
      <c r="GJ3" s="5" t="inlineStr">
        <is>
          <t>PX_BID</t>
        </is>
      </c>
      <c r="GK3" s="5" t="inlineStr">
        <is>
          <t>PX_ASK</t>
        </is>
      </c>
      <c r="GL3" s="5" t="inlineStr">
        <is>
          <t>PX_MID</t>
        </is>
      </c>
      <c r="GM3" s="5" t="inlineStr">
        <is>
          <t>PX_LAST</t>
        </is>
      </c>
      <c r="GN3" s="5" t="inlineStr">
        <is>
          <t>PX_SETTLE</t>
        </is>
      </c>
      <c r="GO3" s="5" t="inlineStr">
        <is>
          <t>PX_VOLUME</t>
        </is>
      </c>
      <c r="GP3" s="5" t="inlineStr">
        <is>
          <t>OPEN_INT</t>
        </is>
      </c>
      <c r="GQ3" s="5" t="inlineStr">
        <is>
          <t>IVOL_MID</t>
        </is>
      </c>
      <c r="GR3" s="5" t="inlineStr">
        <is>
          <t>IVOL_BID</t>
        </is>
      </c>
      <c r="GS3" s="5" t="inlineStr">
        <is>
          <t>IVOL_ASK</t>
        </is>
      </c>
      <c r="GT3" s="5" t="inlineStr">
        <is>
          <t>DELTA_MID</t>
        </is>
      </c>
      <c r="GU3" s="5" t="inlineStr">
        <is>
          <t>GAMMA_MID</t>
        </is>
      </c>
      <c r="GV3" s="5" t="inlineStr">
        <is>
          <t>VEGA_MID</t>
        </is>
      </c>
      <c r="GW3" s="5" t="inlineStr">
        <is>
          <t>THETA_MID</t>
        </is>
      </c>
      <c r="GX3" s="5" t="inlineStr">
        <is>
          <t>OPT_UNDL_PX</t>
        </is>
      </c>
      <c r="GZ3" s="5" t="inlineStr">
        <is>
          <t>Date</t>
        </is>
      </c>
      <c r="HA3" s="5" t="inlineStr">
        <is>
          <t>PX_BID</t>
        </is>
      </c>
      <c r="HB3" s="5" t="inlineStr">
        <is>
          <t>PX_ASK</t>
        </is>
      </c>
      <c r="HC3" s="5" t="inlineStr">
        <is>
          <t>PX_MID</t>
        </is>
      </c>
      <c r="HD3" s="5" t="inlineStr">
        <is>
          <t>PX_LAST</t>
        </is>
      </c>
      <c r="HE3" s="5" t="inlineStr">
        <is>
          <t>PX_SETTLE</t>
        </is>
      </c>
      <c r="HF3" s="5" t="inlineStr">
        <is>
          <t>PX_VOLUME</t>
        </is>
      </c>
      <c r="HG3" s="5" t="inlineStr">
        <is>
          <t>OPEN_INT</t>
        </is>
      </c>
      <c r="HH3" s="5" t="inlineStr">
        <is>
          <t>IVOL_MID</t>
        </is>
      </c>
      <c r="HI3" s="5" t="inlineStr">
        <is>
          <t>IVOL_BID</t>
        </is>
      </c>
      <c r="HJ3" s="5" t="inlineStr">
        <is>
          <t>IVOL_ASK</t>
        </is>
      </c>
      <c r="HK3" s="5" t="inlineStr">
        <is>
          <t>DELTA_MID</t>
        </is>
      </c>
      <c r="HL3" s="5" t="inlineStr">
        <is>
          <t>GAMMA_MID</t>
        </is>
      </c>
      <c r="HM3" s="5" t="inlineStr">
        <is>
          <t>VEGA_MID</t>
        </is>
      </c>
      <c r="HN3" s="5" t="inlineStr">
        <is>
          <t>THETA_MID</t>
        </is>
      </c>
      <c r="HO3" s="5" t="inlineStr">
        <is>
          <t>OPT_UNDL_PX</t>
        </is>
      </c>
      <c r="HQ3" s="5" t="inlineStr">
        <is>
          <t>Date</t>
        </is>
      </c>
      <c r="HR3" s="5" t="inlineStr">
        <is>
          <t>PX_BID</t>
        </is>
      </c>
      <c r="HS3" s="5" t="inlineStr">
        <is>
          <t>PX_ASK</t>
        </is>
      </c>
      <c r="HT3" s="5" t="inlineStr">
        <is>
          <t>PX_MID</t>
        </is>
      </c>
      <c r="HU3" s="5" t="inlineStr">
        <is>
          <t>PX_LAST</t>
        </is>
      </c>
      <c r="HV3" s="5" t="inlineStr">
        <is>
          <t>PX_SETTLE</t>
        </is>
      </c>
      <c r="HW3" s="5" t="inlineStr">
        <is>
          <t>PX_VOLUME</t>
        </is>
      </c>
      <c r="HX3" s="5" t="inlineStr">
        <is>
          <t>OPEN_INT</t>
        </is>
      </c>
      <c r="HY3" s="5" t="inlineStr">
        <is>
          <t>IVOL_MID</t>
        </is>
      </c>
      <c r="HZ3" s="5" t="inlineStr">
        <is>
          <t>IVOL_BID</t>
        </is>
      </c>
      <c r="IA3" s="5" t="inlineStr">
        <is>
          <t>IVOL_ASK</t>
        </is>
      </c>
      <c r="IB3" s="5" t="inlineStr">
        <is>
          <t>DELTA_MID</t>
        </is>
      </c>
      <c r="IC3" s="5" t="inlineStr">
        <is>
          <t>GAMMA_MID</t>
        </is>
      </c>
      <c r="ID3" s="5" t="inlineStr">
        <is>
          <t>VEGA_MID</t>
        </is>
      </c>
      <c r="IE3" s="5" t="inlineStr">
        <is>
          <t>THETA_MID</t>
        </is>
      </c>
      <c r="IF3" s="5" t="inlineStr">
        <is>
          <t>OPT_UNDL_PX</t>
        </is>
      </c>
      <c r="IH3" s="5" t="inlineStr">
        <is>
          <t>Date</t>
        </is>
      </c>
      <c r="II3" s="5" t="inlineStr">
        <is>
          <t>PX_BID</t>
        </is>
      </c>
      <c r="IJ3" s="5" t="inlineStr">
        <is>
          <t>PX_ASK</t>
        </is>
      </c>
      <c r="IK3" s="5" t="inlineStr">
        <is>
          <t>PX_MID</t>
        </is>
      </c>
      <c r="IL3" s="5" t="inlineStr">
        <is>
          <t>PX_LAST</t>
        </is>
      </c>
      <c r="IM3" s="5" t="inlineStr">
        <is>
          <t>PX_SETTLE</t>
        </is>
      </c>
      <c r="IN3" s="5" t="inlineStr">
        <is>
          <t>PX_VOLUME</t>
        </is>
      </c>
      <c r="IO3" s="5" t="inlineStr">
        <is>
          <t>OPEN_INT</t>
        </is>
      </c>
      <c r="IP3" s="5" t="inlineStr">
        <is>
          <t>IVOL_MID</t>
        </is>
      </c>
      <c r="IQ3" s="5" t="inlineStr">
        <is>
          <t>IVOL_BID</t>
        </is>
      </c>
      <c r="IR3" s="5" t="inlineStr">
        <is>
          <t>IVOL_ASK</t>
        </is>
      </c>
      <c r="IS3" s="5" t="inlineStr">
        <is>
          <t>DELTA_MID</t>
        </is>
      </c>
      <c r="IT3" s="5" t="inlineStr">
        <is>
          <t>GAMMA_MID</t>
        </is>
      </c>
      <c r="IU3" s="5" t="inlineStr">
        <is>
          <t>VEGA_MID</t>
        </is>
      </c>
      <c r="IV3" s="5" t="inlineStr">
        <is>
          <t>THETA_MID</t>
        </is>
      </c>
      <c r="IW3" s="5" t="inlineStr">
        <is>
          <t>OPT_UNDL_PX</t>
        </is>
      </c>
      <c r="IY3" s="5" t="inlineStr">
        <is>
          <t>Date</t>
        </is>
      </c>
      <c r="IZ3" s="5" t="inlineStr">
        <is>
          <t>PX_BID</t>
        </is>
      </c>
      <c r="JA3" s="5" t="inlineStr">
        <is>
          <t>PX_ASK</t>
        </is>
      </c>
      <c r="JB3" s="5" t="inlineStr">
        <is>
          <t>PX_MID</t>
        </is>
      </c>
      <c r="JC3" s="5" t="inlineStr">
        <is>
          <t>PX_LAST</t>
        </is>
      </c>
      <c r="JD3" s="5" t="inlineStr">
        <is>
          <t>PX_SETTLE</t>
        </is>
      </c>
      <c r="JE3" s="5" t="inlineStr">
        <is>
          <t>PX_VOLUME</t>
        </is>
      </c>
      <c r="JF3" s="5" t="inlineStr">
        <is>
          <t>OPEN_INT</t>
        </is>
      </c>
      <c r="JG3" s="5" t="inlineStr">
        <is>
          <t>IVOL_MID</t>
        </is>
      </c>
      <c r="JH3" s="5" t="inlineStr">
        <is>
          <t>IVOL_BID</t>
        </is>
      </c>
      <c r="JI3" s="5" t="inlineStr">
        <is>
          <t>IVOL_ASK</t>
        </is>
      </c>
      <c r="JJ3" s="5" t="inlineStr">
        <is>
          <t>DELTA_MID</t>
        </is>
      </c>
      <c r="JK3" s="5" t="inlineStr">
        <is>
          <t>GAMMA_MID</t>
        </is>
      </c>
      <c r="JL3" s="5" t="inlineStr">
        <is>
          <t>VEGA_MID</t>
        </is>
      </c>
      <c r="JM3" s="5" t="inlineStr">
        <is>
          <t>THETA_MID</t>
        </is>
      </c>
      <c r="JN3" s="5" t="inlineStr">
        <is>
          <t>OPT_UNDL_PX</t>
        </is>
      </c>
      <c r="JP3" s="5" t="inlineStr">
        <is>
          <t>Date</t>
        </is>
      </c>
      <c r="JQ3" s="5" t="inlineStr">
        <is>
          <t>PX_BID</t>
        </is>
      </c>
      <c r="JR3" s="5" t="inlineStr">
        <is>
          <t>PX_ASK</t>
        </is>
      </c>
      <c r="JS3" s="5" t="inlineStr">
        <is>
          <t>PX_MID</t>
        </is>
      </c>
      <c r="JT3" s="5" t="inlineStr">
        <is>
          <t>PX_LAST</t>
        </is>
      </c>
      <c r="JU3" s="5" t="inlineStr">
        <is>
          <t>PX_SETTLE</t>
        </is>
      </c>
      <c r="JV3" s="5" t="inlineStr">
        <is>
          <t>PX_VOLUME</t>
        </is>
      </c>
      <c r="JW3" s="5" t="inlineStr">
        <is>
          <t>OPEN_INT</t>
        </is>
      </c>
      <c r="JX3" s="5" t="inlineStr">
        <is>
          <t>IVOL_MID</t>
        </is>
      </c>
      <c r="JY3" s="5" t="inlineStr">
        <is>
          <t>IVOL_BID</t>
        </is>
      </c>
      <c r="JZ3" s="5" t="inlineStr">
        <is>
          <t>IVOL_ASK</t>
        </is>
      </c>
      <c r="KA3" s="5" t="inlineStr">
        <is>
          <t>DELTA_MID</t>
        </is>
      </c>
      <c r="KB3" s="5" t="inlineStr">
        <is>
          <t>GAMMA_MID</t>
        </is>
      </c>
      <c r="KC3" s="5" t="inlineStr">
        <is>
          <t>VEGA_MID</t>
        </is>
      </c>
      <c r="KD3" s="5" t="inlineStr">
        <is>
          <t>THETA_MID</t>
        </is>
      </c>
      <c r="KE3" s="5" t="inlineStr">
        <is>
          <t>OPT_UNDL_PX</t>
        </is>
      </c>
      <c r="KG3" s="5" t="inlineStr">
        <is>
          <t>Date</t>
        </is>
      </c>
      <c r="KH3" s="5" t="inlineStr">
        <is>
          <t>PX_BID</t>
        </is>
      </c>
      <c r="KI3" s="5" t="inlineStr">
        <is>
          <t>PX_ASK</t>
        </is>
      </c>
      <c r="KJ3" s="5" t="inlineStr">
        <is>
          <t>PX_MID</t>
        </is>
      </c>
      <c r="KK3" s="5" t="inlineStr">
        <is>
          <t>PX_LAST</t>
        </is>
      </c>
      <c r="KL3" s="5" t="inlineStr">
        <is>
          <t>PX_SETTLE</t>
        </is>
      </c>
      <c r="KM3" s="5" t="inlineStr">
        <is>
          <t>PX_VOLUME</t>
        </is>
      </c>
      <c r="KN3" s="5" t="inlineStr">
        <is>
          <t>OPEN_INT</t>
        </is>
      </c>
      <c r="KO3" s="5" t="inlineStr">
        <is>
          <t>IVOL_MID</t>
        </is>
      </c>
      <c r="KP3" s="5" t="inlineStr">
        <is>
          <t>IVOL_BID</t>
        </is>
      </c>
      <c r="KQ3" s="5" t="inlineStr">
        <is>
          <t>IVOL_ASK</t>
        </is>
      </c>
      <c r="KR3" s="5" t="inlineStr">
        <is>
          <t>DELTA_MID</t>
        </is>
      </c>
      <c r="KS3" s="5" t="inlineStr">
        <is>
          <t>GAMMA_MID</t>
        </is>
      </c>
      <c r="KT3" s="5" t="inlineStr">
        <is>
          <t>VEGA_MID</t>
        </is>
      </c>
      <c r="KU3" s="5" t="inlineStr">
        <is>
          <t>THETA_MID</t>
        </is>
      </c>
      <c r="KV3" s="5" t="inlineStr">
        <is>
          <t>OPT_UNDL_PX</t>
        </is>
      </c>
      <c r="KX3" s="5" t="inlineStr">
        <is>
          <t>Date</t>
        </is>
      </c>
      <c r="KY3" s="5" t="inlineStr">
        <is>
          <t>PX_BID</t>
        </is>
      </c>
      <c r="KZ3" s="5" t="inlineStr">
        <is>
          <t>PX_ASK</t>
        </is>
      </c>
      <c r="LA3" s="5" t="inlineStr">
        <is>
          <t>PX_MID</t>
        </is>
      </c>
      <c r="LB3" s="5" t="inlineStr">
        <is>
          <t>PX_LAST</t>
        </is>
      </c>
      <c r="LC3" s="5" t="inlineStr">
        <is>
          <t>PX_SETTLE</t>
        </is>
      </c>
      <c r="LD3" s="5" t="inlineStr">
        <is>
          <t>PX_VOLUME</t>
        </is>
      </c>
      <c r="LE3" s="5" t="inlineStr">
        <is>
          <t>OPEN_INT</t>
        </is>
      </c>
      <c r="LF3" s="5" t="inlineStr">
        <is>
          <t>IVOL_MID</t>
        </is>
      </c>
      <c r="LG3" s="5" t="inlineStr">
        <is>
          <t>IVOL_BID</t>
        </is>
      </c>
      <c r="LH3" s="5" t="inlineStr">
        <is>
          <t>IVOL_ASK</t>
        </is>
      </c>
      <c r="LI3" s="5" t="inlineStr">
        <is>
          <t>DELTA_MID</t>
        </is>
      </c>
      <c r="LJ3" s="5" t="inlineStr">
        <is>
          <t>GAMMA_MID</t>
        </is>
      </c>
      <c r="LK3" s="5" t="inlineStr">
        <is>
          <t>VEGA_MID</t>
        </is>
      </c>
      <c r="LL3" s="5" t="inlineStr">
        <is>
          <t>THETA_MID</t>
        </is>
      </c>
      <c r="LM3" s="5" t="inlineStr">
        <is>
          <t>OPT_UNDL_PX</t>
        </is>
      </c>
      <c r="LO3" s="5" t="inlineStr">
        <is>
          <t>Date</t>
        </is>
      </c>
      <c r="LP3" s="5" t="inlineStr">
        <is>
          <t>PX_BID</t>
        </is>
      </c>
      <c r="LQ3" s="5" t="inlineStr">
        <is>
          <t>PX_ASK</t>
        </is>
      </c>
      <c r="LR3" s="5" t="inlineStr">
        <is>
          <t>PX_MID</t>
        </is>
      </c>
      <c r="LS3" s="5" t="inlineStr">
        <is>
          <t>PX_LAST</t>
        </is>
      </c>
      <c r="LT3" s="5" t="inlineStr">
        <is>
          <t>PX_SETTLE</t>
        </is>
      </c>
      <c r="LU3" s="5" t="inlineStr">
        <is>
          <t>PX_VOLUME</t>
        </is>
      </c>
      <c r="LV3" s="5" t="inlineStr">
        <is>
          <t>OPEN_INT</t>
        </is>
      </c>
      <c r="LW3" s="5" t="inlineStr">
        <is>
          <t>IVOL_MID</t>
        </is>
      </c>
      <c r="LX3" s="5" t="inlineStr">
        <is>
          <t>IVOL_BID</t>
        </is>
      </c>
      <c r="LY3" s="5" t="inlineStr">
        <is>
          <t>IVOL_ASK</t>
        </is>
      </c>
      <c r="LZ3" s="5" t="inlineStr">
        <is>
          <t>DELTA_MID</t>
        </is>
      </c>
      <c r="MA3" s="5" t="inlineStr">
        <is>
          <t>GAMMA_MID</t>
        </is>
      </c>
      <c r="MB3" s="5" t="inlineStr">
        <is>
          <t>VEGA_MID</t>
        </is>
      </c>
      <c r="MC3" s="5" t="inlineStr">
        <is>
          <t>THETA_MID</t>
        </is>
      </c>
      <c r="MD3" s="5" t="inlineStr">
        <is>
          <t>OPT_UNDL_PX</t>
        </is>
      </c>
      <c r="MF3" s="5" t="inlineStr">
        <is>
          <t>Date</t>
        </is>
      </c>
      <c r="MG3" s="5" t="inlineStr">
        <is>
          <t>PX_BID</t>
        </is>
      </c>
      <c r="MH3" s="5" t="inlineStr">
        <is>
          <t>PX_ASK</t>
        </is>
      </c>
      <c r="MI3" s="5" t="inlineStr">
        <is>
          <t>PX_MID</t>
        </is>
      </c>
      <c r="MJ3" s="5" t="inlineStr">
        <is>
          <t>PX_LAST</t>
        </is>
      </c>
      <c r="MK3" s="5" t="inlineStr">
        <is>
          <t>PX_SETTLE</t>
        </is>
      </c>
      <c r="ML3" s="5" t="inlineStr">
        <is>
          <t>PX_VOLUME</t>
        </is>
      </c>
      <c r="MM3" s="5" t="inlineStr">
        <is>
          <t>OPEN_INT</t>
        </is>
      </c>
      <c r="MN3" s="5" t="inlineStr">
        <is>
          <t>IVOL_MID</t>
        </is>
      </c>
      <c r="MO3" s="5" t="inlineStr">
        <is>
          <t>IVOL_BID</t>
        </is>
      </c>
      <c r="MP3" s="5" t="inlineStr">
        <is>
          <t>IVOL_ASK</t>
        </is>
      </c>
      <c r="MQ3" s="5" t="inlineStr">
        <is>
          <t>DELTA_MID</t>
        </is>
      </c>
      <c r="MR3" s="5" t="inlineStr">
        <is>
          <t>GAMMA_MID</t>
        </is>
      </c>
      <c r="MS3" s="5" t="inlineStr">
        <is>
          <t>VEGA_MID</t>
        </is>
      </c>
      <c r="MT3" s="5" t="inlineStr">
        <is>
          <t>THETA_MID</t>
        </is>
      </c>
      <c r="MU3" s="5" t="inlineStr">
        <is>
          <t>OPT_UNDL_PX</t>
        </is>
      </c>
      <c r="MW3" s="5" t="inlineStr">
        <is>
          <t>Date</t>
        </is>
      </c>
      <c r="MX3" s="5" t="inlineStr">
        <is>
          <t>PX_BID</t>
        </is>
      </c>
      <c r="MY3" s="5" t="inlineStr">
        <is>
          <t>PX_ASK</t>
        </is>
      </c>
      <c r="MZ3" s="5" t="inlineStr">
        <is>
          <t>PX_MID</t>
        </is>
      </c>
      <c r="NA3" s="5" t="inlineStr">
        <is>
          <t>PX_LAST</t>
        </is>
      </c>
      <c r="NB3" s="5" t="inlineStr">
        <is>
          <t>PX_SETTLE</t>
        </is>
      </c>
      <c r="NC3" s="5" t="inlineStr">
        <is>
          <t>PX_VOLUME</t>
        </is>
      </c>
      <c r="ND3" s="5" t="inlineStr">
        <is>
          <t>OPEN_INT</t>
        </is>
      </c>
      <c r="NE3" s="5" t="inlineStr">
        <is>
          <t>IVOL_MID</t>
        </is>
      </c>
      <c r="NF3" s="5" t="inlineStr">
        <is>
          <t>IVOL_BID</t>
        </is>
      </c>
      <c r="NG3" s="5" t="inlineStr">
        <is>
          <t>IVOL_ASK</t>
        </is>
      </c>
      <c r="NH3" s="5" t="inlineStr">
        <is>
          <t>DELTA_MID</t>
        </is>
      </c>
      <c r="NI3" s="5" t="inlineStr">
        <is>
          <t>GAMMA_MID</t>
        </is>
      </c>
      <c r="NJ3" s="5" t="inlineStr">
        <is>
          <t>VEGA_MID</t>
        </is>
      </c>
      <c r="NK3" s="5" t="inlineStr">
        <is>
          <t>THETA_MID</t>
        </is>
      </c>
      <c r="NL3" s="5" t="inlineStr">
        <is>
          <t>OPT_UNDL_PX</t>
        </is>
      </c>
    </row>
    <row r="4">
      <c r="A4" s="2" t="inlineStr">
        <is>
          <t>Strike reference date</t>
        </is>
      </c>
      <c r="B4" s="8">
        <f>B3-45</f>
        <v/>
      </c>
      <c r="D4" s="4">
        <f>BDH(D$1,E$3:S$3,$B$8,$B$9,"Dir=V","Dts=S","Sort=A","Days=T","Fill=B")</f>
        <v/>
      </c>
      <c r="U4" s="4">
        <f>BDH(U$1,V$3:AJ$3,$B$8,$B$9,"Dir=V","Dts=S","Sort=A","Days=T","Fill=B")</f>
        <v/>
      </c>
      <c r="AL4" s="4">
        <f>BDH(AL$1,AM$3:BA$3,$B$8,$B$9,"Dir=V","Dts=S","Sort=A","Days=T","Fill=B")</f>
        <v/>
      </c>
      <c r="BC4" s="4">
        <f>BDH(BC$1,BD$3:BR$3,$B$8,$B$9,"Dir=V","Dts=S","Sort=A","Days=T","Fill=B")</f>
        <v/>
      </c>
      <c r="BT4" s="4">
        <f>BDH(BT$1,BU$3:CI$3,$B$8,$B$9,"Dir=V","Dts=S","Sort=A","Days=T","Fill=B")</f>
        <v/>
      </c>
      <c r="CK4" s="4">
        <f>BDH(CK$1,CL$3:CZ$3,$B$8,$B$9,"Dir=V","Dts=S","Sort=A","Days=T","Fill=B")</f>
        <v/>
      </c>
      <c r="DB4" s="4">
        <f>BDH(DB$1,DC$3:DQ$3,$B$8,$B$9,"Dir=V","Dts=S","Sort=A","Days=T","Fill=B")</f>
        <v/>
      </c>
      <c r="DS4" s="4">
        <f>BDH(DS$1,DT$3:EH$3,$B$8,$B$9,"Dir=V","Dts=S","Sort=A","Days=T","Fill=B")</f>
        <v/>
      </c>
      <c r="EJ4" s="4">
        <f>BDH(EJ$1,EK$3:EY$3,$B$8,$B$9,"Dir=V","Dts=S","Sort=A","Days=T","Fill=B")</f>
        <v/>
      </c>
      <c r="FA4" s="4">
        <f>BDH(FA$1,FB$3:FP$3,$B$8,$B$9,"Dir=V","Dts=S","Sort=A","Days=T","Fill=B")</f>
        <v/>
      </c>
      <c r="FR4" s="4">
        <f>BDH(FR$1,FS$3:GG$3,$B$8,$B$9,"Dir=V","Dts=S","Sort=A","Days=T","Fill=B")</f>
        <v/>
      </c>
      <c r="GI4" s="4">
        <f>BDH(GI$1,GJ$3:GX$3,$B$8,$B$9,"Dir=V","Dts=S","Sort=A","Days=T","Fill=B")</f>
        <v/>
      </c>
      <c r="GZ4" s="4">
        <f>BDH(GZ$1,HA$3:HO$3,$B$8,$B$9,"Dir=V","Dts=S","Sort=A","Days=T","Fill=B")</f>
        <v/>
      </c>
      <c r="HQ4" s="4">
        <f>BDH(HQ$1,HR$3:IF$3,$B$8,$B$9,"Dir=V","Dts=S","Sort=A","Days=T","Fill=B")</f>
        <v/>
      </c>
      <c r="IH4" s="4">
        <f>BDH(IH$1,II$3:IW$3,$B$8,$B$9,"Dir=V","Dts=S","Sort=A","Days=T","Fill=B")</f>
        <v/>
      </c>
      <c r="IY4" s="4">
        <f>BDH(IY$1,IZ$3:JN$3,$B$8,$B$9,"Dir=V","Dts=S","Sort=A","Days=T","Fill=B")</f>
        <v/>
      </c>
      <c r="JP4" s="4">
        <f>BDH(JP$1,JQ$3:KE$3,$B$8,$B$9,"Dir=V","Dts=S","Sort=A","Days=T","Fill=B")</f>
        <v/>
      </c>
      <c r="KG4" s="4">
        <f>BDH(KG$1,KH$3:KV$3,$B$8,$B$9,"Dir=V","Dts=S","Sort=A","Days=T","Fill=B")</f>
        <v/>
      </c>
      <c r="KX4" s="4">
        <f>BDH(KX$1,KY$3:LM$3,$B$8,$B$9,"Dir=V","Dts=S","Sort=A","Days=T","Fill=B")</f>
        <v/>
      </c>
      <c r="LO4" s="4">
        <f>BDH(LO$1,LP$3:MD$3,$B$8,$B$9,"Dir=V","Dts=S","Sort=A","Days=T","Fill=B")</f>
        <v/>
      </c>
      <c r="MF4" s="4">
        <f>BDH(MF$1,MG$3:MU$3,$B$8,$B$9,"Dir=V","Dts=S","Sort=A","Days=T","Fill=B")</f>
        <v/>
      </c>
      <c r="MW4" s="4">
        <f>BDH(MW$1,MX$3:NL$3,$B$8,$B$9,"Dir=V","Dts=S","Sort=A","Days=T","Fill=B")</f>
        <v/>
      </c>
    </row>
    <row r="5">
      <c r="A5" s="2" t="inlineStr">
        <is>
          <t>Unadjusted close then</t>
        </is>
      </c>
      <c r="B5" s="10">
        <f>IF(B2="","",BDH(B2,"PX_LAST",B4,B4,"Days=A","Fill=P","Dts=H","CshAdjNormal=N","CshAdjAbnormal=N","CapChg=N"))</f>
        <v/>
      </c>
    </row>
    <row r="6">
      <c r="A6" s="2" t="inlineStr">
        <is>
          <t>Strike step</t>
        </is>
      </c>
      <c r="B6" s="11">
        <f>IF(ISNUMBER(B5),IF(B5&lt;25,0.5,IF(B5&lt;250,1,5)),"")</f>
        <v/>
      </c>
    </row>
    <row r="7">
      <c r="A7" s="2" t="inlineStr">
        <is>
          <t>ATM strike</t>
        </is>
      </c>
      <c r="B7" s="11">
        <f>IF(ISNUMBER(B5),ROUND(B5/B6,0)*B6,"")</f>
        <v/>
      </c>
    </row>
    <row r="8">
      <c r="A8" s="2" t="inlineStr">
        <is>
          <t>History start</t>
        </is>
      </c>
      <c r="B8" s="8">
        <f>B3-100</f>
        <v/>
      </c>
    </row>
    <row r="9">
      <c r="A9" s="2" t="inlineStr">
        <is>
          <t>History end</t>
        </is>
      </c>
      <c r="B9" s="8">
        <f>B3</f>
        <v/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NL9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2" customWidth="1" min="2" max="2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1" customWidth="1" min="15" max="15"/>
    <col width="11" customWidth="1" min="16" max="16"/>
    <col width="10" customWidth="1" min="17" max="17"/>
    <col width="11" customWidth="1" min="18" max="18"/>
    <col width="13" customWidth="1" min="19" max="19"/>
    <col width="12" customWidth="1" min="21" max="21"/>
    <col width="10" customWidth="1" min="22" max="22"/>
    <col width="10" customWidth="1" min="23" max="23"/>
    <col width="10" customWidth="1" min="24" max="24"/>
    <col width="10" customWidth="1" min="25" max="25"/>
    <col width="11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1" customWidth="1" min="32" max="32"/>
    <col width="11" customWidth="1" min="33" max="33"/>
    <col width="10" customWidth="1" min="34" max="34"/>
    <col width="11" customWidth="1" min="35" max="35"/>
    <col width="13" customWidth="1" min="36" max="36"/>
    <col width="12" customWidth="1" min="38" max="38"/>
    <col width="10" customWidth="1" min="39" max="39"/>
    <col width="10" customWidth="1" min="40" max="40"/>
    <col width="10" customWidth="1" min="41" max="41"/>
    <col width="10" customWidth="1" min="42" max="42"/>
    <col width="11" customWidth="1" min="43" max="43"/>
    <col width="11" customWidth="1" min="44" max="44"/>
    <col width="10" customWidth="1" min="45" max="45"/>
    <col width="10" customWidth="1" min="46" max="46"/>
    <col width="10" customWidth="1" min="47" max="47"/>
    <col width="10" customWidth="1" min="48" max="48"/>
    <col width="11" customWidth="1" min="49" max="49"/>
    <col width="11" customWidth="1" min="50" max="50"/>
    <col width="10" customWidth="1" min="51" max="51"/>
    <col width="11" customWidth="1" min="52" max="52"/>
    <col width="13" customWidth="1" min="53" max="53"/>
    <col width="12" customWidth="1" min="55" max="55"/>
    <col width="10" customWidth="1" min="56" max="56"/>
    <col width="10" customWidth="1" min="57" max="57"/>
    <col width="10" customWidth="1" min="58" max="58"/>
    <col width="10" customWidth="1" min="59" max="59"/>
    <col width="11" customWidth="1" min="60" max="60"/>
    <col width="11" customWidth="1" min="61" max="61"/>
    <col width="10" customWidth="1" min="62" max="62"/>
    <col width="10" customWidth="1" min="63" max="63"/>
    <col width="10" customWidth="1" min="64" max="64"/>
    <col width="10" customWidth="1" min="65" max="65"/>
    <col width="11" customWidth="1" min="66" max="66"/>
    <col width="11" customWidth="1" min="67" max="67"/>
    <col width="10" customWidth="1" min="68" max="68"/>
    <col width="11" customWidth="1" min="69" max="69"/>
    <col width="13" customWidth="1" min="70" max="70"/>
    <col width="12" customWidth="1" min="72" max="72"/>
    <col width="10" customWidth="1" min="73" max="73"/>
    <col width="10" customWidth="1" min="74" max="74"/>
    <col width="10" customWidth="1" min="75" max="75"/>
    <col width="10" customWidth="1" min="76" max="76"/>
    <col width="11" customWidth="1" min="77" max="77"/>
    <col width="11" customWidth="1" min="78" max="78"/>
    <col width="10" customWidth="1" min="79" max="79"/>
    <col width="10" customWidth="1" min="80" max="80"/>
    <col width="10" customWidth="1" min="81" max="81"/>
    <col width="10" customWidth="1" min="82" max="82"/>
    <col width="11" customWidth="1" min="83" max="83"/>
    <col width="11" customWidth="1" min="84" max="84"/>
    <col width="10" customWidth="1" min="85" max="85"/>
    <col width="11" customWidth="1" min="86" max="86"/>
    <col width="13" customWidth="1" min="87" max="87"/>
    <col width="12" customWidth="1" min="89" max="89"/>
    <col width="10" customWidth="1" min="90" max="90"/>
    <col width="10" customWidth="1" min="91" max="91"/>
    <col width="10" customWidth="1" min="92" max="92"/>
    <col width="10" customWidth="1" min="93" max="93"/>
    <col width="11" customWidth="1" min="94" max="94"/>
    <col width="11" customWidth="1" min="95" max="95"/>
    <col width="10" customWidth="1" min="96" max="96"/>
    <col width="10" customWidth="1" min="97" max="97"/>
    <col width="10" customWidth="1" min="98" max="98"/>
    <col width="10" customWidth="1" min="99" max="99"/>
    <col width="11" customWidth="1" min="100" max="100"/>
    <col width="11" customWidth="1" min="101" max="101"/>
    <col width="10" customWidth="1" min="102" max="102"/>
    <col width="11" customWidth="1" min="103" max="103"/>
    <col width="13" customWidth="1" min="104" max="104"/>
    <col width="12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1" customWidth="1" min="111" max="111"/>
    <col width="11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1" customWidth="1" min="117" max="117"/>
    <col width="11" customWidth="1" min="118" max="118"/>
    <col width="10" customWidth="1" min="119" max="119"/>
    <col width="11" customWidth="1" min="120" max="120"/>
    <col width="13" customWidth="1" min="121" max="121"/>
    <col width="12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1" customWidth="1" min="128" max="128"/>
    <col width="11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1" customWidth="1" min="134" max="134"/>
    <col width="11" customWidth="1" min="135" max="135"/>
    <col width="10" customWidth="1" min="136" max="136"/>
    <col width="11" customWidth="1" min="137" max="137"/>
    <col width="13" customWidth="1" min="138" max="138"/>
    <col width="12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1" customWidth="1" min="145" max="145"/>
    <col width="11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1" customWidth="1" min="151" max="151"/>
    <col width="11" customWidth="1" min="152" max="152"/>
    <col width="10" customWidth="1" min="153" max="153"/>
    <col width="11" customWidth="1" min="154" max="154"/>
    <col width="13" customWidth="1" min="155" max="155"/>
    <col width="12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1" customWidth="1" min="162" max="162"/>
    <col width="11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1" customWidth="1" min="168" max="168"/>
    <col width="11" customWidth="1" min="169" max="169"/>
    <col width="10" customWidth="1" min="170" max="170"/>
    <col width="11" customWidth="1" min="171" max="171"/>
    <col width="13" customWidth="1" min="172" max="172"/>
    <col width="12" customWidth="1" min="174" max="174"/>
    <col width="10" customWidth="1" min="175" max="175"/>
    <col width="10" customWidth="1" min="176" max="176"/>
    <col width="10" customWidth="1" min="177" max="177"/>
    <col width="10" customWidth="1" min="178" max="178"/>
    <col width="11" customWidth="1" min="179" max="179"/>
    <col width="11" customWidth="1" min="180" max="180"/>
    <col width="10" customWidth="1" min="181" max="181"/>
    <col width="10" customWidth="1" min="182" max="182"/>
    <col width="10" customWidth="1" min="183" max="183"/>
    <col width="10" customWidth="1" min="184" max="184"/>
    <col width="11" customWidth="1" min="185" max="185"/>
    <col width="11" customWidth="1" min="186" max="186"/>
    <col width="10" customWidth="1" min="187" max="187"/>
    <col width="11" customWidth="1" min="188" max="188"/>
    <col width="13" customWidth="1" min="189" max="189"/>
    <col width="12" customWidth="1" min="191" max="191"/>
    <col width="10" customWidth="1" min="192" max="192"/>
    <col width="10" customWidth="1" min="193" max="193"/>
    <col width="10" customWidth="1" min="194" max="194"/>
    <col width="10" customWidth="1" min="195" max="195"/>
    <col width="11" customWidth="1" min="196" max="196"/>
    <col width="11" customWidth="1" min="197" max="197"/>
    <col width="10" customWidth="1" min="198" max="198"/>
    <col width="10" customWidth="1" min="199" max="199"/>
    <col width="10" customWidth="1" min="200" max="200"/>
    <col width="10" customWidth="1" min="201" max="201"/>
    <col width="11" customWidth="1" min="202" max="202"/>
    <col width="11" customWidth="1" min="203" max="203"/>
    <col width="10" customWidth="1" min="204" max="204"/>
    <col width="11" customWidth="1" min="205" max="205"/>
    <col width="13" customWidth="1" min="206" max="206"/>
    <col width="12" customWidth="1" min="208" max="208"/>
    <col width="10" customWidth="1" min="209" max="209"/>
    <col width="10" customWidth="1" min="210" max="210"/>
    <col width="10" customWidth="1" min="211" max="211"/>
    <col width="10" customWidth="1" min="212" max="212"/>
    <col width="11" customWidth="1" min="213" max="213"/>
    <col width="11" customWidth="1" min="214" max="214"/>
    <col width="10" customWidth="1" min="215" max="215"/>
    <col width="10" customWidth="1" min="216" max="216"/>
    <col width="10" customWidth="1" min="217" max="217"/>
    <col width="10" customWidth="1" min="218" max="218"/>
    <col width="11" customWidth="1" min="219" max="219"/>
    <col width="11" customWidth="1" min="220" max="220"/>
    <col width="10" customWidth="1" min="221" max="221"/>
    <col width="11" customWidth="1" min="222" max="222"/>
    <col width="13" customWidth="1" min="223" max="223"/>
    <col width="12" customWidth="1" min="225" max="225"/>
    <col width="10" customWidth="1" min="226" max="226"/>
    <col width="10" customWidth="1" min="227" max="227"/>
    <col width="10" customWidth="1" min="228" max="228"/>
    <col width="10" customWidth="1" min="229" max="229"/>
    <col width="11" customWidth="1" min="230" max="230"/>
    <col width="11" customWidth="1" min="231" max="231"/>
    <col width="10" customWidth="1" min="232" max="232"/>
    <col width="10" customWidth="1" min="233" max="233"/>
    <col width="10" customWidth="1" min="234" max="234"/>
    <col width="10" customWidth="1" min="235" max="235"/>
    <col width="11" customWidth="1" min="236" max="236"/>
    <col width="11" customWidth="1" min="237" max="237"/>
    <col width="10" customWidth="1" min="238" max="238"/>
    <col width="11" customWidth="1" min="239" max="239"/>
    <col width="13" customWidth="1" min="240" max="240"/>
    <col width="12" customWidth="1" min="242" max="242"/>
    <col width="10" customWidth="1" min="243" max="243"/>
    <col width="10" customWidth="1" min="244" max="244"/>
    <col width="10" customWidth="1" min="245" max="245"/>
    <col width="10" customWidth="1" min="246" max="246"/>
    <col width="11" customWidth="1" min="247" max="247"/>
    <col width="11" customWidth="1" min="248" max="248"/>
    <col width="10" customWidth="1" min="249" max="249"/>
    <col width="10" customWidth="1" min="250" max="250"/>
    <col width="10" customWidth="1" min="251" max="251"/>
    <col width="10" customWidth="1" min="252" max="252"/>
    <col width="11" customWidth="1" min="253" max="253"/>
    <col width="11" customWidth="1" min="254" max="254"/>
    <col width="10" customWidth="1" min="255" max="255"/>
    <col width="11" customWidth="1" min="256" max="256"/>
    <col width="13" customWidth="1" min="257" max="257"/>
    <col width="12" customWidth="1" min="259" max="259"/>
    <col width="10" customWidth="1" min="260" max="260"/>
    <col width="10" customWidth="1" min="261" max="261"/>
    <col width="10" customWidth="1" min="262" max="262"/>
    <col width="10" customWidth="1" min="263" max="263"/>
    <col width="11" customWidth="1" min="264" max="264"/>
    <col width="11" customWidth="1" min="265" max="265"/>
    <col width="10" customWidth="1" min="266" max="266"/>
    <col width="10" customWidth="1" min="267" max="267"/>
    <col width="10" customWidth="1" min="268" max="268"/>
    <col width="10" customWidth="1" min="269" max="269"/>
    <col width="11" customWidth="1" min="270" max="270"/>
    <col width="11" customWidth="1" min="271" max="271"/>
    <col width="10" customWidth="1" min="272" max="272"/>
    <col width="11" customWidth="1" min="273" max="273"/>
    <col width="13" customWidth="1" min="274" max="274"/>
    <col width="12" customWidth="1" min="276" max="276"/>
    <col width="10" customWidth="1" min="277" max="277"/>
    <col width="10" customWidth="1" min="278" max="278"/>
    <col width="10" customWidth="1" min="279" max="279"/>
    <col width="10" customWidth="1" min="280" max="280"/>
    <col width="11" customWidth="1" min="281" max="281"/>
    <col width="11" customWidth="1" min="282" max="282"/>
    <col width="10" customWidth="1" min="283" max="283"/>
    <col width="10" customWidth="1" min="284" max="284"/>
    <col width="10" customWidth="1" min="285" max="285"/>
    <col width="10" customWidth="1" min="286" max="286"/>
    <col width="11" customWidth="1" min="287" max="287"/>
    <col width="11" customWidth="1" min="288" max="288"/>
    <col width="10" customWidth="1" min="289" max="289"/>
    <col width="11" customWidth="1" min="290" max="290"/>
    <col width="13" customWidth="1" min="291" max="291"/>
    <col width="12" customWidth="1" min="293" max="293"/>
    <col width="10" customWidth="1" min="294" max="294"/>
    <col width="10" customWidth="1" min="295" max="295"/>
    <col width="10" customWidth="1" min="296" max="296"/>
    <col width="10" customWidth="1" min="297" max="297"/>
    <col width="11" customWidth="1" min="298" max="298"/>
    <col width="11" customWidth="1" min="299" max="299"/>
    <col width="10" customWidth="1" min="300" max="300"/>
    <col width="10" customWidth="1" min="301" max="301"/>
    <col width="10" customWidth="1" min="302" max="302"/>
    <col width="10" customWidth="1" min="303" max="303"/>
    <col width="11" customWidth="1" min="304" max="304"/>
    <col width="11" customWidth="1" min="305" max="305"/>
    <col width="10" customWidth="1" min="306" max="306"/>
    <col width="11" customWidth="1" min="307" max="307"/>
    <col width="13" customWidth="1" min="308" max="308"/>
    <col width="12" customWidth="1" min="310" max="310"/>
    <col width="10" customWidth="1" min="311" max="311"/>
    <col width="10" customWidth="1" min="312" max="312"/>
    <col width="10" customWidth="1" min="313" max="313"/>
    <col width="10" customWidth="1" min="314" max="314"/>
    <col width="11" customWidth="1" min="315" max="315"/>
    <col width="11" customWidth="1" min="316" max="316"/>
    <col width="10" customWidth="1" min="317" max="317"/>
    <col width="10" customWidth="1" min="318" max="318"/>
    <col width="10" customWidth="1" min="319" max="319"/>
    <col width="10" customWidth="1" min="320" max="320"/>
    <col width="11" customWidth="1" min="321" max="321"/>
    <col width="11" customWidth="1" min="322" max="322"/>
    <col width="10" customWidth="1" min="323" max="323"/>
    <col width="11" customWidth="1" min="324" max="324"/>
    <col width="13" customWidth="1" min="325" max="325"/>
    <col width="12" customWidth="1" min="327" max="327"/>
    <col width="10" customWidth="1" min="328" max="328"/>
    <col width="10" customWidth="1" min="329" max="329"/>
    <col width="10" customWidth="1" min="330" max="330"/>
    <col width="10" customWidth="1" min="331" max="331"/>
    <col width="11" customWidth="1" min="332" max="332"/>
    <col width="11" customWidth="1" min="333" max="333"/>
    <col width="10" customWidth="1" min="334" max="334"/>
    <col width="10" customWidth="1" min="335" max="335"/>
    <col width="10" customWidth="1" min="336" max="336"/>
    <col width="10" customWidth="1" min="337" max="337"/>
    <col width="11" customWidth="1" min="338" max="338"/>
    <col width="11" customWidth="1" min="339" max="339"/>
    <col width="10" customWidth="1" min="340" max="340"/>
    <col width="11" customWidth="1" min="341" max="341"/>
    <col width="13" customWidth="1" min="342" max="342"/>
    <col width="12" customWidth="1" min="344" max="344"/>
    <col width="10" customWidth="1" min="345" max="345"/>
    <col width="10" customWidth="1" min="346" max="346"/>
    <col width="10" customWidth="1" min="347" max="347"/>
    <col width="10" customWidth="1" min="348" max="348"/>
    <col width="11" customWidth="1" min="349" max="349"/>
    <col width="11" customWidth="1" min="350" max="350"/>
    <col width="10" customWidth="1" min="351" max="351"/>
    <col width="10" customWidth="1" min="352" max="352"/>
    <col width="10" customWidth="1" min="353" max="353"/>
    <col width="10" customWidth="1" min="354" max="354"/>
    <col width="11" customWidth="1" min="355" max="355"/>
    <col width="11" customWidth="1" min="356" max="356"/>
    <col width="10" customWidth="1" min="357" max="357"/>
    <col width="11" customWidth="1" min="358" max="358"/>
    <col width="13" customWidth="1" min="359" max="359"/>
    <col width="12" customWidth="1" min="361" max="361"/>
    <col width="10" customWidth="1" min="362" max="362"/>
    <col width="10" customWidth="1" min="363" max="363"/>
    <col width="10" customWidth="1" min="364" max="364"/>
    <col width="10" customWidth="1" min="365" max="365"/>
    <col width="11" customWidth="1" min="366" max="366"/>
    <col width="11" customWidth="1" min="367" max="367"/>
    <col width="10" customWidth="1" min="368" max="368"/>
    <col width="10" customWidth="1" min="369" max="369"/>
    <col width="10" customWidth="1" min="370" max="370"/>
    <col width="10" customWidth="1" min="371" max="371"/>
    <col width="11" customWidth="1" min="372" max="372"/>
    <col width="11" customWidth="1" min="373" max="373"/>
    <col width="10" customWidth="1" min="374" max="374"/>
    <col width="11" customWidth="1" min="375" max="375"/>
    <col width="13" customWidth="1" min="376" max="376"/>
  </cols>
  <sheetData>
    <row r="1">
      <c r="A1" s="2" t="inlineStr">
        <is>
          <t>Month</t>
        </is>
      </c>
      <c r="B1" s="9" t="n">
        <v>7</v>
      </c>
      <c r="D1" s="2">
        <f>IF(ISNUMBER(B$7),"XOP US "&amp;TEXT(B$3,"mm/dd/yy")&amp;" C"&amp;(B$7-5*B$6)&amp;" Equity","")</f>
        <v/>
      </c>
      <c r="U1" s="2">
        <f>IF(ISNUMBER(B$7),"XOP US "&amp;TEXT(B$3,"mm/dd/yy")&amp;" P"&amp;(B$7-5*B$6)&amp;" Equity","")</f>
        <v/>
      </c>
      <c r="AL1" s="2">
        <f>IF(ISNUMBER(B$7),"XOP US "&amp;TEXT(B$3,"mm/dd/yy")&amp;" C"&amp;(B$7-4*B$6)&amp;" Equity","")</f>
        <v/>
      </c>
      <c r="BC1" s="2">
        <f>IF(ISNUMBER(B$7),"XOP US "&amp;TEXT(B$3,"mm/dd/yy")&amp;" P"&amp;(B$7-4*B$6)&amp;" Equity","")</f>
        <v/>
      </c>
      <c r="BT1" s="2">
        <f>IF(ISNUMBER(B$7),"XOP US "&amp;TEXT(B$3,"mm/dd/yy")&amp;" C"&amp;(B$7-3*B$6)&amp;" Equity","")</f>
        <v/>
      </c>
      <c r="CK1" s="2">
        <f>IF(ISNUMBER(B$7),"XOP US "&amp;TEXT(B$3,"mm/dd/yy")&amp;" P"&amp;(B$7-3*B$6)&amp;" Equity","")</f>
        <v/>
      </c>
      <c r="DB1" s="2">
        <f>IF(ISNUMBER(B$7),"XOP US "&amp;TEXT(B$3,"mm/dd/yy")&amp;" C"&amp;(B$7-2*B$6)&amp;" Equity","")</f>
        <v/>
      </c>
      <c r="DS1" s="2">
        <f>IF(ISNUMBER(B$7),"XOP US "&amp;TEXT(B$3,"mm/dd/yy")&amp;" P"&amp;(B$7-2*B$6)&amp;" Equity","")</f>
        <v/>
      </c>
      <c r="EJ1" s="2">
        <f>IF(ISNUMBER(B$7),"XOP US "&amp;TEXT(B$3,"mm/dd/yy")&amp;" C"&amp;(B$7-1*B$6)&amp;" Equity","")</f>
        <v/>
      </c>
      <c r="FA1" s="2">
        <f>IF(ISNUMBER(B$7),"XOP US "&amp;TEXT(B$3,"mm/dd/yy")&amp;" P"&amp;(B$7-1*B$6)&amp;" Equity","")</f>
        <v/>
      </c>
      <c r="FR1" s="2">
        <f>IF(ISNUMBER(B$7),"XOP US "&amp;TEXT(B$3,"mm/dd/yy")&amp;" C"&amp;B$7&amp;" Equity","")</f>
        <v/>
      </c>
      <c r="GI1" s="2">
        <f>IF(ISNUMBER(B$7),"XOP US "&amp;TEXT(B$3,"mm/dd/yy")&amp;" P"&amp;B$7&amp;" Equity","")</f>
        <v/>
      </c>
      <c r="GZ1" s="2">
        <f>IF(ISNUMBER(B$7),"XOP US "&amp;TEXT(B$3,"mm/dd/yy")&amp;" C"&amp;(B$7+1*B$6)&amp;" Equity","")</f>
        <v/>
      </c>
      <c r="HQ1" s="2">
        <f>IF(ISNUMBER(B$7),"XOP US "&amp;TEXT(B$3,"mm/dd/yy")&amp;" P"&amp;(B$7+1*B$6)&amp;" Equity","")</f>
        <v/>
      </c>
      <c r="IH1" s="2">
        <f>IF(ISNUMBER(B$7),"XOP US "&amp;TEXT(B$3,"mm/dd/yy")&amp;" C"&amp;(B$7+2*B$6)&amp;" Equity","")</f>
        <v/>
      </c>
      <c r="IY1" s="2">
        <f>IF(ISNUMBER(B$7),"XOP US "&amp;TEXT(B$3,"mm/dd/yy")&amp;" P"&amp;(B$7+2*B$6)&amp;" Equity","")</f>
        <v/>
      </c>
      <c r="JP1" s="2">
        <f>IF(ISNUMBER(B$7),"XOP US "&amp;TEXT(B$3,"mm/dd/yy")&amp;" C"&amp;(B$7+3*B$6)&amp;" Equity","")</f>
        <v/>
      </c>
      <c r="KG1" s="2">
        <f>IF(ISNUMBER(B$7),"XOP US "&amp;TEXT(B$3,"mm/dd/yy")&amp;" P"&amp;(B$7+3*B$6)&amp;" Equity","")</f>
        <v/>
      </c>
      <c r="KX1" s="2">
        <f>IF(ISNUMBER(B$7),"XOP US "&amp;TEXT(B$3,"mm/dd/yy")&amp;" C"&amp;(B$7+4*B$6)&amp;" Equity","")</f>
        <v/>
      </c>
      <c r="LO1" s="2">
        <f>IF(ISNUMBER(B$7),"XOP US "&amp;TEXT(B$3,"mm/dd/yy")&amp;" P"&amp;(B$7+4*B$6)&amp;" Equity","")</f>
        <v/>
      </c>
      <c r="MF1" s="2">
        <f>IF(ISNUMBER(B$7),"XOP US "&amp;TEXT(B$3,"mm/dd/yy")&amp;" C"&amp;(B$7+5*B$6)&amp;" Equity","")</f>
        <v/>
      </c>
      <c r="MW1" s="2">
        <f>IF(ISNUMBER(B$7),"XOP US "&amp;TEXT(B$3,"mm/dd/yy")&amp;" P"&amp;(B$7+5*B$6)&amp;" Equity","")</f>
        <v/>
      </c>
    </row>
    <row r="2">
      <c r="A2" s="2" t="inlineStr">
        <is>
          <t>Underlying</t>
        </is>
      </c>
      <c r="B2" s="4">
        <f>IF(Settings!$B$17="Y","XOP US Equity","")</f>
        <v/>
      </c>
      <c r="D2" s="4" t="inlineStr">
        <is>
          <t>call -5 from ATM</t>
        </is>
      </c>
      <c r="U2" s="4" t="inlineStr">
        <is>
          <t>put -5 from ATM</t>
        </is>
      </c>
      <c r="AL2" s="4" t="inlineStr">
        <is>
          <t>call -4 from ATM</t>
        </is>
      </c>
      <c r="BC2" s="4" t="inlineStr">
        <is>
          <t>put -4 from ATM</t>
        </is>
      </c>
      <c r="BT2" s="4" t="inlineStr">
        <is>
          <t>call -3 from ATM</t>
        </is>
      </c>
      <c r="CK2" s="4" t="inlineStr">
        <is>
          <t>put -3 from ATM</t>
        </is>
      </c>
      <c r="DB2" s="4" t="inlineStr">
        <is>
          <t>call -2 from ATM</t>
        </is>
      </c>
      <c r="DS2" s="4" t="inlineStr">
        <is>
          <t>put -2 from ATM</t>
        </is>
      </c>
      <c r="EJ2" s="4" t="inlineStr">
        <is>
          <t>call -1 from ATM</t>
        </is>
      </c>
      <c r="FA2" s="4" t="inlineStr">
        <is>
          <t>put -1 from ATM</t>
        </is>
      </c>
      <c r="FR2" s="4" t="inlineStr">
        <is>
          <t>call +0 from ATM</t>
        </is>
      </c>
      <c r="GI2" s="4" t="inlineStr">
        <is>
          <t>put +0 from ATM</t>
        </is>
      </c>
      <c r="GZ2" s="4" t="inlineStr">
        <is>
          <t>call +1 from ATM</t>
        </is>
      </c>
      <c r="HQ2" s="4" t="inlineStr">
        <is>
          <t>put +1 from ATM</t>
        </is>
      </c>
      <c r="IH2" s="4" t="inlineStr">
        <is>
          <t>call +2 from ATM</t>
        </is>
      </c>
      <c r="IY2" s="4" t="inlineStr">
        <is>
          <t>put +2 from ATM</t>
        </is>
      </c>
      <c r="JP2" s="4" t="inlineStr">
        <is>
          <t>call +3 from ATM</t>
        </is>
      </c>
      <c r="KG2" s="4" t="inlineStr">
        <is>
          <t>put +3 from ATM</t>
        </is>
      </c>
      <c r="KX2" s="4" t="inlineStr">
        <is>
          <t>call +4 from ATM</t>
        </is>
      </c>
      <c r="LO2" s="4" t="inlineStr">
        <is>
          <t>put +4 from ATM</t>
        </is>
      </c>
      <c r="MF2" s="4" t="inlineStr">
        <is>
          <t>call +5 from ATM</t>
        </is>
      </c>
      <c r="MW2" s="4" t="inlineStr">
        <is>
          <t>put +5 from ATM</t>
        </is>
      </c>
    </row>
    <row r="3">
      <c r="A3" s="2" t="inlineStr">
        <is>
          <t>Expiry (3rd Friday)</t>
        </is>
      </c>
      <c r="B3" s="3">
        <f>DATE(Settings!$E$17,B1,15)+MOD(6-WEEKDAY(DATE(Settings!$E$17,B1,15)),7)</f>
        <v/>
      </c>
      <c r="D3" s="5" t="inlineStr">
        <is>
          <t>Date</t>
        </is>
      </c>
      <c r="E3" s="5" t="inlineStr">
        <is>
          <t>PX_BID</t>
        </is>
      </c>
      <c r="F3" s="5" t="inlineStr">
        <is>
          <t>PX_ASK</t>
        </is>
      </c>
      <c r="G3" s="5" t="inlineStr">
        <is>
          <t>PX_MID</t>
        </is>
      </c>
      <c r="H3" s="5" t="inlineStr">
        <is>
          <t>PX_LAST</t>
        </is>
      </c>
      <c r="I3" s="5" t="inlineStr">
        <is>
          <t>PX_SETTLE</t>
        </is>
      </c>
      <c r="J3" s="5" t="inlineStr">
        <is>
          <t>PX_VOLUME</t>
        </is>
      </c>
      <c r="K3" s="5" t="inlineStr">
        <is>
          <t>OPEN_INT</t>
        </is>
      </c>
      <c r="L3" s="5" t="inlineStr">
        <is>
          <t>IVOL_MID</t>
        </is>
      </c>
      <c r="M3" s="5" t="inlineStr">
        <is>
          <t>IVOL_BID</t>
        </is>
      </c>
      <c r="N3" s="5" t="inlineStr">
        <is>
          <t>IVOL_ASK</t>
        </is>
      </c>
      <c r="O3" s="5" t="inlineStr">
        <is>
          <t>DELTA_MID</t>
        </is>
      </c>
      <c r="P3" s="5" t="inlineStr">
        <is>
          <t>GAMMA_MID</t>
        </is>
      </c>
      <c r="Q3" s="5" t="inlineStr">
        <is>
          <t>VEGA_MID</t>
        </is>
      </c>
      <c r="R3" s="5" t="inlineStr">
        <is>
          <t>THETA_MID</t>
        </is>
      </c>
      <c r="S3" s="5" t="inlineStr">
        <is>
          <t>OPT_UNDL_PX</t>
        </is>
      </c>
      <c r="U3" s="5" t="inlineStr">
        <is>
          <t>Date</t>
        </is>
      </c>
      <c r="V3" s="5" t="inlineStr">
        <is>
          <t>PX_BID</t>
        </is>
      </c>
      <c r="W3" s="5" t="inlineStr">
        <is>
          <t>PX_ASK</t>
        </is>
      </c>
      <c r="X3" s="5" t="inlineStr">
        <is>
          <t>PX_MID</t>
        </is>
      </c>
      <c r="Y3" s="5" t="inlineStr">
        <is>
          <t>PX_LAST</t>
        </is>
      </c>
      <c r="Z3" s="5" t="inlineStr">
        <is>
          <t>PX_SETTLE</t>
        </is>
      </c>
      <c r="AA3" s="5" t="inlineStr">
        <is>
          <t>PX_VOLUME</t>
        </is>
      </c>
      <c r="AB3" s="5" t="inlineStr">
        <is>
          <t>OPEN_INT</t>
        </is>
      </c>
      <c r="AC3" s="5" t="inlineStr">
        <is>
          <t>IVOL_MID</t>
        </is>
      </c>
      <c r="AD3" s="5" t="inlineStr">
        <is>
          <t>IVOL_BID</t>
        </is>
      </c>
      <c r="AE3" s="5" t="inlineStr">
        <is>
          <t>IVOL_ASK</t>
        </is>
      </c>
      <c r="AF3" s="5" t="inlineStr">
        <is>
          <t>DELTA_MID</t>
        </is>
      </c>
      <c r="AG3" s="5" t="inlineStr">
        <is>
          <t>GAMMA_MID</t>
        </is>
      </c>
      <c r="AH3" s="5" t="inlineStr">
        <is>
          <t>VEGA_MID</t>
        </is>
      </c>
      <c r="AI3" s="5" t="inlineStr">
        <is>
          <t>THETA_MID</t>
        </is>
      </c>
      <c r="AJ3" s="5" t="inlineStr">
        <is>
          <t>OPT_UNDL_PX</t>
        </is>
      </c>
      <c r="AL3" s="5" t="inlineStr">
        <is>
          <t>Date</t>
        </is>
      </c>
      <c r="AM3" s="5" t="inlineStr">
        <is>
          <t>PX_BID</t>
        </is>
      </c>
      <c r="AN3" s="5" t="inlineStr">
        <is>
          <t>PX_ASK</t>
        </is>
      </c>
      <c r="AO3" s="5" t="inlineStr">
        <is>
          <t>PX_MID</t>
        </is>
      </c>
      <c r="AP3" s="5" t="inlineStr">
        <is>
          <t>PX_LAST</t>
        </is>
      </c>
      <c r="AQ3" s="5" t="inlineStr">
        <is>
          <t>PX_SETTLE</t>
        </is>
      </c>
      <c r="AR3" s="5" t="inlineStr">
        <is>
          <t>PX_VOLUME</t>
        </is>
      </c>
      <c r="AS3" s="5" t="inlineStr">
        <is>
          <t>OPEN_INT</t>
        </is>
      </c>
      <c r="AT3" s="5" t="inlineStr">
        <is>
          <t>IVOL_MID</t>
        </is>
      </c>
      <c r="AU3" s="5" t="inlineStr">
        <is>
          <t>IVOL_BID</t>
        </is>
      </c>
      <c r="AV3" s="5" t="inlineStr">
        <is>
          <t>IVOL_ASK</t>
        </is>
      </c>
      <c r="AW3" s="5" t="inlineStr">
        <is>
          <t>DELTA_MID</t>
        </is>
      </c>
      <c r="AX3" s="5" t="inlineStr">
        <is>
          <t>GAMMA_MID</t>
        </is>
      </c>
      <c r="AY3" s="5" t="inlineStr">
        <is>
          <t>VEGA_MID</t>
        </is>
      </c>
      <c r="AZ3" s="5" t="inlineStr">
        <is>
          <t>THETA_MID</t>
        </is>
      </c>
      <c r="BA3" s="5" t="inlineStr">
        <is>
          <t>OPT_UNDL_PX</t>
        </is>
      </c>
      <c r="BC3" s="5" t="inlineStr">
        <is>
          <t>Date</t>
        </is>
      </c>
      <c r="BD3" s="5" t="inlineStr">
        <is>
          <t>PX_BID</t>
        </is>
      </c>
      <c r="BE3" s="5" t="inlineStr">
        <is>
          <t>PX_ASK</t>
        </is>
      </c>
      <c r="BF3" s="5" t="inlineStr">
        <is>
          <t>PX_MID</t>
        </is>
      </c>
      <c r="BG3" s="5" t="inlineStr">
        <is>
          <t>PX_LAST</t>
        </is>
      </c>
      <c r="BH3" s="5" t="inlineStr">
        <is>
          <t>PX_SETTLE</t>
        </is>
      </c>
      <c r="BI3" s="5" t="inlineStr">
        <is>
          <t>PX_VOLUME</t>
        </is>
      </c>
      <c r="BJ3" s="5" t="inlineStr">
        <is>
          <t>OPEN_INT</t>
        </is>
      </c>
      <c r="BK3" s="5" t="inlineStr">
        <is>
          <t>IVOL_MID</t>
        </is>
      </c>
      <c r="BL3" s="5" t="inlineStr">
        <is>
          <t>IVOL_BID</t>
        </is>
      </c>
      <c r="BM3" s="5" t="inlineStr">
        <is>
          <t>IVOL_ASK</t>
        </is>
      </c>
      <c r="BN3" s="5" t="inlineStr">
        <is>
          <t>DELTA_MID</t>
        </is>
      </c>
      <c r="BO3" s="5" t="inlineStr">
        <is>
          <t>GAMMA_MID</t>
        </is>
      </c>
      <c r="BP3" s="5" t="inlineStr">
        <is>
          <t>VEGA_MID</t>
        </is>
      </c>
      <c r="BQ3" s="5" t="inlineStr">
        <is>
          <t>THETA_MID</t>
        </is>
      </c>
      <c r="BR3" s="5" t="inlineStr">
        <is>
          <t>OPT_UNDL_PX</t>
        </is>
      </c>
      <c r="BT3" s="5" t="inlineStr">
        <is>
          <t>Date</t>
        </is>
      </c>
      <c r="BU3" s="5" t="inlineStr">
        <is>
          <t>PX_BID</t>
        </is>
      </c>
      <c r="BV3" s="5" t="inlineStr">
        <is>
          <t>PX_ASK</t>
        </is>
      </c>
      <c r="BW3" s="5" t="inlineStr">
        <is>
          <t>PX_MID</t>
        </is>
      </c>
      <c r="BX3" s="5" t="inlineStr">
        <is>
          <t>PX_LAST</t>
        </is>
      </c>
      <c r="BY3" s="5" t="inlineStr">
        <is>
          <t>PX_SETTLE</t>
        </is>
      </c>
      <c r="BZ3" s="5" t="inlineStr">
        <is>
          <t>PX_VOLUME</t>
        </is>
      </c>
      <c r="CA3" s="5" t="inlineStr">
        <is>
          <t>OPEN_INT</t>
        </is>
      </c>
      <c r="CB3" s="5" t="inlineStr">
        <is>
          <t>IVOL_MID</t>
        </is>
      </c>
      <c r="CC3" s="5" t="inlineStr">
        <is>
          <t>IVOL_BID</t>
        </is>
      </c>
      <c r="CD3" s="5" t="inlineStr">
        <is>
          <t>IVOL_ASK</t>
        </is>
      </c>
      <c r="CE3" s="5" t="inlineStr">
        <is>
          <t>DELTA_MID</t>
        </is>
      </c>
      <c r="CF3" s="5" t="inlineStr">
        <is>
          <t>GAMMA_MID</t>
        </is>
      </c>
      <c r="CG3" s="5" t="inlineStr">
        <is>
          <t>VEGA_MID</t>
        </is>
      </c>
      <c r="CH3" s="5" t="inlineStr">
        <is>
          <t>THETA_MID</t>
        </is>
      </c>
      <c r="CI3" s="5" t="inlineStr">
        <is>
          <t>OPT_UNDL_PX</t>
        </is>
      </c>
      <c r="CK3" s="5" t="inlineStr">
        <is>
          <t>Date</t>
        </is>
      </c>
      <c r="CL3" s="5" t="inlineStr">
        <is>
          <t>PX_BID</t>
        </is>
      </c>
      <c r="CM3" s="5" t="inlineStr">
        <is>
          <t>PX_ASK</t>
        </is>
      </c>
      <c r="CN3" s="5" t="inlineStr">
        <is>
          <t>PX_MID</t>
        </is>
      </c>
      <c r="CO3" s="5" t="inlineStr">
        <is>
          <t>PX_LAST</t>
        </is>
      </c>
      <c r="CP3" s="5" t="inlineStr">
        <is>
          <t>PX_SETTLE</t>
        </is>
      </c>
      <c r="CQ3" s="5" t="inlineStr">
        <is>
          <t>PX_VOLUME</t>
        </is>
      </c>
      <c r="CR3" s="5" t="inlineStr">
        <is>
          <t>OPEN_INT</t>
        </is>
      </c>
      <c r="CS3" s="5" t="inlineStr">
        <is>
          <t>IVOL_MID</t>
        </is>
      </c>
      <c r="CT3" s="5" t="inlineStr">
        <is>
          <t>IVOL_BID</t>
        </is>
      </c>
      <c r="CU3" s="5" t="inlineStr">
        <is>
          <t>IVOL_ASK</t>
        </is>
      </c>
      <c r="CV3" s="5" t="inlineStr">
        <is>
          <t>DELTA_MID</t>
        </is>
      </c>
      <c r="CW3" s="5" t="inlineStr">
        <is>
          <t>GAMMA_MID</t>
        </is>
      </c>
      <c r="CX3" s="5" t="inlineStr">
        <is>
          <t>VEGA_MID</t>
        </is>
      </c>
      <c r="CY3" s="5" t="inlineStr">
        <is>
          <t>THETA_MID</t>
        </is>
      </c>
      <c r="CZ3" s="5" t="inlineStr">
        <is>
          <t>OPT_UNDL_PX</t>
        </is>
      </c>
      <c r="DB3" s="5" t="inlineStr">
        <is>
          <t>Date</t>
        </is>
      </c>
      <c r="DC3" s="5" t="inlineStr">
        <is>
          <t>PX_BID</t>
        </is>
      </c>
      <c r="DD3" s="5" t="inlineStr">
        <is>
          <t>PX_ASK</t>
        </is>
      </c>
      <c r="DE3" s="5" t="inlineStr">
        <is>
          <t>PX_MID</t>
        </is>
      </c>
      <c r="DF3" s="5" t="inlineStr">
        <is>
          <t>PX_LAST</t>
        </is>
      </c>
      <c r="DG3" s="5" t="inlineStr">
        <is>
          <t>PX_SETTLE</t>
        </is>
      </c>
      <c r="DH3" s="5" t="inlineStr">
        <is>
          <t>PX_VOLUME</t>
        </is>
      </c>
      <c r="DI3" s="5" t="inlineStr">
        <is>
          <t>OPEN_INT</t>
        </is>
      </c>
      <c r="DJ3" s="5" t="inlineStr">
        <is>
          <t>IVOL_MID</t>
        </is>
      </c>
      <c r="DK3" s="5" t="inlineStr">
        <is>
          <t>IVOL_BID</t>
        </is>
      </c>
      <c r="DL3" s="5" t="inlineStr">
        <is>
          <t>IVOL_ASK</t>
        </is>
      </c>
      <c r="DM3" s="5" t="inlineStr">
        <is>
          <t>DELTA_MID</t>
        </is>
      </c>
      <c r="DN3" s="5" t="inlineStr">
        <is>
          <t>GAMMA_MID</t>
        </is>
      </c>
      <c r="DO3" s="5" t="inlineStr">
        <is>
          <t>VEGA_MID</t>
        </is>
      </c>
      <c r="DP3" s="5" t="inlineStr">
        <is>
          <t>THETA_MID</t>
        </is>
      </c>
      <c r="DQ3" s="5" t="inlineStr">
        <is>
          <t>OPT_UNDL_PX</t>
        </is>
      </c>
      <c r="DS3" s="5" t="inlineStr">
        <is>
          <t>Date</t>
        </is>
      </c>
      <c r="DT3" s="5" t="inlineStr">
        <is>
          <t>PX_BID</t>
        </is>
      </c>
      <c r="DU3" s="5" t="inlineStr">
        <is>
          <t>PX_ASK</t>
        </is>
      </c>
      <c r="DV3" s="5" t="inlineStr">
        <is>
          <t>PX_MID</t>
        </is>
      </c>
      <c r="DW3" s="5" t="inlineStr">
        <is>
          <t>PX_LAST</t>
        </is>
      </c>
      <c r="DX3" s="5" t="inlineStr">
        <is>
          <t>PX_SETTLE</t>
        </is>
      </c>
      <c r="DY3" s="5" t="inlineStr">
        <is>
          <t>PX_VOLUME</t>
        </is>
      </c>
      <c r="DZ3" s="5" t="inlineStr">
        <is>
          <t>OPEN_INT</t>
        </is>
      </c>
      <c r="EA3" s="5" t="inlineStr">
        <is>
          <t>IVOL_MID</t>
        </is>
      </c>
      <c r="EB3" s="5" t="inlineStr">
        <is>
          <t>IVOL_BID</t>
        </is>
      </c>
      <c r="EC3" s="5" t="inlineStr">
        <is>
          <t>IVOL_ASK</t>
        </is>
      </c>
      <c r="ED3" s="5" t="inlineStr">
        <is>
          <t>DELTA_MID</t>
        </is>
      </c>
      <c r="EE3" s="5" t="inlineStr">
        <is>
          <t>GAMMA_MID</t>
        </is>
      </c>
      <c r="EF3" s="5" t="inlineStr">
        <is>
          <t>VEGA_MID</t>
        </is>
      </c>
      <c r="EG3" s="5" t="inlineStr">
        <is>
          <t>THETA_MID</t>
        </is>
      </c>
      <c r="EH3" s="5" t="inlineStr">
        <is>
          <t>OPT_UNDL_PX</t>
        </is>
      </c>
      <c r="EJ3" s="5" t="inlineStr">
        <is>
          <t>Date</t>
        </is>
      </c>
      <c r="EK3" s="5" t="inlineStr">
        <is>
          <t>PX_BID</t>
        </is>
      </c>
      <c r="EL3" s="5" t="inlineStr">
        <is>
          <t>PX_ASK</t>
        </is>
      </c>
      <c r="EM3" s="5" t="inlineStr">
        <is>
          <t>PX_MID</t>
        </is>
      </c>
      <c r="EN3" s="5" t="inlineStr">
        <is>
          <t>PX_LAST</t>
        </is>
      </c>
      <c r="EO3" s="5" t="inlineStr">
        <is>
          <t>PX_SETTLE</t>
        </is>
      </c>
      <c r="EP3" s="5" t="inlineStr">
        <is>
          <t>PX_VOLUME</t>
        </is>
      </c>
      <c r="EQ3" s="5" t="inlineStr">
        <is>
          <t>OPEN_INT</t>
        </is>
      </c>
      <c r="ER3" s="5" t="inlineStr">
        <is>
          <t>IVOL_MID</t>
        </is>
      </c>
      <c r="ES3" s="5" t="inlineStr">
        <is>
          <t>IVOL_BID</t>
        </is>
      </c>
      <c r="ET3" s="5" t="inlineStr">
        <is>
          <t>IVOL_ASK</t>
        </is>
      </c>
      <c r="EU3" s="5" t="inlineStr">
        <is>
          <t>DELTA_MID</t>
        </is>
      </c>
      <c r="EV3" s="5" t="inlineStr">
        <is>
          <t>GAMMA_MID</t>
        </is>
      </c>
      <c r="EW3" s="5" t="inlineStr">
        <is>
          <t>VEGA_MID</t>
        </is>
      </c>
      <c r="EX3" s="5" t="inlineStr">
        <is>
          <t>THETA_MID</t>
        </is>
      </c>
      <c r="EY3" s="5" t="inlineStr">
        <is>
          <t>OPT_UNDL_PX</t>
        </is>
      </c>
      <c r="FA3" s="5" t="inlineStr">
        <is>
          <t>Date</t>
        </is>
      </c>
      <c r="FB3" s="5" t="inlineStr">
        <is>
          <t>PX_BID</t>
        </is>
      </c>
      <c r="FC3" s="5" t="inlineStr">
        <is>
          <t>PX_ASK</t>
        </is>
      </c>
      <c r="FD3" s="5" t="inlineStr">
        <is>
          <t>PX_MID</t>
        </is>
      </c>
      <c r="FE3" s="5" t="inlineStr">
        <is>
          <t>PX_LAST</t>
        </is>
      </c>
      <c r="FF3" s="5" t="inlineStr">
        <is>
          <t>PX_SETTLE</t>
        </is>
      </c>
      <c r="FG3" s="5" t="inlineStr">
        <is>
          <t>PX_VOLUME</t>
        </is>
      </c>
      <c r="FH3" s="5" t="inlineStr">
        <is>
          <t>OPEN_INT</t>
        </is>
      </c>
      <c r="FI3" s="5" t="inlineStr">
        <is>
          <t>IVOL_MID</t>
        </is>
      </c>
      <c r="FJ3" s="5" t="inlineStr">
        <is>
          <t>IVOL_BID</t>
        </is>
      </c>
      <c r="FK3" s="5" t="inlineStr">
        <is>
          <t>IVOL_ASK</t>
        </is>
      </c>
      <c r="FL3" s="5" t="inlineStr">
        <is>
          <t>DELTA_MID</t>
        </is>
      </c>
      <c r="FM3" s="5" t="inlineStr">
        <is>
          <t>GAMMA_MID</t>
        </is>
      </c>
      <c r="FN3" s="5" t="inlineStr">
        <is>
          <t>VEGA_MID</t>
        </is>
      </c>
      <c r="FO3" s="5" t="inlineStr">
        <is>
          <t>THETA_MID</t>
        </is>
      </c>
      <c r="FP3" s="5" t="inlineStr">
        <is>
          <t>OPT_UNDL_PX</t>
        </is>
      </c>
      <c r="FR3" s="5" t="inlineStr">
        <is>
          <t>Date</t>
        </is>
      </c>
      <c r="FS3" s="5" t="inlineStr">
        <is>
          <t>PX_BID</t>
        </is>
      </c>
      <c r="FT3" s="5" t="inlineStr">
        <is>
          <t>PX_ASK</t>
        </is>
      </c>
      <c r="FU3" s="5" t="inlineStr">
        <is>
          <t>PX_MID</t>
        </is>
      </c>
      <c r="FV3" s="5" t="inlineStr">
        <is>
          <t>PX_LAST</t>
        </is>
      </c>
      <c r="FW3" s="5" t="inlineStr">
        <is>
          <t>PX_SETTLE</t>
        </is>
      </c>
      <c r="FX3" s="5" t="inlineStr">
        <is>
          <t>PX_VOLUME</t>
        </is>
      </c>
      <c r="FY3" s="5" t="inlineStr">
        <is>
          <t>OPEN_INT</t>
        </is>
      </c>
      <c r="FZ3" s="5" t="inlineStr">
        <is>
          <t>IVOL_MID</t>
        </is>
      </c>
      <c r="GA3" s="5" t="inlineStr">
        <is>
          <t>IVOL_BID</t>
        </is>
      </c>
      <c r="GB3" s="5" t="inlineStr">
        <is>
          <t>IVOL_ASK</t>
        </is>
      </c>
      <c r="GC3" s="5" t="inlineStr">
        <is>
          <t>DELTA_MID</t>
        </is>
      </c>
      <c r="GD3" s="5" t="inlineStr">
        <is>
          <t>GAMMA_MID</t>
        </is>
      </c>
      <c r="GE3" s="5" t="inlineStr">
        <is>
          <t>VEGA_MID</t>
        </is>
      </c>
      <c r="GF3" s="5" t="inlineStr">
        <is>
          <t>THETA_MID</t>
        </is>
      </c>
      <c r="GG3" s="5" t="inlineStr">
        <is>
          <t>OPT_UNDL_PX</t>
        </is>
      </c>
      <c r="GI3" s="5" t="inlineStr">
        <is>
          <t>Date</t>
        </is>
      </c>
      <c r="GJ3" s="5" t="inlineStr">
        <is>
          <t>PX_BID</t>
        </is>
      </c>
      <c r="GK3" s="5" t="inlineStr">
        <is>
          <t>PX_ASK</t>
        </is>
      </c>
      <c r="GL3" s="5" t="inlineStr">
        <is>
          <t>PX_MID</t>
        </is>
      </c>
      <c r="GM3" s="5" t="inlineStr">
        <is>
          <t>PX_LAST</t>
        </is>
      </c>
      <c r="GN3" s="5" t="inlineStr">
        <is>
          <t>PX_SETTLE</t>
        </is>
      </c>
      <c r="GO3" s="5" t="inlineStr">
        <is>
          <t>PX_VOLUME</t>
        </is>
      </c>
      <c r="GP3" s="5" t="inlineStr">
        <is>
          <t>OPEN_INT</t>
        </is>
      </c>
      <c r="GQ3" s="5" t="inlineStr">
        <is>
          <t>IVOL_MID</t>
        </is>
      </c>
      <c r="GR3" s="5" t="inlineStr">
        <is>
          <t>IVOL_BID</t>
        </is>
      </c>
      <c r="GS3" s="5" t="inlineStr">
        <is>
          <t>IVOL_ASK</t>
        </is>
      </c>
      <c r="GT3" s="5" t="inlineStr">
        <is>
          <t>DELTA_MID</t>
        </is>
      </c>
      <c r="GU3" s="5" t="inlineStr">
        <is>
          <t>GAMMA_MID</t>
        </is>
      </c>
      <c r="GV3" s="5" t="inlineStr">
        <is>
          <t>VEGA_MID</t>
        </is>
      </c>
      <c r="GW3" s="5" t="inlineStr">
        <is>
          <t>THETA_MID</t>
        </is>
      </c>
      <c r="GX3" s="5" t="inlineStr">
        <is>
          <t>OPT_UNDL_PX</t>
        </is>
      </c>
      <c r="GZ3" s="5" t="inlineStr">
        <is>
          <t>Date</t>
        </is>
      </c>
      <c r="HA3" s="5" t="inlineStr">
        <is>
          <t>PX_BID</t>
        </is>
      </c>
      <c r="HB3" s="5" t="inlineStr">
        <is>
          <t>PX_ASK</t>
        </is>
      </c>
      <c r="HC3" s="5" t="inlineStr">
        <is>
          <t>PX_MID</t>
        </is>
      </c>
      <c r="HD3" s="5" t="inlineStr">
        <is>
          <t>PX_LAST</t>
        </is>
      </c>
      <c r="HE3" s="5" t="inlineStr">
        <is>
          <t>PX_SETTLE</t>
        </is>
      </c>
      <c r="HF3" s="5" t="inlineStr">
        <is>
          <t>PX_VOLUME</t>
        </is>
      </c>
      <c r="HG3" s="5" t="inlineStr">
        <is>
          <t>OPEN_INT</t>
        </is>
      </c>
      <c r="HH3" s="5" t="inlineStr">
        <is>
          <t>IVOL_MID</t>
        </is>
      </c>
      <c r="HI3" s="5" t="inlineStr">
        <is>
          <t>IVOL_BID</t>
        </is>
      </c>
      <c r="HJ3" s="5" t="inlineStr">
        <is>
          <t>IVOL_ASK</t>
        </is>
      </c>
      <c r="HK3" s="5" t="inlineStr">
        <is>
          <t>DELTA_MID</t>
        </is>
      </c>
      <c r="HL3" s="5" t="inlineStr">
        <is>
          <t>GAMMA_MID</t>
        </is>
      </c>
      <c r="HM3" s="5" t="inlineStr">
        <is>
          <t>VEGA_MID</t>
        </is>
      </c>
      <c r="HN3" s="5" t="inlineStr">
        <is>
          <t>THETA_MID</t>
        </is>
      </c>
      <c r="HO3" s="5" t="inlineStr">
        <is>
          <t>OPT_UNDL_PX</t>
        </is>
      </c>
      <c r="HQ3" s="5" t="inlineStr">
        <is>
          <t>Date</t>
        </is>
      </c>
      <c r="HR3" s="5" t="inlineStr">
        <is>
          <t>PX_BID</t>
        </is>
      </c>
      <c r="HS3" s="5" t="inlineStr">
        <is>
          <t>PX_ASK</t>
        </is>
      </c>
      <c r="HT3" s="5" t="inlineStr">
        <is>
          <t>PX_MID</t>
        </is>
      </c>
      <c r="HU3" s="5" t="inlineStr">
        <is>
          <t>PX_LAST</t>
        </is>
      </c>
      <c r="HV3" s="5" t="inlineStr">
        <is>
          <t>PX_SETTLE</t>
        </is>
      </c>
      <c r="HW3" s="5" t="inlineStr">
        <is>
          <t>PX_VOLUME</t>
        </is>
      </c>
      <c r="HX3" s="5" t="inlineStr">
        <is>
          <t>OPEN_INT</t>
        </is>
      </c>
      <c r="HY3" s="5" t="inlineStr">
        <is>
          <t>IVOL_MID</t>
        </is>
      </c>
      <c r="HZ3" s="5" t="inlineStr">
        <is>
          <t>IVOL_BID</t>
        </is>
      </c>
      <c r="IA3" s="5" t="inlineStr">
        <is>
          <t>IVOL_ASK</t>
        </is>
      </c>
      <c r="IB3" s="5" t="inlineStr">
        <is>
          <t>DELTA_MID</t>
        </is>
      </c>
      <c r="IC3" s="5" t="inlineStr">
        <is>
          <t>GAMMA_MID</t>
        </is>
      </c>
      <c r="ID3" s="5" t="inlineStr">
        <is>
          <t>VEGA_MID</t>
        </is>
      </c>
      <c r="IE3" s="5" t="inlineStr">
        <is>
          <t>THETA_MID</t>
        </is>
      </c>
      <c r="IF3" s="5" t="inlineStr">
        <is>
          <t>OPT_UNDL_PX</t>
        </is>
      </c>
      <c r="IH3" s="5" t="inlineStr">
        <is>
          <t>Date</t>
        </is>
      </c>
      <c r="II3" s="5" t="inlineStr">
        <is>
          <t>PX_BID</t>
        </is>
      </c>
      <c r="IJ3" s="5" t="inlineStr">
        <is>
          <t>PX_ASK</t>
        </is>
      </c>
      <c r="IK3" s="5" t="inlineStr">
        <is>
          <t>PX_MID</t>
        </is>
      </c>
      <c r="IL3" s="5" t="inlineStr">
        <is>
          <t>PX_LAST</t>
        </is>
      </c>
      <c r="IM3" s="5" t="inlineStr">
        <is>
          <t>PX_SETTLE</t>
        </is>
      </c>
      <c r="IN3" s="5" t="inlineStr">
        <is>
          <t>PX_VOLUME</t>
        </is>
      </c>
      <c r="IO3" s="5" t="inlineStr">
        <is>
          <t>OPEN_INT</t>
        </is>
      </c>
      <c r="IP3" s="5" t="inlineStr">
        <is>
          <t>IVOL_MID</t>
        </is>
      </c>
      <c r="IQ3" s="5" t="inlineStr">
        <is>
          <t>IVOL_BID</t>
        </is>
      </c>
      <c r="IR3" s="5" t="inlineStr">
        <is>
          <t>IVOL_ASK</t>
        </is>
      </c>
      <c r="IS3" s="5" t="inlineStr">
        <is>
          <t>DELTA_MID</t>
        </is>
      </c>
      <c r="IT3" s="5" t="inlineStr">
        <is>
          <t>GAMMA_MID</t>
        </is>
      </c>
      <c r="IU3" s="5" t="inlineStr">
        <is>
          <t>VEGA_MID</t>
        </is>
      </c>
      <c r="IV3" s="5" t="inlineStr">
        <is>
          <t>THETA_MID</t>
        </is>
      </c>
      <c r="IW3" s="5" t="inlineStr">
        <is>
          <t>OPT_UNDL_PX</t>
        </is>
      </c>
      <c r="IY3" s="5" t="inlineStr">
        <is>
          <t>Date</t>
        </is>
      </c>
      <c r="IZ3" s="5" t="inlineStr">
        <is>
          <t>PX_BID</t>
        </is>
      </c>
      <c r="JA3" s="5" t="inlineStr">
        <is>
          <t>PX_ASK</t>
        </is>
      </c>
      <c r="JB3" s="5" t="inlineStr">
        <is>
          <t>PX_MID</t>
        </is>
      </c>
      <c r="JC3" s="5" t="inlineStr">
        <is>
          <t>PX_LAST</t>
        </is>
      </c>
      <c r="JD3" s="5" t="inlineStr">
        <is>
          <t>PX_SETTLE</t>
        </is>
      </c>
      <c r="JE3" s="5" t="inlineStr">
        <is>
          <t>PX_VOLUME</t>
        </is>
      </c>
      <c r="JF3" s="5" t="inlineStr">
        <is>
          <t>OPEN_INT</t>
        </is>
      </c>
      <c r="JG3" s="5" t="inlineStr">
        <is>
          <t>IVOL_MID</t>
        </is>
      </c>
      <c r="JH3" s="5" t="inlineStr">
        <is>
          <t>IVOL_BID</t>
        </is>
      </c>
      <c r="JI3" s="5" t="inlineStr">
        <is>
          <t>IVOL_ASK</t>
        </is>
      </c>
      <c r="JJ3" s="5" t="inlineStr">
        <is>
          <t>DELTA_MID</t>
        </is>
      </c>
      <c r="JK3" s="5" t="inlineStr">
        <is>
          <t>GAMMA_MID</t>
        </is>
      </c>
      <c r="JL3" s="5" t="inlineStr">
        <is>
          <t>VEGA_MID</t>
        </is>
      </c>
      <c r="JM3" s="5" t="inlineStr">
        <is>
          <t>THETA_MID</t>
        </is>
      </c>
      <c r="JN3" s="5" t="inlineStr">
        <is>
          <t>OPT_UNDL_PX</t>
        </is>
      </c>
      <c r="JP3" s="5" t="inlineStr">
        <is>
          <t>Date</t>
        </is>
      </c>
      <c r="JQ3" s="5" t="inlineStr">
        <is>
          <t>PX_BID</t>
        </is>
      </c>
      <c r="JR3" s="5" t="inlineStr">
        <is>
          <t>PX_ASK</t>
        </is>
      </c>
      <c r="JS3" s="5" t="inlineStr">
        <is>
          <t>PX_MID</t>
        </is>
      </c>
      <c r="JT3" s="5" t="inlineStr">
        <is>
          <t>PX_LAST</t>
        </is>
      </c>
      <c r="JU3" s="5" t="inlineStr">
        <is>
          <t>PX_SETTLE</t>
        </is>
      </c>
      <c r="JV3" s="5" t="inlineStr">
        <is>
          <t>PX_VOLUME</t>
        </is>
      </c>
      <c r="JW3" s="5" t="inlineStr">
        <is>
          <t>OPEN_INT</t>
        </is>
      </c>
      <c r="JX3" s="5" t="inlineStr">
        <is>
          <t>IVOL_MID</t>
        </is>
      </c>
      <c r="JY3" s="5" t="inlineStr">
        <is>
          <t>IVOL_BID</t>
        </is>
      </c>
      <c r="JZ3" s="5" t="inlineStr">
        <is>
          <t>IVOL_ASK</t>
        </is>
      </c>
      <c r="KA3" s="5" t="inlineStr">
        <is>
          <t>DELTA_MID</t>
        </is>
      </c>
      <c r="KB3" s="5" t="inlineStr">
        <is>
          <t>GAMMA_MID</t>
        </is>
      </c>
      <c r="KC3" s="5" t="inlineStr">
        <is>
          <t>VEGA_MID</t>
        </is>
      </c>
      <c r="KD3" s="5" t="inlineStr">
        <is>
          <t>THETA_MID</t>
        </is>
      </c>
      <c r="KE3" s="5" t="inlineStr">
        <is>
          <t>OPT_UNDL_PX</t>
        </is>
      </c>
      <c r="KG3" s="5" t="inlineStr">
        <is>
          <t>Date</t>
        </is>
      </c>
      <c r="KH3" s="5" t="inlineStr">
        <is>
          <t>PX_BID</t>
        </is>
      </c>
      <c r="KI3" s="5" t="inlineStr">
        <is>
          <t>PX_ASK</t>
        </is>
      </c>
      <c r="KJ3" s="5" t="inlineStr">
        <is>
          <t>PX_MID</t>
        </is>
      </c>
      <c r="KK3" s="5" t="inlineStr">
        <is>
          <t>PX_LAST</t>
        </is>
      </c>
      <c r="KL3" s="5" t="inlineStr">
        <is>
          <t>PX_SETTLE</t>
        </is>
      </c>
      <c r="KM3" s="5" t="inlineStr">
        <is>
          <t>PX_VOLUME</t>
        </is>
      </c>
      <c r="KN3" s="5" t="inlineStr">
        <is>
          <t>OPEN_INT</t>
        </is>
      </c>
      <c r="KO3" s="5" t="inlineStr">
        <is>
          <t>IVOL_MID</t>
        </is>
      </c>
      <c r="KP3" s="5" t="inlineStr">
        <is>
          <t>IVOL_BID</t>
        </is>
      </c>
      <c r="KQ3" s="5" t="inlineStr">
        <is>
          <t>IVOL_ASK</t>
        </is>
      </c>
      <c r="KR3" s="5" t="inlineStr">
        <is>
          <t>DELTA_MID</t>
        </is>
      </c>
      <c r="KS3" s="5" t="inlineStr">
        <is>
          <t>GAMMA_MID</t>
        </is>
      </c>
      <c r="KT3" s="5" t="inlineStr">
        <is>
          <t>VEGA_MID</t>
        </is>
      </c>
      <c r="KU3" s="5" t="inlineStr">
        <is>
          <t>THETA_MID</t>
        </is>
      </c>
      <c r="KV3" s="5" t="inlineStr">
        <is>
          <t>OPT_UNDL_PX</t>
        </is>
      </c>
      <c r="KX3" s="5" t="inlineStr">
        <is>
          <t>Date</t>
        </is>
      </c>
      <c r="KY3" s="5" t="inlineStr">
        <is>
          <t>PX_BID</t>
        </is>
      </c>
      <c r="KZ3" s="5" t="inlineStr">
        <is>
          <t>PX_ASK</t>
        </is>
      </c>
      <c r="LA3" s="5" t="inlineStr">
        <is>
          <t>PX_MID</t>
        </is>
      </c>
      <c r="LB3" s="5" t="inlineStr">
        <is>
          <t>PX_LAST</t>
        </is>
      </c>
      <c r="LC3" s="5" t="inlineStr">
        <is>
          <t>PX_SETTLE</t>
        </is>
      </c>
      <c r="LD3" s="5" t="inlineStr">
        <is>
          <t>PX_VOLUME</t>
        </is>
      </c>
      <c r="LE3" s="5" t="inlineStr">
        <is>
          <t>OPEN_INT</t>
        </is>
      </c>
      <c r="LF3" s="5" t="inlineStr">
        <is>
          <t>IVOL_MID</t>
        </is>
      </c>
      <c r="LG3" s="5" t="inlineStr">
        <is>
          <t>IVOL_BID</t>
        </is>
      </c>
      <c r="LH3" s="5" t="inlineStr">
        <is>
          <t>IVOL_ASK</t>
        </is>
      </c>
      <c r="LI3" s="5" t="inlineStr">
        <is>
          <t>DELTA_MID</t>
        </is>
      </c>
      <c r="LJ3" s="5" t="inlineStr">
        <is>
          <t>GAMMA_MID</t>
        </is>
      </c>
      <c r="LK3" s="5" t="inlineStr">
        <is>
          <t>VEGA_MID</t>
        </is>
      </c>
      <c r="LL3" s="5" t="inlineStr">
        <is>
          <t>THETA_MID</t>
        </is>
      </c>
      <c r="LM3" s="5" t="inlineStr">
        <is>
          <t>OPT_UNDL_PX</t>
        </is>
      </c>
      <c r="LO3" s="5" t="inlineStr">
        <is>
          <t>Date</t>
        </is>
      </c>
      <c r="LP3" s="5" t="inlineStr">
        <is>
          <t>PX_BID</t>
        </is>
      </c>
      <c r="LQ3" s="5" t="inlineStr">
        <is>
          <t>PX_ASK</t>
        </is>
      </c>
      <c r="LR3" s="5" t="inlineStr">
        <is>
          <t>PX_MID</t>
        </is>
      </c>
      <c r="LS3" s="5" t="inlineStr">
        <is>
          <t>PX_LAST</t>
        </is>
      </c>
      <c r="LT3" s="5" t="inlineStr">
        <is>
          <t>PX_SETTLE</t>
        </is>
      </c>
      <c r="LU3" s="5" t="inlineStr">
        <is>
          <t>PX_VOLUME</t>
        </is>
      </c>
      <c r="LV3" s="5" t="inlineStr">
        <is>
          <t>OPEN_INT</t>
        </is>
      </c>
      <c r="LW3" s="5" t="inlineStr">
        <is>
          <t>IVOL_MID</t>
        </is>
      </c>
      <c r="LX3" s="5" t="inlineStr">
        <is>
          <t>IVOL_BID</t>
        </is>
      </c>
      <c r="LY3" s="5" t="inlineStr">
        <is>
          <t>IVOL_ASK</t>
        </is>
      </c>
      <c r="LZ3" s="5" t="inlineStr">
        <is>
          <t>DELTA_MID</t>
        </is>
      </c>
      <c r="MA3" s="5" t="inlineStr">
        <is>
          <t>GAMMA_MID</t>
        </is>
      </c>
      <c r="MB3" s="5" t="inlineStr">
        <is>
          <t>VEGA_MID</t>
        </is>
      </c>
      <c r="MC3" s="5" t="inlineStr">
        <is>
          <t>THETA_MID</t>
        </is>
      </c>
      <c r="MD3" s="5" t="inlineStr">
        <is>
          <t>OPT_UNDL_PX</t>
        </is>
      </c>
      <c r="MF3" s="5" t="inlineStr">
        <is>
          <t>Date</t>
        </is>
      </c>
      <c r="MG3" s="5" t="inlineStr">
        <is>
          <t>PX_BID</t>
        </is>
      </c>
      <c r="MH3" s="5" t="inlineStr">
        <is>
          <t>PX_ASK</t>
        </is>
      </c>
      <c r="MI3" s="5" t="inlineStr">
        <is>
          <t>PX_MID</t>
        </is>
      </c>
      <c r="MJ3" s="5" t="inlineStr">
        <is>
          <t>PX_LAST</t>
        </is>
      </c>
      <c r="MK3" s="5" t="inlineStr">
        <is>
          <t>PX_SETTLE</t>
        </is>
      </c>
      <c r="ML3" s="5" t="inlineStr">
        <is>
          <t>PX_VOLUME</t>
        </is>
      </c>
      <c r="MM3" s="5" t="inlineStr">
        <is>
          <t>OPEN_INT</t>
        </is>
      </c>
      <c r="MN3" s="5" t="inlineStr">
        <is>
          <t>IVOL_MID</t>
        </is>
      </c>
      <c r="MO3" s="5" t="inlineStr">
        <is>
          <t>IVOL_BID</t>
        </is>
      </c>
      <c r="MP3" s="5" t="inlineStr">
        <is>
          <t>IVOL_ASK</t>
        </is>
      </c>
      <c r="MQ3" s="5" t="inlineStr">
        <is>
          <t>DELTA_MID</t>
        </is>
      </c>
      <c r="MR3" s="5" t="inlineStr">
        <is>
          <t>GAMMA_MID</t>
        </is>
      </c>
      <c r="MS3" s="5" t="inlineStr">
        <is>
          <t>VEGA_MID</t>
        </is>
      </c>
      <c r="MT3" s="5" t="inlineStr">
        <is>
          <t>THETA_MID</t>
        </is>
      </c>
      <c r="MU3" s="5" t="inlineStr">
        <is>
          <t>OPT_UNDL_PX</t>
        </is>
      </c>
      <c r="MW3" s="5" t="inlineStr">
        <is>
          <t>Date</t>
        </is>
      </c>
      <c r="MX3" s="5" t="inlineStr">
        <is>
          <t>PX_BID</t>
        </is>
      </c>
      <c r="MY3" s="5" t="inlineStr">
        <is>
          <t>PX_ASK</t>
        </is>
      </c>
      <c r="MZ3" s="5" t="inlineStr">
        <is>
          <t>PX_MID</t>
        </is>
      </c>
      <c r="NA3" s="5" t="inlineStr">
        <is>
          <t>PX_LAST</t>
        </is>
      </c>
      <c r="NB3" s="5" t="inlineStr">
        <is>
          <t>PX_SETTLE</t>
        </is>
      </c>
      <c r="NC3" s="5" t="inlineStr">
        <is>
          <t>PX_VOLUME</t>
        </is>
      </c>
      <c r="ND3" s="5" t="inlineStr">
        <is>
          <t>OPEN_INT</t>
        </is>
      </c>
      <c r="NE3" s="5" t="inlineStr">
        <is>
          <t>IVOL_MID</t>
        </is>
      </c>
      <c r="NF3" s="5" t="inlineStr">
        <is>
          <t>IVOL_BID</t>
        </is>
      </c>
      <c r="NG3" s="5" t="inlineStr">
        <is>
          <t>IVOL_ASK</t>
        </is>
      </c>
      <c r="NH3" s="5" t="inlineStr">
        <is>
          <t>DELTA_MID</t>
        </is>
      </c>
      <c r="NI3" s="5" t="inlineStr">
        <is>
          <t>GAMMA_MID</t>
        </is>
      </c>
      <c r="NJ3" s="5" t="inlineStr">
        <is>
          <t>VEGA_MID</t>
        </is>
      </c>
      <c r="NK3" s="5" t="inlineStr">
        <is>
          <t>THETA_MID</t>
        </is>
      </c>
      <c r="NL3" s="5" t="inlineStr">
        <is>
          <t>OPT_UNDL_PX</t>
        </is>
      </c>
    </row>
    <row r="4">
      <c r="A4" s="2" t="inlineStr">
        <is>
          <t>Strike reference date</t>
        </is>
      </c>
      <c r="B4" s="8">
        <f>B3-45</f>
        <v/>
      </c>
      <c r="D4" s="4">
        <f>BDH(D$1,E$3:S$3,$B$8,$B$9,"Dir=V","Dts=S","Sort=A","Days=T","Fill=B")</f>
        <v/>
      </c>
      <c r="U4" s="4">
        <f>BDH(U$1,V$3:AJ$3,$B$8,$B$9,"Dir=V","Dts=S","Sort=A","Days=T","Fill=B")</f>
        <v/>
      </c>
      <c r="AL4" s="4">
        <f>BDH(AL$1,AM$3:BA$3,$B$8,$B$9,"Dir=V","Dts=S","Sort=A","Days=T","Fill=B")</f>
        <v/>
      </c>
      <c r="BC4" s="4">
        <f>BDH(BC$1,BD$3:BR$3,$B$8,$B$9,"Dir=V","Dts=S","Sort=A","Days=T","Fill=B")</f>
        <v/>
      </c>
      <c r="BT4" s="4">
        <f>BDH(BT$1,BU$3:CI$3,$B$8,$B$9,"Dir=V","Dts=S","Sort=A","Days=T","Fill=B")</f>
        <v/>
      </c>
      <c r="CK4" s="4">
        <f>BDH(CK$1,CL$3:CZ$3,$B$8,$B$9,"Dir=V","Dts=S","Sort=A","Days=T","Fill=B")</f>
        <v/>
      </c>
      <c r="DB4" s="4">
        <f>BDH(DB$1,DC$3:DQ$3,$B$8,$B$9,"Dir=V","Dts=S","Sort=A","Days=T","Fill=B")</f>
        <v/>
      </c>
      <c r="DS4" s="4">
        <f>BDH(DS$1,DT$3:EH$3,$B$8,$B$9,"Dir=V","Dts=S","Sort=A","Days=T","Fill=B")</f>
        <v/>
      </c>
      <c r="EJ4" s="4">
        <f>BDH(EJ$1,EK$3:EY$3,$B$8,$B$9,"Dir=V","Dts=S","Sort=A","Days=T","Fill=B")</f>
        <v/>
      </c>
      <c r="FA4" s="4">
        <f>BDH(FA$1,FB$3:FP$3,$B$8,$B$9,"Dir=V","Dts=S","Sort=A","Days=T","Fill=B")</f>
        <v/>
      </c>
      <c r="FR4" s="4">
        <f>BDH(FR$1,FS$3:GG$3,$B$8,$B$9,"Dir=V","Dts=S","Sort=A","Days=T","Fill=B")</f>
        <v/>
      </c>
      <c r="GI4" s="4">
        <f>BDH(GI$1,GJ$3:GX$3,$B$8,$B$9,"Dir=V","Dts=S","Sort=A","Days=T","Fill=B")</f>
        <v/>
      </c>
      <c r="GZ4" s="4">
        <f>BDH(GZ$1,HA$3:HO$3,$B$8,$B$9,"Dir=V","Dts=S","Sort=A","Days=T","Fill=B")</f>
        <v/>
      </c>
      <c r="HQ4" s="4">
        <f>BDH(HQ$1,HR$3:IF$3,$B$8,$B$9,"Dir=V","Dts=S","Sort=A","Days=T","Fill=B")</f>
        <v/>
      </c>
      <c r="IH4" s="4">
        <f>BDH(IH$1,II$3:IW$3,$B$8,$B$9,"Dir=V","Dts=S","Sort=A","Days=T","Fill=B")</f>
        <v/>
      </c>
      <c r="IY4" s="4">
        <f>BDH(IY$1,IZ$3:JN$3,$B$8,$B$9,"Dir=V","Dts=S","Sort=A","Days=T","Fill=B")</f>
        <v/>
      </c>
      <c r="JP4" s="4">
        <f>BDH(JP$1,JQ$3:KE$3,$B$8,$B$9,"Dir=V","Dts=S","Sort=A","Days=T","Fill=B")</f>
        <v/>
      </c>
      <c r="KG4" s="4">
        <f>BDH(KG$1,KH$3:KV$3,$B$8,$B$9,"Dir=V","Dts=S","Sort=A","Days=T","Fill=B")</f>
        <v/>
      </c>
      <c r="KX4" s="4">
        <f>BDH(KX$1,KY$3:LM$3,$B$8,$B$9,"Dir=V","Dts=S","Sort=A","Days=T","Fill=B")</f>
        <v/>
      </c>
      <c r="LO4" s="4">
        <f>BDH(LO$1,LP$3:MD$3,$B$8,$B$9,"Dir=V","Dts=S","Sort=A","Days=T","Fill=B")</f>
        <v/>
      </c>
      <c r="MF4" s="4">
        <f>BDH(MF$1,MG$3:MU$3,$B$8,$B$9,"Dir=V","Dts=S","Sort=A","Days=T","Fill=B")</f>
        <v/>
      </c>
      <c r="MW4" s="4">
        <f>BDH(MW$1,MX$3:NL$3,$B$8,$B$9,"Dir=V","Dts=S","Sort=A","Days=T","Fill=B")</f>
        <v/>
      </c>
    </row>
    <row r="5">
      <c r="A5" s="2" t="inlineStr">
        <is>
          <t>Unadjusted close then</t>
        </is>
      </c>
      <c r="B5" s="10">
        <f>IF(B2="","",BDH(B2,"PX_LAST",B4,B4,"Days=A","Fill=P","Dts=H","CshAdjNormal=N","CshAdjAbnormal=N","CapChg=N"))</f>
        <v/>
      </c>
    </row>
    <row r="6">
      <c r="A6" s="2" t="inlineStr">
        <is>
          <t>Strike step</t>
        </is>
      </c>
      <c r="B6" s="11">
        <f>IF(ISNUMBER(B5),IF(B5&lt;25,0.5,IF(B5&lt;250,1,5)),"")</f>
        <v/>
      </c>
    </row>
    <row r="7">
      <c r="A7" s="2" t="inlineStr">
        <is>
          <t>ATM strike</t>
        </is>
      </c>
      <c r="B7" s="11">
        <f>IF(ISNUMBER(B5),ROUND(B5/B6,0)*B6,"")</f>
        <v/>
      </c>
    </row>
    <row r="8">
      <c r="A8" s="2" t="inlineStr">
        <is>
          <t>History start</t>
        </is>
      </c>
      <c r="B8" s="8">
        <f>B3-100</f>
        <v/>
      </c>
    </row>
    <row r="9">
      <c r="A9" s="2" t="inlineStr">
        <is>
          <t>History end</t>
        </is>
      </c>
      <c r="B9" s="8">
        <f>B3</f>
        <v/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NL9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2" customWidth="1" min="2" max="2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1" customWidth="1" min="15" max="15"/>
    <col width="11" customWidth="1" min="16" max="16"/>
    <col width="10" customWidth="1" min="17" max="17"/>
    <col width="11" customWidth="1" min="18" max="18"/>
    <col width="13" customWidth="1" min="19" max="19"/>
    <col width="12" customWidth="1" min="21" max="21"/>
    <col width="10" customWidth="1" min="22" max="22"/>
    <col width="10" customWidth="1" min="23" max="23"/>
    <col width="10" customWidth="1" min="24" max="24"/>
    <col width="10" customWidth="1" min="25" max="25"/>
    <col width="11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1" customWidth="1" min="32" max="32"/>
    <col width="11" customWidth="1" min="33" max="33"/>
    <col width="10" customWidth="1" min="34" max="34"/>
    <col width="11" customWidth="1" min="35" max="35"/>
    <col width="13" customWidth="1" min="36" max="36"/>
    <col width="12" customWidth="1" min="38" max="38"/>
    <col width="10" customWidth="1" min="39" max="39"/>
    <col width="10" customWidth="1" min="40" max="40"/>
    <col width="10" customWidth="1" min="41" max="41"/>
    <col width="10" customWidth="1" min="42" max="42"/>
    <col width="11" customWidth="1" min="43" max="43"/>
    <col width="11" customWidth="1" min="44" max="44"/>
    <col width="10" customWidth="1" min="45" max="45"/>
    <col width="10" customWidth="1" min="46" max="46"/>
    <col width="10" customWidth="1" min="47" max="47"/>
    <col width="10" customWidth="1" min="48" max="48"/>
    <col width="11" customWidth="1" min="49" max="49"/>
    <col width="11" customWidth="1" min="50" max="50"/>
    <col width="10" customWidth="1" min="51" max="51"/>
    <col width="11" customWidth="1" min="52" max="52"/>
    <col width="13" customWidth="1" min="53" max="53"/>
    <col width="12" customWidth="1" min="55" max="55"/>
    <col width="10" customWidth="1" min="56" max="56"/>
    <col width="10" customWidth="1" min="57" max="57"/>
    <col width="10" customWidth="1" min="58" max="58"/>
    <col width="10" customWidth="1" min="59" max="59"/>
    <col width="11" customWidth="1" min="60" max="60"/>
    <col width="11" customWidth="1" min="61" max="61"/>
    <col width="10" customWidth="1" min="62" max="62"/>
    <col width="10" customWidth="1" min="63" max="63"/>
    <col width="10" customWidth="1" min="64" max="64"/>
    <col width="10" customWidth="1" min="65" max="65"/>
    <col width="11" customWidth="1" min="66" max="66"/>
    <col width="11" customWidth="1" min="67" max="67"/>
    <col width="10" customWidth="1" min="68" max="68"/>
    <col width="11" customWidth="1" min="69" max="69"/>
    <col width="13" customWidth="1" min="70" max="70"/>
    <col width="12" customWidth="1" min="72" max="72"/>
    <col width="10" customWidth="1" min="73" max="73"/>
    <col width="10" customWidth="1" min="74" max="74"/>
    <col width="10" customWidth="1" min="75" max="75"/>
    <col width="10" customWidth="1" min="76" max="76"/>
    <col width="11" customWidth="1" min="77" max="77"/>
    <col width="11" customWidth="1" min="78" max="78"/>
    <col width="10" customWidth="1" min="79" max="79"/>
    <col width="10" customWidth="1" min="80" max="80"/>
    <col width="10" customWidth="1" min="81" max="81"/>
    <col width="10" customWidth="1" min="82" max="82"/>
    <col width="11" customWidth="1" min="83" max="83"/>
    <col width="11" customWidth="1" min="84" max="84"/>
    <col width="10" customWidth="1" min="85" max="85"/>
    <col width="11" customWidth="1" min="86" max="86"/>
    <col width="13" customWidth="1" min="87" max="87"/>
    <col width="12" customWidth="1" min="89" max="89"/>
    <col width="10" customWidth="1" min="90" max="90"/>
    <col width="10" customWidth="1" min="91" max="91"/>
    <col width="10" customWidth="1" min="92" max="92"/>
    <col width="10" customWidth="1" min="93" max="93"/>
    <col width="11" customWidth="1" min="94" max="94"/>
    <col width="11" customWidth="1" min="95" max="95"/>
    <col width="10" customWidth="1" min="96" max="96"/>
    <col width="10" customWidth="1" min="97" max="97"/>
    <col width="10" customWidth="1" min="98" max="98"/>
    <col width="10" customWidth="1" min="99" max="99"/>
    <col width="11" customWidth="1" min="100" max="100"/>
    <col width="11" customWidth="1" min="101" max="101"/>
    <col width="10" customWidth="1" min="102" max="102"/>
    <col width="11" customWidth="1" min="103" max="103"/>
    <col width="13" customWidth="1" min="104" max="104"/>
    <col width="12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1" customWidth="1" min="111" max="111"/>
    <col width="11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1" customWidth="1" min="117" max="117"/>
    <col width="11" customWidth="1" min="118" max="118"/>
    <col width="10" customWidth="1" min="119" max="119"/>
    <col width="11" customWidth="1" min="120" max="120"/>
    <col width="13" customWidth="1" min="121" max="121"/>
    <col width="12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1" customWidth="1" min="128" max="128"/>
    <col width="11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1" customWidth="1" min="134" max="134"/>
    <col width="11" customWidth="1" min="135" max="135"/>
    <col width="10" customWidth="1" min="136" max="136"/>
    <col width="11" customWidth="1" min="137" max="137"/>
    <col width="13" customWidth="1" min="138" max="138"/>
    <col width="12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1" customWidth="1" min="145" max="145"/>
    <col width="11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1" customWidth="1" min="151" max="151"/>
    <col width="11" customWidth="1" min="152" max="152"/>
    <col width="10" customWidth="1" min="153" max="153"/>
    <col width="11" customWidth="1" min="154" max="154"/>
    <col width="13" customWidth="1" min="155" max="155"/>
    <col width="12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1" customWidth="1" min="162" max="162"/>
    <col width="11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1" customWidth="1" min="168" max="168"/>
    <col width="11" customWidth="1" min="169" max="169"/>
    <col width="10" customWidth="1" min="170" max="170"/>
    <col width="11" customWidth="1" min="171" max="171"/>
    <col width="13" customWidth="1" min="172" max="172"/>
    <col width="12" customWidth="1" min="174" max="174"/>
    <col width="10" customWidth="1" min="175" max="175"/>
    <col width="10" customWidth="1" min="176" max="176"/>
    <col width="10" customWidth="1" min="177" max="177"/>
    <col width="10" customWidth="1" min="178" max="178"/>
    <col width="11" customWidth="1" min="179" max="179"/>
    <col width="11" customWidth="1" min="180" max="180"/>
    <col width="10" customWidth="1" min="181" max="181"/>
    <col width="10" customWidth="1" min="182" max="182"/>
    <col width="10" customWidth="1" min="183" max="183"/>
    <col width="10" customWidth="1" min="184" max="184"/>
    <col width="11" customWidth="1" min="185" max="185"/>
    <col width="11" customWidth="1" min="186" max="186"/>
    <col width="10" customWidth="1" min="187" max="187"/>
    <col width="11" customWidth="1" min="188" max="188"/>
    <col width="13" customWidth="1" min="189" max="189"/>
    <col width="12" customWidth="1" min="191" max="191"/>
    <col width="10" customWidth="1" min="192" max="192"/>
    <col width="10" customWidth="1" min="193" max="193"/>
    <col width="10" customWidth="1" min="194" max="194"/>
    <col width="10" customWidth="1" min="195" max="195"/>
    <col width="11" customWidth="1" min="196" max="196"/>
    <col width="11" customWidth="1" min="197" max="197"/>
    <col width="10" customWidth="1" min="198" max="198"/>
    <col width="10" customWidth="1" min="199" max="199"/>
    <col width="10" customWidth="1" min="200" max="200"/>
    <col width="10" customWidth="1" min="201" max="201"/>
    <col width="11" customWidth="1" min="202" max="202"/>
    <col width="11" customWidth="1" min="203" max="203"/>
    <col width="10" customWidth="1" min="204" max="204"/>
    <col width="11" customWidth="1" min="205" max="205"/>
    <col width="13" customWidth="1" min="206" max="206"/>
    <col width="12" customWidth="1" min="208" max="208"/>
    <col width="10" customWidth="1" min="209" max="209"/>
    <col width="10" customWidth="1" min="210" max="210"/>
    <col width="10" customWidth="1" min="211" max="211"/>
    <col width="10" customWidth="1" min="212" max="212"/>
    <col width="11" customWidth="1" min="213" max="213"/>
    <col width="11" customWidth="1" min="214" max="214"/>
    <col width="10" customWidth="1" min="215" max="215"/>
    <col width="10" customWidth="1" min="216" max="216"/>
    <col width="10" customWidth="1" min="217" max="217"/>
    <col width="10" customWidth="1" min="218" max="218"/>
    <col width="11" customWidth="1" min="219" max="219"/>
    <col width="11" customWidth="1" min="220" max="220"/>
    <col width="10" customWidth="1" min="221" max="221"/>
    <col width="11" customWidth="1" min="222" max="222"/>
    <col width="13" customWidth="1" min="223" max="223"/>
    <col width="12" customWidth="1" min="225" max="225"/>
    <col width="10" customWidth="1" min="226" max="226"/>
    <col width="10" customWidth="1" min="227" max="227"/>
    <col width="10" customWidth="1" min="228" max="228"/>
    <col width="10" customWidth="1" min="229" max="229"/>
    <col width="11" customWidth="1" min="230" max="230"/>
    <col width="11" customWidth="1" min="231" max="231"/>
    <col width="10" customWidth="1" min="232" max="232"/>
    <col width="10" customWidth="1" min="233" max="233"/>
    <col width="10" customWidth="1" min="234" max="234"/>
    <col width="10" customWidth="1" min="235" max="235"/>
    <col width="11" customWidth="1" min="236" max="236"/>
    <col width="11" customWidth="1" min="237" max="237"/>
    <col width="10" customWidth="1" min="238" max="238"/>
    <col width="11" customWidth="1" min="239" max="239"/>
    <col width="13" customWidth="1" min="240" max="240"/>
    <col width="12" customWidth="1" min="242" max="242"/>
    <col width="10" customWidth="1" min="243" max="243"/>
    <col width="10" customWidth="1" min="244" max="244"/>
    <col width="10" customWidth="1" min="245" max="245"/>
    <col width="10" customWidth="1" min="246" max="246"/>
    <col width="11" customWidth="1" min="247" max="247"/>
    <col width="11" customWidth="1" min="248" max="248"/>
    <col width="10" customWidth="1" min="249" max="249"/>
    <col width="10" customWidth="1" min="250" max="250"/>
    <col width="10" customWidth="1" min="251" max="251"/>
    <col width="10" customWidth="1" min="252" max="252"/>
    <col width="11" customWidth="1" min="253" max="253"/>
    <col width="11" customWidth="1" min="254" max="254"/>
    <col width="10" customWidth="1" min="255" max="255"/>
    <col width="11" customWidth="1" min="256" max="256"/>
    <col width="13" customWidth="1" min="257" max="257"/>
    <col width="12" customWidth="1" min="259" max="259"/>
    <col width="10" customWidth="1" min="260" max="260"/>
    <col width="10" customWidth="1" min="261" max="261"/>
    <col width="10" customWidth="1" min="262" max="262"/>
    <col width="10" customWidth="1" min="263" max="263"/>
    <col width="11" customWidth="1" min="264" max="264"/>
    <col width="11" customWidth="1" min="265" max="265"/>
    <col width="10" customWidth="1" min="266" max="266"/>
    <col width="10" customWidth="1" min="267" max="267"/>
    <col width="10" customWidth="1" min="268" max="268"/>
    <col width="10" customWidth="1" min="269" max="269"/>
    <col width="11" customWidth="1" min="270" max="270"/>
    <col width="11" customWidth="1" min="271" max="271"/>
    <col width="10" customWidth="1" min="272" max="272"/>
    <col width="11" customWidth="1" min="273" max="273"/>
    <col width="13" customWidth="1" min="274" max="274"/>
    <col width="12" customWidth="1" min="276" max="276"/>
    <col width="10" customWidth="1" min="277" max="277"/>
    <col width="10" customWidth="1" min="278" max="278"/>
    <col width="10" customWidth="1" min="279" max="279"/>
    <col width="10" customWidth="1" min="280" max="280"/>
    <col width="11" customWidth="1" min="281" max="281"/>
    <col width="11" customWidth="1" min="282" max="282"/>
    <col width="10" customWidth="1" min="283" max="283"/>
    <col width="10" customWidth="1" min="284" max="284"/>
    <col width="10" customWidth="1" min="285" max="285"/>
    <col width="10" customWidth="1" min="286" max="286"/>
    <col width="11" customWidth="1" min="287" max="287"/>
    <col width="11" customWidth="1" min="288" max="288"/>
    <col width="10" customWidth="1" min="289" max="289"/>
    <col width="11" customWidth="1" min="290" max="290"/>
    <col width="13" customWidth="1" min="291" max="291"/>
    <col width="12" customWidth="1" min="293" max="293"/>
    <col width="10" customWidth="1" min="294" max="294"/>
    <col width="10" customWidth="1" min="295" max="295"/>
    <col width="10" customWidth="1" min="296" max="296"/>
    <col width="10" customWidth="1" min="297" max="297"/>
    <col width="11" customWidth="1" min="298" max="298"/>
    <col width="11" customWidth="1" min="299" max="299"/>
    <col width="10" customWidth="1" min="300" max="300"/>
    <col width="10" customWidth="1" min="301" max="301"/>
    <col width="10" customWidth="1" min="302" max="302"/>
    <col width="10" customWidth="1" min="303" max="303"/>
    <col width="11" customWidth="1" min="304" max="304"/>
    <col width="11" customWidth="1" min="305" max="305"/>
    <col width="10" customWidth="1" min="306" max="306"/>
    <col width="11" customWidth="1" min="307" max="307"/>
    <col width="13" customWidth="1" min="308" max="308"/>
    <col width="12" customWidth="1" min="310" max="310"/>
    <col width="10" customWidth="1" min="311" max="311"/>
    <col width="10" customWidth="1" min="312" max="312"/>
    <col width="10" customWidth="1" min="313" max="313"/>
    <col width="10" customWidth="1" min="314" max="314"/>
    <col width="11" customWidth="1" min="315" max="315"/>
    <col width="11" customWidth="1" min="316" max="316"/>
    <col width="10" customWidth="1" min="317" max="317"/>
    <col width="10" customWidth="1" min="318" max="318"/>
    <col width="10" customWidth="1" min="319" max="319"/>
    <col width="10" customWidth="1" min="320" max="320"/>
    <col width="11" customWidth="1" min="321" max="321"/>
    <col width="11" customWidth="1" min="322" max="322"/>
    <col width="10" customWidth="1" min="323" max="323"/>
    <col width="11" customWidth="1" min="324" max="324"/>
    <col width="13" customWidth="1" min="325" max="325"/>
    <col width="12" customWidth="1" min="327" max="327"/>
    <col width="10" customWidth="1" min="328" max="328"/>
    <col width="10" customWidth="1" min="329" max="329"/>
    <col width="10" customWidth="1" min="330" max="330"/>
    <col width="10" customWidth="1" min="331" max="331"/>
    <col width="11" customWidth="1" min="332" max="332"/>
    <col width="11" customWidth="1" min="333" max="333"/>
    <col width="10" customWidth="1" min="334" max="334"/>
    <col width="10" customWidth="1" min="335" max="335"/>
    <col width="10" customWidth="1" min="336" max="336"/>
    <col width="10" customWidth="1" min="337" max="337"/>
    <col width="11" customWidth="1" min="338" max="338"/>
    <col width="11" customWidth="1" min="339" max="339"/>
    <col width="10" customWidth="1" min="340" max="340"/>
    <col width="11" customWidth="1" min="341" max="341"/>
    <col width="13" customWidth="1" min="342" max="342"/>
    <col width="12" customWidth="1" min="344" max="344"/>
    <col width="10" customWidth="1" min="345" max="345"/>
    <col width="10" customWidth="1" min="346" max="346"/>
    <col width="10" customWidth="1" min="347" max="347"/>
    <col width="10" customWidth="1" min="348" max="348"/>
    <col width="11" customWidth="1" min="349" max="349"/>
    <col width="11" customWidth="1" min="350" max="350"/>
    <col width="10" customWidth="1" min="351" max="351"/>
    <col width="10" customWidth="1" min="352" max="352"/>
    <col width="10" customWidth="1" min="353" max="353"/>
    <col width="10" customWidth="1" min="354" max="354"/>
    <col width="11" customWidth="1" min="355" max="355"/>
    <col width="11" customWidth="1" min="356" max="356"/>
    <col width="10" customWidth="1" min="357" max="357"/>
    <col width="11" customWidth="1" min="358" max="358"/>
    <col width="13" customWidth="1" min="359" max="359"/>
    <col width="12" customWidth="1" min="361" max="361"/>
    <col width="10" customWidth="1" min="362" max="362"/>
    <col width="10" customWidth="1" min="363" max="363"/>
    <col width="10" customWidth="1" min="364" max="364"/>
    <col width="10" customWidth="1" min="365" max="365"/>
    <col width="11" customWidth="1" min="366" max="366"/>
    <col width="11" customWidth="1" min="367" max="367"/>
    <col width="10" customWidth="1" min="368" max="368"/>
    <col width="10" customWidth="1" min="369" max="369"/>
    <col width="10" customWidth="1" min="370" max="370"/>
    <col width="10" customWidth="1" min="371" max="371"/>
    <col width="11" customWidth="1" min="372" max="372"/>
    <col width="11" customWidth="1" min="373" max="373"/>
    <col width="10" customWidth="1" min="374" max="374"/>
    <col width="11" customWidth="1" min="375" max="375"/>
    <col width="13" customWidth="1" min="376" max="376"/>
  </cols>
  <sheetData>
    <row r="1">
      <c r="A1" s="2" t="inlineStr">
        <is>
          <t>Month</t>
        </is>
      </c>
      <c r="B1" s="9" t="n">
        <v>8</v>
      </c>
      <c r="D1" s="2">
        <f>IF(ISNUMBER(B$7),"XOP US "&amp;TEXT(B$3,"mm/dd/yy")&amp;" C"&amp;(B$7-5*B$6)&amp;" Equity","")</f>
        <v/>
      </c>
      <c r="U1" s="2">
        <f>IF(ISNUMBER(B$7),"XOP US "&amp;TEXT(B$3,"mm/dd/yy")&amp;" P"&amp;(B$7-5*B$6)&amp;" Equity","")</f>
        <v/>
      </c>
      <c r="AL1" s="2">
        <f>IF(ISNUMBER(B$7),"XOP US "&amp;TEXT(B$3,"mm/dd/yy")&amp;" C"&amp;(B$7-4*B$6)&amp;" Equity","")</f>
        <v/>
      </c>
      <c r="BC1" s="2">
        <f>IF(ISNUMBER(B$7),"XOP US "&amp;TEXT(B$3,"mm/dd/yy")&amp;" P"&amp;(B$7-4*B$6)&amp;" Equity","")</f>
        <v/>
      </c>
      <c r="BT1" s="2">
        <f>IF(ISNUMBER(B$7),"XOP US "&amp;TEXT(B$3,"mm/dd/yy")&amp;" C"&amp;(B$7-3*B$6)&amp;" Equity","")</f>
        <v/>
      </c>
      <c r="CK1" s="2">
        <f>IF(ISNUMBER(B$7),"XOP US "&amp;TEXT(B$3,"mm/dd/yy")&amp;" P"&amp;(B$7-3*B$6)&amp;" Equity","")</f>
        <v/>
      </c>
      <c r="DB1" s="2">
        <f>IF(ISNUMBER(B$7),"XOP US "&amp;TEXT(B$3,"mm/dd/yy")&amp;" C"&amp;(B$7-2*B$6)&amp;" Equity","")</f>
        <v/>
      </c>
      <c r="DS1" s="2">
        <f>IF(ISNUMBER(B$7),"XOP US "&amp;TEXT(B$3,"mm/dd/yy")&amp;" P"&amp;(B$7-2*B$6)&amp;" Equity","")</f>
        <v/>
      </c>
      <c r="EJ1" s="2">
        <f>IF(ISNUMBER(B$7),"XOP US "&amp;TEXT(B$3,"mm/dd/yy")&amp;" C"&amp;(B$7-1*B$6)&amp;" Equity","")</f>
        <v/>
      </c>
      <c r="FA1" s="2">
        <f>IF(ISNUMBER(B$7),"XOP US "&amp;TEXT(B$3,"mm/dd/yy")&amp;" P"&amp;(B$7-1*B$6)&amp;" Equity","")</f>
        <v/>
      </c>
      <c r="FR1" s="2">
        <f>IF(ISNUMBER(B$7),"XOP US "&amp;TEXT(B$3,"mm/dd/yy")&amp;" C"&amp;B$7&amp;" Equity","")</f>
        <v/>
      </c>
      <c r="GI1" s="2">
        <f>IF(ISNUMBER(B$7),"XOP US "&amp;TEXT(B$3,"mm/dd/yy")&amp;" P"&amp;B$7&amp;" Equity","")</f>
        <v/>
      </c>
      <c r="GZ1" s="2">
        <f>IF(ISNUMBER(B$7),"XOP US "&amp;TEXT(B$3,"mm/dd/yy")&amp;" C"&amp;(B$7+1*B$6)&amp;" Equity","")</f>
        <v/>
      </c>
      <c r="HQ1" s="2">
        <f>IF(ISNUMBER(B$7),"XOP US "&amp;TEXT(B$3,"mm/dd/yy")&amp;" P"&amp;(B$7+1*B$6)&amp;" Equity","")</f>
        <v/>
      </c>
      <c r="IH1" s="2">
        <f>IF(ISNUMBER(B$7),"XOP US "&amp;TEXT(B$3,"mm/dd/yy")&amp;" C"&amp;(B$7+2*B$6)&amp;" Equity","")</f>
        <v/>
      </c>
      <c r="IY1" s="2">
        <f>IF(ISNUMBER(B$7),"XOP US "&amp;TEXT(B$3,"mm/dd/yy")&amp;" P"&amp;(B$7+2*B$6)&amp;" Equity","")</f>
        <v/>
      </c>
      <c r="JP1" s="2">
        <f>IF(ISNUMBER(B$7),"XOP US "&amp;TEXT(B$3,"mm/dd/yy")&amp;" C"&amp;(B$7+3*B$6)&amp;" Equity","")</f>
        <v/>
      </c>
      <c r="KG1" s="2">
        <f>IF(ISNUMBER(B$7),"XOP US "&amp;TEXT(B$3,"mm/dd/yy")&amp;" P"&amp;(B$7+3*B$6)&amp;" Equity","")</f>
        <v/>
      </c>
      <c r="KX1" s="2">
        <f>IF(ISNUMBER(B$7),"XOP US "&amp;TEXT(B$3,"mm/dd/yy")&amp;" C"&amp;(B$7+4*B$6)&amp;" Equity","")</f>
        <v/>
      </c>
      <c r="LO1" s="2">
        <f>IF(ISNUMBER(B$7),"XOP US "&amp;TEXT(B$3,"mm/dd/yy")&amp;" P"&amp;(B$7+4*B$6)&amp;" Equity","")</f>
        <v/>
      </c>
      <c r="MF1" s="2">
        <f>IF(ISNUMBER(B$7),"XOP US "&amp;TEXT(B$3,"mm/dd/yy")&amp;" C"&amp;(B$7+5*B$6)&amp;" Equity","")</f>
        <v/>
      </c>
      <c r="MW1" s="2">
        <f>IF(ISNUMBER(B$7),"XOP US "&amp;TEXT(B$3,"mm/dd/yy")&amp;" P"&amp;(B$7+5*B$6)&amp;" Equity","")</f>
        <v/>
      </c>
    </row>
    <row r="2">
      <c r="A2" s="2" t="inlineStr">
        <is>
          <t>Underlying</t>
        </is>
      </c>
      <c r="B2" s="4">
        <f>IF(Settings!$B$17="Y","XOP US Equity","")</f>
        <v/>
      </c>
      <c r="D2" s="4" t="inlineStr">
        <is>
          <t>call -5 from ATM</t>
        </is>
      </c>
      <c r="U2" s="4" t="inlineStr">
        <is>
          <t>put -5 from ATM</t>
        </is>
      </c>
      <c r="AL2" s="4" t="inlineStr">
        <is>
          <t>call -4 from ATM</t>
        </is>
      </c>
      <c r="BC2" s="4" t="inlineStr">
        <is>
          <t>put -4 from ATM</t>
        </is>
      </c>
      <c r="BT2" s="4" t="inlineStr">
        <is>
          <t>call -3 from ATM</t>
        </is>
      </c>
      <c r="CK2" s="4" t="inlineStr">
        <is>
          <t>put -3 from ATM</t>
        </is>
      </c>
      <c r="DB2" s="4" t="inlineStr">
        <is>
          <t>call -2 from ATM</t>
        </is>
      </c>
      <c r="DS2" s="4" t="inlineStr">
        <is>
          <t>put -2 from ATM</t>
        </is>
      </c>
      <c r="EJ2" s="4" t="inlineStr">
        <is>
          <t>call -1 from ATM</t>
        </is>
      </c>
      <c r="FA2" s="4" t="inlineStr">
        <is>
          <t>put -1 from ATM</t>
        </is>
      </c>
      <c r="FR2" s="4" t="inlineStr">
        <is>
          <t>call +0 from ATM</t>
        </is>
      </c>
      <c r="GI2" s="4" t="inlineStr">
        <is>
          <t>put +0 from ATM</t>
        </is>
      </c>
      <c r="GZ2" s="4" t="inlineStr">
        <is>
          <t>call +1 from ATM</t>
        </is>
      </c>
      <c r="HQ2" s="4" t="inlineStr">
        <is>
          <t>put +1 from ATM</t>
        </is>
      </c>
      <c r="IH2" s="4" t="inlineStr">
        <is>
          <t>call +2 from ATM</t>
        </is>
      </c>
      <c r="IY2" s="4" t="inlineStr">
        <is>
          <t>put +2 from ATM</t>
        </is>
      </c>
      <c r="JP2" s="4" t="inlineStr">
        <is>
          <t>call +3 from ATM</t>
        </is>
      </c>
      <c r="KG2" s="4" t="inlineStr">
        <is>
          <t>put +3 from ATM</t>
        </is>
      </c>
      <c r="KX2" s="4" t="inlineStr">
        <is>
          <t>call +4 from ATM</t>
        </is>
      </c>
      <c r="LO2" s="4" t="inlineStr">
        <is>
          <t>put +4 from ATM</t>
        </is>
      </c>
      <c r="MF2" s="4" t="inlineStr">
        <is>
          <t>call +5 from ATM</t>
        </is>
      </c>
      <c r="MW2" s="4" t="inlineStr">
        <is>
          <t>put +5 from ATM</t>
        </is>
      </c>
    </row>
    <row r="3">
      <c r="A3" s="2" t="inlineStr">
        <is>
          <t>Expiry (3rd Friday)</t>
        </is>
      </c>
      <c r="B3" s="3">
        <f>DATE(Settings!$E$17,B1,15)+MOD(6-WEEKDAY(DATE(Settings!$E$17,B1,15)),7)</f>
        <v/>
      </c>
      <c r="D3" s="5" t="inlineStr">
        <is>
          <t>Date</t>
        </is>
      </c>
      <c r="E3" s="5" t="inlineStr">
        <is>
          <t>PX_BID</t>
        </is>
      </c>
      <c r="F3" s="5" t="inlineStr">
        <is>
          <t>PX_ASK</t>
        </is>
      </c>
      <c r="G3" s="5" t="inlineStr">
        <is>
          <t>PX_MID</t>
        </is>
      </c>
      <c r="H3" s="5" t="inlineStr">
        <is>
          <t>PX_LAST</t>
        </is>
      </c>
      <c r="I3" s="5" t="inlineStr">
        <is>
          <t>PX_SETTLE</t>
        </is>
      </c>
      <c r="J3" s="5" t="inlineStr">
        <is>
          <t>PX_VOLUME</t>
        </is>
      </c>
      <c r="K3" s="5" t="inlineStr">
        <is>
          <t>OPEN_INT</t>
        </is>
      </c>
      <c r="L3" s="5" t="inlineStr">
        <is>
          <t>IVOL_MID</t>
        </is>
      </c>
      <c r="M3" s="5" t="inlineStr">
        <is>
          <t>IVOL_BID</t>
        </is>
      </c>
      <c r="N3" s="5" t="inlineStr">
        <is>
          <t>IVOL_ASK</t>
        </is>
      </c>
      <c r="O3" s="5" t="inlineStr">
        <is>
          <t>DELTA_MID</t>
        </is>
      </c>
      <c r="P3" s="5" t="inlineStr">
        <is>
          <t>GAMMA_MID</t>
        </is>
      </c>
      <c r="Q3" s="5" t="inlineStr">
        <is>
          <t>VEGA_MID</t>
        </is>
      </c>
      <c r="R3" s="5" t="inlineStr">
        <is>
          <t>THETA_MID</t>
        </is>
      </c>
      <c r="S3" s="5" t="inlineStr">
        <is>
          <t>OPT_UNDL_PX</t>
        </is>
      </c>
      <c r="U3" s="5" t="inlineStr">
        <is>
          <t>Date</t>
        </is>
      </c>
      <c r="V3" s="5" t="inlineStr">
        <is>
          <t>PX_BID</t>
        </is>
      </c>
      <c r="W3" s="5" t="inlineStr">
        <is>
          <t>PX_ASK</t>
        </is>
      </c>
      <c r="X3" s="5" t="inlineStr">
        <is>
          <t>PX_MID</t>
        </is>
      </c>
      <c r="Y3" s="5" t="inlineStr">
        <is>
          <t>PX_LAST</t>
        </is>
      </c>
      <c r="Z3" s="5" t="inlineStr">
        <is>
          <t>PX_SETTLE</t>
        </is>
      </c>
      <c r="AA3" s="5" t="inlineStr">
        <is>
          <t>PX_VOLUME</t>
        </is>
      </c>
      <c r="AB3" s="5" t="inlineStr">
        <is>
          <t>OPEN_INT</t>
        </is>
      </c>
      <c r="AC3" s="5" t="inlineStr">
        <is>
          <t>IVOL_MID</t>
        </is>
      </c>
      <c r="AD3" s="5" t="inlineStr">
        <is>
          <t>IVOL_BID</t>
        </is>
      </c>
      <c r="AE3" s="5" t="inlineStr">
        <is>
          <t>IVOL_ASK</t>
        </is>
      </c>
      <c r="AF3" s="5" t="inlineStr">
        <is>
          <t>DELTA_MID</t>
        </is>
      </c>
      <c r="AG3" s="5" t="inlineStr">
        <is>
          <t>GAMMA_MID</t>
        </is>
      </c>
      <c r="AH3" s="5" t="inlineStr">
        <is>
          <t>VEGA_MID</t>
        </is>
      </c>
      <c r="AI3" s="5" t="inlineStr">
        <is>
          <t>THETA_MID</t>
        </is>
      </c>
      <c r="AJ3" s="5" t="inlineStr">
        <is>
          <t>OPT_UNDL_PX</t>
        </is>
      </c>
      <c r="AL3" s="5" t="inlineStr">
        <is>
          <t>Date</t>
        </is>
      </c>
      <c r="AM3" s="5" t="inlineStr">
        <is>
          <t>PX_BID</t>
        </is>
      </c>
      <c r="AN3" s="5" t="inlineStr">
        <is>
          <t>PX_ASK</t>
        </is>
      </c>
      <c r="AO3" s="5" t="inlineStr">
        <is>
          <t>PX_MID</t>
        </is>
      </c>
      <c r="AP3" s="5" t="inlineStr">
        <is>
          <t>PX_LAST</t>
        </is>
      </c>
      <c r="AQ3" s="5" t="inlineStr">
        <is>
          <t>PX_SETTLE</t>
        </is>
      </c>
      <c r="AR3" s="5" t="inlineStr">
        <is>
          <t>PX_VOLUME</t>
        </is>
      </c>
      <c r="AS3" s="5" t="inlineStr">
        <is>
          <t>OPEN_INT</t>
        </is>
      </c>
      <c r="AT3" s="5" t="inlineStr">
        <is>
          <t>IVOL_MID</t>
        </is>
      </c>
      <c r="AU3" s="5" t="inlineStr">
        <is>
          <t>IVOL_BID</t>
        </is>
      </c>
      <c r="AV3" s="5" t="inlineStr">
        <is>
          <t>IVOL_ASK</t>
        </is>
      </c>
      <c r="AW3" s="5" t="inlineStr">
        <is>
          <t>DELTA_MID</t>
        </is>
      </c>
      <c r="AX3" s="5" t="inlineStr">
        <is>
          <t>GAMMA_MID</t>
        </is>
      </c>
      <c r="AY3" s="5" t="inlineStr">
        <is>
          <t>VEGA_MID</t>
        </is>
      </c>
      <c r="AZ3" s="5" t="inlineStr">
        <is>
          <t>THETA_MID</t>
        </is>
      </c>
      <c r="BA3" s="5" t="inlineStr">
        <is>
          <t>OPT_UNDL_PX</t>
        </is>
      </c>
      <c r="BC3" s="5" t="inlineStr">
        <is>
          <t>Date</t>
        </is>
      </c>
      <c r="BD3" s="5" t="inlineStr">
        <is>
          <t>PX_BID</t>
        </is>
      </c>
      <c r="BE3" s="5" t="inlineStr">
        <is>
          <t>PX_ASK</t>
        </is>
      </c>
      <c r="BF3" s="5" t="inlineStr">
        <is>
          <t>PX_MID</t>
        </is>
      </c>
      <c r="BG3" s="5" t="inlineStr">
        <is>
          <t>PX_LAST</t>
        </is>
      </c>
      <c r="BH3" s="5" t="inlineStr">
        <is>
          <t>PX_SETTLE</t>
        </is>
      </c>
      <c r="BI3" s="5" t="inlineStr">
        <is>
          <t>PX_VOLUME</t>
        </is>
      </c>
      <c r="BJ3" s="5" t="inlineStr">
        <is>
          <t>OPEN_INT</t>
        </is>
      </c>
      <c r="BK3" s="5" t="inlineStr">
        <is>
          <t>IVOL_MID</t>
        </is>
      </c>
      <c r="BL3" s="5" t="inlineStr">
        <is>
          <t>IVOL_BID</t>
        </is>
      </c>
      <c r="BM3" s="5" t="inlineStr">
        <is>
          <t>IVOL_ASK</t>
        </is>
      </c>
      <c r="BN3" s="5" t="inlineStr">
        <is>
          <t>DELTA_MID</t>
        </is>
      </c>
      <c r="BO3" s="5" t="inlineStr">
        <is>
          <t>GAMMA_MID</t>
        </is>
      </c>
      <c r="BP3" s="5" t="inlineStr">
        <is>
          <t>VEGA_MID</t>
        </is>
      </c>
      <c r="BQ3" s="5" t="inlineStr">
        <is>
          <t>THETA_MID</t>
        </is>
      </c>
      <c r="BR3" s="5" t="inlineStr">
        <is>
          <t>OPT_UNDL_PX</t>
        </is>
      </c>
      <c r="BT3" s="5" t="inlineStr">
        <is>
          <t>Date</t>
        </is>
      </c>
      <c r="BU3" s="5" t="inlineStr">
        <is>
          <t>PX_BID</t>
        </is>
      </c>
      <c r="BV3" s="5" t="inlineStr">
        <is>
          <t>PX_ASK</t>
        </is>
      </c>
      <c r="BW3" s="5" t="inlineStr">
        <is>
          <t>PX_MID</t>
        </is>
      </c>
      <c r="BX3" s="5" t="inlineStr">
        <is>
          <t>PX_LAST</t>
        </is>
      </c>
      <c r="BY3" s="5" t="inlineStr">
        <is>
          <t>PX_SETTLE</t>
        </is>
      </c>
      <c r="BZ3" s="5" t="inlineStr">
        <is>
          <t>PX_VOLUME</t>
        </is>
      </c>
      <c r="CA3" s="5" t="inlineStr">
        <is>
          <t>OPEN_INT</t>
        </is>
      </c>
      <c r="CB3" s="5" t="inlineStr">
        <is>
          <t>IVOL_MID</t>
        </is>
      </c>
      <c r="CC3" s="5" t="inlineStr">
        <is>
          <t>IVOL_BID</t>
        </is>
      </c>
      <c r="CD3" s="5" t="inlineStr">
        <is>
          <t>IVOL_ASK</t>
        </is>
      </c>
      <c r="CE3" s="5" t="inlineStr">
        <is>
          <t>DELTA_MID</t>
        </is>
      </c>
      <c r="CF3" s="5" t="inlineStr">
        <is>
          <t>GAMMA_MID</t>
        </is>
      </c>
      <c r="CG3" s="5" t="inlineStr">
        <is>
          <t>VEGA_MID</t>
        </is>
      </c>
      <c r="CH3" s="5" t="inlineStr">
        <is>
          <t>THETA_MID</t>
        </is>
      </c>
      <c r="CI3" s="5" t="inlineStr">
        <is>
          <t>OPT_UNDL_PX</t>
        </is>
      </c>
      <c r="CK3" s="5" t="inlineStr">
        <is>
          <t>Date</t>
        </is>
      </c>
      <c r="CL3" s="5" t="inlineStr">
        <is>
          <t>PX_BID</t>
        </is>
      </c>
      <c r="CM3" s="5" t="inlineStr">
        <is>
          <t>PX_ASK</t>
        </is>
      </c>
      <c r="CN3" s="5" t="inlineStr">
        <is>
          <t>PX_MID</t>
        </is>
      </c>
      <c r="CO3" s="5" t="inlineStr">
        <is>
          <t>PX_LAST</t>
        </is>
      </c>
      <c r="CP3" s="5" t="inlineStr">
        <is>
          <t>PX_SETTLE</t>
        </is>
      </c>
      <c r="CQ3" s="5" t="inlineStr">
        <is>
          <t>PX_VOLUME</t>
        </is>
      </c>
      <c r="CR3" s="5" t="inlineStr">
        <is>
          <t>OPEN_INT</t>
        </is>
      </c>
      <c r="CS3" s="5" t="inlineStr">
        <is>
          <t>IVOL_MID</t>
        </is>
      </c>
      <c r="CT3" s="5" t="inlineStr">
        <is>
          <t>IVOL_BID</t>
        </is>
      </c>
      <c r="CU3" s="5" t="inlineStr">
        <is>
          <t>IVOL_ASK</t>
        </is>
      </c>
      <c r="CV3" s="5" t="inlineStr">
        <is>
          <t>DELTA_MID</t>
        </is>
      </c>
      <c r="CW3" s="5" t="inlineStr">
        <is>
          <t>GAMMA_MID</t>
        </is>
      </c>
      <c r="CX3" s="5" t="inlineStr">
        <is>
          <t>VEGA_MID</t>
        </is>
      </c>
      <c r="CY3" s="5" t="inlineStr">
        <is>
          <t>THETA_MID</t>
        </is>
      </c>
      <c r="CZ3" s="5" t="inlineStr">
        <is>
          <t>OPT_UNDL_PX</t>
        </is>
      </c>
      <c r="DB3" s="5" t="inlineStr">
        <is>
          <t>Date</t>
        </is>
      </c>
      <c r="DC3" s="5" t="inlineStr">
        <is>
          <t>PX_BID</t>
        </is>
      </c>
      <c r="DD3" s="5" t="inlineStr">
        <is>
          <t>PX_ASK</t>
        </is>
      </c>
      <c r="DE3" s="5" t="inlineStr">
        <is>
          <t>PX_MID</t>
        </is>
      </c>
      <c r="DF3" s="5" t="inlineStr">
        <is>
          <t>PX_LAST</t>
        </is>
      </c>
      <c r="DG3" s="5" t="inlineStr">
        <is>
          <t>PX_SETTLE</t>
        </is>
      </c>
      <c r="DH3" s="5" t="inlineStr">
        <is>
          <t>PX_VOLUME</t>
        </is>
      </c>
      <c r="DI3" s="5" t="inlineStr">
        <is>
          <t>OPEN_INT</t>
        </is>
      </c>
      <c r="DJ3" s="5" t="inlineStr">
        <is>
          <t>IVOL_MID</t>
        </is>
      </c>
      <c r="DK3" s="5" t="inlineStr">
        <is>
          <t>IVOL_BID</t>
        </is>
      </c>
      <c r="DL3" s="5" t="inlineStr">
        <is>
          <t>IVOL_ASK</t>
        </is>
      </c>
      <c r="DM3" s="5" t="inlineStr">
        <is>
          <t>DELTA_MID</t>
        </is>
      </c>
      <c r="DN3" s="5" t="inlineStr">
        <is>
          <t>GAMMA_MID</t>
        </is>
      </c>
      <c r="DO3" s="5" t="inlineStr">
        <is>
          <t>VEGA_MID</t>
        </is>
      </c>
      <c r="DP3" s="5" t="inlineStr">
        <is>
          <t>THETA_MID</t>
        </is>
      </c>
      <c r="DQ3" s="5" t="inlineStr">
        <is>
          <t>OPT_UNDL_PX</t>
        </is>
      </c>
      <c r="DS3" s="5" t="inlineStr">
        <is>
          <t>Date</t>
        </is>
      </c>
      <c r="DT3" s="5" t="inlineStr">
        <is>
          <t>PX_BID</t>
        </is>
      </c>
      <c r="DU3" s="5" t="inlineStr">
        <is>
          <t>PX_ASK</t>
        </is>
      </c>
      <c r="DV3" s="5" t="inlineStr">
        <is>
          <t>PX_MID</t>
        </is>
      </c>
      <c r="DW3" s="5" t="inlineStr">
        <is>
          <t>PX_LAST</t>
        </is>
      </c>
      <c r="DX3" s="5" t="inlineStr">
        <is>
          <t>PX_SETTLE</t>
        </is>
      </c>
      <c r="DY3" s="5" t="inlineStr">
        <is>
          <t>PX_VOLUME</t>
        </is>
      </c>
      <c r="DZ3" s="5" t="inlineStr">
        <is>
          <t>OPEN_INT</t>
        </is>
      </c>
      <c r="EA3" s="5" t="inlineStr">
        <is>
          <t>IVOL_MID</t>
        </is>
      </c>
      <c r="EB3" s="5" t="inlineStr">
        <is>
          <t>IVOL_BID</t>
        </is>
      </c>
      <c r="EC3" s="5" t="inlineStr">
        <is>
          <t>IVOL_ASK</t>
        </is>
      </c>
      <c r="ED3" s="5" t="inlineStr">
        <is>
          <t>DELTA_MID</t>
        </is>
      </c>
      <c r="EE3" s="5" t="inlineStr">
        <is>
          <t>GAMMA_MID</t>
        </is>
      </c>
      <c r="EF3" s="5" t="inlineStr">
        <is>
          <t>VEGA_MID</t>
        </is>
      </c>
      <c r="EG3" s="5" t="inlineStr">
        <is>
          <t>THETA_MID</t>
        </is>
      </c>
      <c r="EH3" s="5" t="inlineStr">
        <is>
          <t>OPT_UNDL_PX</t>
        </is>
      </c>
      <c r="EJ3" s="5" t="inlineStr">
        <is>
          <t>Date</t>
        </is>
      </c>
      <c r="EK3" s="5" t="inlineStr">
        <is>
          <t>PX_BID</t>
        </is>
      </c>
      <c r="EL3" s="5" t="inlineStr">
        <is>
          <t>PX_ASK</t>
        </is>
      </c>
      <c r="EM3" s="5" t="inlineStr">
        <is>
          <t>PX_MID</t>
        </is>
      </c>
      <c r="EN3" s="5" t="inlineStr">
        <is>
          <t>PX_LAST</t>
        </is>
      </c>
      <c r="EO3" s="5" t="inlineStr">
        <is>
          <t>PX_SETTLE</t>
        </is>
      </c>
      <c r="EP3" s="5" t="inlineStr">
        <is>
          <t>PX_VOLUME</t>
        </is>
      </c>
      <c r="EQ3" s="5" t="inlineStr">
        <is>
          <t>OPEN_INT</t>
        </is>
      </c>
      <c r="ER3" s="5" t="inlineStr">
        <is>
          <t>IVOL_MID</t>
        </is>
      </c>
      <c r="ES3" s="5" t="inlineStr">
        <is>
          <t>IVOL_BID</t>
        </is>
      </c>
      <c r="ET3" s="5" t="inlineStr">
        <is>
          <t>IVOL_ASK</t>
        </is>
      </c>
      <c r="EU3" s="5" t="inlineStr">
        <is>
          <t>DELTA_MID</t>
        </is>
      </c>
      <c r="EV3" s="5" t="inlineStr">
        <is>
          <t>GAMMA_MID</t>
        </is>
      </c>
      <c r="EW3" s="5" t="inlineStr">
        <is>
          <t>VEGA_MID</t>
        </is>
      </c>
      <c r="EX3" s="5" t="inlineStr">
        <is>
          <t>THETA_MID</t>
        </is>
      </c>
      <c r="EY3" s="5" t="inlineStr">
        <is>
          <t>OPT_UNDL_PX</t>
        </is>
      </c>
      <c r="FA3" s="5" t="inlineStr">
        <is>
          <t>Date</t>
        </is>
      </c>
      <c r="FB3" s="5" t="inlineStr">
        <is>
          <t>PX_BID</t>
        </is>
      </c>
      <c r="FC3" s="5" t="inlineStr">
        <is>
          <t>PX_ASK</t>
        </is>
      </c>
      <c r="FD3" s="5" t="inlineStr">
        <is>
          <t>PX_MID</t>
        </is>
      </c>
      <c r="FE3" s="5" t="inlineStr">
        <is>
          <t>PX_LAST</t>
        </is>
      </c>
      <c r="FF3" s="5" t="inlineStr">
        <is>
          <t>PX_SETTLE</t>
        </is>
      </c>
      <c r="FG3" s="5" t="inlineStr">
        <is>
          <t>PX_VOLUME</t>
        </is>
      </c>
      <c r="FH3" s="5" t="inlineStr">
        <is>
          <t>OPEN_INT</t>
        </is>
      </c>
      <c r="FI3" s="5" t="inlineStr">
        <is>
          <t>IVOL_MID</t>
        </is>
      </c>
      <c r="FJ3" s="5" t="inlineStr">
        <is>
          <t>IVOL_BID</t>
        </is>
      </c>
      <c r="FK3" s="5" t="inlineStr">
        <is>
          <t>IVOL_ASK</t>
        </is>
      </c>
      <c r="FL3" s="5" t="inlineStr">
        <is>
          <t>DELTA_MID</t>
        </is>
      </c>
      <c r="FM3" s="5" t="inlineStr">
        <is>
          <t>GAMMA_MID</t>
        </is>
      </c>
      <c r="FN3" s="5" t="inlineStr">
        <is>
          <t>VEGA_MID</t>
        </is>
      </c>
      <c r="FO3" s="5" t="inlineStr">
        <is>
          <t>THETA_MID</t>
        </is>
      </c>
      <c r="FP3" s="5" t="inlineStr">
        <is>
          <t>OPT_UNDL_PX</t>
        </is>
      </c>
      <c r="FR3" s="5" t="inlineStr">
        <is>
          <t>Date</t>
        </is>
      </c>
      <c r="FS3" s="5" t="inlineStr">
        <is>
          <t>PX_BID</t>
        </is>
      </c>
      <c r="FT3" s="5" t="inlineStr">
        <is>
          <t>PX_ASK</t>
        </is>
      </c>
      <c r="FU3" s="5" t="inlineStr">
        <is>
          <t>PX_MID</t>
        </is>
      </c>
      <c r="FV3" s="5" t="inlineStr">
        <is>
          <t>PX_LAST</t>
        </is>
      </c>
      <c r="FW3" s="5" t="inlineStr">
        <is>
          <t>PX_SETTLE</t>
        </is>
      </c>
      <c r="FX3" s="5" t="inlineStr">
        <is>
          <t>PX_VOLUME</t>
        </is>
      </c>
      <c r="FY3" s="5" t="inlineStr">
        <is>
          <t>OPEN_INT</t>
        </is>
      </c>
      <c r="FZ3" s="5" t="inlineStr">
        <is>
          <t>IVOL_MID</t>
        </is>
      </c>
      <c r="GA3" s="5" t="inlineStr">
        <is>
          <t>IVOL_BID</t>
        </is>
      </c>
      <c r="GB3" s="5" t="inlineStr">
        <is>
          <t>IVOL_ASK</t>
        </is>
      </c>
      <c r="GC3" s="5" t="inlineStr">
        <is>
          <t>DELTA_MID</t>
        </is>
      </c>
      <c r="GD3" s="5" t="inlineStr">
        <is>
          <t>GAMMA_MID</t>
        </is>
      </c>
      <c r="GE3" s="5" t="inlineStr">
        <is>
          <t>VEGA_MID</t>
        </is>
      </c>
      <c r="GF3" s="5" t="inlineStr">
        <is>
          <t>THETA_MID</t>
        </is>
      </c>
      <c r="GG3" s="5" t="inlineStr">
        <is>
          <t>OPT_UNDL_PX</t>
        </is>
      </c>
      <c r="GI3" s="5" t="inlineStr">
        <is>
          <t>Date</t>
        </is>
      </c>
      <c r="GJ3" s="5" t="inlineStr">
        <is>
          <t>PX_BID</t>
        </is>
      </c>
      <c r="GK3" s="5" t="inlineStr">
        <is>
          <t>PX_ASK</t>
        </is>
      </c>
      <c r="GL3" s="5" t="inlineStr">
        <is>
          <t>PX_MID</t>
        </is>
      </c>
      <c r="GM3" s="5" t="inlineStr">
        <is>
          <t>PX_LAST</t>
        </is>
      </c>
      <c r="GN3" s="5" t="inlineStr">
        <is>
          <t>PX_SETTLE</t>
        </is>
      </c>
      <c r="GO3" s="5" t="inlineStr">
        <is>
          <t>PX_VOLUME</t>
        </is>
      </c>
      <c r="GP3" s="5" t="inlineStr">
        <is>
          <t>OPEN_INT</t>
        </is>
      </c>
      <c r="GQ3" s="5" t="inlineStr">
        <is>
          <t>IVOL_MID</t>
        </is>
      </c>
      <c r="GR3" s="5" t="inlineStr">
        <is>
          <t>IVOL_BID</t>
        </is>
      </c>
      <c r="GS3" s="5" t="inlineStr">
        <is>
          <t>IVOL_ASK</t>
        </is>
      </c>
      <c r="GT3" s="5" t="inlineStr">
        <is>
          <t>DELTA_MID</t>
        </is>
      </c>
      <c r="GU3" s="5" t="inlineStr">
        <is>
          <t>GAMMA_MID</t>
        </is>
      </c>
      <c r="GV3" s="5" t="inlineStr">
        <is>
          <t>VEGA_MID</t>
        </is>
      </c>
      <c r="GW3" s="5" t="inlineStr">
        <is>
          <t>THETA_MID</t>
        </is>
      </c>
      <c r="GX3" s="5" t="inlineStr">
        <is>
          <t>OPT_UNDL_PX</t>
        </is>
      </c>
      <c r="GZ3" s="5" t="inlineStr">
        <is>
          <t>Date</t>
        </is>
      </c>
      <c r="HA3" s="5" t="inlineStr">
        <is>
          <t>PX_BID</t>
        </is>
      </c>
      <c r="HB3" s="5" t="inlineStr">
        <is>
          <t>PX_ASK</t>
        </is>
      </c>
      <c r="HC3" s="5" t="inlineStr">
        <is>
          <t>PX_MID</t>
        </is>
      </c>
      <c r="HD3" s="5" t="inlineStr">
        <is>
          <t>PX_LAST</t>
        </is>
      </c>
      <c r="HE3" s="5" t="inlineStr">
        <is>
          <t>PX_SETTLE</t>
        </is>
      </c>
      <c r="HF3" s="5" t="inlineStr">
        <is>
          <t>PX_VOLUME</t>
        </is>
      </c>
      <c r="HG3" s="5" t="inlineStr">
        <is>
          <t>OPEN_INT</t>
        </is>
      </c>
      <c r="HH3" s="5" t="inlineStr">
        <is>
          <t>IVOL_MID</t>
        </is>
      </c>
      <c r="HI3" s="5" t="inlineStr">
        <is>
          <t>IVOL_BID</t>
        </is>
      </c>
      <c r="HJ3" s="5" t="inlineStr">
        <is>
          <t>IVOL_ASK</t>
        </is>
      </c>
      <c r="HK3" s="5" t="inlineStr">
        <is>
          <t>DELTA_MID</t>
        </is>
      </c>
      <c r="HL3" s="5" t="inlineStr">
        <is>
          <t>GAMMA_MID</t>
        </is>
      </c>
      <c r="HM3" s="5" t="inlineStr">
        <is>
          <t>VEGA_MID</t>
        </is>
      </c>
      <c r="HN3" s="5" t="inlineStr">
        <is>
          <t>THETA_MID</t>
        </is>
      </c>
      <c r="HO3" s="5" t="inlineStr">
        <is>
          <t>OPT_UNDL_PX</t>
        </is>
      </c>
      <c r="HQ3" s="5" t="inlineStr">
        <is>
          <t>Date</t>
        </is>
      </c>
      <c r="HR3" s="5" t="inlineStr">
        <is>
          <t>PX_BID</t>
        </is>
      </c>
      <c r="HS3" s="5" t="inlineStr">
        <is>
          <t>PX_ASK</t>
        </is>
      </c>
      <c r="HT3" s="5" t="inlineStr">
        <is>
          <t>PX_MID</t>
        </is>
      </c>
      <c r="HU3" s="5" t="inlineStr">
        <is>
          <t>PX_LAST</t>
        </is>
      </c>
      <c r="HV3" s="5" t="inlineStr">
        <is>
          <t>PX_SETTLE</t>
        </is>
      </c>
      <c r="HW3" s="5" t="inlineStr">
        <is>
          <t>PX_VOLUME</t>
        </is>
      </c>
      <c r="HX3" s="5" t="inlineStr">
        <is>
          <t>OPEN_INT</t>
        </is>
      </c>
      <c r="HY3" s="5" t="inlineStr">
        <is>
          <t>IVOL_MID</t>
        </is>
      </c>
      <c r="HZ3" s="5" t="inlineStr">
        <is>
          <t>IVOL_BID</t>
        </is>
      </c>
      <c r="IA3" s="5" t="inlineStr">
        <is>
          <t>IVOL_ASK</t>
        </is>
      </c>
      <c r="IB3" s="5" t="inlineStr">
        <is>
          <t>DELTA_MID</t>
        </is>
      </c>
      <c r="IC3" s="5" t="inlineStr">
        <is>
          <t>GAMMA_MID</t>
        </is>
      </c>
      <c r="ID3" s="5" t="inlineStr">
        <is>
          <t>VEGA_MID</t>
        </is>
      </c>
      <c r="IE3" s="5" t="inlineStr">
        <is>
          <t>THETA_MID</t>
        </is>
      </c>
      <c r="IF3" s="5" t="inlineStr">
        <is>
          <t>OPT_UNDL_PX</t>
        </is>
      </c>
      <c r="IH3" s="5" t="inlineStr">
        <is>
          <t>Date</t>
        </is>
      </c>
      <c r="II3" s="5" t="inlineStr">
        <is>
          <t>PX_BID</t>
        </is>
      </c>
      <c r="IJ3" s="5" t="inlineStr">
        <is>
          <t>PX_ASK</t>
        </is>
      </c>
      <c r="IK3" s="5" t="inlineStr">
        <is>
          <t>PX_MID</t>
        </is>
      </c>
      <c r="IL3" s="5" t="inlineStr">
        <is>
          <t>PX_LAST</t>
        </is>
      </c>
      <c r="IM3" s="5" t="inlineStr">
        <is>
          <t>PX_SETTLE</t>
        </is>
      </c>
      <c r="IN3" s="5" t="inlineStr">
        <is>
          <t>PX_VOLUME</t>
        </is>
      </c>
      <c r="IO3" s="5" t="inlineStr">
        <is>
          <t>OPEN_INT</t>
        </is>
      </c>
      <c r="IP3" s="5" t="inlineStr">
        <is>
          <t>IVOL_MID</t>
        </is>
      </c>
      <c r="IQ3" s="5" t="inlineStr">
        <is>
          <t>IVOL_BID</t>
        </is>
      </c>
      <c r="IR3" s="5" t="inlineStr">
        <is>
          <t>IVOL_ASK</t>
        </is>
      </c>
      <c r="IS3" s="5" t="inlineStr">
        <is>
          <t>DELTA_MID</t>
        </is>
      </c>
      <c r="IT3" s="5" t="inlineStr">
        <is>
          <t>GAMMA_MID</t>
        </is>
      </c>
      <c r="IU3" s="5" t="inlineStr">
        <is>
          <t>VEGA_MID</t>
        </is>
      </c>
      <c r="IV3" s="5" t="inlineStr">
        <is>
          <t>THETA_MID</t>
        </is>
      </c>
      <c r="IW3" s="5" t="inlineStr">
        <is>
          <t>OPT_UNDL_PX</t>
        </is>
      </c>
      <c r="IY3" s="5" t="inlineStr">
        <is>
          <t>Date</t>
        </is>
      </c>
      <c r="IZ3" s="5" t="inlineStr">
        <is>
          <t>PX_BID</t>
        </is>
      </c>
      <c r="JA3" s="5" t="inlineStr">
        <is>
          <t>PX_ASK</t>
        </is>
      </c>
      <c r="JB3" s="5" t="inlineStr">
        <is>
          <t>PX_MID</t>
        </is>
      </c>
      <c r="JC3" s="5" t="inlineStr">
        <is>
          <t>PX_LAST</t>
        </is>
      </c>
      <c r="JD3" s="5" t="inlineStr">
        <is>
          <t>PX_SETTLE</t>
        </is>
      </c>
      <c r="JE3" s="5" t="inlineStr">
        <is>
          <t>PX_VOLUME</t>
        </is>
      </c>
      <c r="JF3" s="5" t="inlineStr">
        <is>
          <t>OPEN_INT</t>
        </is>
      </c>
      <c r="JG3" s="5" t="inlineStr">
        <is>
          <t>IVOL_MID</t>
        </is>
      </c>
      <c r="JH3" s="5" t="inlineStr">
        <is>
          <t>IVOL_BID</t>
        </is>
      </c>
      <c r="JI3" s="5" t="inlineStr">
        <is>
          <t>IVOL_ASK</t>
        </is>
      </c>
      <c r="JJ3" s="5" t="inlineStr">
        <is>
          <t>DELTA_MID</t>
        </is>
      </c>
      <c r="JK3" s="5" t="inlineStr">
        <is>
          <t>GAMMA_MID</t>
        </is>
      </c>
      <c r="JL3" s="5" t="inlineStr">
        <is>
          <t>VEGA_MID</t>
        </is>
      </c>
      <c r="JM3" s="5" t="inlineStr">
        <is>
          <t>THETA_MID</t>
        </is>
      </c>
      <c r="JN3" s="5" t="inlineStr">
        <is>
          <t>OPT_UNDL_PX</t>
        </is>
      </c>
      <c r="JP3" s="5" t="inlineStr">
        <is>
          <t>Date</t>
        </is>
      </c>
      <c r="JQ3" s="5" t="inlineStr">
        <is>
          <t>PX_BID</t>
        </is>
      </c>
      <c r="JR3" s="5" t="inlineStr">
        <is>
          <t>PX_ASK</t>
        </is>
      </c>
      <c r="JS3" s="5" t="inlineStr">
        <is>
          <t>PX_MID</t>
        </is>
      </c>
      <c r="JT3" s="5" t="inlineStr">
        <is>
          <t>PX_LAST</t>
        </is>
      </c>
      <c r="JU3" s="5" t="inlineStr">
        <is>
          <t>PX_SETTLE</t>
        </is>
      </c>
      <c r="JV3" s="5" t="inlineStr">
        <is>
          <t>PX_VOLUME</t>
        </is>
      </c>
      <c r="JW3" s="5" t="inlineStr">
        <is>
          <t>OPEN_INT</t>
        </is>
      </c>
      <c r="JX3" s="5" t="inlineStr">
        <is>
          <t>IVOL_MID</t>
        </is>
      </c>
      <c r="JY3" s="5" t="inlineStr">
        <is>
          <t>IVOL_BID</t>
        </is>
      </c>
      <c r="JZ3" s="5" t="inlineStr">
        <is>
          <t>IVOL_ASK</t>
        </is>
      </c>
      <c r="KA3" s="5" t="inlineStr">
        <is>
          <t>DELTA_MID</t>
        </is>
      </c>
      <c r="KB3" s="5" t="inlineStr">
        <is>
          <t>GAMMA_MID</t>
        </is>
      </c>
      <c r="KC3" s="5" t="inlineStr">
        <is>
          <t>VEGA_MID</t>
        </is>
      </c>
      <c r="KD3" s="5" t="inlineStr">
        <is>
          <t>THETA_MID</t>
        </is>
      </c>
      <c r="KE3" s="5" t="inlineStr">
        <is>
          <t>OPT_UNDL_PX</t>
        </is>
      </c>
      <c r="KG3" s="5" t="inlineStr">
        <is>
          <t>Date</t>
        </is>
      </c>
      <c r="KH3" s="5" t="inlineStr">
        <is>
          <t>PX_BID</t>
        </is>
      </c>
      <c r="KI3" s="5" t="inlineStr">
        <is>
          <t>PX_ASK</t>
        </is>
      </c>
      <c r="KJ3" s="5" t="inlineStr">
        <is>
          <t>PX_MID</t>
        </is>
      </c>
      <c r="KK3" s="5" t="inlineStr">
        <is>
          <t>PX_LAST</t>
        </is>
      </c>
      <c r="KL3" s="5" t="inlineStr">
        <is>
          <t>PX_SETTLE</t>
        </is>
      </c>
      <c r="KM3" s="5" t="inlineStr">
        <is>
          <t>PX_VOLUME</t>
        </is>
      </c>
      <c r="KN3" s="5" t="inlineStr">
        <is>
          <t>OPEN_INT</t>
        </is>
      </c>
      <c r="KO3" s="5" t="inlineStr">
        <is>
          <t>IVOL_MID</t>
        </is>
      </c>
      <c r="KP3" s="5" t="inlineStr">
        <is>
          <t>IVOL_BID</t>
        </is>
      </c>
      <c r="KQ3" s="5" t="inlineStr">
        <is>
          <t>IVOL_ASK</t>
        </is>
      </c>
      <c r="KR3" s="5" t="inlineStr">
        <is>
          <t>DELTA_MID</t>
        </is>
      </c>
      <c r="KS3" s="5" t="inlineStr">
        <is>
          <t>GAMMA_MID</t>
        </is>
      </c>
      <c r="KT3" s="5" t="inlineStr">
        <is>
          <t>VEGA_MID</t>
        </is>
      </c>
      <c r="KU3" s="5" t="inlineStr">
        <is>
          <t>THETA_MID</t>
        </is>
      </c>
      <c r="KV3" s="5" t="inlineStr">
        <is>
          <t>OPT_UNDL_PX</t>
        </is>
      </c>
      <c r="KX3" s="5" t="inlineStr">
        <is>
          <t>Date</t>
        </is>
      </c>
      <c r="KY3" s="5" t="inlineStr">
        <is>
          <t>PX_BID</t>
        </is>
      </c>
      <c r="KZ3" s="5" t="inlineStr">
        <is>
          <t>PX_ASK</t>
        </is>
      </c>
      <c r="LA3" s="5" t="inlineStr">
        <is>
          <t>PX_MID</t>
        </is>
      </c>
      <c r="LB3" s="5" t="inlineStr">
        <is>
          <t>PX_LAST</t>
        </is>
      </c>
      <c r="LC3" s="5" t="inlineStr">
        <is>
          <t>PX_SETTLE</t>
        </is>
      </c>
      <c r="LD3" s="5" t="inlineStr">
        <is>
          <t>PX_VOLUME</t>
        </is>
      </c>
      <c r="LE3" s="5" t="inlineStr">
        <is>
          <t>OPEN_INT</t>
        </is>
      </c>
      <c r="LF3" s="5" t="inlineStr">
        <is>
          <t>IVOL_MID</t>
        </is>
      </c>
      <c r="LG3" s="5" t="inlineStr">
        <is>
          <t>IVOL_BID</t>
        </is>
      </c>
      <c r="LH3" s="5" t="inlineStr">
        <is>
          <t>IVOL_ASK</t>
        </is>
      </c>
      <c r="LI3" s="5" t="inlineStr">
        <is>
          <t>DELTA_MID</t>
        </is>
      </c>
      <c r="LJ3" s="5" t="inlineStr">
        <is>
          <t>GAMMA_MID</t>
        </is>
      </c>
      <c r="LK3" s="5" t="inlineStr">
        <is>
          <t>VEGA_MID</t>
        </is>
      </c>
      <c r="LL3" s="5" t="inlineStr">
        <is>
          <t>THETA_MID</t>
        </is>
      </c>
      <c r="LM3" s="5" t="inlineStr">
        <is>
          <t>OPT_UNDL_PX</t>
        </is>
      </c>
      <c r="LO3" s="5" t="inlineStr">
        <is>
          <t>Date</t>
        </is>
      </c>
      <c r="LP3" s="5" t="inlineStr">
        <is>
          <t>PX_BID</t>
        </is>
      </c>
      <c r="LQ3" s="5" t="inlineStr">
        <is>
          <t>PX_ASK</t>
        </is>
      </c>
      <c r="LR3" s="5" t="inlineStr">
        <is>
          <t>PX_MID</t>
        </is>
      </c>
      <c r="LS3" s="5" t="inlineStr">
        <is>
          <t>PX_LAST</t>
        </is>
      </c>
      <c r="LT3" s="5" t="inlineStr">
        <is>
          <t>PX_SETTLE</t>
        </is>
      </c>
      <c r="LU3" s="5" t="inlineStr">
        <is>
          <t>PX_VOLUME</t>
        </is>
      </c>
      <c r="LV3" s="5" t="inlineStr">
        <is>
          <t>OPEN_INT</t>
        </is>
      </c>
      <c r="LW3" s="5" t="inlineStr">
        <is>
          <t>IVOL_MID</t>
        </is>
      </c>
      <c r="LX3" s="5" t="inlineStr">
        <is>
          <t>IVOL_BID</t>
        </is>
      </c>
      <c r="LY3" s="5" t="inlineStr">
        <is>
          <t>IVOL_ASK</t>
        </is>
      </c>
      <c r="LZ3" s="5" t="inlineStr">
        <is>
          <t>DELTA_MID</t>
        </is>
      </c>
      <c r="MA3" s="5" t="inlineStr">
        <is>
          <t>GAMMA_MID</t>
        </is>
      </c>
      <c r="MB3" s="5" t="inlineStr">
        <is>
          <t>VEGA_MID</t>
        </is>
      </c>
      <c r="MC3" s="5" t="inlineStr">
        <is>
          <t>THETA_MID</t>
        </is>
      </c>
      <c r="MD3" s="5" t="inlineStr">
        <is>
          <t>OPT_UNDL_PX</t>
        </is>
      </c>
      <c r="MF3" s="5" t="inlineStr">
        <is>
          <t>Date</t>
        </is>
      </c>
      <c r="MG3" s="5" t="inlineStr">
        <is>
          <t>PX_BID</t>
        </is>
      </c>
      <c r="MH3" s="5" t="inlineStr">
        <is>
          <t>PX_ASK</t>
        </is>
      </c>
      <c r="MI3" s="5" t="inlineStr">
        <is>
          <t>PX_MID</t>
        </is>
      </c>
      <c r="MJ3" s="5" t="inlineStr">
        <is>
          <t>PX_LAST</t>
        </is>
      </c>
      <c r="MK3" s="5" t="inlineStr">
        <is>
          <t>PX_SETTLE</t>
        </is>
      </c>
      <c r="ML3" s="5" t="inlineStr">
        <is>
          <t>PX_VOLUME</t>
        </is>
      </c>
      <c r="MM3" s="5" t="inlineStr">
        <is>
          <t>OPEN_INT</t>
        </is>
      </c>
      <c r="MN3" s="5" t="inlineStr">
        <is>
          <t>IVOL_MID</t>
        </is>
      </c>
      <c r="MO3" s="5" t="inlineStr">
        <is>
          <t>IVOL_BID</t>
        </is>
      </c>
      <c r="MP3" s="5" t="inlineStr">
        <is>
          <t>IVOL_ASK</t>
        </is>
      </c>
      <c r="MQ3" s="5" t="inlineStr">
        <is>
          <t>DELTA_MID</t>
        </is>
      </c>
      <c r="MR3" s="5" t="inlineStr">
        <is>
          <t>GAMMA_MID</t>
        </is>
      </c>
      <c r="MS3" s="5" t="inlineStr">
        <is>
          <t>VEGA_MID</t>
        </is>
      </c>
      <c r="MT3" s="5" t="inlineStr">
        <is>
          <t>THETA_MID</t>
        </is>
      </c>
      <c r="MU3" s="5" t="inlineStr">
        <is>
          <t>OPT_UNDL_PX</t>
        </is>
      </c>
      <c r="MW3" s="5" t="inlineStr">
        <is>
          <t>Date</t>
        </is>
      </c>
      <c r="MX3" s="5" t="inlineStr">
        <is>
          <t>PX_BID</t>
        </is>
      </c>
      <c r="MY3" s="5" t="inlineStr">
        <is>
          <t>PX_ASK</t>
        </is>
      </c>
      <c r="MZ3" s="5" t="inlineStr">
        <is>
          <t>PX_MID</t>
        </is>
      </c>
      <c r="NA3" s="5" t="inlineStr">
        <is>
          <t>PX_LAST</t>
        </is>
      </c>
      <c r="NB3" s="5" t="inlineStr">
        <is>
          <t>PX_SETTLE</t>
        </is>
      </c>
      <c r="NC3" s="5" t="inlineStr">
        <is>
          <t>PX_VOLUME</t>
        </is>
      </c>
      <c r="ND3" s="5" t="inlineStr">
        <is>
          <t>OPEN_INT</t>
        </is>
      </c>
      <c r="NE3" s="5" t="inlineStr">
        <is>
          <t>IVOL_MID</t>
        </is>
      </c>
      <c r="NF3" s="5" t="inlineStr">
        <is>
          <t>IVOL_BID</t>
        </is>
      </c>
      <c r="NG3" s="5" t="inlineStr">
        <is>
          <t>IVOL_ASK</t>
        </is>
      </c>
      <c r="NH3" s="5" t="inlineStr">
        <is>
          <t>DELTA_MID</t>
        </is>
      </c>
      <c r="NI3" s="5" t="inlineStr">
        <is>
          <t>GAMMA_MID</t>
        </is>
      </c>
      <c r="NJ3" s="5" t="inlineStr">
        <is>
          <t>VEGA_MID</t>
        </is>
      </c>
      <c r="NK3" s="5" t="inlineStr">
        <is>
          <t>THETA_MID</t>
        </is>
      </c>
      <c r="NL3" s="5" t="inlineStr">
        <is>
          <t>OPT_UNDL_PX</t>
        </is>
      </c>
    </row>
    <row r="4">
      <c r="A4" s="2" t="inlineStr">
        <is>
          <t>Strike reference date</t>
        </is>
      </c>
      <c r="B4" s="8">
        <f>B3-45</f>
        <v/>
      </c>
      <c r="D4" s="4">
        <f>BDH(D$1,E$3:S$3,$B$8,$B$9,"Dir=V","Dts=S","Sort=A","Days=T","Fill=B")</f>
        <v/>
      </c>
      <c r="U4" s="4">
        <f>BDH(U$1,V$3:AJ$3,$B$8,$B$9,"Dir=V","Dts=S","Sort=A","Days=T","Fill=B")</f>
        <v/>
      </c>
      <c r="AL4" s="4">
        <f>BDH(AL$1,AM$3:BA$3,$B$8,$B$9,"Dir=V","Dts=S","Sort=A","Days=T","Fill=B")</f>
        <v/>
      </c>
      <c r="BC4" s="4">
        <f>BDH(BC$1,BD$3:BR$3,$B$8,$B$9,"Dir=V","Dts=S","Sort=A","Days=T","Fill=B")</f>
        <v/>
      </c>
      <c r="BT4" s="4">
        <f>BDH(BT$1,BU$3:CI$3,$B$8,$B$9,"Dir=V","Dts=S","Sort=A","Days=T","Fill=B")</f>
        <v/>
      </c>
      <c r="CK4" s="4">
        <f>BDH(CK$1,CL$3:CZ$3,$B$8,$B$9,"Dir=V","Dts=S","Sort=A","Days=T","Fill=B")</f>
        <v/>
      </c>
      <c r="DB4" s="4">
        <f>BDH(DB$1,DC$3:DQ$3,$B$8,$B$9,"Dir=V","Dts=S","Sort=A","Days=T","Fill=B")</f>
        <v/>
      </c>
      <c r="DS4" s="4">
        <f>BDH(DS$1,DT$3:EH$3,$B$8,$B$9,"Dir=V","Dts=S","Sort=A","Days=T","Fill=B")</f>
        <v/>
      </c>
      <c r="EJ4" s="4">
        <f>BDH(EJ$1,EK$3:EY$3,$B$8,$B$9,"Dir=V","Dts=S","Sort=A","Days=T","Fill=B")</f>
        <v/>
      </c>
      <c r="FA4" s="4">
        <f>BDH(FA$1,FB$3:FP$3,$B$8,$B$9,"Dir=V","Dts=S","Sort=A","Days=T","Fill=B")</f>
        <v/>
      </c>
      <c r="FR4" s="4">
        <f>BDH(FR$1,FS$3:GG$3,$B$8,$B$9,"Dir=V","Dts=S","Sort=A","Days=T","Fill=B")</f>
        <v/>
      </c>
      <c r="GI4" s="4">
        <f>BDH(GI$1,GJ$3:GX$3,$B$8,$B$9,"Dir=V","Dts=S","Sort=A","Days=T","Fill=B")</f>
        <v/>
      </c>
      <c r="GZ4" s="4">
        <f>BDH(GZ$1,HA$3:HO$3,$B$8,$B$9,"Dir=V","Dts=S","Sort=A","Days=T","Fill=B")</f>
        <v/>
      </c>
      <c r="HQ4" s="4">
        <f>BDH(HQ$1,HR$3:IF$3,$B$8,$B$9,"Dir=V","Dts=S","Sort=A","Days=T","Fill=B")</f>
        <v/>
      </c>
      <c r="IH4" s="4">
        <f>BDH(IH$1,II$3:IW$3,$B$8,$B$9,"Dir=V","Dts=S","Sort=A","Days=T","Fill=B")</f>
        <v/>
      </c>
      <c r="IY4" s="4">
        <f>BDH(IY$1,IZ$3:JN$3,$B$8,$B$9,"Dir=V","Dts=S","Sort=A","Days=T","Fill=B")</f>
        <v/>
      </c>
      <c r="JP4" s="4">
        <f>BDH(JP$1,JQ$3:KE$3,$B$8,$B$9,"Dir=V","Dts=S","Sort=A","Days=T","Fill=B")</f>
        <v/>
      </c>
      <c r="KG4" s="4">
        <f>BDH(KG$1,KH$3:KV$3,$B$8,$B$9,"Dir=V","Dts=S","Sort=A","Days=T","Fill=B")</f>
        <v/>
      </c>
      <c r="KX4" s="4">
        <f>BDH(KX$1,KY$3:LM$3,$B$8,$B$9,"Dir=V","Dts=S","Sort=A","Days=T","Fill=B")</f>
        <v/>
      </c>
      <c r="LO4" s="4">
        <f>BDH(LO$1,LP$3:MD$3,$B$8,$B$9,"Dir=V","Dts=S","Sort=A","Days=T","Fill=B")</f>
        <v/>
      </c>
      <c r="MF4" s="4">
        <f>BDH(MF$1,MG$3:MU$3,$B$8,$B$9,"Dir=V","Dts=S","Sort=A","Days=T","Fill=B")</f>
        <v/>
      </c>
      <c r="MW4" s="4">
        <f>BDH(MW$1,MX$3:NL$3,$B$8,$B$9,"Dir=V","Dts=S","Sort=A","Days=T","Fill=B")</f>
        <v/>
      </c>
    </row>
    <row r="5">
      <c r="A5" s="2" t="inlineStr">
        <is>
          <t>Unadjusted close then</t>
        </is>
      </c>
      <c r="B5" s="10">
        <f>IF(B2="","",BDH(B2,"PX_LAST",B4,B4,"Days=A","Fill=P","Dts=H","CshAdjNormal=N","CshAdjAbnormal=N","CapChg=N"))</f>
        <v/>
      </c>
    </row>
    <row r="6">
      <c r="A6" s="2" t="inlineStr">
        <is>
          <t>Strike step</t>
        </is>
      </c>
      <c r="B6" s="11">
        <f>IF(ISNUMBER(B5),IF(B5&lt;25,0.5,IF(B5&lt;250,1,5)),"")</f>
        <v/>
      </c>
    </row>
    <row r="7">
      <c r="A7" s="2" t="inlineStr">
        <is>
          <t>ATM strike</t>
        </is>
      </c>
      <c r="B7" s="11">
        <f>IF(ISNUMBER(B5),ROUND(B5/B6,0)*B6,"")</f>
        <v/>
      </c>
    </row>
    <row r="8">
      <c r="A8" s="2" t="inlineStr">
        <is>
          <t>History start</t>
        </is>
      </c>
      <c r="B8" s="8">
        <f>B3-100</f>
        <v/>
      </c>
    </row>
    <row r="9">
      <c r="A9" s="2" t="inlineStr">
        <is>
          <t>History end</t>
        </is>
      </c>
      <c r="B9" s="8">
        <f>B3</f>
        <v/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NL9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2" customWidth="1" min="2" max="2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1" customWidth="1" min="15" max="15"/>
    <col width="11" customWidth="1" min="16" max="16"/>
    <col width="10" customWidth="1" min="17" max="17"/>
    <col width="11" customWidth="1" min="18" max="18"/>
    <col width="13" customWidth="1" min="19" max="19"/>
    <col width="12" customWidth="1" min="21" max="21"/>
    <col width="10" customWidth="1" min="22" max="22"/>
    <col width="10" customWidth="1" min="23" max="23"/>
    <col width="10" customWidth="1" min="24" max="24"/>
    <col width="10" customWidth="1" min="25" max="25"/>
    <col width="11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1" customWidth="1" min="32" max="32"/>
    <col width="11" customWidth="1" min="33" max="33"/>
    <col width="10" customWidth="1" min="34" max="34"/>
    <col width="11" customWidth="1" min="35" max="35"/>
    <col width="13" customWidth="1" min="36" max="36"/>
    <col width="12" customWidth="1" min="38" max="38"/>
    <col width="10" customWidth="1" min="39" max="39"/>
    <col width="10" customWidth="1" min="40" max="40"/>
    <col width="10" customWidth="1" min="41" max="41"/>
    <col width="10" customWidth="1" min="42" max="42"/>
    <col width="11" customWidth="1" min="43" max="43"/>
    <col width="11" customWidth="1" min="44" max="44"/>
    <col width="10" customWidth="1" min="45" max="45"/>
    <col width="10" customWidth="1" min="46" max="46"/>
    <col width="10" customWidth="1" min="47" max="47"/>
    <col width="10" customWidth="1" min="48" max="48"/>
    <col width="11" customWidth="1" min="49" max="49"/>
    <col width="11" customWidth="1" min="50" max="50"/>
    <col width="10" customWidth="1" min="51" max="51"/>
    <col width="11" customWidth="1" min="52" max="52"/>
    <col width="13" customWidth="1" min="53" max="53"/>
    <col width="12" customWidth="1" min="55" max="55"/>
    <col width="10" customWidth="1" min="56" max="56"/>
    <col width="10" customWidth="1" min="57" max="57"/>
    <col width="10" customWidth="1" min="58" max="58"/>
    <col width="10" customWidth="1" min="59" max="59"/>
    <col width="11" customWidth="1" min="60" max="60"/>
    <col width="11" customWidth="1" min="61" max="61"/>
    <col width="10" customWidth="1" min="62" max="62"/>
    <col width="10" customWidth="1" min="63" max="63"/>
    <col width="10" customWidth="1" min="64" max="64"/>
    <col width="10" customWidth="1" min="65" max="65"/>
    <col width="11" customWidth="1" min="66" max="66"/>
    <col width="11" customWidth="1" min="67" max="67"/>
    <col width="10" customWidth="1" min="68" max="68"/>
    <col width="11" customWidth="1" min="69" max="69"/>
    <col width="13" customWidth="1" min="70" max="70"/>
    <col width="12" customWidth="1" min="72" max="72"/>
    <col width="10" customWidth="1" min="73" max="73"/>
    <col width="10" customWidth="1" min="74" max="74"/>
    <col width="10" customWidth="1" min="75" max="75"/>
    <col width="10" customWidth="1" min="76" max="76"/>
    <col width="11" customWidth="1" min="77" max="77"/>
    <col width="11" customWidth="1" min="78" max="78"/>
    <col width="10" customWidth="1" min="79" max="79"/>
    <col width="10" customWidth="1" min="80" max="80"/>
    <col width="10" customWidth="1" min="81" max="81"/>
    <col width="10" customWidth="1" min="82" max="82"/>
    <col width="11" customWidth="1" min="83" max="83"/>
    <col width="11" customWidth="1" min="84" max="84"/>
    <col width="10" customWidth="1" min="85" max="85"/>
    <col width="11" customWidth="1" min="86" max="86"/>
    <col width="13" customWidth="1" min="87" max="87"/>
    <col width="12" customWidth="1" min="89" max="89"/>
    <col width="10" customWidth="1" min="90" max="90"/>
    <col width="10" customWidth="1" min="91" max="91"/>
    <col width="10" customWidth="1" min="92" max="92"/>
    <col width="10" customWidth="1" min="93" max="93"/>
    <col width="11" customWidth="1" min="94" max="94"/>
    <col width="11" customWidth="1" min="95" max="95"/>
    <col width="10" customWidth="1" min="96" max="96"/>
    <col width="10" customWidth="1" min="97" max="97"/>
    <col width="10" customWidth="1" min="98" max="98"/>
    <col width="10" customWidth="1" min="99" max="99"/>
    <col width="11" customWidth="1" min="100" max="100"/>
    <col width="11" customWidth="1" min="101" max="101"/>
    <col width="10" customWidth="1" min="102" max="102"/>
    <col width="11" customWidth="1" min="103" max="103"/>
    <col width="13" customWidth="1" min="104" max="104"/>
    <col width="12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1" customWidth="1" min="111" max="111"/>
    <col width="11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1" customWidth="1" min="117" max="117"/>
    <col width="11" customWidth="1" min="118" max="118"/>
    <col width="10" customWidth="1" min="119" max="119"/>
    <col width="11" customWidth="1" min="120" max="120"/>
    <col width="13" customWidth="1" min="121" max="121"/>
    <col width="12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1" customWidth="1" min="128" max="128"/>
    <col width="11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1" customWidth="1" min="134" max="134"/>
    <col width="11" customWidth="1" min="135" max="135"/>
    <col width="10" customWidth="1" min="136" max="136"/>
    <col width="11" customWidth="1" min="137" max="137"/>
    <col width="13" customWidth="1" min="138" max="138"/>
    <col width="12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1" customWidth="1" min="145" max="145"/>
    <col width="11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1" customWidth="1" min="151" max="151"/>
    <col width="11" customWidth="1" min="152" max="152"/>
    <col width="10" customWidth="1" min="153" max="153"/>
    <col width="11" customWidth="1" min="154" max="154"/>
    <col width="13" customWidth="1" min="155" max="155"/>
    <col width="12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1" customWidth="1" min="162" max="162"/>
    <col width="11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1" customWidth="1" min="168" max="168"/>
    <col width="11" customWidth="1" min="169" max="169"/>
    <col width="10" customWidth="1" min="170" max="170"/>
    <col width="11" customWidth="1" min="171" max="171"/>
    <col width="13" customWidth="1" min="172" max="172"/>
    <col width="12" customWidth="1" min="174" max="174"/>
    <col width="10" customWidth="1" min="175" max="175"/>
    <col width="10" customWidth="1" min="176" max="176"/>
    <col width="10" customWidth="1" min="177" max="177"/>
    <col width="10" customWidth="1" min="178" max="178"/>
    <col width="11" customWidth="1" min="179" max="179"/>
    <col width="11" customWidth="1" min="180" max="180"/>
    <col width="10" customWidth="1" min="181" max="181"/>
    <col width="10" customWidth="1" min="182" max="182"/>
    <col width="10" customWidth="1" min="183" max="183"/>
    <col width="10" customWidth="1" min="184" max="184"/>
    <col width="11" customWidth="1" min="185" max="185"/>
    <col width="11" customWidth="1" min="186" max="186"/>
    <col width="10" customWidth="1" min="187" max="187"/>
    <col width="11" customWidth="1" min="188" max="188"/>
    <col width="13" customWidth="1" min="189" max="189"/>
    <col width="12" customWidth="1" min="191" max="191"/>
    <col width="10" customWidth="1" min="192" max="192"/>
    <col width="10" customWidth="1" min="193" max="193"/>
    <col width="10" customWidth="1" min="194" max="194"/>
    <col width="10" customWidth="1" min="195" max="195"/>
    <col width="11" customWidth="1" min="196" max="196"/>
    <col width="11" customWidth="1" min="197" max="197"/>
    <col width="10" customWidth="1" min="198" max="198"/>
    <col width="10" customWidth="1" min="199" max="199"/>
    <col width="10" customWidth="1" min="200" max="200"/>
    <col width="10" customWidth="1" min="201" max="201"/>
    <col width="11" customWidth="1" min="202" max="202"/>
    <col width="11" customWidth="1" min="203" max="203"/>
    <col width="10" customWidth="1" min="204" max="204"/>
    <col width="11" customWidth="1" min="205" max="205"/>
    <col width="13" customWidth="1" min="206" max="206"/>
    <col width="12" customWidth="1" min="208" max="208"/>
    <col width="10" customWidth="1" min="209" max="209"/>
    <col width="10" customWidth="1" min="210" max="210"/>
    <col width="10" customWidth="1" min="211" max="211"/>
    <col width="10" customWidth="1" min="212" max="212"/>
    <col width="11" customWidth="1" min="213" max="213"/>
    <col width="11" customWidth="1" min="214" max="214"/>
    <col width="10" customWidth="1" min="215" max="215"/>
    <col width="10" customWidth="1" min="216" max="216"/>
    <col width="10" customWidth="1" min="217" max="217"/>
    <col width="10" customWidth="1" min="218" max="218"/>
    <col width="11" customWidth="1" min="219" max="219"/>
    <col width="11" customWidth="1" min="220" max="220"/>
    <col width="10" customWidth="1" min="221" max="221"/>
    <col width="11" customWidth="1" min="222" max="222"/>
    <col width="13" customWidth="1" min="223" max="223"/>
    <col width="12" customWidth="1" min="225" max="225"/>
    <col width="10" customWidth="1" min="226" max="226"/>
    <col width="10" customWidth="1" min="227" max="227"/>
    <col width="10" customWidth="1" min="228" max="228"/>
    <col width="10" customWidth="1" min="229" max="229"/>
    <col width="11" customWidth="1" min="230" max="230"/>
    <col width="11" customWidth="1" min="231" max="231"/>
    <col width="10" customWidth="1" min="232" max="232"/>
    <col width="10" customWidth="1" min="233" max="233"/>
    <col width="10" customWidth="1" min="234" max="234"/>
    <col width="10" customWidth="1" min="235" max="235"/>
    <col width="11" customWidth="1" min="236" max="236"/>
    <col width="11" customWidth="1" min="237" max="237"/>
    <col width="10" customWidth="1" min="238" max="238"/>
    <col width="11" customWidth="1" min="239" max="239"/>
    <col width="13" customWidth="1" min="240" max="240"/>
    <col width="12" customWidth="1" min="242" max="242"/>
    <col width="10" customWidth="1" min="243" max="243"/>
    <col width="10" customWidth="1" min="244" max="244"/>
    <col width="10" customWidth="1" min="245" max="245"/>
    <col width="10" customWidth="1" min="246" max="246"/>
    <col width="11" customWidth="1" min="247" max="247"/>
    <col width="11" customWidth="1" min="248" max="248"/>
    <col width="10" customWidth="1" min="249" max="249"/>
    <col width="10" customWidth="1" min="250" max="250"/>
    <col width="10" customWidth="1" min="251" max="251"/>
    <col width="10" customWidth="1" min="252" max="252"/>
    <col width="11" customWidth="1" min="253" max="253"/>
    <col width="11" customWidth="1" min="254" max="254"/>
    <col width="10" customWidth="1" min="255" max="255"/>
    <col width="11" customWidth="1" min="256" max="256"/>
    <col width="13" customWidth="1" min="257" max="257"/>
    <col width="12" customWidth="1" min="259" max="259"/>
    <col width="10" customWidth="1" min="260" max="260"/>
    <col width="10" customWidth="1" min="261" max="261"/>
    <col width="10" customWidth="1" min="262" max="262"/>
    <col width="10" customWidth="1" min="263" max="263"/>
    <col width="11" customWidth="1" min="264" max="264"/>
    <col width="11" customWidth="1" min="265" max="265"/>
    <col width="10" customWidth="1" min="266" max="266"/>
    <col width="10" customWidth="1" min="267" max="267"/>
    <col width="10" customWidth="1" min="268" max="268"/>
    <col width="10" customWidth="1" min="269" max="269"/>
    <col width="11" customWidth="1" min="270" max="270"/>
    <col width="11" customWidth="1" min="271" max="271"/>
    <col width="10" customWidth="1" min="272" max="272"/>
    <col width="11" customWidth="1" min="273" max="273"/>
    <col width="13" customWidth="1" min="274" max="274"/>
    <col width="12" customWidth="1" min="276" max="276"/>
    <col width="10" customWidth="1" min="277" max="277"/>
    <col width="10" customWidth="1" min="278" max="278"/>
    <col width="10" customWidth="1" min="279" max="279"/>
    <col width="10" customWidth="1" min="280" max="280"/>
    <col width="11" customWidth="1" min="281" max="281"/>
    <col width="11" customWidth="1" min="282" max="282"/>
    <col width="10" customWidth="1" min="283" max="283"/>
    <col width="10" customWidth="1" min="284" max="284"/>
    <col width="10" customWidth="1" min="285" max="285"/>
    <col width="10" customWidth="1" min="286" max="286"/>
    <col width="11" customWidth="1" min="287" max="287"/>
    <col width="11" customWidth="1" min="288" max="288"/>
    <col width="10" customWidth="1" min="289" max="289"/>
    <col width="11" customWidth="1" min="290" max="290"/>
    <col width="13" customWidth="1" min="291" max="291"/>
    <col width="12" customWidth="1" min="293" max="293"/>
    <col width="10" customWidth="1" min="294" max="294"/>
    <col width="10" customWidth="1" min="295" max="295"/>
    <col width="10" customWidth="1" min="296" max="296"/>
    <col width="10" customWidth="1" min="297" max="297"/>
    <col width="11" customWidth="1" min="298" max="298"/>
    <col width="11" customWidth="1" min="299" max="299"/>
    <col width="10" customWidth="1" min="300" max="300"/>
    <col width="10" customWidth="1" min="301" max="301"/>
    <col width="10" customWidth="1" min="302" max="302"/>
    <col width="10" customWidth="1" min="303" max="303"/>
    <col width="11" customWidth="1" min="304" max="304"/>
    <col width="11" customWidth="1" min="305" max="305"/>
    <col width="10" customWidth="1" min="306" max="306"/>
    <col width="11" customWidth="1" min="307" max="307"/>
    <col width="13" customWidth="1" min="308" max="308"/>
    <col width="12" customWidth="1" min="310" max="310"/>
    <col width="10" customWidth="1" min="311" max="311"/>
    <col width="10" customWidth="1" min="312" max="312"/>
    <col width="10" customWidth="1" min="313" max="313"/>
    <col width="10" customWidth="1" min="314" max="314"/>
    <col width="11" customWidth="1" min="315" max="315"/>
    <col width="11" customWidth="1" min="316" max="316"/>
    <col width="10" customWidth="1" min="317" max="317"/>
    <col width="10" customWidth="1" min="318" max="318"/>
    <col width="10" customWidth="1" min="319" max="319"/>
    <col width="10" customWidth="1" min="320" max="320"/>
    <col width="11" customWidth="1" min="321" max="321"/>
    <col width="11" customWidth="1" min="322" max="322"/>
    <col width="10" customWidth="1" min="323" max="323"/>
    <col width="11" customWidth="1" min="324" max="324"/>
    <col width="13" customWidth="1" min="325" max="325"/>
    <col width="12" customWidth="1" min="327" max="327"/>
    <col width="10" customWidth="1" min="328" max="328"/>
    <col width="10" customWidth="1" min="329" max="329"/>
    <col width="10" customWidth="1" min="330" max="330"/>
    <col width="10" customWidth="1" min="331" max="331"/>
    <col width="11" customWidth="1" min="332" max="332"/>
    <col width="11" customWidth="1" min="333" max="333"/>
    <col width="10" customWidth="1" min="334" max="334"/>
    <col width="10" customWidth="1" min="335" max="335"/>
    <col width="10" customWidth="1" min="336" max="336"/>
    <col width="10" customWidth="1" min="337" max="337"/>
    <col width="11" customWidth="1" min="338" max="338"/>
    <col width="11" customWidth="1" min="339" max="339"/>
    <col width="10" customWidth="1" min="340" max="340"/>
    <col width="11" customWidth="1" min="341" max="341"/>
    <col width="13" customWidth="1" min="342" max="342"/>
    <col width="12" customWidth="1" min="344" max="344"/>
    <col width="10" customWidth="1" min="345" max="345"/>
    <col width="10" customWidth="1" min="346" max="346"/>
    <col width="10" customWidth="1" min="347" max="347"/>
    <col width="10" customWidth="1" min="348" max="348"/>
    <col width="11" customWidth="1" min="349" max="349"/>
    <col width="11" customWidth="1" min="350" max="350"/>
    <col width="10" customWidth="1" min="351" max="351"/>
    <col width="10" customWidth="1" min="352" max="352"/>
    <col width="10" customWidth="1" min="353" max="353"/>
    <col width="10" customWidth="1" min="354" max="354"/>
    <col width="11" customWidth="1" min="355" max="355"/>
    <col width="11" customWidth="1" min="356" max="356"/>
    <col width="10" customWidth="1" min="357" max="357"/>
    <col width="11" customWidth="1" min="358" max="358"/>
    <col width="13" customWidth="1" min="359" max="359"/>
    <col width="12" customWidth="1" min="361" max="361"/>
    <col width="10" customWidth="1" min="362" max="362"/>
    <col width="10" customWidth="1" min="363" max="363"/>
    <col width="10" customWidth="1" min="364" max="364"/>
    <col width="10" customWidth="1" min="365" max="365"/>
    <col width="11" customWidth="1" min="366" max="366"/>
    <col width="11" customWidth="1" min="367" max="367"/>
    <col width="10" customWidth="1" min="368" max="368"/>
    <col width="10" customWidth="1" min="369" max="369"/>
    <col width="10" customWidth="1" min="370" max="370"/>
    <col width="10" customWidth="1" min="371" max="371"/>
    <col width="11" customWidth="1" min="372" max="372"/>
    <col width="11" customWidth="1" min="373" max="373"/>
    <col width="10" customWidth="1" min="374" max="374"/>
    <col width="11" customWidth="1" min="375" max="375"/>
    <col width="13" customWidth="1" min="376" max="376"/>
  </cols>
  <sheetData>
    <row r="1">
      <c r="A1" s="2" t="inlineStr">
        <is>
          <t>Month</t>
        </is>
      </c>
      <c r="B1" s="9" t="n">
        <v>9</v>
      </c>
      <c r="D1" s="2">
        <f>IF(ISNUMBER(B$7),"XOP US "&amp;TEXT(B$3,"mm/dd/yy")&amp;" C"&amp;(B$7-5*B$6)&amp;" Equity","")</f>
        <v/>
      </c>
      <c r="U1" s="2">
        <f>IF(ISNUMBER(B$7),"XOP US "&amp;TEXT(B$3,"mm/dd/yy")&amp;" P"&amp;(B$7-5*B$6)&amp;" Equity","")</f>
        <v/>
      </c>
      <c r="AL1" s="2">
        <f>IF(ISNUMBER(B$7),"XOP US "&amp;TEXT(B$3,"mm/dd/yy")&amp;" C"&amp;(B$7-4*B$6)&amp;" Equity","")</f>
        <v/>
      </c>
      <c r="BC1" s="2">
        <f>IF(ISNUMBER(B$7),"XOP US "&amp;TEXT(B$3,"mm/dd/yy")&amp;" P"&amp;(B$7-4*B$6)&amp;" Equity","")</f>
        <v/>
      </c>
      <c r="BT1" s="2">
        <f>IF(ISNUMBER(B$7),"XOP US "&amp;TEXT(B$3,"mm/dd/yy")&amp;" C"&amp;(B$7-3*B$6)&amp;" Equity","")</f>
        <v/>
      </c>
      <c r="CK1" s="2">
        <f>IF(ISNUMBER(B$7),"XOP US "&amp;TEXT(B$3,"mm/dd/yy")&amp;" P"&amp;(B$7-3*B$6)&amp;" Equity","")</f>
        <v/>
      </c>
      <c r="DB1" s="2">
        <f>IF(ISNUMBER(B$7),"XOP US "&amp;TEXT(B$3,"mm/dd/yy")&amp;" C"&amp;(B$7-2*B$6)&amp;" Equity","")</f>
        <v/>
      </c>
      <c r="DS1" s="2">
        <f>IF(ISNUMBER(B$7),"XOP US "&amp;TEXT(B$3,"mm/dd/yy")&amp;" P"&amp;(B$7-2*B$6)&amp;" Equity","")</f>
        <v/>
      </c>
      <c r="EJ1" s="2">
        <f>IF(ISNUMBER(B$7),"XOP US "&amp;TEXT(B$3,"mm/dd/yy")&amp;" C"&amp;(B$7-1*B$6)&amp;" Equity","")</f>
        <v/>
      </c>
      <c r="FA1" s="2">
        <f>IF(ISNUMBER(B$7),"XOP US "&amp;TEXT(B$3,"mm/dd/yy")&amp;" P"&amp;(B$7-1*B$6)&amp;" Equity","")</f>
        <v/>
      </c>
      <c r="FR1" s="2">
        <f>IF(ISNUMBER(B$7),"XOP US "&amp;TEXT(B$3,"mm/dd/yy")&amp;" C"&amp;B$7&amp;" Equity","")</f>
        <v/>
      </c>
      <c r="GI1" s="2">
        <f>IF(ISNUMBER(B$7),"XOP US "&amp;TEXT(B$3,"mm/dd/yy")&amp;" P"&amp;B$7&amp;" Equity","")</f>
        <v/>
      </c>
      <c r="GZ1" s="2">
        <f>IF(ISNUMBER(B$7),"XOP US "&amp;TEXT(B$3,"mm/dd/yy")&amp;" C"&amp;(B$7+1*B$6)&amp;" Equity","")</f>
        <v/>
      </c>
      <c r="HQ1" s="2">
        <f>IF(ISNUMBER(B$7),"XOP US "&amp;TEXT(B$3,"mm/dd/yy")&amp;" P"&amp;(B$7+1*B$6)&amp;" Equity","")</f>
        <v/>
      </c>
      <c r="IH1" s="2">
        <f>IF(ISNUMBER(B$7),"XOP US "&amp;TEXT(B$3,"mm/dd/yy")&amp;" C"&amp;(B$7+2*B$6)&amp;" Equity","")</f>
        <v/>
      </c>
      <c r="IY1" s="2">
        <f>IF(ISNUMBER(B$7),"XOP US "&amp;TEXT(B$3,"mm/dd/yy")&amp;" P"&amp;(B$7+2*B$6)&amp;" Equity","")</f>
        <v/>
      </c>
      <c r="JP1" s="2">
        <f>IF(ISNUMBER(B$7),"XOP US "&amp;TEXT(B$3,"mm/dd/yy")&amp;" C"&amp;(B$7+3*B$6)&amp;" Equity","")</f>
        <v/>
      </c>
      <c r="KG1" s="2">
        <f>IF(ISNUMBER(B$7),"XOP US "&amp;TEXT(B$3,"mm/dd/yy")&amp;" P"&amp;(B$7+3*B$6)&amp;" Equity","")</f>
        <v/>
      </c>
      <c r="KX1" s="2">
        <f>IF(ISNUMBER(B$7),"XOP US "&amp;TEXT(B$3,"mm/dd/yy")&amp;" C"&amp;(B$7+4*B$6)&amp;" Equity","")</f>
        <v/>
      </c>
      <c r="LO1" s="2">
        <f>IF(ISNUMBER(B$7),"XOP US "&amp;TEXT(B$3,"mm/dd/yy")&amp;" P"&amp;(B$7+4*B$6)&amp;" Equity","")</f>
        <v/>
      </c>
      <c r="MF1" s="2">
        <f>IF(ISNUMBER(B$7),"XOP US "&amp;TEXT(B$3,"mm/dd/yy")&amp;" C"&amp;(B$7+5*B$6)&amp;" Equity","")</f>
        <v/>
      </c>
      <c r="MW1" s="2">
        <f>IF(ISNUMBER(B$7),"XOP US "&amp;TEXT(B$3,"mm/dd/yy")&amp;" P"&amp;(B$7+5*B$6)&amp;" Equity","")</f>
        <v/>
      </c>
    </row>
    <row r="2">
      <c r="A2" s="2" t="inlineStr">
        <is>
          <t>Underlying</t>
        </is>
      </c>
      <c r="B2" s="4">
        <f>IF(Settings!$B$17="Y","XOP US Equity","")</f>
        <v/>
      </c>
      <c r="D2" s="4" t="inlineStr">
        <is>
          <t>call -5 from ATM</t>
        </is>
      </c>
      <c r="U2" s="4" t="inlineStr">
        <is>
          <t>put -5 from ATM</t>
        </is>
      </c>
      <c r="AL2" s="4" t="inlineStr">
        <is>
          <t>call -4 from ATM</t>
        </is>
      </c>
      <c r="BC2" s="4" t="inlineStr">
        <is>
          <t>put -4 from ATM</t>
        </is>
      </c>
      <c r="BT2" s="4" t="inlineStr">
        <is>
          <t>call -3 from ATM</t>
        </is>
      </c>
      <c r="CK2" s="4" t="inlineStr">
        <is>
          <t>put -3 from ATM</t>
        </is>
      </c>
      <c r="DB2" s="4" t="inlineStr">
        <is>
          <t>call -2 from ATM</t>
        </is>
      </c>
      <c r="DS2" s="4" t="inlineStr">
        <is>
          <t>put -2 from ATM</t>
        </is>
      </c>
      <c r="EJ2" s="4" t="inlineStr">
        <is>
          <t>call -1 from ATM</t>
        </is>
      </c>
      <c r="FA2" s="4" t="inlineStr">
        <is>
          <t>put -1 from ATM</t>
        </is>
      </c>
      <c r="FR2" s="4" t="inlineStr">
        <is>
          <t>call +0 from ATM</t>
        </is>
      </c>
      <c r="GI2" s="4" t="inlineStr">
        <is>
          <t>put +0 from ATM</t>
        </is>
      </c>
      <c r="GZ2" s="4" t="inlineStr">
        <is>
          <t>call +1 from ATM</t>
        </is>
      </c>
      <c r="HQ2" s="4" t="inlineStr">
        <is>
          <t>put +1 from ATM</t>
        </is>
      </c>
      <c r="IH2" s="4" t="inlineStr">
        <is>
          <t>call +2 from ATM</t>
        </is>
      </c>
      <c r="IY2" s="4" t="inlineStr">
        <is>
          <t>put +2 from ATM</t>
        </is>
      </c>
      <c r="JP2" s="4" t="inlineStr">
        <is>
          <t>call +3 from ATM</t>
        </is>
      </c>
      <c r="KG2" s="4" t="inlineStr">
        <is>
          <t>put +3 from ATM</t>
        </is>
      </c>
      <c r="KX2" s="4" t="inlineStr">
        <is>
          <t>call +4 from ATM</t>
        </is>
      </c>
      <c r="LO2" s="4" t="inlineStr">
        <is>
          <t>put +4 from ATM</t>
        </is>
      </c>
      <c r="MF2" s="4" t="inlineStr">
        <is>
          <t>call +5 from ATM</t>
        </is>
      </c>
      <c r="MW2" s="4" t="inlineStr">
        <is>
          <t>put +5 from ATM</t>
        </is>
      </c>
    </row>
    <row r="3">
      <c r="A3" s="2" t="inlineStr">
        <is>
          <t>Expiry (3rd Friday)</t>
        </is>
      </c>
      <c r="B3" s="3">
        <f>DATE(Settings!$E$17,B1,15)+MOD(6-WEEKDAY(DATE(Settings!$E$17,B1,15)),7)</f>
        <v/>
      </c>
      <c r="D3" s="5" t="inlineStr">
        <is>
          <t>Date</t>
        </is>
      </c>
      <c r="E3" s="5" t="inlineStr">
        <is>
          <t>PX_BID</t>
        </is>
      </c>
      <c r="F3" s="5" t="inlineStr">
        <is>
          <t>PX_ASK</t>
        </is>
      </c>
      <c r="G3" s="5" t="inlineStr">
        <is>
          <t>PX_MID</t>
        </is>
      </c>
      <c r="H3" s="5" t="inlineStr">
        <is>
          <t>PX_LAST</t>
        </is>
      </c>
      <c r="I3" s="5" t="inlineStr">
        <is>
          <t>PX_SETTLE</t>
        </is>
      </c>
      <c r="J3" s="5" t="inlineStr">
        <is>
          <t>PX_VOLUME</t>
        </is>
      </c>
      <c r="K3" s="5" t="inlineStr">
        <is>
          <t>OPEN_INT</t>
        </is>
      </c>
      <c r="L3" s="5" t="inlineStr">
        <is>
          <t>IVOL_MID</t>
        </is>
      </c>
      <c r="M3" s="5" t="inlineStr">
        <is>
          <t>IVOL_BID</t>
        </is>
      </c>
      <c r="N3" s="5" t="inlineStr">
        <is>
          <t>IVOL_ASK</t>
        </is>
      </c>
      <c r="O3" s="5" t="inlineStr">
        <is>
          <t>DELTA_MID</t>
        </is>
      </c>
      <c r="P3" s="5" t="inlineStr">
        <is>
          <t>GAMMA_MID</t>
        </is>
      </c>
      <c r="Q3" s="5" t="inlineStr">
        <is>
          <t>VEGA_MID</t>
        </is>
      </c>
      <c r="R3" s="5" t="inlineStr">
        <is>
          <t>THETA_MID</t>
        </is>
      </c>
      <c r="S3" s="5" t="inlineStr">
        <is>
          <t>OPT_UNDL_PX</t>
        </is>
      </c>
      <c r="U3" s="5" t="inlineStr">
        <is>
          <t>Date</t>
        </is>
      </c>
      <c r="V3" s="5" t="inlineStr">
        <is>
          <t>PX_BID</t>
        </is>
      </c>
      <c r="W3" s="5" t="inlineStr">
        <is>
          <t>PX_ASK</t>
        </is>
      </c>
      <c r="X3" s="5" t="inlineStr">
        <is>
          <t>PX_MID</t>
        </is>
      </c>
      <c r="Y3" s="5" t="inlineStr">
        <is>
          <t>PX_LAST</t>
        </is>
      </c>
      <c r="Z3" s="5" t="inlineStr">
        <is>
          <t>PX_SETTLE</t>
        </is>
      </c>
      <c r="AA3" s="5" t="inlineStr">
        <is>
          <t>PX_VOLUME</t>
        </is>
      </c>
      <c r="AB3" s="5" t="inlineStr">
        <is>
          <t>OPEN_INT</t>
        </is>
      </c>
      <c r="AC3" s="5" t="inlineStr">
        <is>
          <t>IVOL_MID</t>
        </is>
      </c>
      <c r="AD3" s="5" t="inlineStr">
        <is>
          <t>IVOL_BID</t>
        </is>
      </c>
      <c r="AE3" s="5" t="inlineStr">
        <is>
          <t>IVOL_ASK</t>
        </is>
      </c>
      <c r="AF3" s="5" t="inlineStr">
        <is>
          <t>DELTA_MID</t>
        </is>
      </c>
      <c r="AG3" s="5" t="inlineStr">
        <is>
          <t>GAMMA_MID</t>
        </is>
      </c>
      <c r="AH3" s="5" t="inlineStr">
        <is>
          <t>VEGA_MID</t>
        </is>
      </c>
      <c r="AI3" s="5" t="inlineStr">
        <is>
          <t>THETA_MID</t>
        </is>
      </c>
      <c r="AJ3" s="5" t="inlineStr">
        <is>
          <t>OPT_UNDL_PX</t>
        </is>
      </c>
      <c r="AL3" s="5" t="inlineStr">
        <is>
          <t>Date</t>
        </is>
      </c>
      <c r="AM3" s="5" t="inlineStr">
        <is>
          <t>PX_BID</t>
        </is>
      </c>
      <c r="AN3" s="5" t="inlineStr">
        <is>
          <t>PX_ASK</t>
        </is>
      </c>
      <c r="AO3" s="5" t="inlineStr">
        <is>
          <t>PX_MID</t>
        </is>
      </c>
      <c r="AP3" s="5" t="inlineStr">
        <is>
          <t>PX_LAST</t>
        </is>
      </c>
      <c r="AQ3" s="5" t="inlineStr">
        <is>
          <t>PX_SETTLE</t>
        </is>
      </c>
      <c r="AR3" s="5" t="inlineStr">
        <is>
          <t>PX_VOLUME</t>
        </is>
      </c>
      <c r="AS3" s="5" t="inlineStr">
        <is>
          <t>OPEN_INT</t>
        </is>
      </c>
      <c r="AT3" s="5" t="inlineStr">
        <is>
          <t>IVOL_MID</t>
        </is>
      </c>
      <c r="AU3" s="5" t="inlineStr">
        <is>
          <t>IVOL_BID</t>
        </is>
      </c>
      <c r="AV3" s="5" t="inlineStr">
        <is>
          <t>IVOL_ASK</t>
        </is>
      </c>
      <c r="AW3" s="5" t="inlineStr">
        <is>
          <t>DELTA_MID</t>
        </is>
      </c>
      <c r="AX3" s="5" t="inlineStr">
        <is>
          <t>GAMMA_MID</t>
        </is>
      </c>
      <c r="AY3" s="5" t="inlineStr">
        <is>
          <t>VEGA_MID</t>
        </is>
      </c>
      <c r="AZ3" s="5" t="inlineStr">
        <is>
          <t>THETA_MID</t>
        </is>
      </c>
      <c r="BA3" s="5" t="inlineStr">
        <is>
          <t>OPT_UNDL_PX</t>
        </is>
      </c>
      <c r="BC3" s="5" t="inlineStr">
        <is>
          <t>Date</t>
        </is>
      </c>
      <c r="BD3" s="5" t="inlineStr">
        <is>
          <t>PX_BID</t>
        </is>
      </c>
      <c r="BE3" s="5" t="inlineStr">
        <is>
          <t>PX_ASK</t>
        </is>
      </c>
      <c r="BF3" s="5" t="inlineStr">
        <is>
          <t>PX_MID</t>
        </is>
      </c>
      <c r="BG3" s="5" t="inlineStr">
        <is>
          <t>PX_LAST</t>
        </is>
      </c>
      <c r="BH3" s="5" t="inlineStr">
        <is>
          <t>PX_SETTLE</t>
        </is>
      </c>
      <c r="BI3" s="5" t="inlineStr">
        <is>
          <t>PX_VOLUME</t>
        </is>
      </c>
      <c r="BJ3" s="5" t="inlineStr">
        <is>
          <t>OPEN_INT</t>
        </is>
      </c>
      <c r="BK3" s="5" t="inlineStr">
        <is>
          <t>IVOL_MID</t>
        </is>
      </c>
      <c r="BL3" s="5" t="inlineStr">
        <is>
          <t>IVOL_BID</t>
        </is>
      </c>
      <c r="BM3" s="5" t="inlineStr">
        <is>
          <t>IVOL_ASK</t>
        </is>
      </c>
      <c r="BN3" s="5" t="inlineStr">
        <is>
          <t>DELTA_MID</t>
        </is>
      </c>
      <c r="BO3" s="5" t="inlineStr">
        <is>
          <t>GAMMA_MID</t>
        </is>
      </c>
      <c r="BP3" s="5" t="inlineStr">
        <is>
          <t>VEGA_MID</t>
        </is>
      </c>
      <c r="BQ3" s="5" t="inlineStr">
        <is>
          <t>THETA_MID</t>
        </is>
      </c>
      <c r="BR3" s="5" t="inlineStr">
        <is>
          <t>OPT_UNDL_PX</t>
        </is>
      </c>
      <c r="BT3" s="5" t="inlineStr">
        <is>
          <t>Date</t>
        </is>
      </c>
      <c r="BU3" s="5" t="inlineStr">
        <is>
          <t>PX_BID</t>
        </is>
      </c>
      <c r="BV3" s="5" t="inlineStr">
        <is>
          <t>PX_ASK</t>
        </is>
      </c>
      <c r="BW3" s="5" t="inlineStr">
        <is>
          <t>PX_MID</t>
        </is>
      </c>
      <c r="BX3" s="5" t="inlineStr">
        <is>
          <t>PX_LAST</t>
        </is>
      </c>
      <c r="BY3" s="5" t="inlineStr">
        <is>
          <t>PX_SETTLE</t>
        </is>
      </c>
      <c r="BZ3" s="5" t="inlineStr">
        <is>
          <t>PX_VOLUME</t>
        </is>
      </c>
      <c r="CA3" s="5" t="inlineStr">
        <is>
          <t>OPEN_INT</t>
        </is>
      </c>
      <c r="CB3" s="5" t="inlineStr">
        <is>
          <t>IVOL_MID</t>
        </is>
      </c>
      <c r="CC3" s="5" t="inlineStr">
        <is>
          <t>IVOL_BID</t>
        </is>
      </c>
      <c r="CD3" s="5" t="inlineStr">
        <is>
          <t>IVOL_ASK</t>
        </is>
      </c>
      <c r="CE3" s="5" t="inlineStr">
        <is>
          <t>DELTA_MID</t>
        </is>
      </c>
      <c r="CF3" s="5" t="inlineStr">
        <is>
          <t>GAMMA_MID</t>
        </is>
      </c>
      <c r="CG3" s="5" t="inlineStr">
        <is>
          <t>VEGA_MID</t>
        </is>
      </c>
      <c r="CH3" s="5" t="inlineStr">
        <is>
          <t>THETA_MID</t>
        </is>
      </c>
      <c r="CI3" s="5" t="inlineStr">
        <is>
          <t>OPT_UNDL_PX</t>
        </is>
      </c>
      <c r="CK3" s="5" t="inlineStr">
        <is>
          <t>Date</t>
        </is>
      </c>
      <c r="CL3" s="5" t="inlineStr">
        <is>
          <t>PX_BID</t>
        </is>
      </c>
      <c r="CM3" s="5" t="inlineStr">
        <is>
          <t>PX_ASK</t>
        </is>
      </c>
      <c r="CN3" s="5" t="inlineStr">
        <is>
          <t>PX_MID</t>
        </is>
      </c>
      <c r="CO3" s="5" t="inlineStr">
        <is>
          <t>PX_LAST</t>
        </is>
      </c>
      <c r="CP3" s="5" t="inlineStr">
        <is>
          <t>PX_SETTLE</t>
        </is>
      </c>
      <c r="CQ3" s="5" t="inlineStr">
        <is>
          <t>PX_VOLUME</t>
        </is>
      </c>
      <c r="CR3" s="5" t="inlineStr">
        <is>
          <t>OPEN_INT</t>
        </is>
      </c>
      <c r="CS3" s="5" t="inlineStr">
        <is>
          <t>IVOL_MID</t>
        </is>
      </c>
      <c r="CT3" s="5" t="inlineStr">
        <is>
          <t>IVOL_BID</t>
        </is>
      </c>
      <c r="CU3" s="5" t="inlineStr">
        <is>
          <t>IVOL_ASK</t>
        </is>
      </c>
      <c r="CV3" s="5" t="inlineStr">
        <is>
          <t>DELTA_MID</t>
        </is>
      </c>
      <c r="CW3" s="5" t="inlineStr">
        <is>
          <t>GAMMA_MID</t>
        </is>
      </c>
      <c r="CX3" s="5" t="inlineStr">
        <is>
          <t>VEGA_MID</t>
        </is>
      </c>
      <c r="CY3" s="5" t="inlineStr">
        <is>
          <t>THETA_MID</t>
        </is>
      </c>
      <c r="CZ3" s="5" t="inlineStr">
        <is>
          <t>OPT_UNDL_PX</t>
        </is>
      </c>
      <c r="DB3" s="5" t="inlineStr">
        <is>
          <t>Date</t>
        </is>
      </c>
      <c r="DC3" s="5" t="inlineStr">
        <is>
          <t>PX_BID</t>
        </is>
      </c>
      <c r="DD3" s="5" t="inlineStr">
        <is>
          <t>PX_ASK</t>
        </is>
      </c>
      <c r="DE3" s="5" t="inlineStr">
        <is>
          <t>PX_MID</t>
        </is>
      </c>
      <c r="DF3" s="5" t="inlineStr">
        <is>
          <t>PX_LAST</t>
        </is>
      </c>
      <c r="DG3" s="5" t="inlineStr">
        <is>
          <t>PX_SETTLE</t>
        </is>
      </c>
      <c r="DH3" s="5" t="inlineStr">
        <is>
          <t>PX_VOLUME</t>
        </is>
      </c>
      <c r="DI3" s="5" t="inlineStr">
        <is>
          <t>OPEN_INT</t>
        </is>
      </c>
      <c r="DJ3" s="5" t="inlineStr">
        <is>
          <t>IVOL_MID</t>
        </is>
      </c>
      <c r="DK3" s="5" t="inlineStr">
        <is>
          <t>IVOL_BID</t>
        </is>
      </c>
      <c r="DL3" s="5" t="inlineStr">
        <is>
          <t>IVOL_ASK</t>
        </is>
      </c>
      <c r="DM3" s="5" t="inlineStr">
        <is>
          <t>DELTA_MID</t>
        </is>
      </c>
      <c r="DN3" s="5" t="inlineStr">
        <is>
          <t>GAMMA_MID</t>
        </is>
      </c>
      <c r="DO3" s="5" t="inlineStr">
        <is>
          <t>VEGA_MID</t>
        </is>
      </c>
      <c r="DP3" s="5" t="inlineStr">
        <is>
          <t>THETA_MID</t>
        </is>
      </c>
      <c r="DQ3" s="5" t="inlineStr">
        <is>
          <t>OPT_UNDL_PX</t>
        </is>
      </c>
      <c r="DS3" s="5" t="inlineStr">
        <is>
          <t>Date</t>
        </is>
      </c>
      <c r="DT3" s="5" t="inlineStr">
        <is>
          <t>PX_BID</t>
        </is>
      </c>
      <c r="DU3" s="5" t="inlineStr">
        <is>
          <t>PX_ASK</t>
        </is>
      </c>
      <c r="DV3" s="5" t="inlineStr">
        <is>
          <t>PX_MID</t>
        </is>
      </c>
      <c r="DW3" s="5" t="inlineStr">
        <is>
          <t>PX_LAST</t>
        </is>
      </c>
      <c r="DX3" s="5" t="inlineStr">
        <is>
          <t>PX_SETTLE</t>
        </is>
      </c>
      <c r="DY3" s="5" t="inlineStr">
        <is>
          <t>PX_VOLUME</t>
        </is>
      </c>
      <c r="DZ3" s="5" t="inlineStr">
        <is>
          <t>OPEN_INT</t>
        </is>
      </c>
      <c r="EA3" s="5" t="inlineStr">
        <is>
          <t>IVOL_MID</t>
        </is>
      </c>
      <c r="EB3" s="5" t="inlineStr">
        <is>
          <t>IVOL_BID</t>
        </is>
      </c>
      <c r="EC3" s="5" t="inlineStr">
        <is>
          <t>IVOL_ASK</t>
        </is>
      </c>
      <c r="ED3" s="5" t="inlineStr">
        <is>
          <t>DELTA_MID</t>
        </is>
      </c>
      <c r="EE3" s="5" t="inlineStr">
        <is>
          <t>GAMMA_MID</t>
        </is>
      </c>
      <c r="EF3" s="5" t="inlineStr">
        <is>
          <t>VEGA_MID</t>
        </is>
      </c>
      <c r="EG3" s="5" t="inlineStr">
        <is>
          <t>THETA_MID</t>
        </is>
      </c>
      <c r="EH3" s="5" t="inlineStr">
        <is>
          <t>OPT_UNDL_PX</t>
        </is>
      </c>
      <c r="EJ3" s="5" t="inlineStr">
        <is>
          <t>Date</t>
        </is>
      </c>
      <c r="EK3" s="5" t="inlineStr">
        <is>
          <t>PX_BID</t>
        </is>
      </c>
      <c r="EL3" s="5" t="inlineStr">
        <is>
          <t>PX_ASK</t>
        </is>
      </c>
      <c r="EM3" s="5" t="inlineStr">
        <is>
          <t>PX_MID</t>
        </is>
      </c>
      <c r="EN3" s="5" t="inlineStr">
        <is>
          <t>PX_LAST</t>
        </is>
      </c>
      <c r="EO3" s="5" t="inlineStr">
        <is>
          <t>PX_SETTLE</t>
        </is>
      </c>
      <c r="EP3" s="5" t="inlineStr">
        <is>
          <t>PX_VOLUME</t>
        </is>
      </c>
      <c r="EQ3" s="5" t="inlineStr">
        <is>
          <t>OPEN_INT</t>
        </is>
      </c>
      <c r="ER3" s="5" t="inlineStr">
        <is>
          <t>IVOL_MID</t>
        </is>
      </c>
      <c r="ES3" s="5" t="inlineStr">
        <is>
          <t>IVOL_BID</t>
        </is>
      </c>
      <c r="ET3" s="5" t="inlineStr">
        <is>
          <t>IVOL_ASK</t>
        </is>
      </c>
      <c r="EU3" s="5" t="inlineStr">
        <is>
          <t>DELTA_MID</t>
        </is>
      </c>
      <c r="EV3" s="5" t="inlineStr">
        <is>
          <t>GAMMA_MID</t>
        </is>
      </c>
      <c r="EW3" s="5" t="inlineStr">
        <is>
          <t>VEGA_MID</t>
        </is>
      </c>
      <c r="EX3" s="5" t="inlineStr">
        <is>
          <t>THETA_MID</t>
        </is>
      </c>
      <c r="EY3" s="5" t="inlineStr">
        <is>
          <t>OPT_UNDL_PX</t>
        </is>
      </c>
      <c r="FA3" s="5" t="inlineStr">
        <is>
          <t>Date</t>
        </is>
      </c>
      <c r="FB3" s="5" t="inlineStr">
        <is>
          <t>PX_BID</t>
        </is>
      </c>
      <c r="FC3" s="5" t="inlineStr">
        <is>
          <t>PX_ASK</t>
        </is>
      </c>
      <c r="FD3" s="5" t="inlineStr">
        <is>
          <t>PX_MID</t>
        </is>
      </c>
      <c r="FE3" s="5" t="inlineStr">
        <is>
          <t>PX_LAST</t>
        </is>
      </c>
      <c r="FF3" s="5" t="inlineStr">
        <is>
          <t>PX_SETTLE</t>
        </is>
      </c>
      <c r="FG3" s="5" t="inlineStr">
        <is>
          <t>PX_VOLUME</t>
        </is>
      </c>
      <c r="FH3" s="5" t="inlineStr">
        <is>
          <t>OPEN_INT</t>
        </is>
      </c>
      <c r="FI3" s="5" t="inlineStr">
        <is>
          <t>IVOL_MID</t>
        </is>
      </c>
      <c r="FJ3" s="5" t="inlineStr">
        <is>
          <t>IVOL_BID</t>
        </is>
      </c>
      <c r="FK3" s="5" t="inlineStr">
        <is>
          <t>IVOL_ASK</t>
        </is>
      </c>
      <c r="FL3" s="5" t="inlineStr">
        <is>
          <t>DELTA_MID</t>
        </is>
      </c>
      <c r="FM3" s="5" t="inlineStr">
        <is>
          <t>GAMMA_MID</t>
        </is>
      </c>
      <c r="FN3" s="5" t="inlineStr">
        <is>
          <t>VEGA_MID</t>
        </is>
      </c>
      <c r="FO3" s="5" t="inlineStr">
        <is>
          <t>THETA_MID</t>
        </is>
      </c>
      <c r="FP3" s="5" t="inlineStr">
        <is>
          <t>OPT_UNDL_PX</t>
        </is>
      </c>
      <c r="FR3" s="5" t="inlineStr">
        <is>
          <t>Date</t>
        </is>
      </c>
      <c r="FS3" s="5" t="inlineStr">
        <is>
          <t>PX_BID</t>
        </is>
      </c>
      <c r="FT3" s="5" t="inlineStr">
        <is>
          <t>PX_ASK</t>
        </is>
      </c>
      <c r="FU3" s="5" t="inlineStr">
        <is>
          <t>PX_MID</t>
        </is>
      </c>
      <c r="FV3" s="5" t="inlineStr">
        <is>
          <t>PX_LAST</t>
        </is>
      </c>
      <c r="FW3" s="5" t="inlineStr">
        <is>
          <t>PX_SETTLE</t>
        </is>
      </c>
      <c r="FX3" s="5" t="inlineStr">
        <is>
          <t>PX_VOLUME</t>
        </is>
      </c>
      <c r="FY3" s="5" t="inlineStr">
        <is>
          <t>OPEN_INT</t>
        </is>
      </c>
      <c r="FZ3" s="5" t="inlineStr">
        <is>
          <t>IVOL_MID</t>
        </is>
      </c>
      <c r="GA3" s="5" t="inlineStr">
        <is>
          <t>IVOL_BID</t>
        </is>
      </c>
      <c r="GB3" s="5" t="inlineStr">
        <is>
          <t>IVOL_ASK</t>
        </is>
      </c>
      <c r="GC3" s="5" t="inlineStr">
        <is>
          <t>DELTA_MID</t>
        </is>
      </c>
      <c r="GD3" s="5" t="inlineStr">
        <is>
          <t>GAMMA_MID</t>
        </is>
      </c>
      <c r="GE3" s="5" t="inlineStr">
        <is>
          <t>VEGA_MID</t>
        </is>
      </c>
      <c r="GF3" s="5" t="inlineStr">
        <is>
          <t>THETA_MID</t>
        </is>
      </c>
      <c r="GG3" s="5" t="inlineStr">
        <is>
          <t>OPT_UNDL_PX</t>
        </is>
      </c>
      <c r="GI3" s="5" t="inlineStr">
        <is>
          <t>Date</t>
        </is>
      </c>
      <c r="GJ3" s="5" t="inlineStr">
        <is>
          <t>PX_BID</t>
        </is>
      </c>
      <c r="GK3" s="5" t="inlineStr">
        <is>
          <t>PX_ASK</t>
        </is>
      </c>
      <c r="GL3" s="5" t="inlineStr">
        <is>
          <t>PX_MID</t>
        </is>
      </c>
      <c r="GM3" s="5" t="inlineStr">
        <is>
          <t>PX_LAST</t>
        </is>
      </c>
      <c r="GN3" s="5" t="inlineStr">
        <is>
          <t>PX_SETTLE</t>
        </is>
      </c>
      <c r="GO3" s="5" t="inlineStr">
        <is>
          <t>PX_VOLUME</t>
        </is>
      </c>
      <c r="GP3" s="5" t="inlineStr">
        <is>
          <t>OPEN_INT</t>
        </is>
      </c>
      <c r="GQ3" s="5" t="inlineStr">
        <is>
          <t>IVOL_MID</t>
        </is>
      </c>
      <c r="GR3" s="5" t="inlineStr">
        <is>
          <t>IVOL_BID</t>
        </is>
      </c>
      <c r="GS3" s="5" t="inlineStr">
        <is>
          <t>IVOL_ASK</t>
        </is>
      </c>
      <c r="GT3" s="5" t="inlineStr">
        <is>
          <t>DELTA_MID</t>
        </is>
      </c>
      <c r="GU3" s="5" t="inlineStr">
        <is>
          <t>GAMMA_MID</t>
        </is>
      </c>
      <c r="GV3" s="5" t="inlineStr">
        <is>
          <t>VEGA_MID</t>
        </is>
      </c>
      <c r="GW3" s="5" t="inlineStr">
        <is>
          <t>THETA_MID</t>
        </is>
      </c>
      <c r="GX3" s="5" t="inlineStr">
        <is>
          <t>OPT_UNDL_PX</t>
        </is>
      </c>
      <c r="GZ3" s="5" t="inlineStr">
        <is>
          <t>Date</t>
        </is>
      </c>
      <c r="HA3" s="5" t="inlineStr">
        <is>
          <t>PX_BID</t>
        </is>
      </c>
      <c r="HB3" s="5" t="inlineStr">
        <is>
          <t>PX_ASK</t>
        </is>
      </c>
      <c r="HC3" s="5" t="inlineStr">
        <is>
          <t>PX_MID</t>
        </is>
      </c>
      <c r="HD3" s="5" t="inlineStr">
        <is>
          <t>PX_LAST</t>
        </is>
      </c>
      <c r="HE3" s="5" t="inlineStr">
        <is>
          <t>PX_SETTLE</t>
        </is>
      </c>
      <c r="HF3" s="5" t="inlineStr">
        <is>
          <t>PX_VOLUME</t>
        </is>
      </c>
      <c r="HG3" s="5" t="inlineStr">
        <is>
          <t>OPEN_INT</t>
        </is>
      </c>
      <c r="HH3" s="5" t="inlineStr">
        <is>
          <t>IVOL_MID</t>
        </is>
      </c>
      <c r="HI3" s="5" t="inlineStr">
        <is>
          <t>IVOL_BID</t>
        </is>
      </c>
      <c r="HJ3" s="5" t="inlineStr">
        <is>
          <t>IVOL_ASK</t>
        </is>
      </c>
      <c r="HK3" s="5" t="inlineStr">
        <is>
          <t>DELTA_MID</t>
        </is>
      </c>
      <c r="HL3" s="5" t="inlineStr">
        <is>
          <t>GAMMA_MID</t>
        </is>
      </c>
      <c r="HM3" s="5" t="inlineStr">
        <is>
          <t>VEGA_MID</t>
        </is>
      </c>
      <c r="HN3" s="5" t="inlineStr">
        <is>
          <t>THETA_MID</t>
        </is>
      </c>
      <c r="HO3" s="5" t="inlineStr">
        <is>
          <t>OPT_UNDL_PX</t>
        </is>
      </c>
      <c r="HQ3" s="5" t="inlineStr">
        <is>
          <t>Date</t>
        </is>
      </c>
      <c r="HR3" s="5" t="inlineStr">
        <is>
          <t>PX_BID</t>
        </is>
      </c>
      <c r="HS3" s="5" t="inlineStr">
        <is>
          <t>PX_ASK</t>
        </is>
      </c>
      <c r="HT3" s="5" t="inlineStr">
        <is>
          <t>PX_MID</t>
        </is>
      </c>
      <c r="HU3" s="5" t="inlineStr">
        <is>
          <t>PX_LAST</t>
        </is>
      </c>
      <c r="HV3" s="5" t="inlineStr">
        <is>
          <t>PX_SETTLE</t>
        </is>
      </c>
      <c r="HW3" s="5" t="inlineStr">
        <is>
          <t>PX_VOLUME</t>
        </is>
      </c>
      <c r="HX3" s="5" t="inlineStr">
        <is>
          <t>OPEN_INT</t>
        </is>
      </c>
      <c r="HY3" s="5" t="inlineStr">
        <is>
          <t>IVOL_MID</t>
        </is>
      </c>
      <c r="HZ3" s="5" t="inlineStr">
        <is>
          <t>IVOL_BID</t>
        </is>
      </c>
      <c r="IA3" s="5" t="inlineStr">
        <is>
          <t>IVOL_ASK</t>
        </is>
      </c>
      <c r="IB3" s="5" t="inlineStr">
        <is>
          <t>DELTA_MID</t>
        </is>
      </c>
      <c r="IC3" s="5" t="inlineStr">
        <is>
          <t>GAMMA_MID</t>
        </is>
      </c>
      <c r="ID3" s="5" t="inlineStr">
        <is>
          <t>VEGA_MID</t>
        </is>
      </c>
      <c r="IE3" s="5" t="inlineStr">
        <is>
          <t>THETA_MID</t>
        </is>
      </c>
      <c r="IF3" s="5" t="inlineStr">
        <is>
          <t>OPT_UNDL_PX</t>
        </is>
      </c>
      <c r="IH3" s="5" t="inlineStr">
        <is>
          <t>Date</t>
        </is>
      </c>
      <c r="II3" s="5" t="inlineStr">
        <is>
          <t>PX_BID</t>
        </is>
      </c>
      <c r="IJ3" s="5" t="inlineStr">
        <is>
          <t>PX_ASK</t>
        </is>
      </c>
      <c r="IK3" s="5" t="inlineStr">
        <is>
          <t>PX_MID</t>
        </is>
      </c>
      <c r="IL3" s="5" t="inlineStr">
        <is>
          <t>PX_LAST</t>
        </is>
      </c>
      <c r="IM3" s="5" t="inlineStr">
        <is>
          <t>PX_SETTLE</t>
        </is>
      </c>
      <c r="IN3" s="5" t="inlineStr">
        <is>
          <t>PX_VOLUME</t>
        </is>
      </c>
      <c r="IO3" s="5" t="inlineStr">
        <is>
          <t>OPEN_INT</t>
        </is>
      </c>
      <c r="IP3" s="5" t="inlineStr">
        <is>
          <t>IVOL_MID</t>
        </is>
      </c>
      <c r="IQ3" s="5" t="inlineStr">
        <is>
          <t>IVOL_BID</t>
        </is>
      </c>
      <c r="IR3" s="5" t="inlineStr">
        <is>
          <t>IVOL_ASK</t>
        </is>
      </c>
      <c r="IS3" s="5" t="inlineStr">
        <is>
          <t>DELTA_MID</t>
        </is>
      </c>
      <c r="IT3" s="5" t="inlineStr">
        <is>
          <t>GAMMA_MID</t>
        </is>
      </c>
      <c r="IU3" s="5" t="inlineStr">
        <is>
          <t>VEGA_MID</t>
        </is>
      </c>
      <c r="IV3" s="5" t="inlineStr">
        <is>
          <t>THETA_MID</t>
        </is>
      </c>
      <c r="IW3" s="5" t="inlineStr">
        <is>
          <t>OPT_UNDL_PX</t>
        </is>
      </c>
      <c r="IY3" s="5" t="inlineStr">
        <is>
          <t>Date</t>
        </is>
      </c>
      <c r="IZ3" s="5" t="inlineStr">
        <is>
          <t>PX_BID</t>
        </is>
      </c>
      <c r="JA3" s="5" t="inlineStr">
        <is>
          <t>PX_ASK</t>
        </is>
      </c>
      <c r="JB3" s="5" t="inlineStr">
        <is>
          <t>PX_MID</t>
        </is>
      </c>
      <c r="JC3" s="5" t="inlineStr">
        <is>
          <t>PX_LAST</t>
        </is>
      </c>
      <c r="JD3" s="5" t="inlineStr">
        <is>
          <t>PX_SETTLE</t>
        </is>
      </c>
      <c r="JE3" s="5" t="inlineStr">
        <is>
          <t>PX_VOLUME</t>
        </is>
      </c>
      <c r="JF3" s="5" t="inlineStr">
        <is>
          <t>OPEN_INT</t>
        </is>
      </c>
      <c r="JG3" s="5" t="inlineStr">
        <is>
          <t>IVOL_MID</t>
        </is>
      </c>
      <c r="JH3" s="5" t="inlineStr">
        <is>
          <t>IVOL_BID</t>
        </is>
      </c>
      <c r="JI3" s="5" t="inlineStr">
        <is>
          <t>IVOL_ASK</t>
        </is>
      </c>
      <c r="JJ3" s="5" t="inlineStr">
        <is>
          <t>DELTA_MID</t>
        </is>
      </c>
      <c r="JK3" s="5" t="inlineStr">
        <is>
          <t>GAMMA_MID</t>
        </is>
      </c>
      <c r="JL3" s="5" t="inlineStr">
        <is>
          <t>VEGA_MID</t>
        </is>
      </c>
      <c r="JM3" s="5" t="inlineStr">
        <is>
          <t>THETA_MID</t>
        </is>
      </c>
      <c r="JN3" s="5" t="inlineStr">
        <is>
          <t>OPT_UNDL_PX</t>
        </is>
      </c>
      <c r="JP3" s="5" t="inlineStr">
        <is>
          <t>Date</t>
        </is>
      </c>
      <c r="JQ3" s="5" t="inlineStr">
        <is>
          <t>PX_BID</t>
        </is>
      </c>
      <c r="JR3" s="5" t="inlineStr">
        <is>
          <t>PX_ASK</t>
        </is>
      </c>
      <c r="JS3" s="5" t="inlineStr">
        <is>
          <t>PX_MID</t>
        </is>
      </c>
      <c r="JT3" s="5" t="inlineStr">
        <is>
          <t>PX_LAST</t>
        </is>
      </c>
      <c r="JU3" s="5" t="inlineStr">
        <is>
          <t>PX_SETTLE</t>
        </is>
      </c>
      <c r="JV3" s="5" t="inlineStr">
        <is>
          <t>PX_VOLUME</t>
        </is>
      </c>
      <c r="JW3" s="5" t="inlineStr">
        <is>
          <t>OPEN_INT</t>
        </is>
      </c>
      <c r="JX3" s="5" t="inlineStr">
        <is>
          <t>IVOL_MID</t>
        </is>
      </c>
      <c r="JY3" s="5" t="inlineStr">
        <is>
          <t>IVOL_BID</t>
        </is>
      </c>
      <c r="JZ3" s="5" t="inlineStr">
        <is>
          <t>IVOL_ASK</t>
        </is>
      </c>
      <c r="KA3" s="5" t="inlineStr">
        <is>
          <t>DELTA_MID</t>
        </is>
      </c>
      <c r="KB3" s="5" t="inlineStr">
        <is>
          <t>GAMMA_MID</t>
        </is>
      </c>
      <c r="KC3" s="5" t="inlineStr">
        <is>
          <t>VEGA_MID</t>
        </is>
      </c>
      <c r="KD3" s="5" t="inlineStr">
        <is>
          <t>THETA_MID</t>
        </is>
      </c>
      <c r="KE3" s="5" t="inlineStr">
        <is>
          <t>OPT_UNDL_PX</t>
        </is>
      </c>
      <c r="KG3" s="5" t="inlineStr">
        <is>
          <t>Date</t>
        </is>
      </c>
      <c r="KH3" s="5" t="inlineStr">
        <is>
          <t>PX_BID</t>
        </is>
      </c>
      <c r="KI3" s="5" t="inlineStr">
        <is>
          <t>PX_ASK</t>
        </is>
      </c>
      <c r="KJ3" s="5" t="inlineStr">
        <is>
          <t>PX_MID</t>
        </is>
      </c>
      <c r="KK3" s="5" t="inlineStr">
        <is>
          <t>PX_LAST</t>
        </is>
      </c>
      <c r="KL3" s="5" t="inlineStr">
        <is>
          <t>PX_SETTLE</t>
        </is>
      </c>
      <c r="KM3" s="5" t="inlineStr">
        <is>
          <t>PX_VOLUME</t>
        </is>
      </c>
      <c r="KN3" s="5" t="inlineStr">
        <is>
          <t>OPEN_INT</t>
        </is>
      </c>
      <c r="KO3" s="5" t="inlineStr">
        <is>
          <t>IVOL_MID</t>
        </is>
      </c>
      <c r="KP3" s="5" t="inlineStr">
        <is>
          <t>IVOL_BID</t>
        </is>
      </c>
      <c r="KQ3" s="5" t="inlineStr">
        <is>
          <t>IVOL_ASK</t>
        </is>
      </c>
      <c r="KR3" s="5" t="inlineStr">
        <is>
          <t>DELTA_MID</t>
        </is>
      </c>
      <c r="KS3" s="5" t="inlineStr">
        <is>
          <t>GAMMA_MID</t>
        </is>
      </c>
      <c r="KT3" s="5" t="inlineStr">
        <is>
          <t>VEGA_MID</t>
        </is>
      </c>
      <c r="KU3" s="5" t="inlineStr">
        <is>
          <t>THETA_MID</t>
        </is>
      </c>
      <c r="KV3" s="5" t="inlineStr">
        <is>
          <t>OPT_UNDL_PX</t>
        </is>
      </c>
      <c r="KX3" s="5" t="inlineStr">
        <is>
          <t>Date</t>
        </is>
      </c>
      <c r="KY3" s="5" t="inlineStr">
        <is>
          <t>PX_BID</t>
        </is>
      </c>
      <c r="KZ3" s="5" t="inlineStr">
        <is>
          <t>PX_ASK</t>
        </is>
      </c>
      <c r="LA3" s="5" t="inlineStr">
        <is>
          <t>PX_MID</t>
        </is>
      </c>
      <c r="LB3" s="5" t="inlineStr">
        <is>
          <t>PX_LAST</t>
        </is>
      </c>
      <c r="LC3" s="5" t="inlineStr">
        <is>
          <t>PX_SETTLE</t>
        </is>
      </c>
      <c r="LD3" s="5" t="inlineStr">
        <is>
          <t>PX_VOLUME</t>
        </is>
      </c>
      <c r="LE3" s="5" t="inlineStr">
        <is>
          <t>OPEN_INT</t>
        </is>
      </c>
      <c r="LF3" s="5" t="inlineStr">
        <is>
          <t>IVOL_MID</t>
        </is>
      </c>
      <c r="LG3" s="5" t="inlineStr">
        <is>
          <t>IVOL_BID</t>
        </is>
      </c>
      <c r="LH3" s="5" t="inlineStr">
        <is>
          <t>IVOL_ASK</t>
        </is>
      </c>
      <c r="LI3" s="5" t="inlineStr">
        <is>
          <t>DELTA_MID</t>
        </is>
      </c>
      <c r="LJ3" s="5" t="inlineStr">
        <is>
          <t>GAMMA_MID</t>
        </is>
      </c>
      <c r="LK3" s="5" t="inlineStr">
        <is>
          <t>VEGA_MID</t>
        </is>
      </c>
      <c r="LL3" s="5" t="inlineStr">
        <is>
          <t>THETA_MID</t>
        </is>
      </c>
      <c r="LM3" s="5" t="inlineStr">
        <is>
          <t>OPT_UNDL_PX</t>
        </is>
      </c>
      <c r="LO3" s="5" t="inlineStr">
        <is>
          <t>Date</t>
        </is>
      </c>
      <c r="LP3" s="5" t="inlineStr">
        <is>
          <t>PX_BID</t>
        </is>
      </c>
      <c r="LQ3" s="5" t="inlineStr">
        <is>
          <t>PX_ASK</t>
        </is>
      </c>
      <c r="LR3" s="5" t="inlineStr">
        <is>
          <t>PX_MID</t>
        </is>
      </c>
      <c r="LS3" s="5" t="inlineStr">
        <is>
          <t>PX_LAST</t>
        </is>
      </c>
      <c r="LT3" s="5" t="inlineStr">
        <is>
          <t>PX_SETTLE</t>
        </is>
      </c>
      <c r="LU3" s="5" t="inlineStr">
        <is>
          <t>PX_VOLUME</t>
        </is>
      </c>
      <c r="LV3" s="5" t="inlineStr">
        <is>
          <t>OPEN_INT</t>
        </is>
      </c>
      <c r="LW3" s="5" t="inlineStr">
        <is>
          <t>IVOL_MID</t>
        </is>
      </c>
      <c r="LX3" s="5" t="inlineStr">
        <is>
          <t>IVOL_BID</t>
        </is>
      </c>
      <c r="LY3" s="5" t="inlineStr">
        <is>
          <t>IVOL_ASK</t>
        </is>
      </c>
      <c r="LZ3" s="5" t="inlineStr">
        <is>
          <t>DELTA_MID</t>
        </is>
      </c>
      <c r="MA3" s="5" t="inlineStr">
        <is>
          <t>GAMMA_MID</t>
        </is>
      </c>
      <c r="MB3" s="5" t="inlineStr">
        <is>
          <t>VEGA_MID</t>
        </is>
      </c>
      <c r="MC3" s="5" t="inlineStr">
        <is>
          <t>THETA_MID</t>
        </is>
      </c>
      <c r="MD3" s="5" t="inlineStr">
        <is>
          <t>OPT_UNDL_PX</t>
        </is>
      </c>
      <c r="MF3" s="5" t="inlineStr">
        <is>
          <t>Date</t>
        </is>
      </c>
      <c r="MG3" s="5" t="inlineStr">
        <is>
          <t>PX_BID</t>
        </is>
      </c>
      <c r="MH3" s="5" t="inlineStr">
        <is>
          <t>PX_ASK</t>
        </is>
      </c>
      <c r="MI3" s="5" t="inlineStr">
        <is>
          <t>PX_MID</t>
        </is>
      </c>
      <c r="MJ3" s="5" t="inlineStr">
        <is>
          <t>PX_LAST</t>
        </is>
      </c>
      <c r="MK3" s="5" t="inlineStr">
        <is>
          <t>PX_SETTLE</t>
        </is>
      </c>
      <c r="ML3" s="5" t="inlineStr">
        <is>
          <t>PX_VOLUME</t>
        </is>
      </c>
      <c r="MM3" s="5" t="inlineStr">
        <is>
          <t>OPEN_INT</t>
        </is>
      </c>
      <c r="MN3" s="5" t="inlineStr">
        <is>
          <t>IVOL_MID</t>
        </is>
      </c>
      <c r="MO3" s="5" t="inlineStr">
        <is>
          <t>IVOL_BID</t>
        </is>
      </c>
      <c r="MP3" s="5" t="inlineStr">
        <is>
          <t>IVOL_ASK</t>
        </is>
      </c>
      <c r="MQ3" s="5" t="inlineStr">
        <is>
          <t>DELTA_MID</t>
        </is>
      </c>
      <c r="MR3" s="5" t="inlineStr">
        <is>
          <t>GAMMA_MID</t>
        </is>
      </c>
      <c r="MS3" s="5" t="inlineStr">
        <is>
          <t>VEGA_MID</t>
        </is>
      </c>
      <c r="MT3" s="5" t="inlineStr">
        <is>
          <t>THETA_MID</t>
        </is>
      </c>
      <c r="MU3" s="5" t="inlineStr">
        <is>
          <t>OPT_UNDL_PX</t>
        </is>
      </c>
      <c r="MW3" s="5" t="inlineStr">
        <is>
          <t>Date</t>
        </is>
      </c>
      <c r="MX3" s="5" t="inlineStr">
        <is>
          <t>PX_BID</t>
        </is>
      </c>
      <c r="MY3" s="5" t="inlineStr">
        <is>
          <t>PX_ASK</t>
        </is>
      </c>
      <c r="MZ3" s="5" t="inlineStr">
        <is>
          <t>PX_MID</t>
        </is>
      </c>
      <c r="NA3" s="5" t="inlineStr">
        <is>
          <t>PX_LAST</t>
        </is>
      </c>
      <c r="NB3" s="5" t="inlineStr">
        <is>
          <t>PX_SETTLE</t>
        </is>
      </c>
      <c r="NC3" s="5" t="inlineStr">
        <is>
          <t>PX_VOLUME</t>
        </is>
      </c>
      <c r="ND3" s="5" t="inlineStr">
        <is>
          <t>OPEN_INT</t>
        </is>
      </c>
      <c r="NE3" s="5" t="inlineStr">
        <is>
          <t>IVOL_MID</t>
        </is>
      </c>
      <c r="NF3" s="5" t="inlineStr">
        <is>
          <t>IVOL_BID</t>
        </is>
      </c>
      <c r="NG3" s="5" t="inlineStr">
        <is>
          <t>IVOL_ASK</t>
        </is>
      </c>
      <c r="NH3" s="5" t="inlineStr">
        <is>
          <t>DELTA_MID</t>
        </is>
      </c>
      <c r="NI3" s="5" t="inlineStr">
        <is>
          <t>GAMMA_MID</t>
        </is>
      </c>
      <c r="NJ3" s="5" t="inlineStr">
        <is>
          <t>VEGA_MID</t>
        </is>
      </c>
      <c r="NK3" s="5" t="inlineStr">
        <is>
          <t>THETA_MID</t>
        </is>
      </c>
      <c r="NL3" s="5" t="inlineStr">
        <is>
          <t>OPT_UNDL_PX</t>
        </is>
      </c>
    </row>
    <row r="4">
      <c r="A4" s="2" t="inlineStr">
        <is>
          <t>Strike reference date</t>
        </is>
      </c>
      <c r="B4" s="8">
        <f>B3-45</f>
        <v/>
      </c>
      <c r="D4" s="4">
        <f>BDH(D$1,E$3:S$3,$B$8,$B$9,"Dir=V","Dts=S","Sort=A","Days=T","Fill=B")</f>
        <v/>
      </c>
      <c r="U4" s="4">
        <f>BDH(U$1,V$3:AJ$3,$B$8,$B$9,"Dir=V","Dts=S","Sort=A","Days=T","Fill=B")</f>
        <v/>
      </c>
      <c r="AL4" s="4">
        <f>BDH(AL$1,AM$3:BA$3,$B$8,$B$9,"Dir=V","Dts=S","Sort=A","Days=T","Fill=B")</f>
        <v/>
      </c>
      <c r="BC4" s="4">
        <f>BDH(BC$1,BD$3:BR$3,$B$8,$B$9,"Dir=V","Dts=S","Sort=A","Days=T","Fill=B")</f>
        <v/>
      </c>
      <c r="BT4" s="4">
        <f>BDH(BT$1,BU$3:CI$3,$B$8,$B$9,"Dir=V","Dts=S","Sort=A","Days=T","Fill=B")</f>
        <v/>
      </c>
      <c r="CK4" s="4">
        <f>BDH(CK$1,CL$3:CZ$3,$B$8,$B$9,"Dir=V","Dts=S","Sort=A","Days=T","Fill=B")</f>
        <v/>
      </c>
      <c r="DB4" s="4">
        <f>BDH(DB$1,DC$3:DQ$3,$B$8,$B$9,"Dir=V","Dts=S","Sort=A","Days=T","Fill=B")</f>
        <v/>
      </c>
      <c r="DS4" s="4">
        <f>BDH(DS$1,DT$3:EH$3,$B$8,$B$9,"Dir=V","Dts=S","Sort=A","Days=T","Fill=B")</f>
        <v/>
      </c>
      <c r="EJ4" s="4">
        <f>BDH(EJ$1,EK$3:EY$3,$B$8,$B$9,"Dir=V","Dts=S","Sort=A","Days=T","Fill=B")</f>
        <v/>
      </c>
      <c r="FA4" s="4">
        <f>BDH(FA$1,FB$3:FP$3,$B$8,$B$9,"Dir=V","Dts=S","Sort=A","Days=T","Fill=B")</f>
        <v/>
      </c>
      <c r="FR4" s="4">
        <f>BDH(FR$1,FS$3:GG$3,$B$8,$B$9,"Dir=V","Dts=S","Sort=A","Days=T","Fill=B")</f>
        <v/>
      </c>
      <c r="GI4" s="4">
        <f>BDH(GI$1,GJ$3:GX$3,$B$8,$B$9,"Dir=V","Dts=S","Sort=A","Days=T","Fill=B")</f>
        <v/>
      </c>
      <c r="GZ4" s="4">
        <f>BDH(GZ$1,HA$3:HO$3,$B$8,$B$9,"Dir=V","Dts=S","Sort=A","Days=T","Fill=B")</f>
        <v/>
      </c>
      <c r="HQ4" s="4">
        <f>BDH(HQ$1,HR$3:IF$3,$B$8,$B$9,"Dir=V","Dts=S","Sort=A","Days=T","Fill=B")</f>
        <v/>
      </c>
      <c r="IH4" s="4">
        <f>BDH(IH$1,II$3:IW$3,$B$8,$B$9,"Dir=V","Dts=S","Sort=A","Days=T","Fill=B")</f>
        <v/>
      </c>
      <c r="IY4" s="4">
        <f>BDH(IY$1,IZ$3:JN$3,$B$8,$B$9,"Dir=V","Dts=S","Sort=A","Days=T","Fill=B")</f>
        <v/>
      </c>
      <c r="JP4" s="4">
        <f>BDH(JP$1,JQ$3:KE$3,$B$8,$B$9,"Dir=V","Dts=S","Sort=A","Days=T","Fill=B")</f>
        <v/>
      </c>
      <c r="KG4" s="4">
        <f>BDH(KG$1,KH$3:KV$3,$B$8,$B$9,"Dir=V","Dts=S","Sort=A","Days=T","Fill=B")</f>
        <v/>
      </c>
      <c r="KX4" s="4">
        <f>BDH(KX$1,KY$3:LM$3,$B$8,$B$9,"Dir=V","Dts=S","Sort=A","Days=T","Fill=B")</f>
        <v/>
      </c>
      <c r="LO4" s="4">
        <f>BDH(LO$1,LP$3:MD$3,$B$8,$B$9,"Dir=V","Dts=S","Sort=A","Days=T","Fill=B")</f>
        <v/>
      </c>
      <c r="MF4" s="4">
        <f>BDH(MF$1,MG$3:MU$3,$B$8,$B$9,"Dir=V","Dts=S","Sort=A","Days=T","Fill=B")</f>
        <v/>
      </c>
      <c r="MW4" s="4">
        <f>BDH(MW$1,MX$3:NL$3,$B$8,$B$9,"Dir=V","Dts=S","Sort=A","Days=T","Fill=B")</f>
        <v/>
      </c>
    </row>
    <row r="5">
      <c r="A5" s="2" t="inlineStr">
        <is>
          <t>Unadjusted close then</t>
        </is>
      </c>
      <c r="B5" s="10">
        <f>IF(B2="","",BDH(B2,"PX_LAST",B4,B4,"Days=A","Fill=P","Dts=H","CshAdjNormal=N","CshAdjAbnormal=N","CapChg=N"))</f>
        <v/>
      </c>
    </row>
    <row r="6">
      <c r="A6" s="2" t="inlineStr">
        <is>
          <t>Strike step</t>
        </is>
      </c>
      <c r="B6" s="11">
        <f>IF(ISNUMBER(B5),IF(B5&lt;25,0.5,IF(B5&lt;250,1,5)),"")</f>
        <v/>
      </c>
    </row>
    <row r="7">
      <c r="A7" s="2" t="inlineStr">
        <is>
          <t>ATM strike</t>
        </is>
      </c>
      <c r="B7" s="11">
        <f>IF(ISNUMBER(B5),ROUND(B5/B6,0)*B6,"")</f>
        <v/>
      </c>
    </row>
    <row r="8">
      <c r="A8" s="2" t="inlineStr">
        <is>
          <t>History start</t>
        </is>
      </c>
      <c r="B8" s="8">
        <f>B3-100</f>
        <v/>
      </c>
    </row>
    <row r="9">
      <c r="A9" s="2" t="inlineStr">
        <is>
          <t>History end</t>
        </is>
      </c>
      <c r="B9" s="8">
        <f>B3</f>
        <v/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NL9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2" customWidth="1" min="2" max="2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1" customWidth="1" min="15" max="15"/>
    <col width="11" customWidth="1" min="16" max="16"/>
    <col width="10" customWidth="1" min="17" max="17"/>
    <col width="11" customWidth="1" min="18" max="18"/>
    <col width="13" customWidth="1" min="19" max="19"/>
    <col width="12" customWidth="1" min="21" max="21"/>
    <col width="10" customWidth="1" min="22" max="22"/>
    <col width="10" customWidth="1" min="23" max="23"/>
    <col width="10" customWidth="1" min="24" max="24"/>
    <col width="10" customWidth="1" min="25" max="25"/>
    <col width="11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1" customWidth="1" min="32" max="32"/>
    <col width="11" customWidth="1" min="33" max="33"/>
    <col width="10" customWidth="1" min="34" max="34"/>
    <col width="11" customWidth="1" min="35" max="35"/>
    <col width="13" customWidth="1" min="36" max="36"/>
    <col width="12" customWidth="1" min="38" max="38"/>
    <col width="10" customWidth="1" min="39" max="39"/>
    <col width="10" customWidth="1" min="40" max="40"/>
    <col width="10" customWidth="1" min="41" max="41"/>
    <col width="10" customWidth="1" min="42" max="42"/>
    <col width="11" customWidth="1" min="43" max="43"/>
    <col width="11" customWidth="1" min="44" max="44"/>
    <col width="10" customWidth="1" min="45" max="45"/>
    <col width="10" customWidth="1" min="46" max="46"/>
    <col width="10" customWidth="1" min="47" max="47"/>
    <col width="10" customWidth="1" min="48" max="48"/>
    <col width="11" customWidth="1" min="49" max="49"/>
    <col width="11" customWidth="1" min="50" max="50"/>
    <col width="10" customWidth="1" min="51" max="51"/>
    <col width="11" customWidth="1" min="52" max="52"/>
    <col width="13" customWidth="1" min="53" max="53"/>
    <col width="12" customWidth="1" min="55" max="55"/>
    <col width="10" customWidth="1" min="56" max="56"/>
    <col width="10" customWidth="1" min="57" max="57"/>
    <col width="10" customWidth="1" min="58" max="58"/>
    <col width="10" customWidth="1" min="59" max="59"/>
    <col width="11" customWidth="1" min="60" max="60"/>
    <col width="11" customWidth="1" min="61" max="61"/>
    <col width="10" customWidth="1" min="62" max="62"/>
    <col width="10" customWidth="1" min="63" max="63"/>
    <col width="10" customWidth="1" min="64" max="64"/>
    <col width="10" customWidth="1" min="65" max="65"/>
    <col width="11" customWidth="1" min="66" max="66"/>
    <col width="11" customWidth="1" min="67" max="67"/>
    <col width="10" customWidth="1" min="68" max="68"/>
    <col width="11" customWidth="1" min="69" max="69"/>
    <col width="13" customWidth="1" min="70" max="70"/>
    <col width="12" customWidth="1" min="72" max="72"/>
    <col width="10" customWidth="1" min="73" max="73"/>
    <col width="10" customWidth="1" min="74" max="74"/>
    <col width="10" customWidth="1" min="75" max="75"/>
    <col width="10" customWidth="1" min="76" max="76"/>
    <col width="11" customWidth="1" min="77" max="77"/>
    <col width="11" customWidth="1" min="78" max="78"/>
    <col width="10" customWidth="1" min="79" max="79"/>
    <col width="10" customWidth="1" min="80" max="80"/>
    <col width="10" customWidth="1" min="81" max="81"/>
    <col width="10" customWidth="1" min="82" max="82"/>
    <col width="11" customWidth="1" min="83" max="83"/>
    <col width="11" customWidth="1" min="84" max="84"/>
    <col width="10" customWidth="1" min="85" max="85"/>
    <col width="11" customWidth="1" min="86" max="86"/>
    <col width="13" customWidth="1" min="87" max="87"/>
    <col width="12" customWidth="1" min="89" max="89"/>
    <col width="10" customWidth="1" min="90" max="90"/>
    <col width="10" customWidth="1" min="91" max="91"/>
    <col width="10" customWidth="1" min="92" max="92"/>
    <col width="10" customWidth="1" min="93" max="93"/>
    <col width="11" customWidth="1" min="94" max="94"/>
    <col width="11" customWidth="1" min="95" max="95"/>
    <col width="10" customWidth="1" min="96" max="96"/>
    <col width="10" customWidth="1" min="97" max="97"/>
    <col width="10" customWidth="1" min="98" max="98"/>
    <col width="10" customWidth="1" min="99" max="99"/>
    <col width="11" customWidth="1" min="100" max="100"/>
    <col width="11" customWidth="1" min="101" max="101"/>
    <col width="10" customWidth="1" min="102" max="102"/>
    <col width="11" customWidth="1" min="103" max="103"/>
    <col width="13" customWidth="1" min="104" max="104"/>
    <col width="12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1" customWidth="1" min="111" max="111"/>
    <col width="11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1" customWidth="1" min="117" max="117"/>
    <col width="11" customWidth="1" min="118" max="118"/>
    <col width="10" customWidth="1" min="119" max="119"/>
    <col width="11" customWidth="1" min="120" max="120"/>
    <col width="13" customWidth="1" min="121" max="121"/>
    <col width="12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1" customWidth="1" min="128" max="128"/>
    <col width="11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1" customWidth="1" min="134" max="134"/>
    <col width="11" customWidth="1" min="135" max="135"/>
    <col width="10" customWidth="1" min="136" max="136"/>
    <col width="11" customWidth="1" min="137" max="137"/>
    <col width="13" customWidth="1" min="138" max="138"/>
    <col width="12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1" customWidth="1" min="145" max="145"/>
    <col width="11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1" customWidth="1" min="151" max="151"/>
    <col width="11" customWidth="1" min="152" max="152"/>
    <col width="10" customWidth="1" min="153" max="153"/>
    <col width="11" customWidth="1" min="154" max="154"/>
    <col width="13" customWidth="1" min="155" max="155"/>
    <col width="12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1" customWidth="1" min="162" max="162"/>
    <col width="11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1" customWidth="1" min="168" max="168"/>
    <col width="11" customWidth="1" min="169" max="169"/>
    <col width="10" customWidth="1" min="170" max="170"/>
    <col width="11" customWidth="1" min="171" max="171"/>
    <col width="13" customWidth="1" min="172" max="172"/>
    <col width="12" customWidth="1" min="174" max="174"/>
    <col width="10" customWidth="1" min="175" max="175"/>
    <col width="10" customWidth="1" min="176" max="176"/>
    <col width="10" customWidth="1" min="177" max="177"/>
    <col width="10" customWidth="1" min="178" max="178"/>
    <col width="11" customWidth="1" min="179" max="179"/>
    <col width="11" customWidth="1" min="180" max="180"/>
    <col width="10" customWidth="1" min="181" max="181"/>
    <col width="10" customWidth="1" min="182" max="182"/>
    <col width="10" customWidth="1" min="183" max="183"/>
    <col width="10" customWidth="1" min="184" max="184"/>
    <col width="11" customWidth="1" min="185" max="185"/>
    <col width="11" customWidth="1" min="186" max="186"/>
    <col width="10" customWidth="1" min="187" max="187"/>
    <col width="11" customWidth="1" min="188" max="188"/>
    <col width="13" customWidth="1" min="189" max="189"/>
    <col width="12" customWidth="1" min="191" max="191"/>
    <col width="10" customWidth="1" min="192" max="192"/>
    <col width="10" customWidth="1" min="193" max="193"/>
    <col width="10" customWidth="1" min="194" max="194"/>
    <col width="10" customWidth="1" min="195" max="195"/>
    <col width="11" customWidth="1" min="196" max="196"/>
    <col width="11" customWidth="1" min="197" max="197"/>
    <col width="10" customWidth="1" min="198" max="198"/>
    <col width="10" customWidth="1" min="199" max="199"/>
    <col width="10" customWidth="1" min="200" max="200"/>
    <col width="10" customWidth="1" min="201" max="201"/>
    <col width="11" customWidth="1" min="202" max="202"/>
    <col width="11" customWidth="1" min="203" max="203"/>
    <col width="10" customWidth="1" min="204" max="204"/>
    <col width="11" customWidth="1" min="205" max="205"/>
    <col width="13" customWidth="1" min="206" max="206"/>
    <col width="12" customWidth="1" min="208" max="208"/>
    <col width="10" customWidth="1" min="209" max="209"/>
    <col width="10" customWidth="1" min="210" max="210"/>
    <col width="10" customWidth="1" min="211" max="211"/>
    <col width="10" customWidth="1" min="212" max="212"/>
    <col width="11" customWidth="1" min="213" max="213"/>
    <col width="11" customWidth="1" min="214" max="214"/>
    <col width="10" customWidth="1" min="215" max="215"/>
    <col width="10" customWidth="1" min="216" max="216"/>
    <col width="10" customWidth="1" min="217" max="217"/>
    <col width="10" customWidth="1" min="218" max="218"/>
    <col width="11" customWidth="1" min="219" max="219"/>
    <col width="11" customWidth="1" min="220" max="220"/>
    <col width="10" customWidth="1" min="221" max="221"/>
    <col width="11" customWidth="1" min="222" max="222"/>
    <col width="13" customWidth="1" min="223" max="223"/>
    <col width="12" customWidth="1" min="225" max="225"/>
    <col width="10" customWidth="1" min="226" max="226"/>
    <col width="10" customWidth="1" min="227" max="227"/>
    <col width="10" customWidth="1" min="228" max="228"/>
    <col width="10" customWidth="1" min="229" max="229"/>
    <col width="11" customWidth="1" min="230" max="230"/>
    <col width="11" customWidth="1" min="231" max="231"/>
    <col width="10" customWidth="1" min="232" max="232"/>
    <col width="10" customWidth="1" min="233" max="233"/>
    <col width="10" customWidth="1" min="234" max="234"/>
    <col width="10" customWidth="1" min="235" max="235"/>
    <col width="11" customWidth="1" min="236" max="236"/>
    <col width="11" customWidth="1" min="237" max="237"/>
    <col width="10" customWidth="1" min="238" max="238"/>
    <col width="11" customWidth="1" min="239" max="239"/>
    <col width="13" customWidth="1" min="240" max="240"/>
    <col width="12" customWidth="1" min="242" max="242"/>
    <col width="10" customWidth="1" min="243" max="243"/>
    <col width="10" customWidth="1" min="244" max="244"/>
    <col width="10" customWidth="1" min="245" max="245"/>
    <col width="10" customWidth="1" min="246" max="246"/>
    <col width="11" customWidth="1" min="247" max="247"/>
    <col width="11" customWidth="1" min="248" max="248"/>
    <col width="10" customWidth="1" min="249" max="249"/>
    <col width="10" customWidth="1" min="250" max="250"/>
    <col width="10" customWidth="1" min="251" max="251"/>
    <col width="10" customWidth="1" min="252" max="252"/>
    <col width="11" customWidth="1" min="253" max="253"/>
    <col width="11" customWidth="1" min="254" max="254"/>
    <col width="10" customWidth="1" min="255" max="255"/>
    <col width="11" customWidth="1" min="256" max="256"/>
    <col width="13" customWidth="1" min="257" max="257"/>
    <col width="12" customWidth="1" min="259" max="259"/>
    <col width="10" customWidth="1" min="260" max="260"/>
    <col width="10" customWidth="1" min="261" max="261"/>
    <col width="10" customWidth="1" min="262" max="262"/>
    <col width="10" customWidth="1" min="263" max="263"/>
    <col width="11" customWidth="1" min="264" max="264"/>
    <col width="11" customWidth="1" min="265" max="265"/>
    <col width="10" customWidth="1" min="266" max="266"/>
    <col width="10" customWidth="1" min="267" max="267"/>
    <col width="10" customWidth="1" min="268" max="268"/>
    <col width="10" customWidth="1" min="269" max="269"/>
    <col width="11" customWidth="1" min="270" max="270"/>
    <col width="11" customWidth="1" min="271" max="271"/>
    <col width="10" customWidth="1" min="272" max="272"/>
    <col width="11" customWidth="1" min="273" max="273"/>
    <col width="13" customWidth="1" min="274" max="274"/>
    <col width="12" customWidth="1" min="276" max="276"/>
    <col width="10" customWidth="1" min="277" max="277"/>
    <col width="10" customWidth="1" min="278" max="278"/>
    <col width="10" customWidth="1" min="279" max="279"/>
    <col width="10" customWidth="1" min="280" max="280"/>
    <col width="11" customWidth="1" min="281" max="281"/>
    <col width="11" customWidth="1" min="282" max="282"/>
    <col width="10" customWidth="1" min="283" max="283"/>
    <col width="10" customWidth="1" min="284" max="284"/>
    <col width="10" customWidth="1" min="285" max="285"/>
    <col width="10" customWidth="1" min="286" max="286"/>
    <col width="11" customWidth="1" min="287" max="287"/>
    <col width="11" customWidth="1" min="288" max="288"/>
    <col width="10" customWidth="1" min="289" max="289"/>
    <col width="11" customWidth="1" min="290" max="290"/>
    <col width="13" customWidth="1" min="291" max="291"/>
    <col width="12" customWidth="1" min="293" max="293"/>
    <col width="10" customWidth="1" min="294" max="294"/>
    <col width="10" customWidth="1" min="295" max="295"/>
    <col width="10" customWidth="1" min="296" max="296"/>
    <col width="10" customWidth="1" min="297" max="297"/>
    <col width="11" customWidth="1" min="298" max="298"/>
    <col width="11" customWidth="1" min="299" max="299"/>
    <col width="10" customWidth="1" min="300" max="300"/>
    <col width="10" customWidth="1" min="301" max="301"/>
    <col width="10" customWidth="1" min="302" max="302"/>
    <col width="10" customWidth="1" min="303" max="303"/>
    <col width="11" customWidth="1" min="304" max="304"/>
    <col width="11" customWidth="1" min="305" max="305"/>
    <col width="10" customWidth="1" min="306" max="306"/>
    <col width="11" customWidth="1" min="307" max="307"/>
    <col width="13" customWidth="1" min="308" max="308"/>
    <col width="12" customWidth="1" min="310" max="310"/>
    <col width="10" customWidth="1" min="311" max="311"/>
    <col width="10" customWidth="1" min="312" max="312"/>
    <col width="10" customWidth="1" min="313" max="313"/>
    <col width="10" customWidth="1" min="314" max="314"/>
    <col width="11" customWidth="1" min="315" max="315"/>
    <col width="11" customWidth="1" min="316" max="316"/>
    <col width="10" customWidth="1" min="317" max="317"/>
    <col width="10" customWidth="1" min="318" max="318"/>
    <col width="10" customWidth="1" min="319" max="319"/>
    <col width="10" customWidth="1" min="320" max="320"/>
    <col width="11" customWidth="1" min="321" max="321"/>
    <col width="11" customWidth="1" min="322" max="322"/>
    <col width="10" customWidth="1" min="323" max="323"/>
    <col width="11" customWidth="1" min="324" max="324"/>
    <col width="13" customWidth="1" min="325" max="325"/>
    <col width="12" customWidth="1" min="327" max="327"/>
    <col width="10" customWidth="1" min="328" max="328"/>
    <col width="10" customWidth="1" min="329" max="329"/>
    <col width="10" customWidth="1" min="330" max="330"/>
    <col width="10" customWidth="1" min="331" max="331"/>
    <col width="11" customWidth="1" min="332" max="332"/>
    <col width="11" customWidth="1" min="333" max="333"/>
    <col width="10" customWidth="1" min="334" max="334"/>
    <col width="10" customWidth="1" min="335" max="335"/>
    <col width="10" customWidth="1" min="336" max="336"/>
    <col width="10" customWidth="1" min="337" max="337"/>
    <col width="11" customWidth="1" min="338" max="338"/>
    <col width="11" customWidth="1" min="339" max="339"/>
    <col width="10" customWidth="1" min="340" max="340"/>
    <col width="11" customWidth="1" min="341" max="341"/>
    <col width="13" customWidth="1" min="342" max="342"/>
    <col width="12" customWidth="1" min="344" max="344"/>
    <col width="10" customWidth="1" min="345" max="345"/>
    <col width="10" customWidth="1" min="346" max="346"/>
    <col width="10" customWidth="1" min="347" max="347"/>
    <col width="10" customWidth="1" min="348" max="348"/>
    <col width="11" customWidth="1" min="349" max="349"/>
    <col width="11" customWidth="1" min="350" max="350"/>
    <col width="10" customWidth="1" min="351" max="351"/>
    <col width="10" customWidth="1" min="352" max="352"/>
    <col width="10" customWidth="1" min="353" max="353"/>
    <col width="10" customWidth="1" min="354" max="354"/>
    <col width="11" customWidth="1" min="355" max="355"/>
    <col width="11" customWidth="1" min="356" max="356"/>
    <col width="10" customWidth="1" min="357" max="357"/>
    <col width="11" customWidth="1" min="358" max="358"/>
    <col width="13" customWidth="1" min="359" max="359"/>
    <col width="12" customWidth="1" min="361" max="361"/>
    <col width="10" customWidth="1" min="362" max="362"/>
    <col width="10" customWidth="1" min="363" max="363"/>
    <col width="10" customWidth="1" min="364" max="364"/>
    <col width="10" customWidth="1" min="365" max="365"/>
    <col width="11" customWidth="1" min="366" max="366"/>
    <col width="11" customWidth="1" min="367" max="367"/>
    <col width="10" customWidth="1" min="368" max="368"/>
    <col width="10" customWidth="1" min="369" max="369"/>
    <col width="10" customWidth="1" min="370" max="370"/>
    <col width="10" customWidth="1" min="371" max="371"/>
    <col width="11" customWidth="1" min="372" max="372"/>
    <col width="11" customWidth="1" min="373" max="373"/>
    <col width="10" customWidth="1" min="374" max="374"/>
    <col width="11" customWidth="1" min="375" max="375"/>
    <col width="13" customWidth="1" min="376" max="376"/>
  </cols>
  <sheetData>
    <row r="1">
      <c r="A1" s="2" t="inlineStr">
        <is>
          <t>Month</t>
        </is>
      </c>
      <c r="B1" s="9" t="n">
        <v>10</v>
      </c>
      <c r="D1" s="2">
        <f>IF(ISNUMBER(B$7),"XOP US "&amp;TEXT(B$3,"mm/dd/yy")&amp;" C"&amp;(B$7-5*B$6)&amp;" Equity","")</f>
        <v/>
      </c>
      <c r="U1" s="2">
        <f>IF(ISNUMBER(B$7),"XOP US "&amp;TEXT(B$3,"mm/dd/yy")&amp;" P"&amp;(B$7-5*B$6)&amp;" Equity","")</f>
        <v/>
      </c>
      <c r="AL1" s="2">
        <f>IF(ISNUMBER(B$7),"XOP US "&amp;TEXT(B$3,"mm/dd/yy")&amp;" C"&amp;(B$7-4*B$6)&amp;" Equity","")</f>
        <v/>
      </c>
      <c r="BC1" s="2">
        <f>IF(ISNUMBER(B$7),"XOP US "&amp;TEXT(B$3,"mm/dd/yy")&amp;" P"&amp;(B$7-4*B$6)&amp;" Equity","")</f>
        <v/>
      </c>
      <c r="BT1" s="2">
        <f>IF(ISNUMBER(B$7),"XOP US "&amp;TEXT(B$3,"mm/dd/yy")&amp;" C"&amp;(B$7-3*B$6)&amp;" Equity","")</f>
        <v/>
      </c>
      <c r="CK1" s="2">
        <f>IF(ISNUMBER(B$7),"XOP US "&amp;TEXT(B$3,"mm/dd/yy")&amp;" P"&amp;(B$7-3*B$6)&amp;" Equity","")</f>
        <v/>
      </c>
      <c r="DB1" s="2">
        <f>IF(ISNUMBER(B$7),"XOP US "&amp;TEXT(B$3,"mm/dd/yy")&amp;" C"&amp;(B$7-2*B$6)&amp;" Equity","")</f>
        <v/>
      </c>
      <c r="DS1" s="2">
        <f>IF(ISNUMBER(B$7),"XOP US "&amp;TEXT(B$3,"mm/dd/yy")&amp;" P"&amp;(B$7-2*B$6)&amp;" Equity","")</f>
        <v/>
      </c>
      <c r="EJ1" s="2">
        <f>IF(ISNUMBER(B$7),"XOP US "&amp;TEXT(B$3,"mm/dd/yy")&amp;" C"&amp;(B$7-1*B$6)&amp;" Equity","")</f>
        <v/>
      </c>
      <c r="FA1" s="2">
        <f>IF(ISNUMBER(B$7),"XOP US "&amp;TEXT(B$3,"mm/dd/yy")&amp;" P"&amp;(B$7-1*B$6)&amp;" Equity","")</f>
        <v/>
      </c>
      <c r="FR1" s="2">
        <f>IF(ISNUMBER(B$7),"XOP US "&amp;TEXT(B$3,"mm/dd/yy")&amp;" C"&amp;B$7&amp;" Equity","")</f>
        <v/>
      </c>
      <c r="GI1" s="2">
        <f>IF(ISNUMBER(B$7),"XOP US "&amp;TEXT(B$3,"mm/dd/yy")&amp;" P"&amp;B$7&amp;" Equity","")</f>
        <v/>
      </c>
      <c r="GZ1" s="2">
        <f>IF(ISNUMBER(B$7),"XOP US "&amp;TEXT(B$3,"mm/dd/yy")&amp;" C"&amp;(B$7+1*B$6)&amp;" Equity","")</f>
        <v/>
      </c>
      <c r="HQ1" s="2">
        <f>IF(ISNUMBER(B$7),"XOP US "&amp;TEXT(B$3,"mm/dd/yy")&amp;" P"&amp;(B$7+1*B$6)&amp;" Equity","")</f>
        <v/>
      </c>
      <c r="IH1" s="2">
        <f>IF(ISNUMBER(B$7),"XOP US "&amp;TEXT(B$3,"mm/dd/yy")&amp;" C"&amp;(B$7+2*B$6)&amp;" Equity","")</f>
        <v/>
      </c>
      <c r="IY1" s="2">
        <f>IF(ISNUMBER(B$7),"XOP US "&amp;TEXT(B$3,"mm/dd/yy")&amp;" P"&amp;(B$7+2*B$6)&amp;" Equity","")</f>
        <v/>
      </c>
      <c r="JP1" s="2">
        <f>IF(ISNUMBER(B$7),"XOP US "&amp;TEXT(B$3,"mm/dd/yy")&amp;" C"&amp;(B$7+3*B$6)&amp;" Equity","")</f>
        <v/>
      </c>
      <c r="KG1" s="2">
        <f>IF(ISNUMBER(B$7),"XOP US "&amp;TEXT(B$3,"mm/dd/yy")&amp;" P"&amp;(B$7+3*B$6)&amp;" Equity","")</f>
        <v/>
      </c>
      <c r="KX1" s="2">
        <f>IF(ISNUMBER(B$7),"XOP US "&amp;TEXT(B$3,"mm/dd/yy")&amp;" C"&amp;(B$7+4*B$6)&amp;" Equity","")</f>
        <v/>
      </c>
      <c r="LO1" s="2">
        <f>IF(ISNUMBER(B$7),"XOP US "&amp;TEXT(B$3,"mm/dd/yy")&amp;" P"&amp;(B$7+4*B$6)&amp;" Equity","")</f>
        <v/>
      </c>
      <c r="MF1" s="2">
        <f>IF(ISNUMBER(B$7),"XOP US "&amp;TEXT(B$3,"mm/dd/yy")&amp;" C"&amp;(B$7+5*B$6)&amp;" Equity","")</f>
        <v/>
      </c>
      <c r="MW1" s="2">
        <f>IF(ISNUMBER(B$7),"XOP US "&amp;TEXT(B$3,"mm/dd/yy")&amp;" P"&amp;(B$7+5*B$6)&amp;" Equity","")</f>
        <v/>
      </c>
    </row>
    <row r="2">
      <c r="A2" s="2" t="inlineStr">
        <is>
          <t>Underlying</t>
        </is>
      </c>
      <c r="B2" s="4">
        <f>IF(Settings!$B$17="Y","XOP US Equity","")</f>
        <v/>
      </c>
      <c r="D2" s="4" t="inlineStr">
        <is>
          <t>call -5 from ATM</t>
        </is>
      </c>
      <c r="U2" s="4" t="inlineStr">
        <is>
          <t>put -5 from ATM</t>
        </is>
      </c>
      <c r="AL2" s="4" t="inlineStr">
        <is>
          <t>call -4 from ATM</t>
        </is>
      </c>
      <c r="BC2" s="4" t="inlineStr">
        <is>
          <t>put -4 from ATM</t>
        </is>
      </c>
      <c r="BT2" s="4" t="inlineStr">
        <is>
          <t>call -3 from ATM</t>
        </is>
      </c>
      <c r="CK2" s="4" t="inlineStr">
        <is>
          <t>put -3 from ATM</t>
        </is>
      </c>
      <c r="DB2" s="4" t="inlineStr">
        <is>
          <t>call -2 from ATM</t>
        </is>
      </c>
      <c r="DS2" s="4" t="inlineStr">
        <is>
          <t>put -2 from ATM</t>
        </is>
      </c>
      <c r="EJ2" s="4" t="inlineStr">
        <is>
          <t>call -1 from ATM</t>
        </is>
      </c>
      <c r="FA2" s="4" t="inlineStr">
        <is>
          <t>put -1 from ATM</t>
        </is>
      </c>
      <c r="FR2" s="4" t="inlineStr">
        <is>
          <t>call +0 from ATM</t>
        </is>
      </c>
      <c r="GI2" s="4" t="inlineStr">
        <is>
          <t>put +0 from ATM</t>
        </is>
      </c>
      <c r="GZ2" s="4" t="inlineStr">
        <is>
          <t>call +1 from ATM</t>
        </is>
      </c>
      <c r="HQ2" s="4" t="inlineStr">
        <is>
          <t>put +1 from ATM</t>
        </is>
      </c>
      <c r="IH2" s="4" t="inlineStr">
        <is>
          <t>call +2 from ATM</t>
        </is>
      </c>
      <c r="IY2" s="4" t="inlineStr">
        <is>
          <t>put +2 from ATM</t>
        </is>
      </c>
      <c r="JP2" s="4" t="inlineStr">
        <is>
          <t>call +3 from ATM</t>
        </is>
      </c>
      <c r="KG2" s="4" t="inlineStr">
        <is>
          <t>put +3 from ATM</t>
        </is>
      </c>
      <c r="KX2" s="4" t="inlineStr">
        <is>
          <t>call +4 from ATM</t>
        </is>
      </c>
      <c r="LO2" s="4" t="inlineStr">
        <is>
          <t>put +4 from ATM</t>
        </is>
      </c>
      <c r="MF2" s="4" t="inlineStr">
        <is>
          <t>call +5 from ATM</t>
        </is>
      </c>
      <c r="MW2" s="4" t="inlineStr">
        <is>
          <t>put +5 from ATM</t>
        </is>
      </c>
    </row>
    <row r="3">
      <c r="A3" s="2" t="inlineStr">
        <is>
          <t>Expiry (3rd Friday)</t>
        </is>
      </c>
      <c r="B3" s="3">
        <f>DATE(Settings!$E$17,B1,15)+MOD(6-WEEKDAY(DATE(Settings!$E$17,B1,15)),7)</f>
        <v/>
      </c>
      <c r="D3" s="5" t="inlineStr">
        <is>
          <t>Date</t>
        </is>
      </c>
      <c r="E3" s="5" t="inlineStr">
        <is>
          <t>PX_BID</t>
        </is>
      </c>
      <c r="F3" s="5" t="inlineStr">
        <is>
          <t>PX_ASK</t>
        </is>
      </c>
      <c r="G3" s="5" t="inlineStr">
        <is>
          <t>PX_MID</t>
        </is>
      </c>
      <c r="H3" s="5" t="inlineStr">
        <is>
          <t>PX_LAST</t>
        </is>
      </c>
      <c r="I3" s="5" t="inlineStr">
        <is>
          <t>PX_SETTLE</t>
        </is>
      </c>
      <c r="J3" s="5" t="inlineStr">
        <is>
          <t>PX_VOLUME</t>
        </is>
      </c>
      <c r="K3" s="5" t="inlineStr">
        <is>
          <t>OPEN_INT</t>
        </is>
      </c>
      <c r="L3" s="5" t="inlineStr">
        <is>
          <t>IVOL_MID</t>
        </is>
      </c>
      <c r="M3" s="5" t="inlineStr">
        <is>
          <t>IVOL_BID</t>
        </is>
      </c>
      <c r="N3" s="5" t="inlineStr">
        <is>
          <t>IVOL_ASK</t>
        </is>
      </c>
      <c r="O3" s="5" t="inlineStr">
        <is>
          <t>DELTA_MID</t>
        </is>
      </c>
      <c r="P3" s="5" t="inlineStr">
        <is>
          <t>GAMMA_MID</t>
        </is>
      </c>
      <c r="Q3" s="5" t="inlineStr">
        <is>
          <t>VEGA_MID</t>
        </is>
      </c>
      <c r="R3" s="5" t="inlineStr">
        <is>
          <t>THETA_MID</t>
        </is>
      </c>
      <c r="S3" s="5" t="inlineStr">
        <is>
          <t>OPT_UNDL_PX</t>
        </is>
      </c>
      <c r="U3" s="5" t="inlineStr">
        <is>
          <t>Date</t>
        </is>
      </c>
      <c r="V3" s="5" t="inlineStr">
        <is>
          <t>PX_BID</t>
        </is>
      </c>
      <c r="W3" s="5" t="inlineStr">
        <is>
          <t>PX_ASK</t>
        </is>
      </c>
      <c r="X3" s="5" t="inlineStr">
        <is>
          <t>PX_MID</t>
        </is>
      </c>
      <c r="Y3" s="5" t="inlineStr">
        <is>
          <t>PX_LAST</t>
        </is>
      </c>
      <c r="Z3" s="5" t="inlineStr">
        <is>
          <t>PX_SETTLE</t>
        </is>
      </c>
      <c r="AA3" s="5" t="inlineStr">
        <is>
          <t>PX_VOLUME</t>
        </is>
      </c>
      <c r="AB3" s="5" t="inlineStr">
        <is>
          <t>OPEN_INT</t>
        </is>
      </c>
      <c r="AC3" s="5" t="inlineStr">
        <is>
          <t>IVOL_MID</t>
        </is>
      </c>
      <c r="AD3" s="5" t="inlineStr">
        <is>
          <t>IVOL_BID</t>
        </is>
      </c>
      <c r="AE3" s="5" t="inlineStr">
        <is>
          <t>IVOL_ASK</t>
        </is>
      </c>
      <c r="AF3" s="5" t="inlineStr">
        <is>
          <t>DELTA_MID</t>
        </is>
      </c>
      <c r="AG3" s="5" t="inlineStr">
        <is>
          <t>GAMMA_MID</t>
        </is>
      </c>
      <c r="AH3" s="5" t="inlineStr">
        <is>
          <t>VEGA_MID</t>
        </is>
      </c>
      <c r="AI3" s="5" t="inlineStr">
        <is>
          <t>THETA_MID</t>
        </is>
      </c>
      <c r="AJ3" s="5" t="inlineStr">
        <is>
          <t>OPT_UNDL_PX</t>
        </is>
      </c>
      <c r="AL3" s="5" t="inlineStr">
        <is>
          <t>Date</t>
        </is>
      </c>
      <c r="AM3" s="5" t="inlineStr">
        <is>
          <t>PX_BID</t>
        </is>
      </c>
      <c r="AN3" s="5" t="inlineStr">
        <is>
          <t>PX_ASK</t>
        </is>
      </c>
      <c r="AO3" s="5" t="inlineStr">
        <is>
          <t>PX_MID</t>
        </is>
      </c>
      <c r="AP3" s="5" t="inlineStr">
        <is>
          <t>PX_LAST</t>
        </is>
      </c>
      <c r="AQ3" s="5" t="inlineStr">
        <is>
          <t>PX_SETTLE</t>
        </is>
      </c>
      <c r="AR3" s="5" t="inlineStr">
        <is>
          <t>PX_VOLUME</t>
        </is>
      </c>
      <c r="AS3" s="5" t="inlineStr">
        <is>
          <t>OPEN_INT</t>
        </is>
      </c>
      <c r="AT3" s="5" t="inlineStr">
        <is>
          <t>IVOL_MID</t>
        </is>
      </c>
      <c r="AU3" s="5" t="inlineStr">
        <is>
          <t>IVOL_BID</t>
        </is>
      </c>
      <c r="AV3" s="5" t="inlineStr">
        <is>
          <t>IVOL_ASK</t>
        </is>
      </c>
      <c r="AW3" s="5" t="inlineStr">
        <is>
          <t>DELTA_MID</t>
        </is>
      </c>
      <c r="AX3" s="5" t="inlineStr">
        <is>
          <t>GAMMA_MID</t>
        </is>
      </c>
      <c r="AY3" s="5" t="inlineStr">
        <is>
          <t>VEGA_MID</t>
        </is>
      </c>
      <c r="AZ3" s="5" t="inlineStr">
        <is>
          <t>THETA_MID</t>
        </is>
      </c>
      <c r="BA3" s="5" t="inlineStr">
        <is>
          <t>OPT_UNDL_PX</t>
        </is>
      </c>
      <c r="BC3" s="5" t="inlineStr">
        <is>
          <t>Date</t>
        </is>
      </c>
      <c r="BD3" s="5" t="inlineStr">
        <is>
          <t>PX_BID</t>
        </is>
      </c>
      <c r="BE3" s="5" t="inlineStr">
        <is>
          <t>PX_ASK</t>
        </is>
      </c>
      <c r="BF3" s="5" t="inlineStr">
        <is>
          <t>PX_MID</t>
        </is>
      </c>
      <c r="BG3" s="5" t="inlineStr">
        <is>
          <t>PX_LAST</t>
        </is>
      </c>
      <c r="BH3" s="5" t="inlineStr">
        <is>
          <t>PX_SETTLE</t>
        </is>
      </c>
      <c r="BI3" s="5" t="inlineStr">
        <is>
          <t>PX_VOLUME</t>
        </is>
      </c>
      <c r="BJ3" s="5" t="inlineStr">
        <is>
          <t>OPEN_INT</t>
        </is>
      </c>
      <c r="BK3" s="5" t="inlineStr">
        <is>
          <t>IVOL_MID</t>
        </is>
      </c>
      <c r="BL3" s="5" t="inlineStr">
        <is>
          <t>IVOL_BID</t>
        </is>
      </c>
      <c r="BM3" s="5" t="inlineStr">
        <is>
          <t>IVOL_ASK</t>
        </is>
      </c>
      <c r="BN3" s="5" t="inlineStr">
        <is>
          <t>DELTA_MID</t>
        </is>
      </c>
      <c r="BO3" s="5" t="inlineStr">
        <is>
          <t>GAMMA_MID</t>
        </is>
      </c>
      <c r="BP3" s="5" t="inlineStr">
        <is>
          <t>VEGA_MID</t>
        </is>
      </c>
      <c r="BQ3" s="5" t="inlineStr">
        <is>
          <t>THETA_MID</t>
        </is>
      </c>
      <c r="BR3" s="5" t="inlineStr">
        <is>
          <t>OPT_UNDL_PX</t>
        </is>
      </c>
      <c r="BT3" s="5" t="inlineStr">
        <is>
          <t>Date</t>
        </is>
      </c>
      <c r="BU3" s="5" t="inlineStr">
        <is>
          <t>PX_BID</t>
        </is>
      </c>
      <c r="BV3" s="5" t="inlineStr">
        <is>
          <t>PX_ASK</t>
        </is>
      </c>
      <c r="BW3" s="5" t="inlineStr">
        <is>
          <t>PX_MID</t>
        </is>
      </c>
      <c r="BX3" s="5" t="inlineStr">
        <is>
          <t>PX_LAST</t>
        </is>
      </c>
      <c r="BY3" s="5" t="inlineStr">
        <is>
          <t>PX_SETTLE</t>
        </is>
      </c>
      <c r="BZ3" s="5" t="inlineStr">
        <is>
          <t>PX_VOLUME</t>
        </is>
      </c>
      <c r="CA3" s="5" t="inlineStr">
        <is>
          <t>OPEN_INT</t>
        </is>
      </c>
      <c r="CB3" s="5" t="inlineStr">
        <is>
          <t>IVOL_MID</t>
        </is>
      </c>
      <c r="CC3" s="5" t="inlineStr">
        <is>
          <t>IVOL_BID</t>
        </is>
      </c>
      <c r="CD3" s="5" t="inlineStr">
        <is>
          <t>IVOL_ASK</t>
        </is>
      </c>
      <c r="CE3" s="5" t="inlineStr">
        <is>
          <t>DELTA_MID</t>
        </is>
      </c>
      <c r="CF3" s="5" t="inlineStr">
        <is>
          <t>GAMMA_MID</t>
        </is>
      </c>
      <c r="CG3" s="5" t="inlineStr">
        <is>
          <t>VEGA_MID</t>
        </is>
      </c>
      <c r="CH3" s="5" t="inlineStr">
        <is>
          <t>THETA_MID</t>
        </is>
      </c>
      <c r="CI3" s="5" t="inlineStr">
        <is>
          <t>OPT_UNDL_PX</t>
        </is>
      </c>
      <c r="CK3" s="5" t="inlineStr">
        <is>
          <t>Date</t>
        </is>
      </c>
      <c r="CL3" s="5" t="inlineStr">
        <is>
          <t>PX_BID</t>
        </is>
      </c>
      <c r="CM3" s="5" t="inlineStr">
        <is>
          <t>PX_ASK</t>
        </is>
      </c>
      <c r="CN3" s="5" t="inlineStr">
        <is>
          <t>PX_MID</t>
        </is>
      </c>
      <c r="CO3" s="5" t="inlineStr">
        <is>
          <t>PX_LAST</t>
        </is>
      </c>
      <c r="CP3" s="5" t="inlineStr">
        <is>
          <t>PX_SETTLE</t>
        </is>
      </c>
      <c r="CQ3" s="5" t="inlineStr">
        <is>
          <t>PX_VOLUME</t>
        </is>
      </c>
      <c r="CR3" s="5" t="inlineStr">
        <is>
          <t>OPEN_INT</t>
        </is>
      </c>
      <c r="CS3" s="5" t="inlineStr">
        <is>
          <t>IVOL_MID</t>
        </is>
      </c>
      <c r="CT3" s="5" t="inlineStr">
        <is>
          <t>IVOL_BID</t>
        </is>
      </c>
      <c r="CU3" s="5" t="inlineStr">
        <is>
          <t>IVOL_ASK</t>
        </is>
      </c>
      <c r="CV3" s="5" t="inlineStr">
        <is>
          <t>DELTA_MID</t>
        </is>
      </c>
      <c r="CW3" s="5" t="inlineStr">
        <is>
          <t>GAMMA_MID</t>
        </is>
      </c>
      <c r="CX3" s="5" t="inlineStr">
        <is>
          <t>VEGA_MID</t>
        </is>
      </c>
      <c r="CY3" s="5" t="inlineStr">
        <is>
          <t>THETA_MID</t>
        </is>
      </c>
      <c r="CZ3" s="5" t="inlineStr">
        <is>
          <t>OPT_UNDL_PX</t>
        </is>
      </c>
      <c r="DB3" s="5" t="inlineStr">
        <is>
          <t>Date</t>
        </is>
      </c>
      <c r="DC3" s="5" t="inlineStr">
        <is>
          <t>PX_BID</t>
        </is>
      </c>
      <c r="DD3" s="5" t="inlineStr">
        <is>
          <t>PX_ASK</t>
        </is>
      </c>
      <c r="DE3" s="5" t="inlineStr">
        <is>
          <t>PX_MID</t>
        </is>
      </c>
      <c r="DF3" s="5" t="inlineStr">
        <is>
          <t>PX_LAST</t>
        </is>
      </c>
      <c r="DG3" s="5" t="inlineStr">
        <is>
          <t>PX_SETTLE</t>
        </is>
      </c>
      <c r="DH3" s="5" t="inlineStr">
        <is>
          <t>PX_VOLUME</t>
        </is>
      </c>
      <c r="DI3" s="5" t="inlineStr">
        <is>
          <t>OPEN_INT</t>
        </is>
      </c>
      <c r="DJ3" s="5" t="inlineStr">
        <is>
          <t>IVOL_MID</t>
        </is>
      </c>
      <c r="DK3" s="5" t="inlineStr">
        <is>
          <t>IVOL_BID</t>
        </is>
      </c>
      <c r="DL3" s="5" t="inlineStr">
        <is>
          <t>IVOL_ASK</t>
        </is>
      </c>
      <c r="DM3" s="5" t="inlineStr">
        <is>
          <t>DELTA_MID</t>
        </is>
      </c>
      <c r="DN3" s="5" t="inlineStr">
        <is>
          <t>GAMMA_MID</t>
        </is>
      </c>
      <c r="DO3" s="5" t="inlineStr">
        <is>
          <t>VEGA_MID</t>
        </is>
      </c>
      <c r="DP3" s="5" t="inlineStr">
        <is>
          <t>THETA_MID</t>
        </is>
      </c>
      <c r="DQ3" s="5" t="inlineStr">
        <is>
          <t>OPT_UNDL_PX</t>
        </is>
      </c>
      <c r="DS3" s="5" t="inlineStr">
        <is>
          <t>Date</t>
        </is>
      </c>
      <c r="DT3" s="5" t="inlineStr">
        <is>
          <t>PX_BID</t>
        </is>
      </c>
      <c r="DU3" s="5" t="inlineStr">
        <is>
          <t>PX_ASK</t>
        </is>
      </c>
      <c r="DV3" s="5" t="inlineStr">
        <is>
          <t>PX_MID</t>
        </is>
      </c>
      <c r="DW3" s="5" t="inlineStr">
        <is>
          <t>PX_LAST</t>
        </is>
      </c>
      <c r="DX3" s="5" t="inlineStr">
        <is>
          <t>PX_SETTLE</t>
        </is>
      </c>
      <c r="DY3" s="5" t="inlineStr">
        <is>
          <t>PX_VOLUME</t>
        </is>
      </c>
      <c r="DZ3" s="5" t="inlineStr">
        <is>
          <t>OPEN_INT</t>
        </is>
      </c>
      <c r="EA3" s="5" t="inlineStr">
        <is>
          <t>IVOL_MID</t>
        </is>
      </c>
      <c r="EB3" s="5" t="inlineStr">
        <is>
          <t>IVOL_BID</t>
        </is>
      </c>
      <c r="EC3" s="5" t="inlineStr">
        <is>
          <t>IVOL_ASK</t>
        </is>
      </c>
      <c r="ED3" s="5" t="inlineStr">
        <is>
          <t>DELTA_MID</t>
        </is>
      </c>
      <c r="EE3" s="5" t="inlineStr">
        <is>
          <t>GAMMA_MID</t>
        </is>
      </c>
      <c r="EF3" s="5" t="inlineStr">
        <is>
          <t>VEGA_MID</t>
        </is>
      </c>
      <c r="EG3" s="5" t="inlineStr">
        <is>
          <t>THETA_MID</t>
        </is>
      </c>
      <c r="EH3" s="5" t="inlineStr">
        <is>
          <t>OPT_UNDL_PX</t>
        </is>
      </c>
      <c r="EJ3" s="5" t="inlineStr">
        <is>
          <t>Date</t>
        </is>
      </c>
      <c r="EK3" s="5" t="inlineStr">
        <is>
          <t>PX_BID</t>
        </is>
      </c>
      <c r="EL3" s="5" t="inlineStr">
        <is>
          <t>PX_ASK</t>
        </is>
      </c>
      <c r="EM3" s="5" t="inlineStr">
        <is>
          <t>PX_MID</t>
        </is>
      </c>
      <c r="EN3" s="5" t="inlineStr">
        <is>
          <t>PX_LAST</t>
        </is>
      </c>
      <c r="EO3" s="5" t="inlineStr">
        <is>
          <t>PX_SETTLE</t>
        </is>
      </c>
      <c r="EP3" s="5" t="inlineStr">
        <is>
          <t>PX_VOLUME</t>
        </is>
      </c>
      <c r="EQ3" s="5" t="inlineStr">
        <is>
          <t>OPEN_INT</t>
        </is>
      </c>
      <c r="ER3" s="5" t="inlineStr">
        <is>
          <t>IVOL_MID</t>
        </is>
      </c>
      <c r="ES3" s="5" t="inlineStr">
        <is>
          <t>IVOL_BID</t>
        </is>
      </c>
      <c r="ET3" s="5" t="inlineStr">
        <is>
          <t>IVOL_ASK</t>
        </is>
      </c>
      <c r="EU3" s="5" t="inlineStr">
        <is>
          <t>DELTA_MID</t>
        </is>
      </c>
      <c r="EV3" s="5" t="inlineStr">
        <is>
          <t>GAMMA_MID</t>
        </is>
      </c>
      <c r="EW3" s="5" t="inlineStr">
        <is>
          <t>VEGA_MID</t>
        </is>
      </c>
      <c r="EX3" s="5" t="inlineStr">
        <is>
          <t>THETA_MID</t>
        </is>
      </c>
      <c r="EY3" s="5" t="inlineStr">
        <is>
          <t>OPT_UNDL_PX</t>
        </is>
      </c>
      <c r="FA3" s="5" t="inlineStr">
        <is>
          <t>Date</t>
        </is>
      </c>
      <c r="FB3" s="5" t="inlineStr">
        <is>
          <t>PX_BID</t>
        </is>
      </c>
      <c r="FC3" s="5" t="inlineStr">
        <is>
          <t>PX_ASK</t>
        </is>
      </c>
      <c r="FD3" s="5" t="inlineStr">
        <is>
          <t>PX_MID</t>
        </is>
      </c>
      <c r="FE3" s="5" t="inlineStr">
        <is>
          <t>PX_LAST</t>
        </is>
      </c>
      <c r="FF3" s="5" t="inlineStr">
        <is>
          <t>PX_SETTLE</t>
        </is>
      </c>
      <c r="FG3" s="5" t="inlineStr">
        <is>
          <t>PX_VOLUME</t>
        </is>
      </c>
      <c r="FH3" s="5" t="inlineStr">
        <is>
          <t>OPEN_INT</t>
        </is>
      </c>
      <c r="FI3" s="5" t="inlineStr">
        <is>
          <t>IVOL_MID</t>
        </is>
      </c>
      <c r="FJ3" s="5" t="inlineStr">
        <is>
          <t>IVOL_BID</t>
        </is>
      </c>
      <c r="FK3" s="5" t="inlineStr">
        <is>
          <t>IVOL_ASK</t>
        </is>
      </c>
      <c r="FL3" s="5" t="inlineStr">
        <is>
          <t>DELTA_MID</t>
        </is>
      </c>
      <c r="FM3" s="5" t="inlineStr">
        <is>
          <t>GAMMA_MID</t>
        </is>
      </c>
      <c r="FN3" s="5" t="inlineStr">
        <is>
          <t>VEGA_MID</t>
        </is>
      </c>
      <c r="FO3" s="5" t="inlineStr">
        <is>
          <t>THETA_MID</t>
        </is>
      </c>
      <c r="FP3" s="5" t="inlineStr">
        <is>
          <t>OPT_UNDL_PX</t>
        </is>
      </c>
      <c r="FR3" s="5" t="inlineStr">
        <is>
          <t>Date</t>
        </is>
      </c>
      <c r="FS3" s="5" t="inlineStr">
        <is>
          <t>PX_BID</t>
        </is>
      </c>
      <c r="FT3" s="5" t="inlineStr">
        <is>
          <t>PX_ASK</t>
        </is>
      </c>
      <c r="FU3" s="5" t="inlineStr">
        <is>
          <t>PX_MID</t>
        </is>
      </c>
      <c r="FV3" s="5" t="inlineStr">
        <is>
          <t>PX_LAST</t>
        </is>
      </c>
      <c r="FW3" s="5" t="inlineStr">
        <is>
          <t>PX_SETTLE</t>
        </is>
      </c>
      <c r="FX3" s="5" t="inlineStr">
        <is>
          <t>PX_VOLUME</t>
        </is>
      </c>
      <c r="FY3" s="5" t="inlineStr">
        <is>
          <t>OPEN_INT</t>
        </is>
      </c>
      <c r="FZ3" s="5" t="inlineStr">
        <is>
          <t>IVOL_MID</t>
        </is>
      </c>
      <c r="GA3" s="5" t="inlineStr">
        <is>
          <t>IVOL_BID</t>
        </is>
      </c>
      <c r="GB3" s="5" t="inlineStr">
        <is>
          <t>IVOL_ASK</t>
        </is>
      </c>
      <c r="GC3" s="5" t="inlineStr">
        <is>
          <t>DELTA_MID</t>
        </is>
      </c>
      <c r="GD3" s="5" t="inlineStr">
        <is>
          <t>GAMMA_MID</t>
        </is>
      </c>
      <c r="GE3" s="5" t="inlineStr">
        <is>
          <t>VEGA_MID</t>
        </is>
      </c>
      <c r="GF3" s="5" t="inlineStr">
        <is>
          <t>THETA_MID</t>
        </is>
      </c>
      <c r="GG3" s="5" t="inlineStr">
        <is>
          <t>OPT_UNDL_PX</t>
        </is>
      </c>
      <c r="GI3" s="5" t="inlineStr">
        <is>
          <t>Date</t>
        </is>
      </c>
      <c r="GJ3" s="5" t="inlineStr">
        <is>
          <t>PX_BID</t>
        </is>
      </c>
      <c r="GK3" s="5" t="inlineStr">
        <is>
          <t>PX_ASK</t>
        </is>
      </c>
      <c r="GL3" s="5" t="inlineStr">
        <is>
          <t>PX_MID</t>
        </is>
      </c>
      <c r="GM3" s="5" t="inlineStr">
        <is>
          <t>PX_LAST</t>
        </is>
      </c>
      <c r="GN3" s="5" t="inlineStr">
        <is>
          <t>PX_SETTLE</t>
        </is>
      </c>
      <c r="GO3" s="5" t="inlineStr">
        <is>
          <t>PX_VOLUME</t>
        </is>
      </c>
      <c r="GP3" s="5" t="inlineStr">
        <is>
          <t>OPEN_INT</t>
        </is>
      </c>
      <c r="GQ3" s="5" t="inlineStr">
        <is>
          <t>IVOL_MID</t>
        </is>
      </c>
      <c r="GR3" s="5" t="inlineStr">
        <is>
          <t>IVOL_BID</t>
        </is>
      </c>
      <c r="GS3" s="5" t="inlineStr">
        <is>
          <t>IVOL_ASK</t>
        </is>
      </c>
      <c r="GT3" s="5" t="inlineStr">
        <is>
          <t>DELTA_MID</t>
        </is>
      </c>
      <c r="GU3" s="5" t="inlineStr">
        <is>
          <t>GAMMA_MID</t>
        </is>
      </c>
      <c r="GV3" s="5" t="inlineStr">
        <is>
          <t>VEGA_MID</t>
        </is>
      </c>
      <c r="GW3" s="5" t="inlineStr">
        <is>
          <t>THETA_MID</t>
        </is>
      </c>
      <c r="GX3" s="5" t="inlineStr">
        <is>
          <t>OPT_UNDL_PX</t>
        </is>
      </c>
      <c r="GZ3" s="5" t="inlineStr">
        <is>
          <t>Date</t>
        </is>
      </c>
      <c r="HA3" s="5" t="inlineStr">
        <is>
          <t>PX_BID</t>
        </is>
      </c>
      <c r="HB3" s="5" t="inlineStr">
        <is>
          <t>PX_ASK</t>
        </is>
      </c>
      <c r="HC3" s="5" t="inlineStr">
        <is>
          <t>PX_MID</t>
        </is>
      </c>
      <c r="HD3" s="5" t="inlineStr">
        <is>
          <t>PX_LAST</t>
        </is>
      </c>
      <c r="HE3" s="5" t="inlineStr">
        <is>
          <t>PX_SETTLE</t>
        </is>
      </c>
      <c r="HF3" s="5" t="inlineStr">
        <is>
          <t>PX_VOLUME</t>
        </is>
      </c>
      <c r="HG3" s="5" t="inlineStr">
        <is>
          <t>OPEN_INT</t>
        </is>
      </c>
      <c r="HH3" s="5" t="inlineStr">
        <is>
          <t>IVOL_MID</t>
        </is>
      </c>
      <c r="HI3" s="5" t="inlineStr">
        <is>
          <t>IVOL_BID</t>
        </is>
      </c>
      <c r="HJ3" s="5" t="inlineStr">
        <is>
          <t>IVOL_ASK</t>
        </is>
      </c>
      <c r="HK3" s="5" t="inlineStr">
        <is>
          <t>DELTA_MID</t>
        </is>
      </c>
      <c r="HL3" s="5" t="inlineStr">
        <is>
          <t>GAMMA_MID</t>
        </is>
      </c>
      <c r="HM3" s="5" t="inlineStr">
        <is>
          <t>VEGA_MID</t>
        </is>
      </c>
      <c r="HN3" s="5" t="inlineStr">
        <is>
          <t>THETA_MID</t>
        </is>
      </c>
      <c r="HO3" s="5" t="inlineStr">
        <is>
          <t>OPT_UNDL_PX</t>
        </is>
      </c>
      <c r="HQ3" s="5" t="inlineStr">
        <is>
          <t>Date</t>
        </is>
      </c>
      <c r="HR3" s="5" t="inlineStr">
        <is>
          <t>PX_BID</t>
        </is>
      </c>
      <c r="HS3" s="5" t="inlineStr">
        <is>
          <t>PX_ASK</t>
        </is>
      </c>
      <c r="HT3" s="5" t="inlineStr">
        <is>
          <t>PX_MID</t>
        </is>
      </c>
      <c r="HU3" s="5" t="inlineStr">
        <is>
          <t>PX_LAST</t>
        </is>
      </c>
      <c r="HV3" s="5" t="inlineStr">
        <is>
          <t>PX_SETTLE</t>
        </is>
      </c>
      <c r="HW3" s="5" t="inlineStr">
        <is>
          <t>PX_VOLUME</t>
        </is>
      </c>
      <c r="HX3" s="5" t="inlineStr">
        <is>
          <t>OPEN_INT</t>
        </is>
      </c>
      <c r="HY3" s="5" t="inlineStr">
        <is>
          <t>IVOL_MID</t>
        </is>
      </c>
      <c r="HZ3" s="5" t="inlineStr">
        <is>
          <t>IVOL_BID</t>
        </is>
      </c>
      <c r="IA3" s="5" t="inlineStr">
        <is>
          <t>IVOL_ASK</t>
        </is>
      </c>
      <c r="IB3" s="5" t="inlineStr">
        <is>
          <t>DELTA_MID</t>
        </is>
      </c>
      <c r="IC3" s="5" t="inlineStr">
        <is>
          <t>GAMMA_MID</t>
        </is>
      </c>
      <c r="ID3" s="5" t="inlineStr">
        <is>
          <t>VEGA_MID</t>
        </is>
      </c>
      <c r="IE3" s="5" t="inlineStr">
        <is>
          <t>THETA_MID</t>
        </is>
      </c>
      <c r="IF3" s="5" t="inlineStr">
        <is>
          <t>OPT_UNDL_PX</t>
        </is>
      </c>
      <c r="IH3" s="5" t="inlineStr">
        <is>
          <t>Date</t>
        </is>
      </c>
      <c r="II3" s="5" t="inlineStr">
        <is>
          <t>PX_BID</t>
        </is>
      </c>
      <c r="IJ3" s="5" t="inlineStr">
        <is>
          <t>PX_ASK</t>
        </is>
      </c>
      <c r="IK3" s="5" t="inlineStr">
        <is>
          <t>PX_MID</t>
        </is>
      </c>
      <c r="IL3" s="5" t="inlineStr">
        <is>
          <t>PX_LAST</t>
        </is>
      </c>
      <c r="IM3" s="5" t="inlineStr">
        <is>
          <t>PX_SETTLE</t>
        </is>
      </c>
      <c r="IN3" s="5" t="inlineStr">
        <is>
          <t>PX_VOLUME</t>
        </is>
      </c>
      <c r="IO3" s="5" t="inlineStr">
        <is>
          <t>OPEN_INT</t>
        </is>
      </c>
      <c r="IP3" s="5" t="inlineStr">
        <is>
          <t>IVOL_MID</t>
        </is>
      </c>
      <c r="IQ3" s="5" t="inlineStr">
        <is>
          <t>IVOL_BID</t>
        </is>
      </c>
      <c r="IR3" s="5" t="inlineStr">
        <is>
          <t>IVOL_ASK</t>
        </is>
      </c>
      <c r="IS3" s="5" t="inlineStr">
        <is>
          <t>DELTA_MID</t>
        </is>
      </c>
      <c r="IT3" s="5" t="inlineStr">
        <is>
          <t>GAMMA_MID</t>
        </is>
      </c>
      <c r="IU3" s="5" t="inlineStr">
        <is>
          <t>VEGA_MID</t>
        </is>
      </c>
      <c r="IV3" s="5" t="inlineStr">
        <is>
          <t>THETA_MID</t>
        </is>
      </c>
      <c r="IW3" s="5" t="inlineStr">
        <is>
          <t>OPT_UNDL_PX</t>
        </is>
      </c>
      <c r="IY3" s="5" t="inlineStr">
        <is>
          <t>Date</t>
        </is>
      </c>
      <c r="IZ3" s="5" t="inlineStr">
        <is>
          <t>PX_BID</t>
        </is>
      </c>
      <c r="JA3" s="5" t="inlineStr">
        <is>
          <t>PX_ASK</t>
        </is>
      </c>
      <c r="JB3" s="5" t="inlineStr">
        <is>
          <t>PX_MID</t>
        </is>
      </c>
      <c r="JC3" s="5" t="inlineStr">
        <is>
          <t>PX_LAST</t>
        </is>
      </c>
      <c r="JD3" s="5" t="inlineStr">
        <is>
          <t>PX_SETTLE</t>
        </is>
      </c>
      <c r="JE3" s="5" t="inlineStr">
        <is>
          <t>PX_VOLUME</t>
        </is>
      </c>
      <c r="JF3" s="5" t="inlineStr">
        <is>
          <t>OPEN_INT</t>
        </is>
      </c>
      <c r="JG3" s="5" t="inlineStr">
        <is>
          <t>IVOL_MID</t>
        </is>
      </c>
      <c r="JH3" s="5" t="inlineStr">
        <is>
          <t>IVOL_BID</t>
        </is>
      </c>
      <c r="JI3" s="5" t="inlineStr">
        <is>
          <t>IVOL_ASK</t>
        </is>
      </c>
      <c r="JJ3" s="5" t="inlineStr">
        <is>
          <t>DELTA_MID</t>
        </is>
      </c>
      <c r="JK3" s="5" t="inlineStr">
        <is>
          <t>GAMMA_MID</t>
        </is>
      </c>
      <c r="JL3" s="5" t="inlineStr">
        <is>
          <t>VEGA_MID</t>
        </is>
      </c>
      <c r="JM3" s="5" t="inlineStr">
        <is>
          <t>THETA_MID</t>
        </is>
      </c>
      <c r="JN3" s="5" t="inlineStr">
        <is>
          <t>OPT_UNDL_PX</t>
        </is>
      </c>
      <c r="JP3" s="5" t="inlineStr">
        <is>
          <t>Date</t>
        </is>
      </c>
      <c r="JQ3" s="5" t="inlineStr">
        <is>
          <t>PX_BID</t>
        </is>
      </c>
      <c r="JR3" s="5" t="inlineStr">
        <is>
          <t>PX_ASK</t>
        </is>
      </c>
      <c r="JS3" s="5" t="inlineStr">
        <is>
          <t>PX_MID</t>
        </is>
      </c>
      <c r="JT3" s="5" t="inlineStr">
        <is>
          <t>PX_LAST</t>
        </is>
      </c>
      <c r="JU3" s="5" t="inlineStr">
        <is>
          <t>PX_SETTLE</t>
        </is>
      </c>
      <c r="JV3" s="5" t="inlineStr">
        <is>
          <t>PX_VOLUME</t>
        </is>
      </c>
      <c r="JW3" s="5" t="inlineStr">
        <is>
          <t>OPEN_INT</t>
        </is>
      </c>
      <c r="JX3" s="5" t="inlineStr">
        <is>
          <t>IVOL_MID</t>
        </is>
      </c>
      <c r="JY3" s="5" t="inlineStr">
        <is>
          <t>IVOL_BID</t>
        </is>
      </c>
      <c r="JZ3" s="5" t="inlineStr">
        <is>
          <t>IVOL_ASK</t>
        </is>
      </c>
      <c r="KA3" s="5" t="inlineStr">
        <is>
          <t>DELTA_MID</t>
        </is>
      </c>
      <c r="KB3" s="5" t="inlineStr">
        <is>
          <t>GAMMA_MID</t>
        </is>
      </c>
      <c r="KC3" s="5" t="inlineStr">
        <is>
          <t>VEGA_MID</t>
        </is>
      </c>
      <c r="KD3" s="5" t="inlineStr">
        <is>
          <t>THETA_MID</t>
        </is>
      </c>
      <c r="KE3" s="5" t="inlineStr">
        <is>
          <t>OPT_UNDL_PX</t>
        </is>
      </c>
      <c r="KG3" s="5" t="inlineStr">
        <is>
          <t>Date</t>
        </is>
      </c>
      <c r="KH3" s="5" t="inlineStr">
        <is>
          <t>PX_BID</t>
        </is>
      </c>
      <c r="KI3" s="5" t="inlineStr">
        <is>
          <t>PX_ASK</t>
        </is>
      </c>
      <c r="KJ3" s="5" t="inlineStr">
        <is>
          <t>PX_MID</t>
        </is>
      </c>
      <c r="KK3" s="5" t="inlineStr">
        <is>
          <t>PX_LAST</t>
        </is>
      </c>
      <c r="KL3" s="5" t="inlineStr">
        <is>
          <t>PX_SETTLE</t>
        </is>
      </c>
      <c r="KM3" s="5" t="inlineStr">
        <is>
          <t>PX_VOLUME</t>
        </is>
      </c>
      <c r="KN3" s="5" t="inlineStr">
        <is>
          <t>OPEN_INT</t>
        </is>
      </c>
      <c r="KO3" s="5" t="inlineStr">
        <is>
          <t>IVOL_MID</t>
        </is>
      </c>
      <c r="KP3" s="5" t="inlineStr">
        <is>
          <t>IVOL_BID</t>
        </is>
      </c>
      <c r="KQ3" s="5" t="inlineStr">
        <is>
          <t>IVOL_ASK</t>
        </is>
      </c>
      <c r="KR3" s="5" t="inlineStr">
        <is>
          <t>DELTA_MID</t>
        </is>
      </c>
      <c r="KS3" s="5" t="inlineStr">
        <is>
          <t>GAMMA_MID</t>
        </is>
      </c>
      <c r="KT3" s="5" t="inlineStr">
        <is>
          <t>VEGA_MID</t>
        </is>
      </c>
      <c r="KU3" s="5" t="inlineStr">
        <is>
          <t>THETA_MID</t>
        </is>
      </c>
      <c r="KV3" s="5" t="inlineStr">
        <is>
          <t>OPT_UNDL_PX</t>
        </is>
      </c>
      <c r="KX3" s="5" t="inlineStr">
        <is>
          <t>Date</t>
        </is>
      </c>
      <c r="KY3" s="5" t="inlineStr">
        <is>
          <t>PX_BID</t>
        </is>
      </c>
      <c r="KZ3" s="5" t="inlineStr">
        <is>
          <t>PX_ASK</t>
        </is>
      </c>
      <c r="LA3" s="5" t="inlineStr">
        <is>
          <t>PX_MID</t>
        </is>
      </c>
      <c r="LB3" s="5" t="inlineStr">
        <is>
          <t>PX_LAST</t>
        </is>
      </c>
      <c r="LC3" s="5" t="inlineStr">
        <is>
          <t>PX_SETTLE</t>
        </is>
      </c>
      <c r="LD3" s="5" t="inlineStr">
        <is>
          <t>PX_VOLUME</t>
        </is>
      </c>
      <c r="LE3" s="5" t="inlineStr">
        <is>
          <t>OPEN_INT</t>
        </is>
      </c>
      <c r="LF3" s="5" t="inlineStr">
        <is>
          <t>IVOL_MID</t>
        </is>
      </c>
      <c r="LG3" s="5" t="inlineStr">
        <is>
          <t>IVOL_BID</t>
        </is>
      </c>
      <c r="LH3" s="5" t="inlineStr">
        <is>
          <t>IVOL_ASK</t>
        </is>
      </c>
      <c r="LI3" s="5" t="inlineStr">
        <is>
          <t>DELTA_MID</t>
        </is>
      </c>
      <c r="LJ3" s="5" t="inlineStr">
        <is>
          <t>GAMMA_MID</t>
        </is>
      </c>
      <c r="LK3" s="5" t="inlineStr">
        <is>
          <t>VEGA_MID</t>
        </is>
      </c>
      <c r="LL3" s="5" t="inlineStr">
        <is>
          <t>THETA_MID</t>
        </is>
      </c>
      <c r="LM3" s="5" t="inlineStr">
        <is>
          <t>OPT_UNDL_PX</t>
        </is>
      </c>
      <c r="LO3" s="5" t="inlineStr">
        <is>
          <t>Date</t>
        </is>
      </c>
      <c r="LP3" s="5" t="inlineStr">
        <is>
          <t>PX_BID</t>
        </is>
      </c>
      <c r="LQ3" s="5" t="inlineStr">
        <is>
          <t>PX_ASK</t>
        </is>
      </c>
      <c r="LR3" s="5" t="inlineStr">
        <is>
          <t>PX_MID</t>
        </is>
      </c>
      <c r="LS3" s="5" t="inlineStr">
        <is>
          <t>PX_LAST</t>
        </is>
      </c>
      <c r="LT3" s="5" t="inlineStr">
        <is>
          <t>PX_SETTLE</t>
        </is>
      </c>
      <c r="LU3" s="5" t="inlineStr">
        <is>
          <t>PX_VOLUME</t>
        </is>
      </c>
      <c r="LV3" s="5" t="inlineStr">
        <is>
          <t>OPEN_INT</t>
        </is>
      </c>
      <c r="LW3" s="5" t="inlineStr">
        <is>
          <t>IVOL_MID</t>
        </is>
      </c>
      <c r="LX3" s="5" t="inlineStr">
        <is>
          <t>IVOL_BID</t>
        </is>
      </c>
      <c r="LY3" s="5" t="inlineStr">
        <is>
          <t>IVOL_ASK</t>
        </is>
      </c>
      <c r="LZ3" s="5" t="inlineStr">
        <is>
          <t>DELTA_MID</t>
        </is>
      </c>
      <c r="MA3" s="5" t="inlineStr">
        <is>
          <t>GAMMA_MID</t>
        </is>
      </c>
      <c r="MB3" s="5" t="inlineStr">
        <is>
          <t>VEGA_MID</t>
        </is>
      </c>
      <c r="MC3" s="5" t="inlineStr">
        <is>
          <t>THETA_MID</t>
        </is>
      </c>
      <c r="MD3" s="5" t="inlineStr">
        <is>
          <t>OPT_UNDL_PX</t>
        </is>
      </c>
      <c r="MF3" s="5" t="inlineStr">
        <is>
          <t>Date</t>
        </is>
      </c>
      <c r="MG3" s="5" t="inlineStr">
        <is>
          <t>PX_BID</t>
        </is>
      </c>
      <c r="MH3" s="5" t="inlineStr">
        <is>
          <t>PX_ASK</t>
        </is>
      </c>
      <c r="MI3" s="5" t="inlineStr">
        <is>
          <t>PX_MID</t>
        </is>
      </c>
      <c r="MJ3" s="5" t="inlineStr">
        <is>
          <t>PX_LAST</t>
        </is>
      </c>
      <c r="MK3" s="5" t="inlineStr">
        <is>
          <t>PX_SETTLE</t>
        </is>
      </c>
      <c r="ML3" s="5" t="inlineStr">
        <is>
          <t>PX_VOLUME</t>
        </is>
      </c>
      <c r="MM3" s="5" t="inlineStr">
        <is>
          <t>OPEN_INT</t>
        </is>
      </c>
      <c r="MN3" s="5" t="inlineStr">
        <is>
          <t>IVOL_MID</t>
        </is>
      </c>
      <c r="MO3" s="5" t="inlineStr">
        <is>
          <t>IVOL_BID</t>
        </is>
      </c>
      <c r="MP3" s="5" t="inlineStr">
        <is>
          <t>IVOL_ASK</t>
        </is>
      </c>
      <c r="MQ3" s="5" t="inlineStr">
        <is>
          <t>DELTA_MID</t>
        </is>
      </c>
      <c r="MR3" s="5" t="inlineStr">
        <is>
          <t>GAMMA_MID</t>
        </is>
      </c>
      <c r="MS3" s="5" t="inlineStr">
        <is>
          <t>VEGA_MID</t>
        </is>
      </c>
      <c r="MT3" s="5" t="inlineStr">
        <is>
          <t>THETA_MID</t>
        </is>
      </c>
      <c r="MU3" s="5" t="inlineStr">
        <is>
          <t>OPT_UNDL_PX</t>
        </is>
      </c>
      <c r="MW3" s="5" t="inlineStr">
        <is>
          <t>Date</t>
        </is>
      </c>
      <c r="MX3" s="5" t="inlineStr">
        <is>
          <t>PX_BID</t>
        </is>
      </c>
      <c r="MY3" s="5" t="inlineStr">
        <is>
          <t>PX_ASK</t>
        </is>
      </c>
      <c r="MZ3" s="5" t="inlineStr">
        <is>
          <t>PX_MID</t>
        </is>
      </c>
      <c r="NA3" s="5" t="inlineStr">
        <is>
          <t>PX_LAST</t>
        </is>
      </c>
      <c r="NB3" s="5" t="inlineStr">
        <is>
          <t>PX_SETTLE</t>
        </is>
      </c>
      <c r="NC3" s="5" t="inlineStr">
        <is>
          <t>PX_VOLUME</t>
        </is>
      </c>
      <c r="ND3" s="5" t="inlineStr">
        <is>
          <t>OPEN_INT</t>
        </is>
      </c>
      <c r="NE3" s="5" t="inlineStr">
        <is>
          <t>IVOL_MID</t>
        </is>
      </c>
      <c r="NF3" s="5" t="inlineStr">
        <is>
          <t>IVOL_BID</t>
        </is>
      </c>
      <c r="NG3" s="5" t="inlineStr">
        <is>
          <t>IVOL_ASK</t>
        </is>
      </c>
      <c r="NH3" s="5" t="inlineStr">
        <is>
          <t>DELTA_MID</t>
        </is>
      </c>
      <c r="NI3" s="5" t="inlineStr">
        <is>
          <t>GAMMA_MID</t>
        </is>
      </c>
      <c r="NJ3" s="5" t="inlineStr">
        <is>
          <t>VEGA_MID</t>
        </is>
      </c>
      <c r="NK3" s="5" t="inlineStr">
        <is>
          <t>THETA_MID</t>
        </is>
      </c>
      <c r="NL3" s="5" t="inlineStr">
        <is>
          <t>OPT_UNDL_PX</t>
        </is>
      </c>
    </row>
    <row r="4">
      <c r="A4" s="2" t="inlineStr">
        <is>
          <t>Strike reference date</t>
        </is>
      </c>
      <c r="B4" s="8">
        <f>B3-45</f>
        <v/>
      </c>
      <c r="D4" s="4">
        <f>BDH(D$1,E$3:S$3,$B$8,$B$9,"Dir=V","Dts=S","Sort=A","Days=T","Fill=B")</f>
        <v/>
      </c>
      <c r="U4" s="4">
        <f>BDH(U$1,V$3:AJ$3,$B$8,$B$9,"Dir=V","Dts=S","Sort=A","Days=T","Fill=B")</f>
        <v/>
      </c>
      <c r="AL4" s="4">
        <f>BDH(AL$1,AM$3:BA$3,$B$8,$B$9,"Dir=V","Dts=S","Sort=A","Days=T","Fill=B")</f>
        <v/>
      </c>
      <c r="BC4" s="4">
        <f>BDH(BC$1,BD$3:BR$3,$B$8,$B$9,"Dir=V","Dts=S","Sort=A","Days=T","Fill=B")</f>
        <v/>
      </c>
      <c r="BT4" s="4">
        <f>BDH(BT$1,BU$3:CI$3,$B$8,$B$9,"Dir=V","Dts=S","Sort=A","Days=T","Fill=B")</f>
        <v/>
      </c>
      <c r="CK4" s="4">
        <f>BDH(CK$1,CL$3:CZ$3,$B$8,$B$9,"Dir=V","Dts=S","Sort=A","Days=T","Fill=B")</f>
        <v/>
      </c>
      <c r="DB4" s="4">
        <f>BDH(DB$1,DC$3:DQ$3,$B$8,$B$9,"Dir=V","Dts=S","Sort=A","Days=T","Fill=B")</f>
        <v/>
      </c>
      <c r="DS4" s="4">
        <f>BDH(DS$1,DT$3:EH$3,$B$8,$B$9,"Dir=V","Dts=S","Sort=A","Days=T","Fill=B")</f>
        <v/>
      </c>
      <c r="EJ4" s="4">
        <f>BDH(EJ$1,EK$3:EY$3,$B$8,$B$9,"Dir=V","Dts=S","Sort=A","Days=T","Fill=B")</f>
        <v/>
      </c>
      <c r="FA4" s="4">
        <f>BDH(FA$1,FB$3:FP$3,$B$8,$B$9,"Dir=V","Dts=S","Sort=A","Days=T","Fill=B")</f>
        <v/>
      </c>
      <c r="FR4" s="4">
        <f>BDH(FR$1,FS$3:GG$3,$B$8,$B$9,"Dir=V","Dts=S","Sort=A","Days=T","Fill=B")</f>
        <v/>
      </c>
      <c r="GI4" s="4">
        <f>BDH(GI$1,GJ$3:GX$3,$B$8,$B$9,"Dir=V","Dts=S","Sort=A","Days=T","Fill=B")</f>
        <v/>
      </c>
      <c r="GZ4" s="4">
        <f>BDH(GZ$1,HA$3:HO$3,$B$8,$B$9,"Dir=V","Dts=S","Sort=A","Days=T","Fill=B")</f>
        <v/>
      </c>
      <c r="HQ4" s="4">
        <f>BDH(HQ$1,HR$3:IF$3,$B$8,$B$9,"Dir=V","Dts=S","Sort=A","Days=T","Fill=B")</f>
        <v/>
      </c>
      <c r="IH4" s="4">
        <f>BDH(IH$1,II$3:IW$3,$B$8,$B$9,"Dir=V","Dts=S","Sort=A","Days=T","Fill=B")</f>
        <v/>
      </c>
      <c r="IY4" s="4">
        <f>BDH(IY$1,IZ$3:JN$3,$B$8,$B$9,"Dir=V","Dts=S","Sort=A","Days=T","Fill=B")</f>
        <v/>
      </c>
      <c r="JP4" s="4">
        <f>BDH(JP$1,JQ$3:KE$3,$B$8,$B$9,"Dir=V","Dts=S","Sort=A","Days=T","Fill=B")</f>
        <v/>
      </c>
      <c r="KG4" s="4">
        <f>BDH(KG$1,KH$3:KV$3,$B$8,$B$9,"Dir=V","Dts=S","Sort=A","Days=T","Fill=B")</f>
        <v/>
      </c>
      <c r="KX4" s="4">
        <f>BDH(KX$1,KY$3:LM$3,$B$8,$B$9,"Dir=V","Dts=S","Sort=A","Days=T","Fill=B")</f>
        <v/>
      </c>
      <c r="LO4" s="4">
        <f>BDH(LO$1,LP$3:MD$3,$B$8,$B$9,"Dir=V","Dts=S","Sort=A","Days=T","Fill=B")</f>
        <v/>
      </c>
      <c r="MF4" s="4">
        <f>BDH(MF$1,MG$3:MU$3,$B$8,$B$9,"Dir=V","Dts=S","Sort=A","Days=T","Fill=B")</f>
        <v/>
      </c>
      <c r="MW4" s="4">
        <f>BDH(MW$1,MX$3:NL$3,$B$8,$B$9,"Dir=V","Dts=S","Sort=A","Days=T","Fill=B")</f>
        <v/>
      </c>
    </row>
    <row r="5">
      <c r="A5" s="2" t="inlineStr">
        <is>
          <t>Unadjusted close then</t>
        </is>
      </c>
      <c r="B5" s="10">
        <f>IF(B2="","",BDH(B2,"PX_LAST",B4,B4,"Days=A","Fill=P","Dts=H","CshAdjNormal=N","CshAdjAbnormal=N","CapChg=N"))</f>
        <v/>
      </c>
    </row>
    <row r="6">
      <c r="A6" s="2" t="inlineStr">
        <is>
          <t>Strike step</t>
        </is>
      </c>
      <c r="B6" s="11">
        <f>IF(ISNUMBER(B5),IF(B5&lt;25,0.5,IF(B5&lt;250,1,5)),"")</f>
        <v/>
      </c>
    </row>
    <row r="7">
      <c r="A7" s="2" t="inlineStr">
        <is>
          <t>ATM strike</t>
        </is>
      </c>
      <c r="B7" s="11">
        <f>IF(ISNUMBER(B5),ROUND(B5/B6,0)*B6,"")</f>
        <v/>
      </c>
    </row>
    <row r="8">
      <c r="A8" s="2" t="inlineStr">
        <is>
          <t>History start</t>
        </is>
      </c>
      <c r="B8" s="8">
        <f>B3-100</f>
        <v/>
      </c>
    </row>
    <row r="9">
      <c r="A9" s="2" t="inlineStr">
        <is>
          <t>History end</t>
        </is>
      </c>
      <c r="B9" s="8">
        <f>B3</f>
        <v/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NL9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2" customWidth="1" min="2" max="2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1" customWidth="1" min="15" max="15"/>
    <col width="11" customWidth="1" min="16" max="16"/>
    <col width="10" customWidth="1" min="17" max="17"/>
    <col width="11" customWidth="1" min="18" max="18"/>
    <col width="13" customWidth="1" min="19" max="19"/>
    <col width="12" customWidth="1" min="21" max="21"/>
    <col width="10" customWidth="1" min="22" max="22"/>
    <col width="10" customWidth="1" min="23" max="23"/>
    <col width="10" customWidth="1" min="24" max="24"/>
    <col width="10" customWidth="1" min="25" max="25"/>
    <col width="11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1" customWidth="1" min="32" max="32"/>
    <col width="11" customWidth="1" min="33" max="33"/>
    <col width="10" customWidth="1" min="34" max="34"/>
    <col width="11" customWidth="1" min="35" max="35"/>
    <col width="13" customWidth="1" min="36" max="36"/>
    <col width="12" customWidth="1" min="38" max="38"/>
    <col width="10" customWidth="1" min="39" max="39"/>
    <col width="10" customWidth="1" min="40" max="40"/>
    <col width="10" customWidth="1" min="41" max="41"/>
    <col width="10" customWidth="1" min="42" max="42"/>
    <col width="11" customWidth="1" min="43" max="43"/>
    <col width="11" customWidth="1" min="44" max="44"/>
    <col width="10" customWidth="1" min="45" max="45"/>
    <col width="10" customWidth="1" min="46" max="46"/>
    <col width="10" customWidth="1" min="47" max="47"/>
    <col width="10" customWidth="1" min="48" max="48"/>
    <col width="11" customWidth="1" min="49" max="49"/>
    <col width="11" customWidth="1" min="50" max="50"/>
    <col width="10" customWidth="1" min="51" max="51"/>
    <col width="11" customWidth="1" min="52" max="52"/>
    <col width="13" customWidth="1" min="53" max="53"/>
    <col width="12" customWidth="1" min="55" max="55"/>
    <col width="10" customWidth="1" min="56" max="56"/>
    <col width="10" customWidth="1" min="57" max="57"/>
    <col width="10" customWidth="1" min="58" max="58"/>
    <col width="10" customWidth="1" min="59" max="59"/>
    <col width="11" customWidth="1" min="60" max="60"/>
    <col width="11" customWidth="1" min="61" max="61"/>
    <col width="10" customWidth="1" min="62" max="62"/>
    <col width="10" customWidth="1" min="63" max="63"/>
    <col width="10" customWidth="1" min="64" max="64"/>
    <col width="10" customWidth="1" min="65" max="65"/>
    <col width="11" customWidth="1" min="66" max="66"/>
    <col width="11" customWidth="1" min="67" max="67"/>
    <col width="10" customWidth="1" min="68" max="68"/>
    <col width="11" customWidth="1" min="69" max="69"/>
    <col width="13" customWidth="1" min="70" max="70"/>
    <col width="12" customWidth="1" min="72" max="72"/>
    <col width="10" customWidth="1" min="73" max="73"/>
    <col width="10" customWidth="1" min="74" max="74"/>
    <col width="10" customWidth="1" min="75" max="75"/>
    <col width="10" customWidth="1" min="76" max="76"/>
    <col width="11" customWidth="1" min="77" max="77"/>
    <col width="11" customWidth="1" min="78" max="78"/>
    <col width="10" customWidth="1" min="79" max="79"/>
    <col width="10" customWidth="1" min="80" max="80"/>
    <col width="10" customWidth="1" min="81" max="81"/>
    <col width="10" customWidth="1" min="82" max="82"/>
    <col width="11" customWidth="1" min="83" max="83"/>
    <col width="11" customWidth="1" min="84" max="84"/>
    <col width="10" customWidth="1" min="85" max="85"/>
    <col width="11" customWidth="1" min="86" max="86"/>
    <col width="13" customWidth="1" min="87" max="87"/>
    <col width="12" customWidth="1" min="89" max="89"/>
    <col width="10" customWidth="1" min="90" max="90"/>
    <col width="10" customWidth="1" min="91" max="91"/>
    <col width="10" customWidth="1" min="92" max="92"/>
    <col width="10" customWidth="1" min="93" max="93"/>
    <col width="11" customWidth="1" min="94" max="94"/>
    <col width="11" customWidth="1" min="95" max="95"/>
    <col width="10" customWidth="1" min="96" max="96"/>
    <col width="10" customWidth="1" min="97" max="97"/>
    <col width="10" customWidth="1" min="98" max="98"/>
    <col width="10" customWidth="1" min="99" max="99"/>
    <col width="11" customWidth="1" min="100" max="100"/>
    <col width="11" customWidth="1" min="101" max="101"/>
    <col width="10" customWidth="1" min="102" max="102"/>
    <col width="11" customWidth="1" min="103" max="103"/>
    <col width="13" customWidth="1" min="104" max="104"/>
    <col width="12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1" customWidth="1" min="111" max="111"/>
    <col width="11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1" customWidth="1" min="117" max="117"/>
    <col width="11" customWidth="1" min="118" max="118"/>
    <col width="10" customWidth="1" min="119" max="119"/>
    <col width="11" customWidth="1" min="120" max="120"/>
    <col width="13" customWidth="1" min="121" max="121"/>
    <col width="12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1" customWidth="1" min="128" max="128"/>
    <col width="11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1" customWidth="1" min="134" max="134"/>
    <col width="11" customWidth="1" min="135" max="135"/>
    <col width="10" customWidth="1" min="136" max="136"/>
    <col width="11" customWidth="1" min="137" max="137"/>
    <col width="13" customWidth="1" min="138" max="138"/>
    <col width="12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1" customWidth="1" min="145" max="145"/>
    <col width="11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1" customWidth="1" min="151" max="151"/>
    <col width="11" customWidth="1" min="152" max="152"/>
    <col width="10" customWidth="1" min="153" max="153"/>
    <col width="11" customWidth="1" min="154" max="154"/>
    <col width="13" customWidth="1" min="155" max="155"/>
    <col width="12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1" customWidth="1" min="162" max="162"/>
    <col width="11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1" customWidth="1" min="168" max="168"/>
    <col width="11" customWidth="1" min="169" max="169"/>
    <col width="10" customWidth="1" min="170" max="170"/>
    <col width="11" customWidth="1" min="171" max="171"/>
    <col width="13" customWidth="1" min="172" max="172"/>
    <col width="12" customWidth="1" min="174" max="174"/>
    <col width="10" customWidth="1" min="175" max="175"/>
    <col width="10" customWidth="1" min="176" max="176"/>
    <col width="10" customWidth="1" min="177" max="177"/>
    <col width="10" customWidth="1" min="178" max="178"/>
    <col width="11" customWidth="1" min="179" max="179"/>
    <col width="11" customWidth="1" min="180" max="180"/>
    <col width="10" customWidth="1" min="181" max="181"/>
    <col width="10" customWidth="1" min="182" max="182"/>
    <col width="10" customWidth="1" min="183" max="183"/>
    <col width="10" customWidth="1" min="184" max="184"/>
    <col width="11" customWidth="1" min="185" max="185"/>
    <col width="11" customWidth="1" min="186" max="186"/>
    <col width="10" customWidth="1" min="187" max="187"/>
    <col width="11" customWidth="1" min="188" max="188"/>
    <col width="13" customWidth="1" min="189" max="189"/>
    <col width="12" customWidth="1" min="191" max="191"/>
    <col width="10" customWidth="1" min="192" max="192"/>
    <col width="10" customWidth="1" min="193" max="193"/>
    <col width="10" customWidth="1" min="194" max="194"/>
    <col width="10" customWidth="1" min="195" max="195"/>
    <col width="11" customWidth="1" min="196" max="196"/>
    <col width="11" customWidth="1" min="197" max="197"/>
    <col width="10" customWidth="1" min="198" max="198"/>
    <col width="10" customWidth="1" min="199" max="199"/>
    <col width="10" customWidth="1" min="200" max="200"/>
    <col width="10" customWidth="1" min="201" max="201"/>
    <col width="11" customWidth="1" min="202" max="202"/>
    <col width="11" customWidth="1" min="203" max="203"/>
    <col width="10" customWidth="1" min="204" max="204"/>
    <col width="11" customWidth="1" min="205" max="205"/>
    <col width="13" customWidth="1" min="206" max="206"/>
    <col width="12" customWidth="1" min="208" max="208"/>
    <col width="10" customWidth="1" min="209" max="209"/>
    <col width="10" customWidth="1" min="210" max="210"/>
    <col width="10" customWidth="1" min="211" max="211"/>
    <col width="10" customWidth="1" min="212" max="212"/>
    <col width="11" customWidth="1" min="213" max="213"/>
    <col width="11" customWidth="1" min="214" max="214"/>
    <col width="10" customWidth="1" min="215" max="215"/>
    <col width="10" customWidth="1" min="216" max="216"/>
    <col width="10" customWidth="1" min="217" max="217"/>
    <col width="10" customWidth="1" min="218" max="218"/>
    <col width="11" customWidth="1" min="219" max="219"/>
    <col width="11" customWidth="1" min="220" max="220"/>
    <col width="10" customWidth="1" min="221" max="221"/>
    <col width="11" customWidth="1" min="222" max="222"/>
    <col width="13" customWidth="1" min="223" max="223"/>
    <col width="12" customWidth="1" min="225" max="225"/>
    <col width="10" customWidth="1" min="226" max="226"/>
    <col width="10" customWidth="1" min="227" max="227"/>
    <col width="10" customWidth="1" min="228" max="228"/>
    <col width="10" customWidth="1" min="229" max="229"/>
    <col width="11" customWidth="1" min="230" max="230"/>
    <col width="11" customWidth="1" min="231" max="231"/>
    <col width="10" customWidth="1" min="232" max="232"/>
    <col width="10" customWidth="1" min="233" max="233"/>
    <col width="10" customWidth="1" min="234" max="234"/>
    <col width="10" customWidth="1" min="235" max="235"/>
    <col width="11" customWidth="1" min="236" max="236"/>
    <col width="11" customWidth="1" min="237" max="237"/>
    <col width="10" customWidth="1" min="238" max="238"/>
    <col width="11" customWidth="1" min="239" max="239"/>
    <col width="13" customWidth="1" min="240" max="240"/>
    <col width="12" customWidth="1" min="242" max="242"/>
    <col width="10" customWidth="1" min="243" max="243"/>
    <col width="10" customWidth="1" min="244" max="244"/>
    <col width="10" customWidth="1" min="245" max="245"/>
    <col width="10" customWidth="1" min="246" max="246"/>
    <col width="11" customWidth="1" min="247" max="247"/>
    <col width="11" customWidth="1" min="248" max="248"/>
    <col width="10" customWidth="1" min="249" max="249"/>
    <col width="10" customWidth="1" min="250" max="250"/>
    <col width="10" customWidth="1" min="251" max="251"/>
    <col width="10" customWidth="1" min="252" max="252"/>
    <col width="11" customWidth="1" min="253" max="253"/>
    <col width="11" customWidth="1" min="254" max="254"/>
    <col width="10" customWidth="1" min="255" max="255"/>
    <col width="11" customWidth="1" min="256" max="256"/>
    <col width="13" customWidth="1" min="257" max="257"/>
    <col width="12" customWidth="1" min="259" max="259"/>
    <col width="10" customWidth="1" min="260" max="260"/>
    <col width="10" customWidth="1" min="261" max="261"/>
    <col width="10" customWidth="1" min="262" max="262"/>
    <col width="10" customWidth="1" min="263" max="263"/>
    <col width="11" customWidth="1" min="264" max="264"/>
    <col width="11" customWidth="1" min="265" max="265"/>
    <col width="10" customWidth="1" min="266" max="266"/>
    <col width="10" customWidth="1" min="267" max="267"/>
    <col width="10" customWidth="1" min="268" max="268"/>
    <col width="10" customWidth="1" min="269" max="269"/>
    <col width="11" customWidth="1" min="270" max="270"/>
    <col width="11" customWidth="1" min="271" max="271"/>
    <col width="10" customWidth="1" min="272" max="272"/>
    <col width="11" customWidth="1" min="273" max="273"/>
    <col width="13" customWidth="1" min="274" max="274"/>
    <col width="12" customWidth="1" min="276" max="276"/>
    <col width="10" customWidth="1" min="277" max="277"/>
    <col width="10" customWidth="1" min="278" max="278"/>
    <col width="10" customWidth="1" min="279" max="279"/>
    <col width="10" customWidth="1" min="280" max="280"/>
    <col width="11" customWidth="1" min="281" max="281"/>
    <col width="11" customWidth="1" min="282" max="282"/>
    <col width="10" customWidth="1" min="283" max="283"/>
    <col width="10" customWidth="1" min="284" max="284"/>
    <col width="10" customWidth="1" min="285" max="285"/>
    <col width="10" customWidth="1" min="286" max="286"/>
    <col width="11" customWidth="1" min="287" max="287"/>
    <col width="11" customWidth="1" min="288" max="288"/>
    <col width="10" customWidth="1" min="289" max="289"/>
    <col width="11" customWidth="1" min="290" max="290"/>
    <col width="13" customWidth="1" min="291" max="291"/>
    <col width="12" customWidth="1" min="293" max="293"/>
    <col width="10" customWidth="1" min="294" max="294"/>
    <col width="10" customWidth="1" min="295" max="295"/>
    <col width="10" customWidth="1" min="296" max="296"/>
    <col width="10" customWidth="1" min="297" max="297"/>
    <col width="11" customWidth="1" min="298" max="298"/>
    <col width="11" customWidth="1" min="299" max="299"/>
    <col width="10" customWidth="1" min="300" max="300"/>
    <col width="10" customWidth="1" min="301" max="301"/>
    <col width="10" customWidth="1" min="302" max="302"/>
    <col width="10" customWidth="1" min="303" max="303"/>
    <col width="11" customWidth="1" min="304" max="304"/>
    <col width="11" customWidth="1" min="305" max="305"/>
    <col width="10" customWidth="1" min="306" max="306"/>
    <col width="11" customWidth="1" min="307" max="307"/>
    <col width="13" customWidth="1" min="308" max="308"/>
    <col width="12" customWidth="1" min="310" max="310"/>
    <col width="10" customWidth="1" min="311" max="311"/>
    <col width="10" customWidth="1" min="312" max="312"/>
    <col width="10" customWidth="1" min="313" max="313"/>
    <col width="10" customWidth="1" min="314" max="314"/>
    <col width="11" customWidth="1" min="315" max="315"/>
    <col width="11" customWidth="1" min="316" max="316"/>
    <col width="10" customWidth="1" min="317" max="317"/>
    <col width="10" customWidth="1" min="318" max="318"/>
    <col width="10" customWidth="1" min="319" max="319"/>
    <col width="10" customWidth="1" min="320" max="320"/>
    <col width="11" customWidth="1" min="321" max="321"/>
    <col width="11" customWidth="1" min="322" max="322"/>
    <col width="10" customWidth="1" min="323" max="323"/>
    <col width="11" customWidth="1" min="324" max="324"/>
    <col width="13" customWidth="1" min="325" max="325"/>
    <col width="12" customWidth="1" min="327" max="327"/>
    <col width="10" customWidth="1" min="328" max="328"/>
    <col width="10" customWidth="1" min="329" max="329"/>
    <col width="10" customWidth="1" min="330" max="330"/>
    <col width="10" customWidth="1" min="331" max="331"/>
    <col width="11" customWidth="1" min="332" max="332"/>
    <col width="11" customWidth="1" min="333" max="333"/>
    <col width="10" customWidth="1" min="334" max="334"/>
    <col width="10" customWidth="1" min="335" max="335"/>
    <col width="10" customWidth="1" min="336" max="336"/>
    <col width="10" customWidth="1" min="337" max="337"/>
    <col width="11" customWidth="1" min="338" max="338"/>
    <col width="11" customWidth="1" min="339" max="339"/>
    <col width="10" customWidth="1" min="340" max="340"/>
    <col width="11" customWidth="1" min="341" max="341"/>
    <col width="13" customWidth="1" min="342" max="342"/>
    <col width="12" customWidth="1" min="344" max="344"/>
    <col width="10" customWidth="1" min="345" max="345"/>
    <col width="10" customWidth="1" min="346" max="346"/>
    <col width="10" customWidth="1" min="347" max="347"/>
    <col width="10" customWidth="1" min="348" max="348"/>
    <col width="11" customWidth="1" min="349" max="349"/>
    <col width="11" customWidth="1" min="350" max="350"/>
    <col width="10" customWidth="1" min="351" max="351"/>
    <col width="10" customWidth="1" min="352" max="352"/>
    <col width="10" customWidth="1" min="353" max="353"/>
    <col width="10" customWidth="1" min="354" max="354"/>
    <col width="11" customWidth="1" min="355" max="355"/>
    <col width="11" customWidth="1" min="356" max="356"/>
    <col width="10" customWidth="1" min="357" max="357"/>
    <col width="11" customWidth="1" min="358" max="358"/>
    <col width="13" customWidth="1" min="359" max="359"/>
    <col width="12" customWidth="1" min="361" max="361"/>
    <col width="10" customWidth="1" min="362" max="362"/>
    <col width="10" customWidth="1" min="363" max="363"/>
    <col width="10" customWidth="1" min="364" max="364"/>
    <col width="10" customWidth="1" min="365" max="365"/>
    <col width="11" customWidth="1" min="366" max="366"/>
    <col width="11" customWidth="1" min="367" max="367"/>
    <col width="10" customWidth="1" min="368" max="368"/>
    <col width="10" customWidth="1" min="369" max="369"/>
    <col width="10" customWidth="1" min="370" max="370"/>
    <col width="10" customWidth="1" min="371" max="371"/>
    <col width="11" customWidth="1" min="372" max="372"/>
    <col width="11" customWidth="1" min="373" max="373"/>
    <col width="10" customWidth="1" min="374" max="374"/>
    <col width="11" customWidth="1" min="375" max="375"/>
    <col width="13" customWidth="1" min="376" max="376"/>
  </cols>
  <sheetData>
    <row r="1">
      <c r="A1" s="2" t="inlineStr">
        <is>
          <t>Month</t>
        </is>
      </c>
      <c r="B1" s="9" t="n">
        <v>11</v>
      </c>
      <c r="D1" s="2">
        <f>IF(ISNUMBER(B$7),"XOP US "&amp;TEXT(B$3,"mm/dd/yy")&amp;" C"&amp;(B$7-5*B$6)&amp;" Equity","")</f>
        <v/>
      </c>
      <c r="U1" s="2">
        <f>IF(ISNUMBER(B$7),"XOP US "&amp;TEXT(B$3,"mm/dd/yy")&amp;" P"&amp;(B$7-5*B$6)&amp;" Equity","")</f>
        <v/>
      </c>
      <c r="AL1" s="2">
        <f>IF(ISNUMBER(B$7),"XOP US "&amp;TEXT(B$3,"mm/dd/yy")&amp;" C"&amp;(B$7-4*B$6)&amp;" Equity","")</f>
        <v/>
      </c>
      <c r="BC1" s="2">
        <f>IF(ISNUMBER(B$7),"XOP US "&amp;TEXT(B$3,"mm/dd/yy")&amp;" P"&amp;(B$7-4*B$6)&amp;" Equity","")</f>
        <v/>
      </c>
      <c r="BT1" s="2">
        <f>IF(ISNUMBER(B$7),"XOP US "&amp;TEXT(B$3,"mm/dd/yy")&amp;" C"&amp;(B$7-3*B$6)&amp;" Equity","")</f>
        <v/>
      </c>
      <c r="CK1" s="2">
        <f>IF(ISNUMBER(B$7),"XOP US "&amp;TEXT(B$3,"mm/dd/yy")&amp;" P"&amp;(B$7-3*B$6)&amp;" Equity","")</f>
        <v/>
      </c>
      <c r="DB1" s="2">
        <f>IF(ISNUMBER(B$7),"XOP US "&amp;TEXT(B$3,"mm/dd/yy")&amp;" C"&amp;(B$7-2*B$6)&amp;" Equity","")</f>
        <v/>
      </c>
      <c r="DS1" s="2">
        <f>IF(ISNUMBER(B$7),"XOP US "&amp;TEXT(B$3,"mm/dd/yy")&amp;" P"&amp;(B$7-2*B$6)&amp;" Equity","")</f>
        <v/>
      </c>
      <c r="EJ1" s="2">
        <f>IF(ISNUMBER(B$7),"XOP US "&amp;TEXT(B$3,"mm/dd/yy")&amp;" C"&amp;(B$7-1*B$6)&amp;" Equity","")</f>
        <v/>
      </c>
      <c r="FA1" s="2">
        <f>IF(ISNUMBER(B$7),"XOP US "&amp;TEXT(B$3,"mm/dd/yy")&amp;" P"&amp;(B$7-1*B$6)&amp;" Equity","")</f>
        <v/>
      </c>
      <c r="FR1" s="2">
        <f>IF(ISNUMBER(B$7),"XOP US "&amp;TEXT(B$3,"mm/dd/yy")&amp;" C"&amp;B$7&amp;" Equity","")</f>
        <v/>
      </c>
      <c r="GI1" s="2">
        <f>IF(ISNUMBER(B$7),"XOP US "&amp;TEXT(B$3,"mm/dd/yy")&amp;" P"&amp;B$7&amp;" Equity","")</f>
        <v/>
      </c>
      <c r="GZ1" s="2">
        <f>IF(ISNUMBER(B$7),"XOP US "&amp;TEXT(B$3,"mm/dd/yy")&amp;" C"&amp;(B$7+1*B$6)&amp;" Equity","")</f>
        <v/>
      </c>
      <c r="HQ1" s="2">
        <f>IF(ISNUMBER(B$7),"XOP US "&amp;TEXT(B$3,"mm/dd/yy")&amp;" P"&amp;(B$7+1*B$6)&amp;" Equity","")</f>
        <v/>
      </c>
      <c r="IH1" s="2">
        <f>IF(ISNUMBER(B$7),"XOP US "&amp;TEXT(B$3,"mm/dd/yy")&amp;" C"&amp;(B$7+2*B$6)&amp;" Equity","")</f>
        <v/>
      </c>
      <c r="IY1" s="2">
        <f>IF(ISNUMBER(B$7),"XOP US "&amp;TEXT(B$3,"mm/dd/yy")&amp;" P"&amp;(B$7+2*B$6)&amp;" Equity","")</f>
        <v/>
      </c>
      <c r="JP1" s="2">
        <f>IF(ISNUMBER(B$7),"XOP US "&amp;TEXT(B$3,"mm/dd/yy")&amp;" C"&amp;(B$7+3*B$6)&amp;" Equity","")</f>
        <v/>
      </c>
      <c r="KG1" s="2">
        <f>IF(ISNUMBER(B$7),"XOP US "&amp;TEXT(B$3,"mm/dd/yy")&amp;" P"&amp;(B$7+3*B$6)&amp;" Equity","")</f>
        <v/>
      </c>
      <c r="KX1" s="2">
        <f>IF(ISNUMBER(B$7),"XOP US "&amp;TEXT(B$3,"mm/dd/yy")&amp;" C"&amp;(B$7+4*B$6)&amp;" Equity","")</f>
        <v/>
      </c>
      <c r="LO1" s="2">
        <f>IF(ISNUMBER(B$7),"XOP US "&amp;TEXT(B$3,"mm/dd/yy")&amp;" P"&amp;(B$7+4*B$6)&amp;" Equity","")</f>
        <v/>
      </c>
      <c r="MF1" s="2">
        <f>IF(ISNUMBER(B$7),"XOP US "&amp;TEXT(B$3,"mm/dd/yy")&amp;" C"&amp;(B$7+5*B$6)&amp;" Equity","")</f>
        <v/>
      </c>
      <c r="MW1" s="2">
        <f>IF(ISNUMBER(B$7),"XOP US "&amp;TEXT(B$3,"mm/dd/yy")&amp;" P"&amp;(B$7+5*B$6)&amp;" Equity","")</f>
        <v/>
      </c>
    </row>
    <row r="2">
      <c r="A2" s="2" t="inlineStr">
        <is>
          <t>Underlying</t>
        </is>
      </c>
      <c r="B2" s="4">
        <f>IF(Settings!$B$17="Y","XOP US Equity","")</f>
        <v/>
      </c>
      <c r="D2" s="4" t="inlineStr">
        <is>
          <t>call -5 from ATM</t>
        </is>
      </c>
      <c r="U2" s="4" t="inlineStr">
        <is>
          <t>put -5 from ATM</t>
        </is>
      </c>
      <c r="AL2" s="4" t="inlineStr">
        <is>
          <t>call -4 from ATM</t>
        </is>
      </c>
      <c r="BC2" s="4" t="inlineStr">
        <is>
          <t>put -4 from ATM</t>
        </is>
      </c>
      <c r="BT2" s="4" t="inlineStr">
        <is>
          <t>call -3 from ATM</t>
        </is>
      </c>
      <c r="CK2" s="4" t="inlineStr">
        <is>
          <t>put -3 from ATM</t>
        </is>
      </c>
      <c r="DB2" s="4" t="inlineStr">
        <is>
          <t>call -2 from ATM</t>
        </is>
      </c>
      <c r="DS2" s="4" t="inlineStr">
        <is>
          <t>put -2 from ATM</t>
        </is>
      </c>
      <c r="EJ2" s="4" t="inlineStr">
        <is>
          <t>call -1 from ATM</t>
        </is>
      </c>
      <c r="FA2" s="4" t="inlineStr">
        <is>
          <t>put -1 from ATM</t>
        </is>
      </c>
      <c r="FR2" s="4" t="inlineStr">
        <is>
          <t>call +0 from ATM</t>
        </is>
      </c>
      <c r="GI2" s="4" t="inlineStr">
        <is>
          <t>put +0 from ATM</t>
        </is>
      </c>
      <c r="GZ2" s="4" t="inlineStr">
        <is>
          <t>call +1 from ATM</t>
        </is>
      </c>
      <c r="HQ2" s="4" t="inlineStr">
        <is>
          <t>put +1 from ATM</t>
        </is>
      </c>
      <c r="IH2" s="4" t="inlineStr">
        <is>
          <t>call +2 from ATM</t>
        </is>
      </c>
      <c r="IY2" s="4" t="inlineStr">
        <is>
          <t>put +2 from ATM</t>
        </is>
      </c>
      <c r="JP2" s="4" t="inlineStr">
        <is>
          <t>call +3 from ATM</t>
        </is>
      </c>
      <c r="KG2" s="4" t="inlineStr">
        <is>
          <t>put +3 from ATM</t>
        </is>
      </c>
      <c r="KX2" s="4" t="inlineStr">
        <is>
          <t>call +4 from ATM</t>
        </is>
      </c>
      <c r="LO2" s="4" t="inlineStr">
        <is>
          <t>put +4 from ATM</t>
        </is>
      </c>
      <c r="MF2" s="4" t="inlineStr">
        <is>
          <t>call +5 from ATM</t>
        </is>
      </c>
      <c r="MW2" s="4" t="inlineStr">
        <is>
          <t>put +5 from ATM</t>
        </is>
      </c>
    </row>
    <row r="3">
      <c r="A3" s="2" t="inlineStr">
        <is>
          <t>Expiry (3rd Friday)</t>
        </is>
      </c>
      <c r="B3" s="3">
        <f>DATE(Settings!$E$17,B1,15)+MOD(6-WEEKDAY(DATE(Settings!$E$17,B1,15)),7)</f>
        <v/>
      </c>
      <c r="D3" s="5" t="inlineStr">
        <is>
          <t>Date</t>
        </is>
      </c>
      <c r="E3" s="5" t="inlineStr">
        <is>
          <t>PX_BID</t>
        </is>
      </c>
      <c r="F3" s="5" t="inlineStr">
        <is>
          <t>PX_ASK</t>
        </is>
      </c>
      <c r="G3" s="5" t="inlineStr">
        <is>
          <t>PX_MID</t>
        </is>
      </c>
      <c r="H3" s="5" t="inlineStr">
        <is>
          <t>PX_LAST</t>
        </is>
      </c>
      <c r="I3" s="5" t="inlineStr">
        <is>
          <t>PX_SETTLE</t>
        </is>
      </c>
      <c r="J3" s="5" t="inlineStr">
        <is>
          <t>PX_VOLUME</t>
        </is>
      </c>
      <c r="K3" s="5" t="inlineStr">
        <is>
          <t>OPEN_INT</t>
        </is>
      </c>
      <c r="L3" s="5" t="inlineStr">
        <is>
          <t>IVOL_MID</t>
        </is>
      </c>
      <c r="M3" s="5" t="inlineStr">
        <is>
          <t>IVOL_BID</t>
        </is>
      </c>
      <c r="N3" s="5" t="inlineStr">
        <is>
          <t>IVOL_ASK</t>
        </is>
      </c>
      <c r="O3" s="5" t="inlineStr">
        <is>
          <t>DELTA_MID</t>
        </is>
      </c>
      <c r="P3" s="5" t="inlineStr">
        <is>
          <t>GAMMA_MID</t>
        </is>
      </c>
      <c r="Q3" s="5" t="inlineStr">
        <is>
          <t>VEGA_MID</t>
        </is>
      </c>
      <c r="R3" s="5" t="inlineStr">
        <is>
          <t>THETA_MID</t>
        </is>
      </c>
      <c r="S3" s="5" t="inlineStr">
        <is>
          <t>OPT_UNDL_PX</t>
        </is>
      </c>
      <c r="U3" s="5" t="inlineStr">
        <is>
          <t>Date</t>
        </is>
      </c>
      <c r="V3" s="5" t="inlineStr">
        <is>
          <t>PX_BID</t>
        </is>
      </c>
      <c r="W3" s="5" t="inlineStr">
        <is>
          <t>PX_ASK</t>
        </is>
      </c>
      <c r="X3" s="5" t="inlineStr">
        <is>
          <t>PX_MID</t>
        </is>
      </c>
      <c r="Y3" s="5" t="inlineStr">
        <is>
          <t>PX_LAST</t>
        </is>
      </c>
      <c r="Z3" s="5" t="inlineStr">
        <is>
          <t>PX_SETTLE</t>
        </is>
      </c>
      <c r="AA3" s="5" t="inlineStr">
        <is>
          <t>PX_VOLUME</t>
        </is>
      </c>
      <c r="AB3" s="5" t="inlineStr">
        <is>
          <t>OPEN_INT</t>
        </is>
      </c>
      <c r="AC3" s="5" t="inlineStr">
        <is>
          <t>IVOL_MID</t>
        </is>
      </c>
      <c r="AD3" s="5" t="inlineStr">
        <is>
          <t>IVOL_BID</t>
        </is>
      </c>
      <c r="AE3" s="5" t="inlineStr">
        <is>
          <t>IVOL_ASK</t>
        </is>
      </c>
      <c r="AF3" s="5" t="inlineStr">
        <is>
          <t>DELTA_MID</t>
        </is>
      </c>
      <c r="AG3" s="5" t="inlineStr">
        <is>
          <t>GAMMA_MID</t>
        </is>
      </c>
      <c r="AH3" s="5" t="inlineStr">
        <is>
          <t>VEGA_MID</t>
        </is>
      </c>
      <c r="AI3" s="5" t="inlineStr">
        <is>
          <t>THETA_MID</t>
        </is>
      </c>
      <c r="AJ3" s="5" t="inlineStr">
        <is>
          <t>OPT_UNDL_PX</t>
        </is>
      </c>
      <c r="AL3" s="5" t="inlineStr">
        <is>
          <t>Date</t>
        </is>
      </c>
      <c r="AM3" s="5" t="inlineStr">
        <is>
          <t>PX_BID</t>
        </is>
      </c>
      <c r="AN3" s="5" t="inlineStr">
        <is>
          <t>PX_ASK</t>
        </is>
      </c>
      <c r="AO3" s="5" t="inlineStr">
        <is>
          <t>PX_MID</t>
        </is>
      </c>
      <c r="AP3" s="5" t="inlineStr">
        <is>
          <t>PX_LAST</t>
        </is>
      </c>
      <c r="AQ3" s="5" t="inlineStr">
        <is>
          <t>PX_SETTLE</t>
        </is>
      </c>
      <c r="AR3" s="5" t="inlineStr">
        <is>
          <t>PX_VOLUME</t>
        </is>
      </c>
      <c r="AS3" s="5" t="inlineStr">
        <is>
          <t>OPEN_INT</t>
        </is>
      </c>
      <c r="AT3" s="5" t="inlineStr">
        <is>
          <t>IVOL_MID</t>
        </is>
      </c>
      <c r="AU3" s="5" t="inlineStr">
        <is>
          <t>IVOL_BID</t>
        </is>
      </c>
      <c r="AV3" s="5" t="inlineStr">
        <is>
          <t>IVOL_ASK</t>
        </is>
      </c>
      <c r="AW3" s="5" t="inlineStr">
        <is>
          <t>DELTA_MID</t>
        </is>
      </c>
      <c r="AX3" s="5" t="inlineStr">
        <is>
          <t>GAMMA_MID</t>
        </is>
      </c>
      <c r="AY3" s="5" t="inlineStr">
        <is>
          <t>VEGA_MID</t>
        </is>
      </c>
      <c r="AZ3" s="5" t="inlineStr">
        <is>
          <t>THETA_MID</t>
        </is>
      </c>
      <c r="BA3" s="5" t="inlineStr">
        <is>
          <t>OPT_UNDL_PX</t>
        </is>
      </c>
      <c r="BC3" s="5" t="inlineStr">
        <is>
          <t>Date</t>
        </is>
      </c>
      <c r="BD3" s="5" t="inlineStr">
        <is>
          <t>PX_BID</t>
        </is>
      </c>
      <c r="BE3" s="5" t="inlineStr">
        <is>
          <t>PX_ASK</t>
        </is>
      </c>
      <c r="BF3" s="5" t="inlineStr">
        <is>
          <t>PX_MID</t>
        </is>
      </c>
      <c r="BG3" s="5" t="inlineStr">
        <is>
          <t>PX_LAST</t>
        </is>
      </c>
      <c r="BH3" s="5" t="inlineStr">
        <is>
          <t>PX_SETTLE</t>
        </is>
      </c>
      <c r="BI3" s="5" t="inlineStr">
        <is>
          <t>PX_VOLUME</t>
        </is>
      </c>
      <c r="BJ3" s="5" t="inlineStr">
        <is>
          <t>OPEN_INT</t>
        </is>
      </c>
      <c r="BK3" s="5" t="inlineStr">
        <is>
          <t>IVOL_MID</t>
        </is>
      </c>
      <c r="BL3" s="5" t="inlineStr">
        <is>
          <t>IVOL_BID</t>
        </is>
      </c>
      <c r="BM3" s="5" t="inlineStr">
        <is>
          <t>IVOL_ASK</t>
        </is>
      </c>
      <c r="BN3" s="5" t="inlineStr">
        <is>
          <t>DELTA_MID</t>
        </is>
      </c>
      <c r="BO3" s="5" t="inlineStr">
        <is>
          <t>GAMMA_MID</t>
        </is>
      </c>
      <c r="BP3" s="5" t="inlineStr">
        <is>
          <t>VEGA_MID</t>
        </is>
      </c>
      <c r="BQ3" s="5" t="inlineStr">
        <is>
          <t>THETA_MID</t>
        </is>
      </c>
      <c r="BR3" s="5" t="inlineStr">
        <is>
          <t>OPT_UNDL_PX</t>
        </is>
      </c>
      <c r="BT3" s="5" t="inlineStr">
        <is>
          <t>Date</t>
        </is>
      </c>
      <c r="BU3" s="5" t="inlineStr">
        <is>
          <t>PX_BID</t>
        </is>
      </c>
      <c r="BV3" s="5" t="inlineStr">
        <is>
          <t>PX_ASK</t>
        </is>
      </c>
      <c r="BW3" s="5" t="inlineStr">
        <is>
          <t>PX_MID</t>
        </is>
      </c>
      <c r="BX3" s="5" t="inlineStr">
        <is>
          <t>PX_LAST</t>
        </is>
      </c>
      <c r="BY3" s="5" t="inlineStr">
        <is>
          <t>PX_SETTLE</t>
        </is>
      </c>
      <c r="BZ3" s="5" t="inlineStr">
        <is>
          <t>PX_VOLUME</t>
        </is>
      </c>
      <c r="CA3" s="5" t="inlineStr">
        <is>
          <t>OPEN_INT</t>
        </is>
      </c>
      <c r="CB3" s="5" t="inlineStr">
        <is>
          <t>IVOL_MID</t>
        </is>
      </c>
      <c r="CC3" s="5" t="inlineStr">
        <is>
          <t>IVOL_BID</t>
        </is>
      </c>
      <c r="CD3" s="5" t="inlineStr">
        <is>
          <t>IVOL_ASK</t>
        </is>
      </c>
      <c r="CE3" s="5" t="inlineStr">
        <is>
          <t>DELTA_MID</t>
        </is>
      </c>
      <c r="CF3" s="5" t="inlineStr">
        <is>
          <t>GAMMA_MID</t>
        </is>
      </c>
      <c r="CG3" s="5" t="inlineStr">
        <is>
          <t>VEGA_MID</t>
        </is>
      </c>
      <c r="CH3" s="5" t="inlineStr">
        <is>
          <t>THETA_MID</t>
        </is>
      </c>
      <c r="CI3" s="5" t="inlineStr">
        <is>
          <t>OPT_UNDL_PX</t>
        </is>
      </c>
      <c r="CK3" s="5" t="inlineStr">
        <is>
          <t>Date</t>
        </is>
      </c>
      <c r="CL3" s="5" t="inlineStr">
        <is>
          <t>PX_BID</t>
        </is>
      </c>
      <c r="CM3" s="5" t="inlineStr">
        <is>
          <t>PX_ASK</t>
        </is>
      </c>
      <c r="CN3" s="5" t="inlineStr">
        <is>
          <t>PX_MID</t>
        </is>
      </c>
      <c r="CO3" s="5" t="inlineStr">
        <is>
          <t>PX_LAST</t>
        </is>
      </c>
      <c r="CP3" s="5" t="inlineStr">
        <is>
          <t>PX_SETTLE</t>
        </is>
      </c>
      <c r="CQ3" s="5" t="inlineStr">
        <is>
          <t>PX_VOLUME</t>
        </is>
      </c>
      <c r="CR3" s="5" t="inlineStr">
        <is>
          <t>OPEN_INT</t>
        </is>
      </c>
      <c r="CS3" s="5" t="inlineStr">
        <is>
          <t>IVOL_MID</t>
        </is>
      </c>
      <c r="CT3" s="5" t="inlineStr">
        <is>
          <t>IVOL_BID</t>
        </is>
      </c>
      <c r="CU3" s="5" t="inlineStr">
        <is>
          <t>IVOL_ASK</t>
        </is>
      </c>
      <c r="CV3" s="5" t="inlineStr">
        <is>
          <t>DELTA_MID</t>
        </is>
      </c>
      <c r="CW3" s="5" t="inlineStr">
        <is>
          <t>GAMMA_MID</t>
        </is>
      </c>
      <c r="CX3" s="5" t="inlineStr">
        <is>
          <t>VEGA_MID</t>
        </is>
      </c>
      <c r="CY3" s="5" t="inlineStr">
        <is>
          <t>THETA_MID</t>
        </is>
      </c>
      <c r="CZ3" s="5" t="inlineStr">
        <is>
          <t>OPT_UNDL_PX</t>
        </is>
      </c>
      <c r="DB3" s="5" t="inlineStr">
        <is>
          <t>Date</t>
        </is>
      </c>
      <c r="DC3" s="5" t="inlineStr">
        <is>
          <t>PX_BID</t>
        </is>
      </c>
      <c r="DD3" s="5" t="inlineStr">
        <is>
          <t>PX_ASK</t>
        </is>
      </c>
      <c r="DE3" s="5" t="inlineStr">
        <is>
          <t>PX_MID</t>
        </is>
      </c>
      <c r="DF3" s="5" t="inlineStr">
        <is>
          <t>PX_LAST</t>
        </is>
      </c>
      <c r="DG3" s="5" t="inlineStr">
        <is>
          <t>PX_SETTLE</t>
        </is>
      </c>
      <c r="DH3" s="5" t="inlineStr">
        <is>
          <t>PX_VOLUME</t>
        </is>
      </c>
      <c r="DI3" s="5" t="inlineStr">
        <is>
          <t>OPEN_INT</t>
        </is>
      </c>
      <c r="DJ3" s="5" t="inlineStr">
        <is>
          <t>IVOL_MID</t>
        </is>
      </c>
      <c r="DK3" s="5" t="inlineStr">
        <is>
          <t>IVOL_BID</t>
        </is>
      </c>
      <c r="DL3" s="5" t="inlineStr">
        <is>
          <t>IVOL_ASK</t>
        </is>
      </c>
      <c r="DM3" s="5" t="inlineStr">
        <is>
          <t>DELTA_MID</t>
        </is>
      </c>
      <c r="DN3" s="5" t="inlineStr">
        <is>
          <t>GAMMA_MID</t>
        </is>
      </c>
      <c r="DO3" s="5" t="inlineStr">
        <is>
          <t>VEGA_MID</t>
        </is>
      </c>
      <c r="DP3" s="5" t="inlineStr">
        <is>
          <t>THETA_MID</t>
        </is>
      </c>
      <c r="DQ3" s="5" t="inlineStr">
        <is>
          <t>OPT_UNDL_PX</t>
        </is>
      </c>
      <c r="DS3" s="5" t="inlineStr">
        <is>
          <t>Date</t>
        </is>
      </c>
      <c r="DT3" s="5" t="inlineStr">
        <is>
          <t>PX_BID</t>
        </is>
      </c>
      <c r="DU3" s="5" t="inlineStr">
        <is>
          <t>PX_ASK</t>
        </is>
      </c>
      <c r="DV3" s="5" t="inlineStr">
        <is>
          <t>PX_MID</t>
        </is>
      </c>
      <c r="DW3" s="5" t="inlineStr">
        <is>
          <t>PX_LAST</t>
        </is>
      </c>
      <c r="DX3" s="5" t="inlineStr">
        <is>
          <t>PX_SETTLE</t>
        </is>
      </c>
      <c r="DY3" s="5" t="inlineStr">
        <is>
          <t>PX_VOLUME</t>
        </is>
      </c>
      <c r="DZ3" s="5" t="inlineStr">
        <is>
          <t>OPEN_INT</t>
        </is>
      </c>
      <c r="EA3" s="5" t="inlineStr">
        <is>
          <t>IVOL_MID</t>
        </is>
      </c>
      <c r="EB3" s="5" t="inlineStr">
        <is>
          <t>IVOL_BID</t>
        </is>
      </c>
      <c r="EC3" s="5" t="inlineStr">
        <is>
          <t>IVOL_ASK</t>
        </is>
      </c>
      <c r="ED3" s="5" t="inlineStr">
        <is>
          <t>DELTA_MID</t>
        </is>
      </c>
      <c r="EE3" s="5" t="inlineStr">
        <is>
          <t>GAMMA_MID</t>
        </is>
      </c>
      <c r="EF3" s="5" t="inlineStr">
        <is>
          <t>VEGA_MID</t>
        </is>
      </c>
      <c r="EG3" s="5" t="inlineStr">
        <is>
          <t>THETA_MID</t>
        </is>
      </c>
      <c r="EH3" s="5" t="inlineStr">
        <is>
          <t>OPT_UNDL_PX</t>
        </is>
      </c>
      <c r="EJ3" s="5" t="inlineStr">
        <is>
          <t>Date</t>
        </is>
      </c>
      <c r="EK3" s="5" t="inlineStr">
        <is>
          <t>PX_BID</t>
        </is>
      </c>
      <c r="EL3" s="5" t="inlineStr">
        <is>
          <t>PX_ASK</t>
        </is>
      </c>
      <c r="EM3" s="5" t="inlineStr">
        <is>
          <t>PX_MID</t>
        </is>
      </c>
      <c r="EN3" s="5" t="inlineStr">
        <is>
          <t>PX_LAST</t>
        </is>
      </c>
      <c r="EO3" s="5" t="inlineStr">
        <is>
          <t>PX_SETTLE</t>
        </is>
      </c>
      <c r="EP3" s="5" t="inlineStr">
        <is>
          <t>PX_VOLUME</t>
        </is>
      </c>
      <c r="EQ3" s="5" t="inlineStr">
        <is>
          <t>OPEN_INT</t>
        </is>
      </c>
      <c r="ER3" s="5" t="inlineStr">
        <is>
          <t>IVOL_MID</t>
        </is>
      </c>
      <c r="ES3" s="5" t="inlineStr">
        <is>
          <t>IVOL_BID</t>
        </is>
      </c>
      <c r="ET3" s="5" t="inlineStr">
        <is>
          <t>IVOL_ASK</t>
        </is>
      </c>
      <c r="EU3" s="5" t="inlineStr">
        <is>
          <t>DELTA_MID</t>
        </is>
      </c>
      <c r="EV3" s="5" t="inlineStr">
        <is>
          <t>GAMMA_MID</t>
        </is>
      </c>
      <c r="EW3" s="5" t="inlineStr">
        <is>
          <t>VEGA_MID</t>
        </is>
      </c>
      <c r="EX3" s="5" t="inlineStr">
        <is>
          <t>THETA_MID</t>
        </is>
      </c>
      <c r="EY3" s="5" t="inlineStr">
        <is>
          <t>OPT_UNDL_PX</t>
        </is>
      </c>
      <c r="FA3" s="5" t="inlineStr">
        <is>
          <t>Date</t>
        </is>
      </c>
      <c r="FB3" s="5" t="inlineStr">
        <is>
          <t>PX_BID</t>
        </is>
      </c>
      <c r="FC3" s="5" t="inlineStr">
        <is>
          <t>PX_ASK</t>
        </is>
      </c>
      <c r="FD3" s="5" t="inlineStr">
        <is>
          <t>PX_MID</t>
        </is>
      </c>
      <c r="FE3" s="5" t="inlineStr">
        <is>
          <t>PX_LAST</t>
        </is>
      </c>
      <c r="FF3" s="5" t="inlineStr">
        <is>
          <t>PX_SETTLE</t>
        </is>
      </c>
      <c r="FG3" s="5" t="inlineStr">
        <is>
          <t>PX_VOLUME</t>
        </is>
      </c>
      <c r="FH3" s="5" t="inlineStr">
        <is>
          <t>OPEN_INT</t>
        </is>
      </c>
      <c r="FI3" s="5" t="inlineStr">
        <is>
          <t>IVOL_MID</t>
        </is>
      </c>
      <c r="FJ3" s="5" t="inlineStr">
        <is>
          <t>IVOL_BID</t>
        </is>
      </c>
      <c r="FK3" s="5" t="inlineStr">
        <is>
          <t>IVOL_ASK</t>
        </is>
      </c>
      <c r="FL3" s="5" t="inlineStr">
        <is>
          <t>DELTA_MID</t>
        </is>
      </c>
      <c r="FM3" s="5" t="inlineStr">
        <is>
          <t>GAMMA_MID</t>
        </is>
      </c>
      <c r="FN3" s="5" t="inlineStr">
        <is>
          <t>VEGA_MID</t>
        </is>
      </c>
      <c r="FO3" s="5" t="inlineStr">
        <is>
          <t>THETA_MID</t>
        </is>
      </c>
      <c r="FP3" s="5" t="inlineStr">
        <is>
          <t>OPT_UNDL_PX</t>
        </is>
      </c>
      <c r="FR3" s="5" t="inlineStr">
        <is>
          <t>Date</t>
        </is>
      </c>
      <c r="FS3" s="5" t="inlineStr">
        <is>
          <t>PX_BID</t>
        </is>
      </c>
      <c r="FT3" s="5" t="inlineStr">
        <is>
          <t>PX_ASK</t>
        </is>
      </c>
      <c r="FU3" s="5" t="inlineStr">
        <is>
          <t>PX_MID</t>
        </is>
      </c>
      <c r="FV3" s="5" t="inlineStr">
        <is>
          <t>PX_LAST</t>
        </is>
      </c>
      <c r="FW3" s="5" t="inlineStr">
        <is>
          <t>PX_SETTLE</t>
        </is>
      </c>
      <c r="FX3" s="5" t="inlineStr">
        <is>
          <t>PX_VOLUME</t>
        </is>
      </c>
      <c r="FY3" s="5" t="inlineStr">
        <is>
          <t>OPEN_INT</t>
        </is>
      </c>
      <c r="FZ3" s="5" t="inlineStr">
        <is>
          <t>IVOL_MID</t>
        </is>
      </c>
      <c r="GA3" s="5" t="inlineStr">
        <is>
          <t>IVOL_BID</t>
        </is>
      </c>
      <c r="GB3" s="5" t="inlineStr">
        <is>
          <t>IVOL_ASK</t>
        </is>
      </c>
      <c r="GC3" s="5" t="inlineStr">
        <is>
          <t>DELTA_MID</t>
        </is>
      </c>
      <c r="GD3" s="5" t="inlineStr">
        <is>
          <t>GAMMA_MID</t>
        </is>
      </c>
      <c r="GE3" s="5" t="inlineStr">
        <is>
          <t>VEGA_MID</t>
        </is>
      </c>
      <c r="GF3" s="5" t="inlineStr">
        <is>
          <t>THETA_MID</t>
        </is>
      </c>
      <c r="GG3" s="5" t="inlineStr">
        <is>
          <t>OPT_UNDL_PX</t>
        </is>
      </c>
      <c r="GI3" s="5" t="inlineStr">
        <is>
          <t>Date</t>
        </is>
      </c>
      <c r="GJ3" s="5" t="inlineStr">
        <is>
          <t>PX_BID</t>
        </is>
      </c>
      <c r="GK3" s="5" t="inlineStr">
        <is>
          <t>PX_ASK</t>
        </is>
      </c>
      <c r="GL3" s="5" t="inlineStr">
        <is>
          <t>PX_MID</t>
        </is>
      </c>
      <c r="GM3" s="5" t="inlineStr">
        <is>
          <t>PX_LAST</t>
        </is>
      </c>
      <c r="GN3" s="5" t="inlineStr">
        <is>
          <t>PX_SETTLE</t>
        </is>
      </c>
      <c r="GO3" s="5" t="inlineStr">
        <is>
          <t>PX_VOLUME</t>
        </is>
      </c>
      <c r="GP3" s="5" t="inlineStr">
        <is>
          <t>OPEN_INT</t>
        </is>
      </c>
      <c r="GQ3" s="5" t="inlineStr">
        <is>
          <t>IVOL_MID</t>
        </is>
      </c>
      <c r="GR3" s="5" t="inlineStr">
        <is>
          <t>IVOL_BID</t>
        </is>
      </c>
      <c r="GS3" s="5" t="inlineStr">
        <is>
          <t>IVOL_ASK</t>
        </is>
      </c>
      <c r="GT3" s="5" t="inlineStr">
        <is>
          <t>DELTA_MID</t>
        </is>
      </c>
      <c r="GU3" s="5" t="inlineStr">
        <is>
          <t>GAMMA_MID</t>
        </is>
      </c>
      <c r="GV3" s="5" t="inlineStr">
        <is>
          <t>VEGA_MID</t>
        </is>
      </c>
      <c r="GW3" s="5" t="inlineStr">
        <is>
          <t>THETA_MID</t>
        </is>
      </c>
      <c r="GX3" s="5" t="inlineStr">
        <is>
          <t>OPT_UNDL_PX</t>
        </is>
      </c>
      <c r="GZ3" s="5" t="inlineStr">
        <is>
          <t>Date</t>
        </is>
      </c>
      <c r="HA3" s="5" t="inlineStr">
        <is>
          <t>PX_BID</t>
        </is>
      </c>
      <c r="HB3" s="5" t="inlineStr">
        <is>
          <t>PX_ASK</t>
        </is>
      </c>
      <c r="HC3" s="5" t="inlineStr">
        <is>
          <t>PX_MID</t>
        </is>
      </c>
      <c r="HD3" s="5" t="inlineStr">
        <is>
          <t>PX_LAST</t>
        </is>
      </c>
      <c r="HE3" s="5" t="inlineStr">
        <is>
          <t>PX_SETTLE</t>
        </is>
      </c>
      <c r="HF3" s="5" t="inlineStr">
        <is>
          <t>PX_VOLUME</t>
        </is>
      </c>
      <c r="HG3" s="5" t="inlineStr">
        <is>
          <t>OPEN_INT</t>
        </is>
      </c>
      <c r="HH3" s="5" t="inlineStr">
        <is>
          <t>IVOL_MID</t>
        </is>
      </c>
      <c r="HI3" s="5" t="inlineStr">
        <is>
          <t>IVOL_BID</t>
        </is>
      </c>
      <c r="HJ3" s="5" t="inlineStr">
        <is>
          <t>IVOL_ASK</t>
        </is>
      </c>
      <c r="HK3" s="5" t="inlineStr">
        <is>
          <t>DELTA_MID</t>
        </is>
      </c>
      <c r="HL3" s="5" t="inlineStr">
        <is>
          <t>GAMMA_MID</t>
        </is>
      </c>
      <c r="HM3" s="5" t="inlineStr">
        <is>
          <t>VEGA_MID</t>
        </is>
      </c>
      <c r="HN3" s="5" t="inlineStr">
        <is>
          <t>THETA_MID</t>
        </is>
      </c>
      <c r="HO3" s="5" t="inlineStr">
        <is>
          <t>OPT_UNDL_PX</t>
        </is>
      </c>
      <c r="HQ3" s="5" t="inlineStr">
        <is>
          <t>Date</t>
        </is>
      </c>
      <c r="HR3" s="5" t="inlineStr">
        <is>
          <t>PX_BID</t>
        </is>
      </c>
      <c r="HS3" s="5" t="inlineStr">
        <is>
          <t>PX_ASK</t>
        </is>
      </c>
      <c r="HT3" s="5" t="inlineStr">
        <is>
          <t>PX_MID</t>
        </is>
      </c>
      <c r="HU3" s="5" t="inlineStr">
        <is>
          <t>PX_LAST</t>
        </is>
      </c>
      <c r="HV3" s="5" t="inlineStr">
        <is>
          <t>PX_SETTLE</t>
        </is>
      </c>
      <c r="HW3" s="5" t="inlineStr">
        <is>
          <t>PX_VOLUME</t>
        </is>
      </c>
      <c r="HX3" s="5" t="inlineStr">
        <is>
          <t>OPEN_INT</t>
        </is>
      </c>
      <c r="HY3" s="5" t="inlineStr">
        <is>
          <t>IVOL_MID</t>
        </is>
      </c>
      <c r="HZ3" s="5" t="inlineStr">
        <is>
          <t>IVOL_BID</t>
        </is>
      </c>
      <c r="IA3" s="5" t="inlineStr">
        <is>
          <t>IVOL_ASK</t>
        </is>
      </c>
      <c r="IB3" s="5" t="inlineStr">
        <is>
          <t>DELTA_MID</t>
        </is>
      </c>
      <c r="IC3" s="5" t="inlineStr">
        <is>
          <t>GAMMA_MID</t>
        </is>
      </c>
      <c r="ID3" s="5" t="inlineStr">
        <is>
          <t>VEGA_MID</t>
        </is>
      </c>
      <c r="IE3" s="5" t="inlineStr">
        <is>
          <t>THETA_MID</t>
        </is>
      </c>
      <c r="IF3" s="5" t="inlineStr">
        <is>
          <t>OPT_UNDL_PX</t>
        </is>
      </c>
      <c r="IH3" s="5" t="inlineStr">
        <is>
          <t>Date</t>
        </is>
      </c>
      <c r="II3" s="5" t="inlineStr">
        <is>
          <t>PX_BID</t>
        </is>
      </c>
      <c r="IJ3" s="5" t="inlineStr">
        <is>
          <t>PX_ASK</t>
        </is>
      </c>
      <c r="IK3" s="5" t="inlineStr">
        <is>
          <t>PX_MID</t>
        </is>
      </c>
      <c r="IL3" s="5" t="inlineStr">
        <is>
          <t>PX_LAST</t>
        </is>
      </c>
      <c r="IM3" s="5" t="inlineStr">
        <is>
          <t>PX_SETTLE</t>
        </is>
      </c>
      <c r="IN3" s="5" t="inlineStr">
        <is>
          <t>PX_VOLUME</t>
        </is>
      </c>
      <c r="IO3" s="5" t="inlineStr">
        <is>
          <t>OPEN_INT</t>
        </is>
      </c>
      <c r="IP3" s="5" t="inlineStr">
        <is>
          <t>IVOL_MID</t>
        </is>
      </c>
      <c r="IQ3" s="5" t="inlineStr">
        <is>
          <t>IVOL_BID</t>
        </is>
      </c>
      <c r="IR3" s="5" t="inlineStr">
        <is>
          <t>IVOL_ASK</t>
        </is>
      </c>
      <c r="IS3" s="5" t="inlineStr">
        <is>
          <t>DELTA_MID</t>
        </is>
      </c>
      <c r="IT3" s="5" t="inlineStr">
        <is>
          <t>GAMMA_MID</t>
        </is>
      </c>
      <c r="IU3" s="5" t="inlineStr">
        <is>
          <t>VEGA_MID</t>
        </is>
      </c>
      <c r="IV3" s="5" t="inlineStr">
        <is>
          <t>THETA_MID</t>
        </is>
      </c>
      <c r="IW3" s="5" t="inlineStr">
        <is>
          <t>OPT_UNDL_PX</t>
        </is>
      </c>
      <c r="IY3" s="5" t="inlineStr">
        <is>
          <t>Date</t>
        </is>
      </c>
      <c r="IZ3" s="5" t="inlineStr">
        <is>
          <t>PX_BID</t>
        </is>
      </c>
      <c r="JA3" s="5" t="inlineStr">
        <is>
          <t>PX_ASK</t>
        </is>
      </c>
      <c r="JB3" s="5" t="inlineStr">
        <is>
          <t>PX_MID</t>
        </is>
      </c>
      <c r="JC3" s="5" t="inlineStr">
        <is>
          <t>PX_LAST</t>
        </is>
      </c>
      <c r="JD3" s="5" t="inlineStr">
        <is>
          <t>PX_SETTLE</t>
        </is>
      </c>
      <c r="JE3" s="5" t="inlineStr">
        <is>
          <t>PX_VOLUME</t>
        </is>
      </c>
      <c r="JF3" s="5" t="inlineStr">
        <is>
          <t>OPEN_INT</t>
        </is>
      </c>
      <c r="JG3" s="5" t="inlineStr">
        <is>
          <t>IVOL_MID</t>
        </is>
      </c>
      <c r="JH3" s="5" t="inlineStr">
        <is>
          <t>IVOL_BID</t>
        </is>
      </c>
      <c r="JI3" s="5" t="inlineStr">
        <is>
          <t>IVOL_ASK</t>
        </is>
      </c>
      <c r="JJ3" s="5" t="inlineStr">
        <is>
          <t>DELTA_MID</t>
        </is>
      </c>
      <c r="JK3" s="5" t="inlineStr">
        <is>
          <t>GAMMA_MID</t>
        </is>
      </c>
      <c r="JL3" s="5" t="inlineStr">
        <is>
          <t>VEGA_MID</t>
        </is>
      </c>
      <c r="JM3" s="5" t="inlineStr">
        <is>
          <t>THETA_MID</t>
        </is>
      </c>
      <c r="JN3" s="5" t="inlineStr">
        <is>
          <t>OPT_UNDL_PX</t>
        </is>
      </c>
      <c r="JP3" s="5" t="inlineStr">
        <is>
          <t>Date</t>
        </is>
      </c>
      <c r="JQ3" s="5" t="inlineStr">
        <is>
          <t>PX_BID</t>
        </is>
      </c>
      <c r="JR3" s="5" t="inlineStr">
        <is>
          <t>PX_ASK</t>
        </is>
      </c>
      <c r="JS3" s="5" t="inlineStr">
        <is>
          <t>PX_MID</t>
        </is>
      </c>
      <c r="JT3" s="5" t="inlineStr">
        <is>
          <t>PX_LAST</t>
        </is>
      </c>
      <c r="JU3" s="5" t="inlineStr">
        <is>
          <t>PX_SETTLE</t>
        </is>
      </c>
      <c r="JV3" s="5" t="inlineStr">
        <is>
          <t>PX_VOLUME</t>
        </is>
      </c>
      <c r="JW3" s="5" t="inlineStr">
        <is>
          <t>OPEN_INT</t>
        </is>
      </c>
      <c r="JX3" s="5" t="inlineStr">
        <is>
          <t>IVOL_MID</t>
        </is>
      </c>
      <c r="JY3" s="5" t="inlineStr">
        <is>
          <t>IVOL_BID</t>
        </is>
      </c>
      <c r="JZ3" s="5" t="inlineStr">
        <is>
          <t>IVOL_ASK</t>
        </is>
      </c>
      <c r="KA3" s="5" t="inlineStr">
        <is>
          <t>DELTA_MID</t>
        </is>
      </c>
      <c r="KB3" s="5" t="inlineStr">
        <is>
          <t>GAMMA_MID</t>
        </is>
      </c>
      <c r="KC3" s="5" t="inlineStr">
        <is>
          <t>VEGA_MID</t>
        </is>
      </c>
      <c r="KD3" s="5" t="inlineStr">
        <is>
          <t>THETA_MID</t>
        </is>
      </c>
      <c r="KE3" s="5" t="inlineStr">
        <is>
          <t>OPT_UNDL_PX</t>
        </is>
      </c>
      <c r="KG3" s="5" t="inlineStr">
        <is>
          <t>Date</t>
        </is>
      </c>
      <c r="KH3" s="5" t="inlineStr">
        <is>
          <t>PX_BID</t>
        </is>
      </c>
      <c r="KI3" s="5" t="inlineStr">
        <is>
          <t>PX_ASK</t>
        </is>
      </c>
      <c r="KJ3" s="5" t="inlineStr">
        <is>
          <t>PX_MID</t>
        </is>
      </c>
      <c r="KK3" s="5" t="inlineStr">
        <is>
          <t>PX_LAST</t>
        </is>
      </c>
      <c r="KL3" s="5" t="inlineStr">
        <is>
          <t>PX_SETTLE</t>
        </is>
      </c>
      <c r="KM3" s="5" t="inlineStr">
        <is>
          <t>PX_VOLUME</t>
        </is>
      </c>
      <c r="KN3" s="5" t="inlineStr">
        <is>
          <t>OPEN_INT</t>
        </is>
      </c>
      <c r="KO3" s="5" t="inlineStr">
        <is>
          <t>IVOL_MID</t>
        </is>
      </c>
      <c r="KP3" s="5" t="inlineStr">
        <is>
          <t>IVOL_BID</t>
        </is>
      </c>
      <c r="KQ3" s="5" t="inlineStr">
        <is>
          <t>IVOL_ASK</t>
        </is>
      </c>
      <c r="KR3" s="5" t="inlineStr">
        <is>
          <t>DELTA_MID</t>
        </is>
      </c>
      <c r="KS3" s="5" t="inlineStr">
        <is>
          <t>GAMMA_MID</t>
        </is>
      </c>
      <c r="KT3" s="5" t="inlineStr">
        <is>
          <t>VEGA_MID</t>
        </is>
      </c>
      <c r="KU3" s="5" t="inlineStr">
        <is>
          <t>THETA_MID</t>
        </is>
      </c>
      <c r="KV3" s="5" t="inlineStr">
        <is>
          <t>OPT_UNDL_PX</t>
        </is>
      </c>
      <c r="KX3" s="5" t="inlineStr">
        <is>
          <t>Date</t>
        </is>
      </c>
      <c r="KY3" s="5" t="inlineStr">
        <is>
          <t>PX_BID</t>
        </is>
      </c>
      <c r="KZ3" s="5" t="inlineStr">
        <is>
          <t>PX_ASK</t>
        </is>
      </c>
      <c r="LA3" s="5" t="inlineStr">
        <is>
          <t>PX_MID</t>
        </is>
      </c>
      <c r="LB3" s="5" t="inlineStr">
        <is>
          <t>PX_LAST</t>
        </is>
      </c>
      <c r="LC3" s="5" t="inlineStr">
        <is>
          <t>PX_SETTLE</t>
        </is>
      </c>
      <c r="LD3" s="5" t="inlineStr">
        <is>
          <t>PX_VOLUME</t>
        </is>
      </c>
      <c r="LE3" s="5" t="inlineStr">
        <is>
          <t>OPEN_INT</t>
        </is>
      </c>
      <c r="LF3" s="5" t="inlineStr">
        <is>
          <t>IVOL_MID</t>
        </is>
      </c>
      <c r="LG3" s="5" t="inlineStr">
        <is>
          <t>IVOL_BID</t>
        </is>
      </c>
      <c r="LH3" s="5" t="inlineStr">
        <is>
          <t>IVOL_ASK</t>
        </is>
      </c>
      <c r="LI3" s="5" t="inlineStr">
        <is>
          <t>DELTA_MID</t>
        </is>
      </c>
      <c r="LJ3" s="5" t="inlineStr">
        <is>
          <t>GAMMA_MID</t>
        </is>
      </c>
      <c r="LK3" s="5" t="inlineStr">
        <is>
          <t>VEGA_MID</t>
        </is>
      </c>
      <c r="LL3" s="5" t="inlineStr">
        <is>
          <t>THETA_MID</t>
        </is>
      </c>
      <c r="LM3" s="5" t="inlineStr">
        <is>
          <t>OPT_UNDL_PX</t>
        </is>
      </c>
      <c r="LO3" s="5" t="inlineStr">
        <is>
          <t>Date</t>
        </is>
      </c>
      <c r="LP3" s="5" t="inlineStr">
        <is>
          <t>PX_BID</t>
        </is>
      </c>
      <c r="LQ3" s="5" t="inlineStr">
        <is>
          <t>PX_ASK</t>
        </is>
      </c>
      <c r="LR3" s="5" t="inlineStr">
        <is>
          <t>PX_MID</t>
        </is>
      </c>
      <c r="LS3" s="5" t="inlineStr">
        <is>
          <t>PX_LAST</t>
        </is>
      </c>
      <c r="LT3" s="5" t="inlineStr">
        <is>
          <t>PX_SETTLE</t>
        </is>
      </c>
      <c r="LU3" s="5" t="inlineStr">
        <is>
          <t>PX_VOLUME</t>
        </is>
      </c>
      <c r="LV3" s="5" t="inlineStr">
        <is>
          <t>OPEN_INT</t>
        </is>
      </c>
      <c r="LW3" s="5" t="inlineStr">
        <is>
          <t>IVOL_MID</t>
        </is>
      </c>
      <c r="LX3" s="5" t="inlineStr">
        <is>
          <t>IVOL_BID</t>
        </is>
      </c>
      <c r="LY3" s="5" t="inlineStr">
        <is>
          <t>IVOL_ASK</t>
        </is>
      </c>
      <c r="LZ3" s="5" t="inlineStr">
        <is>
          <t>DELTA_MID</t>
        </is>
      </c>
      <c r="MA3" s="5" t="inlineStr">
        <is>
          <t>GAMMA_MID</t>
        </is>
      </c>
      <c r="MB3" s="5" t="inlineStr">
        <is>
          <t>VEGA_MID</t>
        </is>
      </c>
      <c r="MC3" s="5" t="inlineStr">
        <is>
          <t>THETA_MID</t>
        </is>
      </c>
      <c r="MD3" s="5" t="inlineStr">
        <is>
          <t>OPT_UNDL_PX</t>
        </is>
      </c>
      <c r="MF3" s="5" t="inlineStr">
        <is>
          <t>Date</t>
        </is>
      </c>
      <c r="MG3" s="5" t="inlineStr">
        <is>
          <t>PX_BID</t>
        </is>
      </c>
      <c r="MH3" s="5" t="inlineStr">
        <is>
          <t>PX_ASK</t>
        </is>
      </c>
      <c r="MI3" s="5" t="inlineStr">
        <is>
          <t>PX_MID</t>
        </is>
      </c>
      <c r="MJ3" s="5" t="inlineStr">
        <is>
          <t>PX_LAST</t>
        </is>
      </c>
      <c r="MK3" s="5" t="inlineStr">
        <is>
          <t>PX_SETTLE</t>
        </is>
      </c>
      <c r="ML3" s="5" t="inlineStr">
        <is>
          <t>PX_VOLUME</t>
        </is>
      </c>
      <c r="MM3" s="5" t="inlineStr">
        <is>
          <t>OPEN_INT</t>
        </is>
      </c>
      <c r="MN3" s="5" t="inlineStr">
        <is>
          <t>IVOL_MID</t>
        </is>
      </c>
      <c r="MO3" s="5" t="inlineStr">
        <is>
          <t>IVOL_BID</t>
        </is>
      </c>
      <c r="MP3" s="5" t="inlineStr">
        <is>
          <t>IVOL_ASK</t>
        </is>
      </c>
      <c r="MQ3" s="5" t="inlineStr">
        <is>
          <t>DELTA_MID</t>
        </is>
      </c>
      <c r="MR3" s="5" t="inlineStr">
        <is>
          <t>GAMMA_MID</t>
        </is>
      </c>
      <c r="MS3" s="5" t="inlineStr">
        <is>
          <t>VEGA_MID</t>
        </is>
      </c>
      <c r="MT3" s="5" t="inlineStr">
        <is>
          <t>THETA_MID</t>
        </is>
      </c>
      <c r="MU3" s="5" t="inlineStr">
        <is>
          <t>OPT_UNDL_PX</t>
        </is>
      </c>
      <c r="MW3" s="5" t="inlineStr">
        <is>
          <t>Date</t>
        </is>
      </c>
      <c r="MX3" s="5" t="inlineStr">
        <is>
          <t>PX_BID</t>
        </is>
      </c>
      <c r="MY3" s="5" t="inlineStr">
        <is>
          <t>PX_ASK</t>
        </is>
      </c>
      <c r="MZ3" s="5" t="inlineStr">
        <is>
          <t>PX_MID</t>
        </is>
      </c>
      <c r="NA3" s="5" t="inlineStr">
        <is>
          <t>PX_LAST</t>
        </is>
      </c>
      <c r="NB3" s="5" t="inlineStr">
        <is>
          <t>PX_SETTLE</t>
        </is>
      </c>
      <c r="NC3" s="5" t="inlineStr">
        <is>
          <t>PX_VOLUME</t>
        </is>
      </c>
      <c r="ND3" s="5" t="inlineStr">
        <is>
          <t>OPEN_INT</t>
        </is>
      </c>
      <c r="NE3" s="5" t="inlineStr">
        <is>
          <t>IVOL_MID</t>
        </is>
      </c>
      <c r="NF3" s="5" t="inlineStr">
        <is>
          <t>IVOL_BID</t>
        </is>
      </c>
      <c r="NG3" s="5" t="inlineStr">
        <is>
          <t>IVOL_ASK</t>
        </is>
      </c>
      <c r="NH3" s="5" t="inlineStr">
        <is>
          <t>DELTA_MID</t>
        </is>
      </c>
      <c r="NI3" s="5" t="inlineStr">
        <is>
          <t>GAMMA_MID</t>
        </is>
      </c>
      <c r="NJ3" s="5" t="inlineStr">
        <is>
          <t>VEGA_MID</t>
        </is>
      </c>
      <c r="NK3" s="5" t="inlineStr">
        <is>
          <t>THETA_MID</t>
        </is>
      </c>
      <c r="NL3" s="5" t="inlineStr">
        <is>
          <t>OPT_UNDL_PX</t>
        </is>
      </c>
    </row>
    <row r="4">
      <c r="A4" s="2" t="inlineStr">
        <is>
          <t>Strike reference date</t>
        </is>
      </c>
      <c r="B4" s="8">
        <f>B3-45</f>
        <v/>
      </c>
      <c r="D4" s="4">
        <f>BDH(D$1,E$3:S$3,$B$8,$B$9,"Dir=V","Dts=S","Sort=A","Days=T","Fill=B")</f>
        <v/>
      </c>
      <c r="U4" s="4">
        <f>BDH(U$1,V$3:AJ$3,$B$8,$B$9,"Dir=V","Dts=S","Sort=A","Days=T","Fill=B")</f>
        <v/>
      </c>
      <c r="AL4" s="4">
        <f>BDH(AL$1,AM$3:BA$3,$B$8,$B$9,"Dir=V","Dts=S","Sort=A","Days=T","Fill=B")</f>
        <v/>
      </c>
      <c r="BC4" s="4">
        <f>BDH(BC$1,BD$3:BR$3,$B$8,$B$9,"Dir=V","Dts=S","Sort=A","Days=T","Fill=B")</f>
        <v/>
      </c>
      <c r="BT4" s="4">
        <f>BDH(BT$1,BU$3:CI$3,$B$8,$B$9,"Dir=V","Dts=S","Sort=A","Days=T","Fill=B")</f>
        <v/>
      </c>
      <c r="CK4" s="4">
        <f>BDH(CK$1,CL$3:CZ$3,$B$8,$B$9,"Dir=V","Dts=S","Sort=A","Days=T","Fill=B")</f>
        <v/>
      </c>
      <c r="DB4" s="4">
        <f>BDH(DB$1,DC$3:DQ$3,$B$8,$B$9,"Dir=V","Dts=S","Sort=A","Days=T","Fill=B")</f>
        <v/>
      </c>
      <c r="DS4" s="4">
        <f>BDH(DS$1,DT$3:EH$3,$B$8,$B$9,"Dir=V","Dts=S","Sort=A","Days=T","Fill=B")</f>
        <v/>
      </c>
      <c r="EJ4" s="4">
        <f>BDH(EJ$1,EK$3:EY$3,$B$8,$B$9,"Dir=V","Dts=S","Sort=A","Days=T","Fill=B")</f>
        <v/>
      </c>
      <c r="FA4" s="4">
        <f>BDH(FA$1,FB$3:FP$3,$B$8,$B$9,"Dir=V","Dts=S","Sort=A","Days=T","Fill=B")</f>
        <v/>
      </c>
      <c r="FR4" s="4">
        <f>BDH(FR$1,FS$3:GG$3,$B$8,$B$9,"Dir=V","Dts=S","Sort=A","Days=T","Fill=B")</f>
        <v/>
      </c>
      <c r="GI4" s="4">
        <f>BDH(GI$1,GJ$3:GX$3,$B$8,$B$9,"Dir=V","Dts=S","Sort=A","Days=T","Fill=B")</f>
        <v/>
      </c>
      <c r="GZ4" s="4">
        <f>BDH(GZ$1,HA$3:HO$3,$B$8,$B$9,"Dir=V","Dts=S","Sort=A","Days=T","Fill=B")</f>
        <v/>
      </c>
      <c r="HQ4" s="4">
        <f>BDH(HQ$1,HR$3:IF$3,$B$8,$B$9,"Dir=V","Dts=S","Sort=A","Days=T","Fill=B")</f>
        <v/>
      </c>
      <c r="IH4" s="4">
        <f>BDH(IH$1,II$3:IW$3,$B$8,$B$9,"Dir=V","Dts=S","Sort=A","Days=T","Fill=B")</f>
        <v/>
      </c>
      <c r="IY4" s="4">
        <f>BDH(IY$1,IZ$3:JN$3,$B$8,$B$9,"Dir=V","Dts=S","Sort=A","Days=T","Fill=B")</f>
        <v/>
      </c>
      <c r="JP4" s="4">
        <f>BDH(JP$1,JQ$3:KE$3,$B$8,$B$9,"Dir=V","Dts=S","Sort=A","Days=T","Fill=B")</f>
        <v/>
      </c>
      <c r="KG4" s="4">
        <f>BDH(KG$1,KH$3:KV$3,$B$8,$B$9,"Dir=V","Dts=S","Sort=A","Days=T","Fill=B")</f>
        <v/>
      </c>
      <c r="KX4" s="4">
        <f>BDH(KX$1,KY$3:LM$3,$B$8,$B$9,"Dir=V","Dts=S","Sort=A","Days=T","Fill=B")</f>
        <v/>
      </c>
      <c r="LO4" s="4">
        <f>BDH(LO$1,LP$3:MD$3,$B$8,$B$9,"Dir=V","Dts=S","Sort=A","Days=T","Fill=B")</f>
        <v/>
      </c>
      <c r="MF4" s="4">
        <f>BDH(MF$1,MG$3:MU$3,$B$8,$B$9,"Dir=V","Dts=S","Sort=A","Days=T","Fill=B")</f>
        <v/>
      </c>
      <c r="MW4" s="4">
        <f>BDH(MW$1,MX$3:NL$3,$B$8,$B$9,"Dir=V","Dts=S","Sort=A","Days=T","Fill=B")</f>
        <v/>
      </c>
    </row>
    <row r="5">
      <c r="A5" s="2" t="inlineStr">
        <is>
          <t>Unadjusted close then</t>
        </is>
      </c>
      <c r="B5" s="10">
        <f>IF(B2="","",BDH(B2,"PX_LAST",B4,B4,"Days=A","Fill=P","Dts=H","CshAdjNormal=N","CshAdjAbnormal=N","CapChg=N"))</f>
        <v/>
      </c>
    </row>
    <row r="6">
      <c r="A6" s="2" t="inlineStr">
        <is>
          <t>Strike step</t>
        </is>
      </c>
      <c r="B6" s="11">
        <f>IF(ISNUMBER(B5),IF(B5&lt;25,0.5,IF(B5&lt;250,1,5)),"")</f>
        <v/>
      </c>
    </row>
    <row r="7">
      <c r="A7" s="2" t="inlineStr">
        <is>
          <t>ATM strike</t>
        </is>
      </c>
      <c r="B7" s="11">
        <f>IF(ISNUMBER(B5),ROUND(B5/B6,0)*B6,"")</f>
        <v/>
      </c>
    </row>
    <row r="8">
      <c r="A8" s="2" t="inlineStr">
        <is>
          <t>History start</t>
        </is>
      </c>
      <c r="B8" s="8">
        <f>B3-100</f>
        <v/>
      </c>
    </row>
    <row r="9">
      <c r="A9" s="2" t="inlineStr">
        <is>
          <t>History end</t>
        </is>
      </c>
      <c r="B9" s="8">
        <f>B3</f>
        <v/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NL9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2" customWidth="1" min="2" max="2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1" customWidth="1" min="15" max="15"/>
    <col width="11" customWidth="1" min="16" max="16"/>
    <col width="10" customWidth="1" min="17" max="17"/>
    <col width="11" customWidth="1" min="18" max="18"/>
    <col width="13" customWidth="1" min="19" max="19"/>
    <col width="12" customWidth="1" min="21" max="21"/>
    <col width="10" customWidth="1" min="22" max="22"/>
    <col width="10" customWidth="1" min="23" max="23"/>
    <col width="10" customWidth="1" min="24" max="24"/>
    <col width="10" customWidth="1" min="25" max="25"/>
    <col width="11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1" customWidth="1" min="32" max="32"/>
    <col width="11" customWidth="1" min="33" max="33"/>
    <col width="10" customWidth="1" min="34" max="34"/>
    <col width="11" customWidth="1" min="35" max="35"/>
    <col width="13" customWidth="1" min="36" max="36"/>
    <col width="12" customWidth="1" min="38" max="38"/>
    <col width="10" customWidth="1" min="39" max="39"/>
    <col width="10" customWidth="1" min="40" max="40"/>
    <col width="10" customWidth="1" min="41" max="41"/>
    <col width="10" customWidth="1" min="42" max="42"/>
    <col width="11" customWidth="1" min="43" max="43"/>
    <col width="11" customWidth="1" min="44" max="44"/>
    <col width="10" customWidth="1" min="45" max="45"/>
    <col width="10" customWidth="1" min="46" max="46"/>
    <col width="10" customWidth="1" min="47" max="47"/>
    <col width="10" customWidth="1" min="48" max="48"/>
    <col width="11" customWidth="1" min="49" max="49"/>
    <col width="11" customWidth="1" min="50" max="50"/>
    <col width="10" customWidth="1" min="51" max="51"/>
    <col width="11" customWidth="1" min="52" max="52"/>
    <col width="13" customWidth="1" min="53" max="53"/>
    <col width="12" customWidth="1" min="55" max="55"/>
    <col width="10" customWidth="1" min="56" max="56"/>
    <col width="10" customWidth="1" min="57" max="57"/>
    <col width="10" customWidth="1" min="58" max="58"/>
    <col width="10" customWidth="1" min="59" max="59"/>
    <col width="11" customWidth="1" min="60" max="60"/>
    <col width="11" customWidth="1" min="61" max="61"/>
    <col width="10" customWidth="1" min="62" max="62"/>
    <col width="10" customWidth="1" min="63" max="63"/>
    <col width="10" customWidth="1" min="64" max="64"/>
    <col width="10" customWidth="1" min="65" max="65"/>
    <col width="11" customWidth="1" min="66" max="66"/>
    <col width="11" customWidth="1" min="67" max="67"/>
    <col width="10" customWidth="1" min="68" max="68"/>
    <col width="11" customWidth="1" min="69" max="69"/>
    <col width="13" customWidth="1" min="70" max="70"/>
    <col width="12" customWidth="1" min="72" max="72"/>
    <col width="10" customWidth="1" min="73" max="73"/>
    <col width="10" customWidth="1" min="74" max="74"/>
    <col width="10" customWidth="1" min="75" max="75"/>
    <col width="10" customWidth="1" min="76" max="76"/>
    <col width="11" customWidth="1" min="77" max="77"/>
    <col width="11" customWidth="1" min="78" max="78"/>
    <col width="10" customWidth="1" min="79" max="79"/>
    <col width="10" customWidth="1" min="80" max="80"/>
    <col width="10" customWidth="1" min="81" max="81"/>
    <col width="10" customWidth="1" min="82" max="82"/>
    <col width="11" customWidth="1" min="83" max="83"/>
    <col width="11" customWidth="1" min="84" max="84"/>
    <col width="10" customWidth="1" min="85" max="85"/>
    <col width="11" customWidth="1" min="86" max="86"/>
    <col width="13" customWidth="1" min="87" max="87"/>
    <col width="12" customWidth="1" min="89" max="89"/>
    <col width="10" customWidth="1" min="90" max="90"/>
    <col width="10" customWidth="1" min="91" max="91"/>
    <col width="10" customWidth="1" min="92" max="92"/>
    <col width="10" customWidth="1" min="93" max="93"/>
    <col width="11" customWidth="1" min="94" max="94"/>
    <col width="11" customWidth="1" min="95" max="95"/>
    <col width="10" customWidth="1" min="96" max="96"/>
    <col width="10" customWidth="1" min="97" max="97"/>
    <col width="10" customWidth="1" min="98" max="98"/>
    <col width="10" customWidth="1" min="99" max="99"/>
    <col width="11" customWidth="1" min="100" max="100"/>
    <col width="11" customWidth="1" min="101" max="101"/>
    <col width="10" customWidth="1" min="102" max="102"/>
    <col width="11" customWidth="1" min="103" max="103"/>
    <col width="13" customWidth="1" min="104" max="104"/>
    <col width="12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1" customWidth="1" min="111" max="111"/>
    <col width="11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1" customWidth="1" min="117" max="117"/>
    <col width="11" customWidth="1" min="118" max="118"/>
    <col width="10" customWidth="1" min="119" max="119"/>
    <col width="11" customWidth="1" min="120" max="120"/>
    <col width="13" customWidth="1" min="121" max="121"/>
    <col width="12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1" customWidth="1" min="128" max="128"/>
    <col width="11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1" customWidth="1" min="134" max="134"/>
    <col width="11" customWidth="1" min="135" max="135"/>
    <col width="10" customWidth="1" min="136" max="136"/>
    <col width="11" customWidth="1" min="137" max="137"/>
    <col width="13" customWidth="1" min="138" max="138"/>
    <col width="12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1" customWidth="1" min="145" max="145"/>
    <col width="11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1" customWidth="1" min="151" max="151"/>
    <col width="11" customWidth="1" min="152" max="152"/>
    <col width="10" customWidth="1" min="153" max="153"/>
    <col width="11" customWidth="1" min="154" max="154"/>
    <col width="13" customWidth="1" min="155" max="155"/>
    <col width="12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1" customWidth="1" min="162" max="162"/>
    <col width="11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1" customWidth="1" min="168" max="168"/>
    <col width="11" customWidth="1" min="169" max="169"/>
    <col width="10" customWidth="1" min="170" max="170"/>
    <col width="11" customWidth="1" min="171" max="171"/>
    <col width="13" customWidth="1" min="172" max="172"/>
    <col width="12" customWidth="1" min="174" max="174"/>
    <col width="10" customWidth="1" min="175" max="175"/>
    <col width="10" customWidth="1" min="176" max="176"/>
    <col width="10" customWidth="1" min="177" max="177"/>
    <col width="10" customWidth="1" min="178" max="178"/>
    <col width="11" customWidth="1" min="179" max="179"/>
    <col width="11" customWidth="1" min="180" max="180"/>
    <col width="10" customWidth="1" min="181" max="181"/>
    <col width="10" customWidth="1" min="182" max="182"/>
    <col width="10" customWidth="1" min="183" max="183"/>
    <col width="10" customWidth="1" min="184" max="184"/>
    <col width="11" customWidth="1" min="185" max="185"/>
    <col width="11" customWidth="1" min="186" max="186"/>
    <col width="10" customWidth="1" min="187" max="187"/>
    <col width="11" customWidth="1" min="188" max="188"/>
    <col width="13" customWidth="1" min="189" max="189"/>
    <col width="12" customWidth="1" min="191" max="191"/>
    <col width="10" customWidth="1" min="192" max="192"/>
    <col width="10" customWidth="1" min="193" max="193"/>
    <col width="10" customWidth="1" min="194" max="194"/>
    <col width="10" customWidth="1" min="195" max="195"/>
    <col width="11" customWidth="1" min="196" max="196"/>
    <col width="11" customWidth="1" min="197" max="197"/>
    <col width="10" customWidth="1" min="198" max="198"/>
    <col width="10" customWidth="1" min="199" max="199"/>
    <col width="10" customWidth="1" min="200" max="200"/>
    <col width="10" customWidth="1" min="201" max="201"/>
    <col width="11" customWidth="1" min="202" max="202"/>
    <col width="11" customWidth="1" min="203" max="203"/>
    <col width="10" customWidth="1" min="204" max="204"/>
    <col width="11" customWidth="1" min="205" max="205"/>
    <col width="13" customWidth="1" min="206" max="206"/>
    <col width="12" customWidth="1" min="208" max="208"/>
    <col width="10" customWidth="1" min="209" max="209"/>
    <col width="10" customWidth="1" min="210" max="210"/>
    <col width="10" customWidth="1" min="211" max="211"/>
    <col width="10" customWidth="1" min="212" max="212"/>
    <col width="11" customWidth="1" min="213" max="213"/>
    <col width="11" customWidth="1" min="214" max="214"/>
    <col width="10" customWidth="1" min="215" max="215"/>
    <col width="10" customWidth="1" min="216" max="216"/>
    <col width="10" customWidth="1" min="217" max="217"/>
    <col width="10" customWidth="1" min="218" max="218"/>
    <col width="11" customWidth="1" min="219" max="219"/>
    <col width="11" customWidth="1" min="220" max="220"/>
    <col width="10" customWidth="1" min="221" max="221"/>
    <col width="11" customWidth="1" min="222" max="222"/>
    <col width="13" customWidth="1" min="223" max="223"/>
    <col width="12" customWidth="1" min="225" max="225"/>
    <col width="10" customWidth="1" min="226" max="226"/>
    <col width="10" customWidth="1" min="227" max="227"/>
    <col width="10" customWidth="1" min="228" max="228"/>
    <col width="10" customWidth="1" min="229" max="229"/>
    <col width="11" customWidth="1" min="230" max="230"/>
    <col width="11" customWidth="1" min="231" max="231"/>
    <col width="10" customWidth="1" min="232" max="232"/>
    <col width="10" customWidth="1" min="233" max="233"/>
    <col width="10" customWidth="1" min="234" max="234"/>
    <col width="10" customWidth="1" min="235" max="235"/>
    <col width="11" customWidth="1" min="236" max="236"/>
    <col width="11" customWidth="1" min="237" max="237"/>
    <col width="10" customWidth="1" min="238" max="238"/>
    <col width="11" customWidth="1" min="239" max="239"/>
    <col width="13" customWidth="1" min="240" max="240"/>
    <col width="12" customWidth="1" min="242" max="242"/>
    <col width="10" customWidth="1" min="243" max="243"/>
    <col width="10" customWidth="1" min="244" max="244"/>
    <col width="10" customWidth="1" min="245" max="245"/>
    <col width="10" customWidth="1" min="246" max="246"/>
    <col width="11" customWidth="1" min="247" max="247"/>
    <col width="11" customWidth="1" min="248" max="248"/>
    <col width="10" customWidth="1" min="249" max="249"/>
    <col width="10" customWidth="1" min="250" max="250"/>
    <col width="10" customWidth="1" min="251" max="251"/>
    <col width="10" customWidth="1" min="252" max="252"/>
    <col width="11" customWidth="1" min="253" max="253"/>
    <col width="11" customWidth="1" min="254" max="254"/>
    <col width="10" customWidth="1" min="255" max="255"/>
    <col width="11" customWidth="1" min="256" max="256"/>
    <col width="13" customWidth="1" min="257" max="257"/>
    <col width="12" customWidth="1" min="259" max="259"/>
    <col width="10" customWidth="1" min="260" max="260"/>
    <col width="10" customWidth="1" min="261" max="261"/>
    <col width="10" customWidth="1" min="262" max="262"/>
    <col width="10" customWidth="1" min="263" max="263"/>
    <col width="11" customWidth="1" min="264" max="264"/>
    <col width="11" customWidth="1" min="265" max="265"/>
    <col width="10" customWidth="1" min="266" max="266"/>
    <col width="10" customWidth="1" min="267" max="267"/>
    <col width="10" customWidth="1" min="268" max="268"/>
    <col width="10" customWidth="1" min="269" max="269"/>
    <col width="11" customWidth="1" min="270" max="270"/>
    <col width="11" customWidth="1" min="271" max="271"/>
    <col width="10" customWidth="1" min="272" max="272"/>
    <col width="11" customWidth="1" min="273" max="273"/>
    <col width="13" customWidth="1" min="274" max="274"/>
    <col width="12" customWidth="1" min="276" max="276"/>
    <col width="10" customWidth="1" min="277" max="277"/>
    <col width="10" customWidth="1" min="278" max="278"/>
    <col width="10" customWidth="1" min="279" max="279"/>
    <col width="10" customWidth="1" min="280" max="280"/>
    <col width="11" customWidth="1" min="281" max="281"/>
    <col width="11" customWidth="1" min="282" max="282"/>
    <col width="10" customWidth="1" min="283" max="283"/>
    <col width="10" customWidth="1" min="284" max="284"/>
    <col width="10" customWidth="1" min="285" max="285"/>
    <col width="10" customWidth="1" min="286" max="286"/>
    <col width="11" customWidth="1" min="287" max="287"/>
    <col width="11" customWidth="1" min="288" max="288"/>
    <col width="10" customWidth="1" min="289" max="289"/>
    <col width="11" customWidth="1" min="290" max="290"/>
    <col width="13" customWidth="1" min="291" max="291"/>
    <col width="12" customWidth="1" min="293" max="293"/>
    <col width="10" customWidth="1" min="294" max="294"/>
    <col width="10" customWidth="1" min="295" max="295"/>
    <col width="10" customWidth="1" min="296" max="296"/>
    <col width="10" customWidth="1" min="297" max="297"/>
    <col width="11" customWidth="1" min="298" max="298"/>
    <col width="11" customWidth="1" min="299" max="299"/>
    <col width="10" customWidth="1" min="300" max="300"/>
    <col width="10" customWidth="1" min="301" max="301"/>
    <col width="10" customWidth="1" min="302" max="302"/>
    <col width="10" customWidth="1" min="303" max="303"/>
    <col width="11" customWidth="1" min="304" max="304"/>
    <col width="11" customWidth="1" min="305" max="305"/>
    <col width="10" customWidth="1" min="306" max="306"/>
    <col width="11" customWidth="1" min="307" max="307"/>
    <col width="13" customWidth="1" min="308" max="308"/>
    <col width="12" customWidth="1" min="310" max="310"/>
    <col width="10" customWidth="1" min="311" max="311"/>
    <col width="10" customWidth="1" min="312" max="312"/>
    <col width="10" customWidth="1" min="313" max="313"/>
    <col width="10" customWidth="1" min="314" max="314"/>
    <col width="11" customWidth="1" min="315" max="315"/>
    <col width="11" customWidth="1" min="316" max="316"/>
    <col width="10" customWidth="1" min="317" max="317"/>
    <col width="10" customWidth="1" min="318" max="318"/>
    <col width="10" customWidth="1" min="319" max="319"/>
    <col width="10" customWidth="1" min="320" max="320"/>
    <col width="11" customWidth="1" min="321" max="321"/>
    <col width="11" customWidth="1" min="322" max="322"/>
    <col width="10" customWidth="1" min="323" max="323"/>
    <col width="11" customWidth="1" min="324" max="324"/>
    <col width="13" customWidth="1" min="325" max="325"/>
    <col width="12" customWidth="1" min="327" max="327"/>
    <col width="10" customWidth="1" min="328" max="328"/>
    <col width="10" customWidth="1" min="329" max="329"/>
    <col width="10" customWidth="1" min="330" max="330"/>
    <col width="10" customWidth="1" min="331" max="331"/>
    <col width="11" customWidth="1" min="332" max="332"/>
    <col width="11" customWidth="1" min="333" max="333"/>
    <col width="10" customWidth="1" min="334" max="334"/>
    <col width="10" customWidth="1" min="335" max="335"/>
    <col width="10" customWidth="1" min="336" max="336"/>
    <col width="10" customWidth="1" min="337" max="337"/>
    <col width="11" customWidth="1" min="338" max="338"/>
    <col width="11" customWidth="1" min="339" max="339"/>
    <col width="10" customWidth="1" min="340" max="340"/>
    <col width="11" customWidth="1" min="341" max="341"/>
    <col width="13" customWidth="1" min="342" max="342"/>
    <col width="12" customWidth="1" min="344" max="344"/>
    <col width="10" customWidth="1" min="345" max="345"/>
    <col width="10" customWidth="1" min="346" max="346"/>
    <col width="10" customWidth="1" min="347" max="347"/>
    <col width="10" customWidth="1" min="348" max="348"/>
    <col width="11" customWidth="1" min="349" max="349"/>
    <col width="11" customWidth="1" min="350" max="350"/>
    <col width="10" customWidth="1" min="351" max="351"/>
    <col width="10" customWidth="1" min="352" max="352"/>
    <col width="10" customWidth="1" min="353" max="353"/>
    <col width="10" customWidth="1" min="354" max="354"/>
    <col width="11" customWidth="1" min="355" max="355"/>
    <col width="11" customWidth="1" min="356" max="356"/>
    <col width="10" customWidth="1" min="357" max="357"/>
    <col width="11" customWidth="1" min="358" max="358"/>
    <col width="13" customWidth="1" min="359" max="359"/>
    <col width="12" customWidth="1" min="361" max="361"/>
    <col width="10" customWidth="1" min="362" max="362"/>
    <col width="10" customWidth="1" min="363" max="363"/>
    <col width="10" customWidth="1" min="364" max="364"/>
    <col width="10" customWidth="1" min="365" max="365"/>
    <col width="11" customWidth="1" min="366" max="366"/>
    <col width="11" customWidth="1" min="367" max="367"/>
    <col width="10" customWidth="1" min="368" max="368"/>
    <col width="10" customWidth="1" min="369" max="369"/>
    <col width="10" customWidth="1" min="370" max="370"/>
    <col width="10" customWidth="1" min="371" max="371"/>
    <col width="11" customWidth="1" min="372" max="372"/>
    <col width="11" customWidth="1" min="373" max="373"/>
    <col width="10" customWidth="1" min="374" max="374"/>
    <col width="11" customWidth="1" min="375" max="375"/>
    <col width="13" customWidth="1" min="376" max="376"/>
  </cols>
  <sheetData>
    <row r="1">
      <c r="A1" s="2" t="inlineStr">
        <is>
          <t>Month</t>
        </is>
      </c>
      <c r="B1" s="9" t="n">
        <v>12</v>
      </c>
      <c r="D1" s="2">
        <f>IF(ISNUMBER(B$7),"XOP US "&amp;TEXT(B$3,"mm/dd/yy")&amp;" C"&amp;(B$7-5*B$6)&amp;" Equity","")</f>
        <v/>
      </c>
      <c r="U1" s="2">
        <f>IF(ISNUMBER(B$7),"XOP US "&amp;TEXT(B$3,"mm/dd/yy")&amp;" P"&amp;(B$7-5*B$6)&amp;" Equity","")</f>
        <v/>
      </c>
      <c r="AL1" s="2">
        <f>IF(ISNUMBER(B$7),"XOP US "&amp;TEXT(B$3,"mm/dd/yy")&amp;" C"&amp;(B$7-4*B$6)&amp;" Equity","")</f>
        <v/>
      </c>
      <c r="BC1" s="2">
        <f>IF(ISNUMBER(B$7),"XOP US "&amp;TEXT(B$3,"mm/dd/yy")&amp;" P"&amp;(B$7-4*B$6)&amp;" Equity","")</f>
        <v/>
      </c>
      <c r="BT1" s="2">
        <f>IF(ISNUMBER(B$7),"XOP US "&amp;TEXT(B$3,"mm/dd/yy")&amp;" C"&amp;(B$7-3*B$6)&amp;" Equity","")</f>
        <v/>
      </c>
      <c r="CK1" s="2">
        <f>IF(ISNUMBER(B$7),"XOP US "&amp;TEXT(B$3,"mm/dd/yy")&amp;" P"&amp;(B$7-3*B$6)&amp;" Equity","")</f>
        <v/>
      </c>
      <c r="DB1" s="2">
        <f>IF(ISNUMBER(B$7),"XOP US "&amp;TEXT(B$3,"mm/dd/yy")&amp;" C"&amp;(B$7-2*B$6)&amp;" Equity","")</f>
        <v/>
      </c>
      <c r="DS1" s="2">
        <f>IF(ISNUMBER(B$7),"XOP US "&amp;TEXT(B$3,"mm/dd/yy")&amp;" P"&amp;(B$7-2*B$6)&amp;" Equity","")</f>
        <v/>
      </c>
      <c r="EJ1" s="2">
        <f>IF(ISNUMBER(B$7),"XOP US "&amp;TEXT(B$3,"mm/dd/yy")&amp;" C"&amp;(B$7-1*B$6)&amp;" Equity","")</f>
        <v/>
      </c>
      <c r="FA1" s="2">
        <f>IF(ISNUMBER(B$7),"XOP US "&amp;TEXT(B$3,"mm/dd/yy")&amp;" P"&amp;(B$7-1*B$6)&amp;" Equity","")</f>
        <v/>
      </c>
      <c r="FR1" s="2">
        <f>IF(ISNUMBER(B$7),"XOP US "&amp;TEXT(B$3,"mm/dd/yy")&amp;" C"&amp;B$7&amp;" Equity","")</f>
        <v/>
      </c>
      <c r="GI1" s="2">
        <f>IF(ISNUMBER(B$7),"XOP US "&amp;TEXT(B$3,"mm/dd/yy")&amp;" P"&amp;B$7&amp;" Equity","")</f>
        <v/>
      </c>
      <c r="GZ1" s="2">
        <f>IF(ISNUMBER(B$7),"XOP US "&amp;TEXT(B$3,"mm/dd/yy")&amp;" C"&amp;(B$7+1*B$6)&amp;" Equity","")</f>
        <v/>
      </c>
      <c r="HQ1" s="2">
        <f>IF(ISNUMBER(B$7),"XOP US "&amp;TEXT(B$3,"mm/dd/yy")&amp;" P"&amp;(B$7+1*B$6)&amp;" Equity","")</f>
        <v/>
      </c>
      <c r="IH1" s="2">
        <f>IF(ISNUMBER(B$7),"XOP US "&amp;TEXT(B$3,"mm/dd/yy")&amp;" C"&amp;(B$7+2*B$6)&amp;" Equity","")</f>
        <v/>
      </c>
      <c r="IY1" s="2">
        <f>IF(ISNUMBER(B$7),"XOP US "&amp;TEXT(B$3,"mm/dd/yy")&amp;" P"&amp;(B$7+2*B$6)&amp;" Equity","")</f>
        <v/>
      </c>
      <c r="JP1" s="2">
        <f>IF(ISNUMBER(B$7),"XOP US "&amp;TEXT(B$3,"mm/dd/yy")&amp;" C"&amp;(B$7+3*B$6)&amp;" Equity","")</f>
        <v/>
      </c>
      <c r="KG1" s="2">
        <f>IF(ISNUMBER(B$7),"XOP US "&amp;TEXT(B$3,"mm/dd/yy")&amp;" P"&amp;(B$7+3*B$6)&amp;" Equity","")</f>
        <v/>
      </c>
      <c r="KX1" s="2">
        <f>IF(ISNUMBER(B$7),"XOP US "&amp;TEXT(B$3,"mm/dd/yy")&amp;" C"&amp;(B$7+4*B$6)&amp;" Equity","")</f>
        <v/>
      </c>
      <c r="LO1" s="2">
        <f>IF(ISNUMBER(B$7),"XOP US "&amp;TEXT(B$3,"mm/dd/yy")&amp;" P"&amp;(B$7+4*B$6)&amp;" Equity","")</f>
        <v/>
      </c>
      <c r="MF1" s="2">
        <f>IF(ISNUMBER(B$7),"XOP US "&amp;TEXT(B$3,"mm/dd/yy")&amp;" C"&amp;(B$7+5*B$6)&amp;" Equity","")</f>
        <v/>
      </c>
      <c r="MW1" s="2">
        <f>IF(ISNUMBER(B$7),"XOP US "&amp;TEXT(B$3,"mm/dd/yy")&amp;" P"&amp;(B$7+5*B$6)&amp;" Equity","")</f>
        <v/>
      </c>
    </row>
    <row r="2">
      <c r="A2" s="2" t="inlineStr">
        <is>
          <t>Underlying</t>
        </is>
      </c>
      <c r="B2" s="4">
        <f>IF(Settings!$B$17="Y","XOP US Equity","")</f>
        <v/>
      </c>
      <c r="D2" s="4" t="inlineStr">
        <is>
          <t>call -5 from ATM</t>
        </is>
      </c>
      <c r="U2" s="4" t="inlineStr">
        <is>
          <t>put -5 from ATM</t>
        </is>
      </c>
      <c r="AL2" s="4" t="inlineStr">
        <is>
          <t>call -4 from ATM</t>
        </is>
      </c>
      <c r="BC2" s="4" t="inlineStr">
        <is>
          <t>put -4 from ATM</t>
        </is>
      </c>
      <c r="BT2" s="4" t="inlineStr">
        <is>
          <t>call -3 from ATM</t>
        </is>
      </c>
      <c r="CK2" s="4" t="inlineStr">
        <is>
          <t>put -3 from ATM</t>
        </is>
      </c>
      <c r="DB2" s="4" t="inlineStr">
        <is>
          <t>call -2 from ATM</t>
        </is>
      </c>
      <c r="DS2" s="4" t="inlineStr">
        <is>
          <t>put -2 from ATM</t>
        </is>
      </c>
      <c r="EJ2" s="4" t="inlineStr">
        <is>
          <t>call -1 from ATM</t>
        </is>
      </c>
      <c r="FA2" s="4" t="inlineStr">
        <is>
          <t>put -1 from ATM</t>
        </is>
      </c>
      <c r="FR2" s="4" t="inlineStr">
        <is>
          <t>call +0 from ATM</t>
        </is>
      </c>
      <c r="GI2" s="4" t="inlineStr">
        <is>
          <t>put +0 from ATM</t>
        </is>
      </c>
      <c r="GZ2" s="4" t="inlineStr">
        <is>
          <t>call +1 from ATM</t>
        </is>
      </c>
      <c r="HQ2" s="4" t="inlineStr">
        <is>
          <t>put +1 from ATM</t>
        </is>
      </c>
      <c r="IH2" s="4" t="inlineStr">
        <is>
          <t>call +2 from ATM</t>
        </is>
      </c>
      <c r="IY2" s="4" t="inlineStr">
        <is>
          <t>put +2 from ATM</t>
        </is>
      </c>
      <c r="JP2" s="4" t="inlineStr">
        <is>
          <t>call +3 from ATM</t>
        </is>
      </c>
      <c r="KG2" s="4" t="inlineStr">
        <is>
          <t>put +3 from ATM</t>
        </is>
      </c>
      <c r="KX2" s="4" t="inlineStr">
        <is>
          <t>call +4 from ATM</t>
        </is>
      </c>
      <c r="LO2" s="4" t="inlineStr">
        <is>
          <t>put +4 from ATM</t>
        </is>
      </c>
      <c r="MF2" s="4" t="inlineStr">
        <is>
          <t>call +5 from ATM</t>
        </is>
      </c>
      <c r="MW2" s="4" t="inlineStr">
        <is>
          <t>put +5 from ATM</t>
        </is>
      </c>
    </row>
    <row r="3">
      <c r="A3" s="2" t="inlineStr">
        <is>
          <t>Expiry (3rd Friday)</t>
        </is>
      </c>
      <c r="B3" s="3">
        <f>DATE(Settings!$E$17,B1,15)+MOD(6-WEEKDAY(DATE(Settings!$E$17,B1,15)),7)</f>
        <v/>
      </c>
      <c r="D3" s="5" t="inlineStr">
        <is>
          <t>Date</t>
        </is>
      </c>
      <c r="E3" s="5" t="inlineStr">
        <is>
          <t>PX_BID</t>
        </is>
      </c>
      <c r="F3" s="5" t="inlineStr">
        <is>
          <t>PX_ASK</t>
        </is>
      </c>
      <c r="G3" s="5" t="inlineStr">
        <is>
          <t>PX_MID</t>
        </is>
      </c>
      <c r="H3" s="5" t="inlineStr">
        <is>
          <t>PX_LAST</t>
        </is>
      </c>
      <c r="I3" s="5" t="inlineStr">
        <is>
          <t>PX_SETTLE</t>
        </is>
      </c>
      <c r="J3" s="5" t="inlineStr">
        <is>
          <t>PX_VOLUME</t>
        </is>
      </c>
      <c r="K3" s="5" t="inlineStr">
        <is>
          <t>OPEN_INT</t>
        </is>
      </c>
      <c r="L3" s="5" t="inlineStr">
        <is>
          <t>IVOL_MID</t>
        </is>
      </c>
      <c r="M3" s="5" t="inlineStr">
        <is>
          <t>IVOL_BID</t>
        </is>
      </c>
      <c r="N3" s="5" t="inlineStr">
        <is>
          <t>IVOL_ASK</t>
        </is>
      </c>
      <c r="O3" s="5" t="inlineStr">
        <is>
          <t>DELTA_MID</t>
        </is>
      </c>
      <c r="P3" s="5" t="inlineStr">
        <is>
          <t>GAMMA_MID</t>
        </is>
      </c>
      <c r="Q3" s="5" t="inlineStr">
        <is>
          <t>VEGA_MID</t>
        </is>
      </c>
      <c r="R3" s="5" t="inlineStr">
        <is>
          <t>THETA_MID</t>
        </is>
      </c>
      <c r="S3" s="5" t="inlineStr">
        <is>
          <t>OPT_UNDL_PX</t>
        </is>
      </c>
      <c r="U3" s="5" t="inlineStr">
        <is>
          <t>Date</t>
        </is>
      </c>
      <c r="V3" s="5" t="inlineStr">
        <is>
          <t>PX_BID</t>
        </is>
      </c>
      <c r="W3" s="5" t="inlineStr">
        <is>
          <t>PX_ASK</t>
        </is>
      </c>
      <c r="X3" s="5" t="inlineStr">
        <is>
          <t>PX_MID</t>
        </is>
      </c>
      <c r="Y3" s="5" t="inlineStr">
        <is>
          <t>PX_LAST</t>
        </is>
      </c>
      <c r="Z3" s="5" t="inlineStr">
        <is>
          <t>PX_SETTLE</t>
        </is>
      </c>
      <c r="AA3" s="5" t="inlineStr">
        <is>
          <t>PX_VOLUME</t>
        </is>
      </c>
      <c r="AB3" s="5" t="inlineStr">
        <is>
          <t>OPEN_INT</t>
        </is>
      </c>
      <c r="AC3" s="5" t="inlineStr">
        <is>
          <t>IVOL_MID</t>
        </is>
      </c>
      <c r="AD3" s="5" t="inlineStr">
        <is>
          <t>IVOL_BID</t>
        </is>
      </c>
      <c r="AE3" s="5" t="inlineStr">
        <is>
          <t>IVOL_ASK</t>
        </is>
      </c>
      <c r="AF3" s="5" t="inlineStr">
        <is>
          <t>DELTA_MID</t>
        </is>
      </c>
      <c r="AG3" s="5" t="inlineStr">
        <is>
          <t>GAMMA_MID</t>
        </is>
      </c>
      <c r="AH3" s="5" t="inlineStr">
        <is>
          <t>VEGA_MID</t>
        </is>
      </c>
      <c r="AI3" s="5" t="inlineStr">
        <is>
          <t>THETA_MID</t>
        </is>
      </c>
      <c r="AJ3" s="5" t="inlineStr">
        <is>
          <t>OPT_UNDL_PX</t>
        </is>
      </c>
      <c r="AL3" s="5" t="inlineStr">
        <is>
          <t>Date</t>
        </is>
      </c>
      <c r="AM3" s="5" t="inlineStr">
        <is>
          <t>PX_BID</t>
        </is>
      </c>
      <c r="AN3" s="5" t="inlineStr">
        <is>
          <t>PX_ASK</t>
        </is>
      </c>
      <c r="AO3" s="5" t="inlineStr">
        <is>
          <t>PX_MID</t>
        </is>
      </c>
      <c r="AP3" s="5" t="inlineStr">
        <is>
          <t>PX_LAST</t>
        </is>
      </c>
      <c r="AQ3" s="5" t="inlineStr">
        <is>
          <t>PX_SETTLE</t>
        </is>
      </c>
      <c r="AR3" s="5" t="inlineStr">
        <is>
          <t>PX_VOLUME</t>
        </is>
      </c>
      <c r="AS3" s="5" t="inlineStr">
        <is>
          <t>OPEN_INT</t>
        </is>
      </c>
      <c r="AT3" s="5" t="inlineStr">
        <is>
          <t>IVOL_MID</t>
        </is>
      </c>
      <c r="AU3" s="5" t="inlineStr">
        <is>
          <t>IVOL_BID</t>
        </is>
      </c>
      <c r="AV3" s="5" t="inlineStr">
        <is>
          <t>IVOL_ASK</t>
        </is>
      </c>
      <c r="AW3" s="5" t="inlineStr">
        <is>
          <t>DELTA_MID</t>
        </is>
      </c>
      <c r="AX3" s="5" t="inlineStr">
        <is>
          <t>GAMMA_MID</t>
        </is>
      </c>
      <c r="AY3" s="5" t="inlineStr">
        <is>
          <t>VEGA_MID</t>
        </is>
      </c>
      <c r="AZ3" s="5" t="inlineStr">
        <is>
          <t>THETA_MID</t>
        </is>
      </c>
      <c r="BA3" s="5" t="inlineStr">
        <is>
          <t>OPT_UNDL_PX</t>
        </is>
      </c>
      <c r="BC3" s="5" t="inlineStr">
        <is>
          <t>Date</t>
        </is>
      </c>
      <c r="BD3" s="5" t="inlineStr">
        <is>
          <t>PX_BID</t>
        </is>
      </c>
      <c r="BE3" s="5" t="inlineStr">
        <is>
          <t>PX_ASK</t>
        </is>
      </c>
      <c r="BF3" s="5" t="inlineStr">
        <is>
          <t>PX_MID</t>
        </is>
      </c>
      <c r="BG3" s="5" t="inlineStr">
        <is>
          <t>PX_LAST</t>
        </is>
      </c>
      <c r="BH3" s="5" t="inlineStr">
        <is>
          <t>PX_SETTLE</t>
        </is>
      </c>
      <c r="BI3" s="5" t="inlineStr">
        <is>
          <t>PX_VOLUME</t>
        </is>
      </c>
      <c r="BJ3" s="5" t="inlineStr">
        <is>
          <t>OPEN_INT</t>
        </is>
      </c>
      <c r="BK3" s="5" t="inlineStr">
        <is>
          <t>IVOL_MID</t>
        </is>
      </c>
      <c r="BL3" s="5" t="inlineStr">
        <is>
          <t>IVOL_BID</t>
        </is>
      </c>
      <c r="BM3" s="5" t="inlineStr">
        <is>
          <t>IVOL_ASK</t>
        </is>
      </c>
      <c r="BN3" s="5" t="inlineStr">
        <is>
          <t>DELTA_MID</t>
        </is>
      </c>
      <c r="BO3" s="5" t="inlineStr">
        <is>
          <t>GAMMA_MID</t>
        </is>
      </c>
      <c r="BP3" s="5" t="inlineStr">
        <is>
          <t>VEGA_MID</t>
        </is>
      </c>
      <c r="BQ3" s="5" t="inlineStr">
        <is>
          <t>THETA_MID</t>
        </is>
      </c>
      <c r="BR3" s="5" t="inlineStr">
        <is>
          <t>OPT_UNDL_PX</t>
        </is>
      </c>
      <c r="BT3" s="5" t="inlineStr">
        <is>
          <t>Date</t>
        </is>
      </c>
      <c r="BU3" s="5" t="inlineStr">
        <is>
          <t>PX_BID</t>
        </is>
      </c>
      <c r="BV3" s="5" t="inlineStr">
        <is>
          <t>PX_ASK</t>
        </is>
      </c>
      <c r="BW3" s="5" t="inlineStr">
        <is>
          <t>PX_MID</t>
        </is>
      </c>
      <c r="BX3" s="5" t="inlineStr">
        <is>
          <t>PX_LAST</t>
        </is>
      </c>
      <c r="BY3" s="5" t="inlineStr">
        <is>
          <t>PX_SETTLE</t>
        </is>
      </c>
      <c r="BZ3" s="5" t="inlineStr">
        <is>
          <t>PX_VOLUME</t>
        </is>
      </c>
      <c r="CA3" s="5" t="inlineStr">
        <is>
          <t>OPEN_INT</t>
        </is>
      </c>
      <c r="CB3" s="5" t="inlineStr">
        <is>
          <t>IVOL_MID</t>
        </is>
      </c>
      <c r="CC3" s="5" t="inlineStr">
        <is>
          <t>IVOL_BID</t>
        </is>
      </c>
      <c r="CD3" s="5" t="inlineStr">
        <is>
          <t>IVOL_ASK</t>
        </is>
      </c>
      <c r="CE3" s="5" t="inlineStr">
        <is>
          <t>DELTA_MID</t>
        </is>
      </c>
      <c r="CF3" s="5" t="inlineStr">
        <is>
          <t>GAMMA_MID</t>
        </is>
      </c>
      <c r="CG3" s="5" t="inlineStr">
        <is>
          <t>VEGA_MID</t>
        </is>
      </c>
      <c r="CH3" s="5" t="inlineStr">
        <is>
          <t>THETA_MID</t>
        </is>
      </c>
      <c r="CI3" s="5" t="inlineStr">
        <is>
          <t>OPT_UNDL_PX</t>
        </is>
      </c>
      <c r="CK3" s="5" t="inlineStr">
        <is>
          <t>Date</t>
        </is>
      </c>
      <c r="CL3" s="5" t="inlineStr">
        <is>
          <t>PX_BID</t>
        </is>
      </c>
      <c r="CM3" s="5" t="inlineStr">
        <is>
          <t>PX_ASK</t>
        </is>
      </c>
      <c r="CN3" s="5" t="inlineStr">
        <is>
          <t>PX_MID</t>
        </is>
      </c>
      <c r="CO3" s="5" t="inlineStr">
        <is>
          <t>PX_LAST</t>
        </is>
      </c>
      <c r="CP3" s="5" t="inlineStr">
        <is>
          <t>PX_SETTLE</t>
        </is>
      </c>
      <c r="CQ3" s="5" t="inlineStr">
        <is>
          <t>PX_VOLUME</t>
        </is>
      </c>
      <c r="CR3" s="5" t="inlineStr">
        <is>
          <t>OPEN_INT</t>
        </is>
      </c>
      <c r="CS3" s="5" t="inlineStr">
        <is>
          <t>IVOL_MID</t>
        </is>
      </c>
      <c r="CT3" s="5" t="inlineStr">
        <is>
          <t>IVOL_BID</t>
        </is>
      </c>
      <c r="CU3" s="5" t="inlineStr">
        <is>
          <t>IVOL_ASK</t>
        </is>
      </c>
      <c r="CV3" s="5" t="inlineStr">
        <is>
          <t>DELTA_MID</t>
        </is>
      </c>
      <c r="CW3" s="5" t="inlineStr">
        <is>
          <t>GAMMA_MID</t>
        </is>
      </c>
      <c r="CX3" s="5" t="inlineStr">
        <is>
          <t>VEGA_MID</t>
        </is>
      </c>
      <c r="CY3" s="5" t="inlineStr">
        <is>
          <t>THETA_MID</t>
        </is>
      </c>
      <c r="CZ3" s="5" t="inlineStr">
        <is>
          <t>OPT_UNDL_PX</t>
        </is>
      </c>
      <c r="DB3" s="5" t="inlineStr">
        <is>
          <t>Date</t>
        </is>
      </c>
      <c r="DC3" s="5" t="inlineStr">
        <is>
          <t>PX_BID</t>
        </is>
      </c>
      <c r="DD3" s="5" t="inlineStr">
        <is>
          <t>PX_ASK</t>
        </is>
      </c>
      <c r="DE3" s="5" t="inlineStr">
        <is>
          <t>PX_MID</t>
        </is>
      </c>
      <c r="DF3" s="5" t="inlineStr">
        <is>
          <t>PX_LAST</t>
        </is>
      </c>
      <c r="DG3" s="5" t="inlineStr">
        <is>
          <t>PX_SETTLE</t>
        </is>
      </c>
      <c r="DH3" s="5" t="inlineStr">
        <is>
          <t>PX_VOLUME</t>
        </is>
      </c>
      <c r="DI3" s="5" t="inlineStr">
        <is>
          <t>OPEN_INT</t>
        </is>
      </c>
      <c r="DJ3" s="5" t="inlineStr">
        <is>
          <t>IVOL_MID</t>
        </is>
      </c>
      <c r="DK3" s="5" t="inlineStr">
        <is>
          <t>IVOL_BID</t>
        </is>
      </c>
      <c r="DL3" s="5" t="inlineStr">
        <is>
          <t>IVOL_ASK</t>
        </is>
      </c>
      <c r="DM3" s="5" t="inlineStr">
        <is>
          <t>DELTA_MID</t>
        </is>
      </c>
      <c r="DN3" s="5" t="inlineStr">
        <is>
          <t>GAMMA_MID</t>
        </is>
      </c>
      <c r="DO3" s="5" t="inlineStr">
        <is>
          <t>VEGA_MID</t>
        </is>
      </c>
      <c r="DP3" s="5" t="inlineStr">
        <is>
          <t>THETA_MID</t>
        </is>
      </c>
      <c r="DQ3" s="5" t="inlineStr">
        <is>
          <t>OPT_UNDL_PX</t>
        </is>
      </c>
      <c r="DS3" s="5" t="inlineStr">
        <is>
          <t>Date</t>
        </is>
      </c>
      <c r="DT3" s="5" t="inlineStr">
        <is>
          <t>PX_BID</t>
        </is>
      </c>
      <c r="DU3" s="5" t="inlineStr">
        <is>
          <t>PX_ASK</t>
        </is>
      </c>
      <c r="DV3" s="5" t="inlineStr">
        <is>
          <t>PX_MID</t>
        </is>
      </c>
      <c r="DW3" s="5" t="inlineStr">
        <is>
          <t>PX_LAST</t>
        </is>
      </c>
      <c r="DX3" s="5" t="inlineStr">
        <is>
          <t>PX_SETTLE</t>
        </is>
      </c>
      <c r="DY3" s="5" t="inlineStr">
        <is>
          <t>PX_VOLUME</t>
        </is>
      </c>
      <c r="DZ3" s="5" t="inlineStr">
        <is>
          <t>OPEN_INT</t>
        </is>
      </c>
      <c r="EA3" s="5" t="inlineStr">
        <is>
          <t>IVOL_MID</t>
        </is>
      </c>
      <c r="EB3" s="5" t="inlineStr">
        <is>
          <t>IVOL_BID</t>
        </is>
      </c>
      <c r="EC3" s="5" t="inlineStr">
        <is>
          <t>IVOL_ASK</t>
        </is>
      </c>
      <c r="ED3" s="5" t="inlineStr">
        <is>
          <t>DELTA_MID</t>
        </is>
      </c>
      <c r="EE3" s="5" t="inlineStr">
        <is>
          <t>GAMMA_MID</t>
        </is>
      </c>
      <c r="EF3" s="5" t="inlineStr">
        <is>
          <t>VEGA_MID</t>
        </is>
      </c>
      <c r="EG3" s="5" t="inlineStr">
        <is>
          <t>THETA_MID</t>
        </is>
      </c>
      <c r="EH3" s="5" t="inlineStr">
        <is>
          <t>OPT_UNDL_PX</t>
        </is>
      </c>
      <c r="EJ3" s="5" t="inlineStr">
        <is>
          <t>Date</t>
        </is>
      </c>
      <c r="EK3" s="5" t="inlineStr">
        <is>
          <t>PX_BID</t>
        </is>
      </c>
      <c r="EL3" s="5" t="inlineStr">
        <is>
          <t>PX_ASK</t>
        </is>
      </c>
      <c r="EM3" s="5" t="inlineStr">
        <is>
          <t>PX_MID</t>
        </is>
      </c>
      <c r="EN3" s="5" t="inlineStr">
        <is>
          <t>PX_LAST</t>
        </is>
      </c>
      <c r="EO3" s="5" t="inlineStr">
        <is>
          <t>PX_SETTLE</t>
        </is>
      </c>
      <c r="EP3" s="5" t="inlineStr">
        <is>
          <t>PX_VOLUME</t>
        </is>
      </c>
      <c r="EQ3" s="5" t="inlineStr">
        <is>
          <t>OPEN_INT</t>
        </is>
      </c>
      <c r="ER3" s="5" t="inlineStr">
        <is>
          <t>IVOL_MID</t>
        </is>
      </c>
      <c r="ES3" s="5" t="inlineStr">
        <is>
          <t>IVOL_BID</t>
        </is>
      </c>
      <c r="ET3" s="5" t="inlineStr">
        <is>
          <t>IVOL_ASK</t>
        </is>
      </c>
      <c r="EU3" s="5" t="inlineStr">
        <is>
          <t>DELTA_MID</t>
        </is>
      </c>
      <c r="EV3" s="5" t="inlineStr">
        <is>
          <t>GAMMA_MID</t>
        </is>
      </c>
      <c r="EW3" s="5" t="inlineStr">
        <is>
          <t>VEGA_MID</t>
        </is>
      </c>
      <c r="EX3" s="5" t="inlineStr">
        <is>
          <t>THETA_MID</t>
        </is>
      </c>
      <c r="EY3" s="5" t="inlineStr">
        <is>
          <t>OPT_UNDL_PX</t>
        </is>
      </c>
      <c r="FA3" s="5" t="inlineStr">
        <is>
          <t>Date</t>
        </is>
      </c>
      <c r="FB3" s="5" t="inlineStr">
        <is>
          <t>PX_BID</t>
        </is>
      </c>
      <c r="FC3" s="5" t="inlineStr">
        <is>
          <t>PX_ASK</t>
        </is>
      </c>
      <c r="FD3" s="5" t="inlineStr">
        <is>
          <t>PX_MID</t>
        </is>
      </c>
      <c r="FE3" s="5" t="inlineStr">
        <is>
          <t>PX_LAST</t>
        </is>
      </c>
      <c r="FF3" s="5" t="inlineStr">
        <is>
          <t>PX_SETTLE</t>
        </is>
      </c>
      <c r="FG3" s="5" t="inlineStr">
        <is>
          <t>PX_VOLUME</t>
        </is>
      </c>
      <c r="FH3" s="5" t="inlineStr">
        <is>
          <t>OPEN_INT</t>
        </is>
      </c>
      <c r="FI3" s="5" t="inlineStr">
        <is>
          <t>IVOL_MID</t>
        </is>
      </c>
      <c r="FJ3" s="5" t="inlineStr">
        <is>
          <t>IVOL_BID</t>
        </is>
      </c>
      <c r="FK3" s="5" t="inlineStr">
        <is>
          <t>IVOL_ASK</t>
        </is>
      </c>
      <c r="FL3" s="5" t="inlineStr">
        <is>
          <t>DELTA_MID</t>
        </is>
      </c>
      <c r="FM3" s="5" t="inlineStr">
        <is>
          <t>GAMMA_MID</t>
        </is>
      </c>
      <c r="FN3" s="5" t="inlineStr">
        <is>
          <t>VEGA_MID</t>
        </is>
      </c>
      <c r="FO3" s="5" t="inlineStr">
        <is>
          <t>THETA_MID</t>
        </is>
      </c>
      <c r="FP3" s="5" t="inlineStr">
        <is>
          <t>OPT_UNDL_PX</t>
        </is>
      </c>
      <c r="FR3" s="5" t="inlineStr">
        <is>
          <t>Date</t>
        </is>
      </c>
      <c r="FS3" s="5" t="inlineStr">
        <is>
          <t>PX_BID</t>
        </is>
      </c>
      <c r="FT3" s="5" t="inlineStr">
        <is>
          <t>PX_ASK</t>
        </is>
      </c>
      <c r="FU3" s="5" t="inlineStr">
        <is>
          <t>PX_MID</t>
        </is>
      </c>
      <c r="FV3" s="5" t="inlineStr">
        <is>
          <t>PX_LAST</t>
        </is>
      </c>
      <c r="FW3" s="5" t="inlineStr">
        <is>
          <t>PX_SETTLE</t>
        </is>
      </c>
      <c r="FX3" s="5" t="inlineStr">
        <is>
          <t>PX_VOLUME</t>
        </is>
      </c>
      <c r="FY3" s="5" t="inlineStr">
        <is>
          <t>OPEN_INT</t>
        </is>
      </c>
      <c r="FZ3" s="5" t="inlineStr">
        <is>
          <t>IVOL_MID</t>
        </is>
      </c>
      <c r="GA3" s="5" t="inlineStr">
        <is>
          <t>IVOL_BID</t>
        </is>
      </c>
      <c r="GB3" s="5" t="inlineStr">
        <is>
          <t>IVOL_ASK</t>
        </is>
      </c>
      <c r="GC3" s="5" t="inlineStr">
        <is>
          <t>DELTA_MID</t>
        </is>
      </c>
      <c r="GD3" s="5" t="inlineStr">
        <is>
          <t>GAMMA_MID</t>
        </is>
      </c>
      <c r="GE3" s="5" t="inlineStr">
        <is>
          <t>VEGA_MID</t>
        </is>
      </c>
      <c r="GF3" s="5" t="inlineStr">
        <is>
          <t>THETA_MID</t>
        </is>
      </c>
      <c r="GG3" s="5" t="inlineStr">
        <is>
          <t>OPT_UNDL_PX</t>
        </is>
      </c>
      <c r="GI3" s="5" t="inlineStr">
        <is>
          <t>Date</t>
        </is>
      </c>
      <c r="GJ3" s="5" t="inlineStr">
        <is>
          <t>PX_BID</t>
        </is>
      </c>
      <c r="GK3" s="5" t="inlineStr">
        <is>
          <t>PX_ASK</t>
        </is>
      </c>
      <c r="GL3" s="5" t="inlineStr">
        <is>
          <t>PX_MID</t>
        </is>
      </c>
      <c r="GM3" s="5" t="inlineStr">
        <is>
          <t>PX_LAST</t>
        </is>
      </c>
      <c r="GN3" s="5" t="inlineStr">
        <is>
          <t>PX_SETTLE</t>
        </is>
      </c>
      <c r="GO3" s="5" t="inlineStr">
        <is>
          <t>PX_VOLUME</t>
        </is>
      </c>
      <c r="GP3" s="5" t="inlineStr">
        <is>
          <t>OPEN_INT</t>
        </is>
      </c>
      <c r="GQ3" s="5" t="inlineStr">
        <is>
          <t>IVOL_MID</t>
        </is>
      </c>
      <c r="GR3" s="5" t="inlineStr">
        <is>
          <t>IVOL_BID</t>
        </is>
      </c>
      <c r="GS3" s="5" t="inlineStr">
        <is>
          <t>IVOL_ASK</t>
        </is>
      </c>
      <c r="GT3" s="5" t="inlineStr">
        <is>
          <t>DELTA_MID</t>
        </is>
      </c>
      <c r="GU3" s="5" t="inlineStr">
        <is>
          <t>GAMMA_MID</t>
        </is>
      </c>
      <c r="GV3" s="5" t="inlineStr">
        <is>
          <t>VEGA_MID</t>
        </is>
      </c>
      <c r="GW3" s="5" t="inlineStr">
        <is>
          <t>THETA_MID</t>
        </is>
      </c>
      <c r="GX3" s="5" t="inlineStr">
        <is>
          <t>OPT_UNDL_PX</t>
        </is>
      </c>
      <c r="GZ3" s="5" t="inlineStr">
        <is>
          <t>Date</t>
        </is>
      </c>
      <c r="HA3" s="5" t="inlineStr">
        <is>
          <t>PX_BID</t>
        </is>
      </c>
      <c r="HB3" s="5" t="inlineStr">
        <is>
          <t>PX_ASK</t>
        </is>
      </c>
      <c r="HC3" s="5" t="inlineStr">
        <is>
          <t>PX_MID</t>
        </is>
      </c>
      <c r="HD3" s="5" t="inlineStr">
        <is>
          <t>PX_LAST</t>
        </is>
      </c>
      <c r="HE3" s="5" t="inlineStr">
        <is>
          <t>PX_SETTLE</t>
        </is>
      </c>
      <c r="HF3" s="5" t="inlineStr">
        <is>
          <t>PX_VOLUME</t>
        </is>
      </c>
      <c r="HG3" s="5" t="inlineStr">
        <is>
          <t>OPEN_INT</t>
        </is>
      </c>
      <c r="HH3" s="5" t="inlineStr">
        <is>
          <t>IVOL_MID</t>
        </is>
      </c>
      <c r="HI3" s="5" t="inlineStr">
        <is>
          <t>IVOL_BID</t>
        </is>
      </c>
      <c r="HJ3" s="5" t="inlineStr">
        <is>
          <t>IVOL_ASK</t>
        </is>
      </c>
      <c r="HK3" s="5" t="inlineStr">
        <is>
          <t>DELTA_MID</t>
        </is>
      </c>
      <c r="HL3" s="5" t="inlineStr">
        <is>
          <t>GAMMA_MID</t>
        </is>
      </c>
      <c r="HM3" s="5" t="inlineStr">
        <is>
          <t>VEGA_MID</t>
        </is>
      </c>
      <c r="HN3" s="5" t="inlineStr">
        <is>
          <t>THETA_MID</t>
        </is>
      </c>
      <c r="HO3" s="5" t="inlineStr">
        <is>
          <t>OPT_UNDL_PX</t>
        </is>
      </c>
      <c r="HQ3" s="5" t="inlineStr">
        <is>
          <t>Date</t>
        </is>
      </c>
      <c r="HR3" s="5" t="inlineStr">
        <is>
          <t>PX_BID</t>
        </is>
      </c>
      <c r="HS3" s="5" t="inlineStr">
        <is>
          <t>PX_ASK</t>
        </is>
      </c>
      <c r="HT3" s="5" t="inlineStr">
        <is>
          <t>PX_MID</t>
        </is>
      </c>
      <c r="HU3" s="5" t="inlineStr">
        <is>
          <t>PX_LAST</t>
        </is>
      </c>
      <c r="HV3" s="5" t="inlineStr">
        <is>
          <t>PX_SETTLE</t>
        </is>
      </c>
      <c r="HW3" s="5" t="inlineStr">
        <is>
          <t>PX_VOLUME</t>
        </is>
      </c>
      <c r="HX3" s="5" t="inlineStr">
        <is>
          <t>OPEN_INT</t>
        </is>
      </c>
      <c r="HY3" s="5" t="inlineStr">
        <is>
          <t>IVOL_MID</t>
        </is>
      </c>
      <c r="HZ3" s="5" t="inlineStr">
        <is>
          <t>IVOL_BID</t>
        </is>
      </c>
      <c r="IA3" s="5" t="inlineStr">
        <is>
          <t>IVOL_ASK</t>
        </is>
      </c>
      <c r="IB3" s="5" t="inlineStr">
        <is>
          <t>DELTA_MID</t>
        </is>
      </c>
      <c r="IC3" s="5" t="inlineStr">
        <is>
          <t>GAMMA_MID</t>
        </is>
      </c>
      <c r="ID3" s="5" t="inlineStr">
        <is>
          <t>VEGA_MID</t>
        </is>
      </c>
      <c r="IE3" s="5" t="inlineStr">
        <is>
          <t>THETA_MID</t>
        </is>
      </c>
      <c r="IF3" s="5" t="inlineStr">
        <is>
          <t>OPT_UNDL_PX</t>
        </is>
      </c>
      <c r="IH3" s="5" t="inlineStr">
        <is>
          <t>Date</t>
        </is>
      </c>
      <c r="II3" s="5" t="inlineStr">
        <is>
          <t>PX_BID</t>
        </is>
      </c>
      <c r="IJ3" s="5" t="inlineStr">
        <is>
          <t>PX_ASK</t>
        </is>
      </c>
      <c r="IK3" s="5" t="inlineStr">
        <is>
          <t>PX_MID</t>
        </is>
      </c>
      <c r="IL3" s="5" t="inlineStr">
        <is>
          <t>PX_LAST</t>
        </is>
      </c>
      <c r="IM3" s="5" t="inlineStr">
        <is>
          <t>PX_SETTLE</t>
        </is>
      </c>
      <c r="IN3" s="5" t="inlineStr">
        <is>
          <t>PX_VOLUME</t>
        </is>
      </c>
      <c r="IO3" s="5" t="inlineStr">
        <is>
          <t>OPEN_INT</t>
        </is>
      </c>
      <c r="IP3" s="5" t="inlineStr">
        <is>
          <t>IVOL_MID</t>
        </is>
      </c>
      <c r="IQ3" s="5" t="inlineStr">
        <is>
          <t>IVOL_BID</t>
        </is>
      </c>
      <c r="IR3" s="5" t="inlineStr">
        <is>
          <t>IVOL_ASK</t>
        </is>
      </c>
      <c r="IS3" s="5" t="inlineStr">
        <is>
          <t>DELTA_MID</t>
        </is>
      </c>
      <c r="IT3" s="5" t="inlineStr">
        <is>
          <t>GAMMA_MID</t>
        </is>
      </c>
      <c r="IU3" s="5" t="inlineStr">
        <is>
          <t>VEGA_MID</t>
        </is>
      </c>
      <c r="IV3" s="5" t="inlineStr">
        <is>
          <t>THETA_MID</t>
        </is>
      </c>
      <c r="IW3" s="5" t="inlineStr">
        <is>
          <t>OPT_UNDL_PX</t>
        </is>
      </c>
      <c r="IY3" s="5" t="inlineStr">
        <is>
          <t>Date</t>
        </is>
      </c>
      <c r="IZ3" s="5" t="inlineStr">
        <is>
          <t>PX_BID</t>
        </is>
      </c>
      <c r="JA3" s="5" t="inlineStr">
        <is>
          <t>PX_ASK</t>
        </is>
      </c>
      <c r="JB3" s="5" t="inlineStr">
        <is>
          <t>PX_MID</t>
        </is>
      </c>
      <c r="JC3" s="5" t="inlineStr">
        <is>
          <t>PX_LAST</t>
        </is>
      </c>
      <c r="JD3" s="5" t="inlineStr">
        <is>
          <t>PX_SETTLE</t>
        </is>
      </c>
      <c r="JE3" s="5" t="inlineStr">
        <is>
          <t>PX_VOLUME</t>
        </is>
      </c>
      <c r="JF3" s="5" t="inlineStr">
        <is>
          <t>OPEN_INT</t>
        </is>
      </c>
      <c r="JG3" s="5" t="inlineStr">
        <is>
          <t>IVOL_MID</t>
        </is>
      </c>
      <c r="JH3" s="5" t="inlineStr">
        <is>
          <t>IVOL_BID</t>
        </is>
      </c>
      <c r="JI3" s="5" t="inlineStr">
        <is>
          <t>IVOL_ASK</t>
        </is>
      </c>
      <c r="JJ3" s="5" t="inlineStr">
        <is>
          <t>DELTA_MID</t>
        </is>
      </c>
      <c r="JK3" s="5" t="inlineStr">
        <is>
          <t>GAMMA_MID</t>
        </is>
      </c>
      <c r="JL3" s="5" t="inlineStr">
        <is>
          <t>VEGA_MID</t>
        </is>
      </c>
      <c r="JM3" s="5" t="inlineStr">
        <is>
          <t>THETA_MID</t>
        </is>
      </c>
      <c r="JN3" s="5" t="inlineStr">
        <is>
          <t>OPT_UNDL_PX</t>
        </is>
      </c>
      <c r="JP3" s="5" t="inlineStr">
        <is>
          <t>Date</t>
        </is>
      </c>
      <c r="JQ3" s="5" t="inlineStr">
        <is>
          <t>PX_BID</t>
        </is>
      </c>
      <c r="JR3" s="5" t="inlineStr">
        <is>
          <t>PX_ASK</t>
        </is>
      </c>
      <c r="JS3" s="5" t="inlineStr">
        <is>
          <t>PX_MID</t>
        </is>
      </c>
      <c r="JT3" s="5" t="inlineStr">
        <is>
          <t>PX_LAST</t>
        </is>
      </c>
      <c r="JU3" s="5" t="inlineStr">
        <is>
          <t>PX_SETTLE</t>
        </is>
      </c>
      <c r="JV3" s="5" t="inlineStr">
        <is>
          <t>PX_VOLUME</t>
        </is>
      </c>
      <c r="JW3" s="5" t="inlineStr">
        <is>
          <t>OPEN_INT</t>
        </is>
      </c>
      <c r="JX3" s="5" t="inlineStr">
        <is>
          <t>IVOL_MID</t>
        </is>
      </c>
      <c r="JY3" s="5" t="inlineStr">
        <is>
          <t>IVOL_BID</t>
        </is>
      </c>
      <c r="JZ3" s="5" t="inlineStr">
        <is>
          <t>IVOL_ASK</t>
        </is>
      </c>
      <c r="KA3" s="5" t="inlineStr">
        <is>
          <t>DELTA_MID</t>
        </is>
      </c>
      <c r="KB3" s="5" t="inlineStr">
        <is>
          <t>GAMMA_MID</t>
        </is>
      </c>
      <c r="KC3" s="5" t="inlineStr">
        <is>
          <t>VEGA_MID</t>
        </is>
      </c>
      <c r="KD3" s="5" t="inlineStr">
        <is>
          <t>THETA_MID</t>
        </is>
      </c>
      <c r="KE3" s="5" t="inlineStr">
        <is>
          <t>OPT_UNDL_PX</t>
        </is>
      </c>
      <c r="KG3" s="5" t="inlineStr">
        <is>
          <t>Date</t>
        </is>
      </c>
      <c r="KH3" s="5" t="inlineStr">
        <is>
          <t>PX_BID</t>
        </is>
      </c>
      <c r="KI3" s="5" t="inlineStr">
        <is>
          <t>PX_ASK</t>
        </is>
      </c>
      <c r="KJ3" s="5" t="inlineStr">
        <is>
          <t>PX_MID</t>
        </is>
      </c>
      <c r="KK3" s="5" t="inlineStr">
        <is>
          <t>PX_LAST</t>
        </is>
      </c>
      <c r="KL3" s="5" t="inlineStr">
        <is>
          <t>PX_SETTLE</t>
        </is>
      </c>
      <c r="KM3" s="5" t="inlineStr">
        <is>
          <t>PX_VOLUME</t>
        </is>
      </c>
      <c r="KN3" s="5" t="inlineStr">
        <is>
          <t>OPEN_INT</t>
        </is>
      </c>
      <c r="KO3" s="5" t="inlineStr">
        <is>
          <t>IVOL_MID</t>
        </is>
      </c>
      <c r="KP3" s="5" t="inlineStr">
        <is>
          <t>IVOL_BID</t>
        </is>
      </c>
      <c r="KQ3" s="5" t="inlineStr">
        <is>
          <t>IVOL_ASK</t>
        </is>
      </c>
      <c r="KR3" s="5" t="inlineStr">
        <is>
          <t>DELTA_MID</t>
        </is>
      </c>
      <c r="KS3" s="5" t="inlineStr">
        <is>
          <t>GAMMA_MID</t>
        </is>
      </c>
      <c r="KT3" s="5" t="inlineStr">
        <is>
          <t>VEGA_MID</t>
        </is>
      </c>
      <c r="KU3" s="5" t="inlineStr">
        <is>
          <t>THETA_MID</t>
        </is>
      </c>
      <c r="KV3" s="5" t="inlineStr">
        <is>
          <t>OPT_UNDL_PX</t>
        </is>
      </c>
      <c r="KX3" s="5" t="inlineStr">
        <is>
          <t>Date</t>
        </is>
      </c>
      <c r="KY3" s="5" t="inlineStr">
        <is>
          <t>PX_BID</t>
        </is>
      </c>
      <c r="KZ3" s="5" t="inlineStr">
        <is>
          <t>PX_ASK</t>
        </is>
      </c>
      <c r="LA3" s="5" t="inlineStr">
        <is>
          <t>PX_MID</t>
        </is>
      </c>
      <c r="LB3" s="5" t="inlineStr">
        <is>
          <t>PX_LAST</t>
        </is>
      </c>
      <c r="LC3" s="5" t="inlineStr">
        <is>
          <t>PX_SETTLE</t>
        </is>
      </c>
      <c r="LD3" s="5" t="inlineStr">
        <is>
          <t>PX_VOLUME</t>
        </is>
      </c>
      <c r="LE3" s="5" t="inlineStr">
        <is>
          <t>OPEN_INT</t>
        </is>
      </c>
      <c r="LF3" s="5" t="inlineStr">
        <is>
          <t>IVOL_MID</t>
        </is>
      </c>
      <c r="LG3" s="5" t="inlineStr">
        <is>
          <t>IVOL_BID</t>
        </is>
      </c>
      <c r="LH3" s="5" t="inlineStr">
        <is>
          <t>IVOL_ASK</t>
        </is>
      </c>
      <c r="LI3" s="5" t="inlineStr">
        <is>
          <t>DELTA_MID</t>
        </is>
      </c>
      <c r="LJ3" s="5" t="inlineStr">
        <is>
          <t>GAMMA_MID</t>
        </is>
      </c>
      <c r="LK3" s="5" t="inlineStr">
        <is>
          <t>VEGA_MID</t>
        </is>
      </c>
      <c r="LL3" s="5" t="inlineStr">
        <is>
          <t>THETA_MID</t>
        </is>
      </c>
      <c r="LM3" s="5" t="inlineStr">
        <is>
          <t>OPT_UNDL_PX</t>
        </is>
      </c>
      <c r="LO3" s="5" t="inlineStr">
        <is>
          <t>Date</t>
        </is>
      </c>
      <c r="LP3" s="5" t="inlineStr">
        <is>
          <t>PX_BID</t>
        </is>
      </c>
      <c r="LQ3" s="5" t="inlineStr">
        <is>
          <t>PX_ASK</t>
        </is>
      </c>
      <c r="LR3" s="5" t="inlineStr">
        <is>
          <t>PX_MID</t>
        </is>
      </c>
      <c r="LS3" s="5" t="inlineStr">
        <is>
          <t>PX_LAST</t>
        </is>
      </c>
      <c r="LT3" s="5" t="inlineStr">
        <is>
          <t>PX_SETTLE</t>
        </is>
      </c>
      <c r="LU3" s="5" t="inlineStr">
        <is>
          <t>PX_VOLUME</t>
        </is>
      </c>
      <c r="LV3" s="5" t="inlineStr">
        <is>
          <t>OPEN_INT</t>
        </is>
      </c>
      <c r="LW3" s="5" t="inlineStr">
        <is>
          <t>IVOL_MID</t>
        </is>
      </c>
      <c r="LX3" s="5" t="inlineStr">
        <is>
          <t>IVOL_BID</t>
        </is>
      </c>
      <c r="LY3" s="5" t="inlineStr">
        <is>
          <t>IVOL_ASK</t>
        </is>
      </c>
      <c r="LZ3" s="5" t="inlineStr">
        <is>
          <t>DELTA_MID</t>
        </is>
      </c>
      <c r="MA3" s="5" t="inlineStr">
        <is>
          <t>GAMMA_MID</t>
        </is>
      </c>
      <c r="MB3" s="5" t="inlineStr">
        <is>
          <t>VEGA_MID</t>
        </is>
      </c>
      <c r="MC3" s="5" t="inlineStr">
        <is>
          <t>THETA_MID</t>
        </is>
      </c>
      <c r="MD3" s="5" t="inlineStr">
        <is>
          <t>OPT_UNDL_PX</t>
        </is>
      </c>
      <c r="MF3" s="5" t="inlineStr">
        <is>
          <t>Date</t>
        </is>
      </c>
      <c r="MG3" s="5" t="inlineStr">
        <is>
          <t>PX_BID</t>
        </is>
      </c>
      <c r="MH3" s="5" t="inlineStr">
        <is>
          <t>PX_ASK</t>
        </is>
      </c>
      <c r="MI3" s="5" t="inlineStr">
        <is>
          <t>PX_MID</t>
        </is>
      </c>
      <c r="MJ3" s="5" t="inlineStr">
        <is>
          <t>PX_LAST</t>
        </is>
      </c>
      <c r="MK3" s="5" t="inlineStr">
        <is>
          <t>PX_SETTLE</t>
        </is>
      </c>
      <c r="ML3" s="5" t="inlineStr">
        <is>
          <t>PX_VOLUME</t>
        </is>
      </c>
      <c r="MM3" s="5" t="inlineStr">
        <is>
          <t>OPEN_INT</t>
        </is>
      </c>
      <c r="MN3" s="5" t="inlineStr">
        <is>
          <t>IVOL_MID</t>
        </is>
      </c>
      <c r="MO3" s="5" t="inlineStr">
        <is>
          <t>IVOL_BID</t>
        </is>
      </c>
      <c r="MP3" s="5" t="inlineStr">
        <is>
          <t>IVOL_ASK</t>
        </is>
      </c>
      <c r="MQ3" s="5" t="inlineStr">
        <is>
          <t>DELTA_MID</t>
        </is>
      </c>
      <c r="MR3" s="5" t="inlineStr">
        <is>
          <t>GAMMA_MID</t>
        </is>
      </c>
      <c r="MS3" s="5" t="inlineStr">
        <is>
          <t>VEGA_MID</t>
        </is>
      </c>
      <c r="MT3" s="5" t="inlineStr">
        <is>
          <t>THETA_MID</t>
        </is>
      </c>
      <c r="MU3" s="5" t="inlineStr">
        <is>
          <t>OPT_UNDL_PX</t>
        </is>
      </c>
      <c r="MW3" s="5" t="inlineStr">
        <is>
          <t>Date</t>
        </is>
      </c>
      <c r="MX3" s="5" t="inlineStr">
        <is>
          <t>PX_BID</t>
        </is>
      </c>
      <c r="MY3" s="5" t="inlineStr">
        <is>
          <t>PX_ASK</t>
        </is>
      </c>
      <c r="MZ3" s="5" t="inlineStr">
        <is>
          <t>PX_MID</t>
        </is>
      </c>
      <c r="NA3" s="5" t="inlineStr">
        <is>
          <t>PX_LAST</t>
        </is>
      </c>
      <c r="NB3" s="5" t="inlineStr">
        <is>
          <t>PX_SETTLE</t>
        </is>
      </c>
      <c r="NC3" s="5" t="inlineStr">
        <is>
          <t>PX_VOLUME</t>
        </is>
      </c>
      <c r="ND3" s="5" t="inlineStr">
        <is>
          <t>OPEN_INT</t>
        </is>
      </c>
      <c r="NE3" s="5" t="inlineStr">
        <is>
          <t>IVOL_MID</t>
        </is>
      </c>
      <c r="NF3" s="5" t="inlineStr">
        <is>
          <t>IVOL_BID</t>
        </is>
      </c>
      <c r="NG3" s="5" t="inlineStr">
        <is>
          <t>IVOL_ASK</t>
        </is>
      </c>
      <c r="NH3" s="5" t="inlineStr">
        <is>
          <t>DELTA_MID</t>
        </is>
      </c>
      <c r="NI3" s="5" t="inlineStr">
        <is>
          <t>GAMMA_MID</t>
        </is>
      </c>
      <c r="NJ3" s="5" t="inlineStr">
        <is>
          <t>VEGA_MID</t>
        </is>
      </c>
      <c r="NK3" s="5" t="inlineStr">
        <is>
          <t>THETA_MID</t>
        </is>
      </c>
      <c r="NL3" s="5" t="inlineStr">
        <is>
          <t>OPT_UNDL_PX</t>
        </is>
      </c>
    </row>
    <row r="4">
      <c r="A4" s="2" t="inlineStr">
        <is>
          <t>Strike reference date</t>
        </is>
      </c>
      <c r="B4" s="8">
        <f>B3-45</f>
        <v/>
      </c>
      <c r="D4" s="4">
        <f>BDH(D$1,E$3:S$3,$B$8,$B$9,"Dir=V","Dts=S","Sort=A","Days=T","Fill=B")</f>
        <v/>
      </c>
      <c r="U4" s="4">
        <f>BDH(U$1,V$3:AJ$3,$B$8,$B$9,"Dir=V","Dts=S","Sort=A","Days=T","Fill=B")</f>
        <v/>
      </c>
      <c r="AL4" s="4">
        <f>BDH(AL$1,AM$3:BA$3,$B$8,$B$9,"Dir=V","Dts=S","Sort=A","Days=T","Fill=B")</f>
        <v/>
      </c>
      <c r="BC4" s="4">
        <f>BDH(BC$1,BD$3:BR$3,$B$8,$B$9,"Dir=V","Dts=S","Sort=A","Days=T","Fill=B")</f>
        <v/>
      </c>
      <c r="BT4" s="4">
        <f>BDH(BT$1,BU$3:CI$3,$B$8,$B$9,"Dir=V","Dts=S","Sort=A","Days=T","Fill=B")</f>
        <v/>
      </c>
      <c r="CK4" s="4">
        <f>BDH(CK$1,CL$3:CZ$3,$B$8,$B$9,"Dir=V","Dts=S","Sort=A","Days=T","Fill=B")</f>
        <v/>
      </c>
      <c r="DB4" s="4">
        <f>BDH(DB$1,DC$3:DQ$3,$B$8,$B$9,"Dir=V","Dts=S","Sort=A","Days=T","Fill=B")</f>
        <v/>
      </c>
      <c r="DS4" s="4">
        <f>BDH(DS$1,DT$3:EH$3,$B$8,$B$9,"Dir=V","Dts=S","Sort=A","Days=T","Fill=B")</f>
        <v/>
      </c>
      <c r="EJ4" s="4">
        <f>BDH(EJ$1,EK$3:EY$3,$B$8,$B$9,"Dir=V","Dts=S","Sort=A","Days=T","Fill=B")</f>
        <v/>
      </c>
      <c r="FA4" s="4">
        <f>BDH(FA$1,FB$3:FP$3,$B$8,$B$9,"Dir=V","Dts=S","Sort=A","Days=T","Fill=B")</f>
        <v/>
      </c>
      <c r="FR4" s="4">
        <f>BDH(FR$1,FS$3:GG$3,$B$8,$B$9,"Dir=V","Dts=S","Sort=A","Days=T","Fill=B")</f>
        <v/>
      </c>
      <c r="GI4" s="4">
        <f>BDH(GI$1,GJ$3:GX$3,$B$8,$B$9,"Dir=V","Dts=S","Sort=A","Days=T","Fill=B")</f>
        <v/>
      </c>
      <c r="GZ4" s="4">
        <f>BDH(GZ$1,HA$3:HO$3,$B$8,$B$9,"Dir=V","Dts=S","Sort=A","Days=T","Fill=B")</f>
        <v/>
      </c>
      <c r="HQ4" s="4">
        <f>BDH(HQ$1,HR$3:IF$3,$B$8,$B$9,"Dir=V","Dts=S","Sort=A","Days=T","Fill=B")</f>
        <v/>
      </c>
      <c r="IH4" s="4">
        <f>BDH(IH$1,II$3:IW$3,$B$8,$B$9,"Dir=V","Dts=S","Sort=A","Days=T","Fill=B")</f>
        <v/>
      </c>
      <c r="IY4" s="4">
        <f>BDH(IY$1,IZ$3:JN$3,$B$8,$B$9,"Dir=V","Dts=S","Sort=A","Days=T","Fill=B")</f>
        <v/>
      </c>
      <c r="JP4" s="4">
        <f>BDH(JP$1,JQ$3:KE$3,$B$8,$B$9,"Dir=V","Dts=S","Sort=A","Days=T","Fill=B")</f>
        <v/>
      </c>
      <c r="KG4" s="4">
        <f>BDH(KG$1,KH$3:KV$3,$B$8,$B$9,"Dir=V","Dts=S","Sort=A","Days=T","Fill=B")</f>
        <v/>
      </c>
      <c r="KX4" s="4">
        <f>BDH(KX$1,KY$3:LM$3,$B$8,$B$9,"Dir=V","Dts=S","Sort=A","Days=T","Fill=B")</f>
        <v/>
      </c>
      <c r="LO4" s="4">
        <f>BDH(LO$1,LP$3:MD$3,$B$8,$B$9,"Dir=V","Dts=S","Sort=A","Days=T","Fill=B")</f>
        <v/>
      </c>
      <c r="MF4" s="4">
        <f>BDH(MF$1,MG$3:MU$3,$B$8,$B$9,"Dir=V","Dts=S","Sort=A","Days=T","Fill=B")</f>
        <v/>
      </c>
      <c r="MW4" s="4">
        <f>BDH(MW$1,MX$3:NL$3,$B$8,$B$9,"Dir=V","Dts=S","Sort=A","Days=T","Fill=B")</f>
        <v/>
      </c>
    </row>
    <row r="5">
      <c r="A5" s="2" t="inlineStr">
        <is>
          <t>Unadjusted close then</t>
        </is>
      </c>
      <c r="B5" s="10">
        <f>IF(B2="","",BDH(B2,"PX_LAST",B4,B4,"Days=A","Fill=P","Dts=H","CshAdjNormal=N","CshAdjAbnormal=N","CapChg=N"))</f>
        <v/>
      </c>
    </row>
    <row r="6">
      <c r="A6" s="2" t="inlineStr">
        <is>
          <t>Strike step</t>
        </is>
      </c>
      <c r="B6" s="11">
        <f>IF(ISNUMBER(B5),IF(B5&lt;25,0.5,IF(B5&lt;250,1,5)),"")</f>
        <v/>
      </c>
    </row>
    <row r="7">
      <c r="A7" s="2" t="inlineStr">
        <is>
          <t>ATM strike</t>
        </is>
      </c>
      <c r="B7" s="11">
        <f>IF(ISNUMBER(B5),ROUND(B5/B6,0)*B6,"")</f>
        <v/>
      </c>
    </row>
    <row r="8">
      <c r="A8" s="2" t="inlineStr">
        <is>
          <t>History start</t>
        </is>
      </c>
      <c r="B8" s="8">
        <f>B3-100</f>
        <v/>
      </c>
    </row>
    <row r="9">
      <c r="A9" s="2" t="inlineStr">
        <is>
          <t>History end</t>
        </is>
      </c>
      <c r="B9" s="8">
        <f>B3</f>
        <v/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NL9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2" customWidth="1" min="2" max="2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1" customWidth="1" min="15" max="15"/>
    <col width="11" customWidth="1" min="16" max="16"/>
    <col width="10" customWidth="1" min="17" max="17"/>
    <col width="11" customWidth="1" min="18" max="18"/>
    <col width="13" customWidth="1" min="19" max="19"/>
    <col width="12" customWidth="1" min="21" max="21"/>
    <col width="10" customWidth="1" min="22" max="22"/>
    <col width="10" customWidth="1" min="23" max="23"/>
    <col width="10" customWidth="1" min="24" max="24"/>
    <col width="10" customWidth="1" min="25" max="25"/>
    <col width="11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1" customWidth="1" min="32" max="32"/>
    <col width="11" customWidth="1" min="33" max="33"/>
    <col width="10" customWidth="1" min="34" max="34"/>
    <col width="11" customWidth="1" min="35" max="35"/>
    <col width="13" customWidth="1" min="36" max="36"/>
    <col width="12" customWidth="1" min="38" max="38"/>
    <col width="10" customWidth="1" min="39" max="39"/>
    <col width="10" customWidth="1" min="40" max="40"/>
    <col width="10" customWidth="1" min="41" max="41"/>
    <col width="10" customWidth="1" min="42" max="42"/>
    <col width="11" customWidth="1" min="43" max="43"/>
    <col width="11" customWidth="1" min="44" max="44"/>
    <col width="10" customWidth="1" min="45" max="45"/>
    <col width="10" customWidth="1" min="46" max="46"/>
    <col width="10" customWidth="1" min="47" max="47"/>
    <col width="10" customWidth="1" min="48" max="48"/>
    <col width="11" customWidth="1" min="49" max="49"/>
    <col width="11" customWidth="1" min="50" max="50"/>
    <col width="10" customWidth="1" min="51" max="51"/>
    <col width="11" customWidth="1" min="52" max="52"/>
    <col width="13" customWidth="1" min="53" max="53"/>
    <col width="12" customWidth="1" min="55" max="55"/>
    <col width="10" customWidth="1" min="56" max="56"/>
    <col width="10" customWidth="1" min="57" max="57"/>
    <col width="10" customWidth="1" min="58" max="58"/>
    <col width="10" customWidth="1" min="59" max="59"/>
    <col width="11" customWidth="1" min="60" max="60"/>
    <col width="11" customWidth="1" min="61" max="61"/>
    <col width="10" customWidth="1" min="62" max="62"/>
    <col width="10" customWidth="1" min="63" max="63"/>
    <col width="10" customWidth="1" min="64" max="64"/>
    <col width="10" customWidth="1" min="65" max="65"/>
    <col width="11" customWidth="1" min="66" max="66"/>
    <col width="11" customWidth="1" min="67" max="67"/>
    <col width="10" customWidth="1" min="68" max="68"/>
    <col width="11" customWidth="1" min="69" max="69"/>
    <col width="13" customWidth="1" min="70" max="70"/>
    <col width="12" customWidth="1" min="72" max="72"/>
    <col width="10" customWidth="1" min="73" max="73"/>
    <col width="10" customWidth="1" min="74" max="74"/>
    <col width="10" customWidth="1" min="75" max="75"/>
    <col width="10" customWidth="1" min="76" max="76"/>
    <col width="11" customWidth="1" min="77" max="77"/>
    <col width="11" customWidth="1" min="78" max="78"/>
    <col width="10" customWidth="1" min="79" max="79"/>
    <col width="10" customWidth="1" min="80" max="80"/>
    <col width="10" customWidth="1" min="81" max="81"/>
    <col width="10" customWidth="1" min="82" max="82"/>
    <col width="11" customWidth="1" min="83" max="83"/>
    <col width="11" customWidth="1" min="84" max="84"/>
    <col width="10" customWidth="1" min="85" max="85"/>
    <col width="11" customWidth="1" min="86" max="86"/>
    <col width="13" customWidth="1" min="87" max="87"/>
    <col width="12" customWidth="1" min="89" max="89"/>
    <col width="10" customWidth="1" min="90" max="90"/>
    <col width="10" customWidth="1" min="91" max="91"/>
    <col width="10" customWidth="1" min="92" max="92"/>
    <col width="10" customWidth="1" min="93" max="93"/>
    <col width="11" customWidth="1" min="94" max="94"/>
    <col width="11" customWidth="1" min="95" max="95"/>
    <col width="10" customWidth="1" min="96" max="96"/>
    <col width="10" customWidth="1" min="97" max="97"/>
    <col width="10" customWidth="1" min="98" max="98"/>
    <col width="10" customWidth="1" min="99" max="99"/>
    <col width="11" customWidth="1" min="100" max="100"/>
    <col width="11" customWidth="1" min="101" max="101"/>
    <col width="10" customWidth="1" min="102" max="102"/>
    <col width="11" customWidth="1" min="103" max="103"/>
    <col width="13" customWidth="1" min="104" max="104"/>
    <col width="12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1" customWidth="1" min="111" max="111"/>
    <col width="11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1" customWidth="1" min="117" max="117"/>
    <col width="11" customWidth="1" min="118" max="118"/>
    <col width="10" customWidth="1" min="119" max="119"/>
    <col width="11" customWidth="1" min="120" max="120"/>
    <col width="13" customWidth="1" min="121" max="121"/>
    <col width="12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1" customWidth="1" min="128" max="128"/>
    <col width="11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1" customWidth="1" min="134" max="134"/>
    <col width="11" customWidth="1" min="135" max="135"/>
    <col width="10" customWidth="1" min="136" max="136"/>
    <col width="11" customWidth="1" min="137" max="137"/>
    <col width="13" customWidth="1" min="138" max="138"/>
    <col width="12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1" customWidth="1" min="145" max="145"/>
    <col width="11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1" customWidth="1" min="151" max="151"/>
    <col width="11" customWidth="1" min="152" max="152"/>
    <col width="10" customWidth="1" min="153" max="153"/>
    <col width="11" customWidth="1" min="154" max="154"/>
    <col width="13" customWidth="1" min="155" max="155"/>
    <col width="12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1" customWidth="1" min="162" max="162"/>
    <col width="11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1" customWidth="1" min="168" max="168"/>
    <col width="11" customWidth="1" min="169" max="169"/>
    <col width="10" customWidth="1" min="170" max="170"/>
    <col width="11" customWidth="1" min="171" max="171"/>
    <col width="13" customWidth="1" min="172" max="172"/>
    <col width="12" customWidth="1" min="174" max="174"/>
    <col width="10" customWidth="1" min="175" max="175"/>
    <col width="10" customWidth="1" min="176" max="176"/>
    <col width="10" customWidth="1" min="177" max="177"/>
    <col width="10" customWidth="1" min="178" max="178"/>
    <col width="11" customWidth="1" min="179" max="179"/>
    <col width="11" customWidth="1" min="180" max="180"/>
    <col width="10" customWidth="1" min="181" max="181"/>
    <col width="10" customWidth="1" min="182" max="182"/>
    <col width="10" customWidth="1" min="183" max="183"/>
    <col width="10" customWidth="1" min="184" max="184"/>
    <col width="11" customWidth="1" min="185" max="185"/>
    <col width="11" customWidth="1" min="186" max="186"/>
    <col width="10" customWidth="1" min="187" max="187"/>
    <col width="11" customWidth="1" min="188" max="188"/>
    <col width="13" customWidth="1" min="189" max="189"/>
    <col width="12" customWidth="1" min="191" max="191"/>
    <col width="10" customWidth="1" min="192" max="192"/>
    <col width="10" customWidth="1" min="193" max="193"/>
    <col width="10" customWidth="1" min="194" max="194"/>
    <col width="10" customWidth="1" min="195" max="195"/>
    <col width="11" customWidth="1" min="196" max="196"/>
    <col width="11" customWidth="1" min="197" max="197"/>
    <col width="10" customWidth="1" min="198" max="198"/>
    <col width="10" customWidth="1" min="199" max="199"/>
    <col width="10" customWidth="1" min="200" max="200"/>
    <col width="10" customWidth="1" min="201" max="201"/>
    <col width="11" customWidth="1" min="202" max="202"/>
    <col width="11" customWidth="1" min="203" max="203"/>
    <col width="10" customWidth="1" min="204" max="204"/>
    <col width="11" customWidth="1" min="205" max="205"/>
    <col width="13" customWidth="1" min="206" max="206"/>
    <col width="12" customWidth="1" min="208" max="208"/>
    <col width="10" customWidth="1" min="209" max="209"/>
    <col width="10" customWidth="1" min="210" max="210"/>
    <col width="10" customWidth="1" min="211" max="211"/>
    <col width="10" customWidth="1" min="212" max="212"/>
    <col width="11" customWidth="1" min="213" max="213"/>
    <col width="11" customWidth="1" min="214" max="214"/>
    <col width="10" customWidth="1" min="215" max="215"/>
    <col width="10" customWidth="1" min="216" max="216"/>
    <col width="10" customWidth="1" min="217" max="217"/>
    <col width="10" customWidth="1" min="218" max="218"/>
    <col width="11" customWidth="1" min="219" max="219"/>
    <col width="11" customWidth="1" min="220" max="220"/>
    <col width="10" customWidth="1" min="221" max="221"/>
    <col width="11" customWidth="1" min="222" max="222"/>
    <col width="13" customWidth="1" min="223" max="223"/>
    <col width="12" customWidth="1" min="225" max="225"/>
    <col width="10" customWidth="1" min="226" max="226"/>
    <col width="10" customWidth="1" min="227" max="227"/>
    <col width="10" customWidth="1" min="228" max="228"/>
    <col width="10" customWidth="1" min="229" max="229"/>
    <col width="11" customWidth="1" min="230" max="230"/>
    <col width="11" customWidth="1" min="231" max="231"/>
    <col width="10" customWidth="1" min="232" max="232"/>
    <col width="10" customWidth="1" min="233" max="233"/>
    <col width="10" customWidth="1" min="234" max="234"/>
    <col width="10" customWidth="1" min="235" max="235"/>
    <col width="11" customWidth="1" min="236" max="236"/>
    <col width="11" customWidth="1" min="237" max="237"/>
    <col width="10" customWidth="1" min="238" max="238"/>
    <col width="11" customWidth="1" min="239" max="239"/>
    <col width="13" customWidth="1" min="240" max="240"/>
    <col width="12" customWidth="1" min="242" max="242"/>
    <col width="10" customWidth="1" min="243" max="243"/>
    <col width="10" customWidth="1" min="244" max="244"/>
    <col width="10" customWidth="1" min="245" max="245"/>
    <col width="10" customWidth="1" min="246" max="246"/>
    <col width="11" customWidth="1" min="247" max="247"/>
    <col width="11" customWidth="1" min="248" max="248"/>
    <col width="10" customWidth="1" min="249" max="249"/>
    <col width="10" customWidth="1" min="250" max="250"/>
    <col width="10" customWidth="1" min="251" max="251"/>
    <col width="10" customWidth="1" min="252" max="252"/>
    <col width="11" customWidth="1" min="253" max="253"/>
    <col width="11" customWidth="1" min="254" max="254"/>
    <col width="10" customWidth="1" min="255" max="255"/>
    <col width="11" customWidth="1" min="256" max="256"/>
    <col width="13" customWidth="1" min="257" max="257"/>
    <col width="12" customWidth="1" min="259" max="259"/>
    <col width="10" customWidth="1" min="260" max="260"/>
    <col width="10" customWidth="1" min="261" max="261"/>
    <col width="10" customWidth="1" min="262" max="262"/>
    <col width="10" customWidth="1" min="263" max="263"/>
    <col width="11" customWidth="1" min="264" max="264"/>
    <col width="11" customWidth="1" min="265" max="265"/>
    <col width="10" customWidth="1" min="266" max="266"/>
    <col width="10" customWidth="1" min="267" max="267"/>
    <col width="10" customWidth="1" min="268" max="268"/>
    <col width="10" customWidth="1" min="269" max="269"/>
    <col width="11" customWidth="1" min="270" max="270"/>
    <col width="11" customWidth="1" min="271" max="271"/>
    <col width="10" customWidth="1" min="272" max="272"/>
    <col width="11" customWidth="1" min="273" max="273"/>
    <col width="13" customWidth="1" min="274" max="274"/>
    <col width="12" customWidth="1" min="276" max="276"/>
    <col width="10" customWidth="1" min="277" max="277"/>
    <col width="10" customWidth="1" min="278" max="278"/>
    <col width="10" customWidth="1" min="279" max="279"/>
    <col width="10" customWidth="1" min="280" max="280"/>
    <col width="11" customWidth="1" min="281" max="281"/>
    <col width="11" customWidth="1" min="282" max="282"/>
    <col width="10" customWidth="1" min="283" max="283"/>
    <col width="10" customWidth="1" min="284" max="284"/>
    <col width="10" customWidth="1" min="285" max="285"/>
    <col width="10" customWidth="1" min="286" max="286"/>
    <col width="11" customWidth="1" min="287" max="287"/>
    <col width="11" customWidth="1" min="288" max="288"/>
    <col width="10" customWidth="1" min="289" max="289"/>
    <col width="11" customWidth="1" min="290" max="290"/>
    <col width="13" customWidth="1" min="291" max="291"/>
    <col width="12" customWidth="1" min="293" max="293"/>
    <col width="10" customWidth="1" min="294" max="294"/>
    <col width="10" customWidth="1" min="295" max="295"/>
    <col width="10" customWidth="1" min="296" max="296"/>
    <col width="10" customWidth="1" min="297" max="297"/>
    <col width="11" customWidth="1" min="298" max="298"/>
    <col width="11" customWidth="1" min="299" max="299"/>
    <col width="10" customWidth="1" min="300" max="300"/>
    <col width="10" customWidth="1" min="301" max="301"/>
    <col width="10" customWidth="1" min="302" max="302"/>
    <col width="10" customWidth="1" min="303" max="303"/>
    <col width="11" customWidth="1" min="304" max="304"/>
    <col width="11" customWidth="1" min="305" max="305"/>
    <col width="10" customWidth="1" min="306" max="306"/>
    <col width="11" customWidth="1" min="307" max="307"/>
    <col width="13" customWidth="1" min="308" max="308"/>
    <col width="12" customWidth="1" min="310" max="310"/>
    <col width="10" customWidth="1" min="311" max="311"/>
    <col width="10" customWidth="1" min="312" max="312"/>
    <col width="10" customWidth="1" min="313" max="313"/>
    <col width="10" customWidth="1" min="314" max="314"/>
    <col width="11" customWidth="1" min="315" max="315"/>
    <col width="11" customWidth="1" min="316" max="316"/>
    <col width="10" customWidth="1" min="317" max="317"/>
    <col width="10" customWidth="1" min="318" max="318"/>
    <col width="10" customWidth="1" min="319" max="319"/>
    <col width="10" customWidth="1" min="320" max="320"/>
    <col width="11" customWidth="1" min="321" max="321"/>
    <col width="11" customWidth="1" min="322" max="322"/>
    <col width="10" customWidth="1" min="323" max="323"/>
    <col width="11" customWidth="1" min="324" max="324"/>
    <col width="13" customWidth="1" min="325" max="325"/>
    <col width="12" customWidth="1" min="327" max="327"/>
    <col width="10" customWidth="1" min="328" max="328"/>
    <col width="10" customWidth="1" min="329" max="329"/>
    <col width="10" customWidth="1" min="330" max="330"/>
    <col width="10" customWidth="1" min="331" max="331"/>
    <col width="11" customWidth="1" min="332" max="332"/>
    <col width="11" customWidth="1" min="333" max="333"/>
    <col width="10" customWidth="1" min="334" max="334"/>
    <col width="10" customWidth="1" min="335" max="335"/>
    <col width="10" customWidth="1" min="336" max="336"/>
    <col width="10" customWidth="1" min="337" max="337"/>
    <col width="11" customWidth="1" min="338" max="338"/>
    <col width="11" customWidth="1" min="339" max="339"/>
    <col width="10" customWidth="1" min="340" max="340"/>
    <col width="11" customWidth="1" min="341" max="341"/>
    <col width="13" customWidth="1" min="342" max="342"/>
    <col width="12" customWidth="1" min="344" max="344"/>
    <col width="10" customWidth="1" min="345" max="345"/>
    <col width="10" customWidth="1" min="346" max="346"/>
    <col width="10" customWidth="1" min="347" max="347"/>
    <col width="10" customWidth="1" min="348" max="348"/>
    <col width="11" customWidth="1" min="349" max="349"/>
    <col width="11" customWidth="1" min="350" max="350"/>
    <col width="10" customWidth="1" min="351" max="351"/>
    <col width="10" customWidth="1" min="352" max="352"/>
    <col width="10" customWidth="1" min="353" max="353"/>
    <col width="10" customWidth="1" min="354" max="354"/>
    <col width="11" customWidth="1" min="355" max="355"/>
    <col width="11" customWidth="1" min="356" max="356"/>
    <col width="10" customWidth="1" min="357" max="357"/>
    <col width="11" customWidth="1" min="358" max="358"/>
    <col width="13" customWidth="1" min="359" max="359"/>
    <col width="12" customWidth="1" min="361" max="361"/>
    <col width="10" customWidth="1" min="362" max="362"/>
    <col width="10" customWidth="1" min="363" max="363"/>
    <col width="10" customWidth="1" min="364" max="364"/>
    <col width="10" customWidth="1" min="365" max="365"/>
    <col width="11" customWidth="1" min="366" max="366"/>
    <col width="11" customWidth="1" min="367" max="367"/>
    <col width="10" customWidth="1" min="368" max="368"/>
    <col width="10" customWidth="1" min="369" max="369"/>
    <col width="10" customWidth="1" min="370" max="370"/>
    <col width="10" customWidth="1" min="371" max="371"/>
    <col width="11" customWidth="1" min="372" max="372"/>
    <col width="11" customWidth="1" min="373" max="373"/>
    <col width="10" customWidth="1" min="374" max="374"/>
    <col width="11" customWidth="1" min="375" max="375"/>
    <col width="13" customWidth="1" min="376" max="376"/>
  </cols>
  <sheetData>
    <row r="1">
      <c r="A1" s="2" t="inlineStr">
        <is>
          <t>Month</t>
        </is>
      </c>
      <c r="B1" s="9" t="n">
        <v>1</v>
      </c>
      <c r="D1" s="2">
        <f>IF(ISNUMBER(B$7),"OXY US "&amp;TEXT(B$3,"mm/dd/yy")&amp;" C"&amp;(B$7-5*B$6)&amp;" Equity","")</f>
        <v/>
      </c>
      <c r="U1" s="2">
        <f>IF(ISNUMBER(B$7),"OXY US "&amp;TEXT(B$3,"mm/dd/yy")&amp;" P"&amp;(B$7-5*B$6)&amp;" Equity","")</f>
        <v/>
      </c>
      <c r="AL1" s="2">
        <f>IF(ISNUMBER(B$7),"OXY US "&amp;TEXT(B$3,"mm/dd/yy")&amp;" C"&amp;(B$7-4*B$6)&amp;" Equity","")</f>
        <v/>
      </c>
      <c r="BC1" s="2">
        <f>IF(ISNUMBER(B$7),"OXY US "&amp;TEXT(B$3,"mm/dd/yy")&amp;" P"&amp;(B$7-4*B$6)&amp;" Equity","")</f>
        <v/>
      </c>
      <c r="BT1" s="2">
        <f>IF(ISNUMBER(B$7),"OXY US "&amp;TEXT(B$3,"mm/dd/yy")&amp;" C"&amp;(B$7-3*B$6)&amp;" Equity","")</f>
        <v/>
      </c>
      <c r="CK1" s="2">
        <f>IF(ISNUMBER(B$7),"OXY US "&amp;TEXT(B$3,"mm/dd/yy")&amp;" P"&amp;(B$7-3*B$6)&amp;" Equity","")</f>
        <v/>
      </c>
      <c r="DB1" s="2">
        <f>IF(ISNUMBER(B$7),"OXY US "&amp;TEXT(B$3,"mm/dd/yy")&amp;" C"&amp;(B$7-2*B$6)&amp;" Equity","")</f>
        <v/>
      </c>
      <c r="DS1" s="2">
        <f>IF(ISNUMBER(B$7),"OXY US "&amp;TEXT(B$3,"mm/dd/yy")&amp;" P"&amp;(B$7-2*B$6)&amp;" Equity","")</f>
        <v/>
      </c>
      <c r="EJ1" s="2">
        <f>IF(ISNUMBER(B$7),"OXY US "&amp;TEXT(B$3,"mm/dd/yy")&amp;" C"&amp;(B$7-1*B$6)&amp;" Equity","")</f>
        <v/>
      </c>
      <c r="FA1" s="2">
        <f>IF(ISNUMBER(B$7),"OXY US "&amp;TEXT(B$3,"mm/dd/yy")&amp;" P"&amp;(B$7-1*B$6)&amp;" Equity","")</f>
        <v/>
      </c>
      <c r="FR1" s="2">
        <f>IF(ISNUMBER(B$7),"OXY US "&amp;TEXT(B$3,"mm/dd/yy")&amp;" C"&amp;B$7&amp;" Equity","")</f>
        <v/>
      </c>
      <c r="GI1" s="2">
        <f>IF(ISNUMBER(B$7),"OXY US "&amp;TEXT(B$3,"mm/dd/yy")&amp;" P"&amp;B$7&amp;" Equity","")</f>
        <v/>
      </c>
      <c r="GZ1" s="2">
        <f>IF(ISNUMBER(B$7),"OXY US "&amp;TEXT(B$3,"mm/dd/yy")&amp;" C"&amp;(B$7+1*B$6)&amp;" Equity","")</f>
        <v/>
      </c>
      <c r="HQ1" s="2">
        <f>IF(ISNUMBER(B$7),"OXY US "&amp;TEXT(B$3,"mm/dd/yy")&amp;" P"&amp;(B$7+1*B$6)&amp;" Equity","")</f>
        <v/>
      </c>
      <c r="IH1" s="2">
        <f>IF(ISNUMBER(B$7),"OXY US "&amp;TEXT(B$3,"mm/dd/yy")&amp;" C"&amp;(B$7+2*B$6)&amp;" Equity","")</f>
        <v/>
      </c>
      <c r="IY1" s="2">
        <f>IF(ISNUMBER(B$7),"OXY US "&amp;TEXT(B$3,"mm/dd/yy")&amp;" P"&amp;(B$7+2*B$6)&amp;" Equity","")</f>
        <v/>
      </c>
      <c r="JP1" s="2">
        <f>IF(ISNUMBER(B$7),"OXY US "&amp;TEXT(B$3,"mm/dd/yy")&amp;" C"&amp;(B$7+3*B$6)&amp;" Equity","")</f>
        <v/>
      </c>
      <c r="KG1" s="2">
        <f>IF(ISNUMBER(B$7),"OXY US "&amp;TEXT(B$3,"mm/dd/yy")&amp;" P"&amp;(B$7+3*B$6)&amp;" Equity","")</f>
        <v/>
      </c>
      <c r="KX1" s="2">
        <f>IF(ISNUMBER(B$7),"OXY US "&amp;TEXT(B$3,"mm/dd/yy")&amp;" C"&amp;(B$7+4*B$6)&amp;" Equity","")</f>
        <v/>
      </c>
      <c r="LO1" s="2">
        <f>IF(ISNUMBER(B$7),"OXY US "&amp;TEXT(B$3,"mm/dd/yy")&amp;" P"&amp;(B$7+4*B$6)&amp;" Equity","")</f>
        <v/>
      </c>
      <c r="MF1" s="2">
        <f>IF(ISNUMBER(B$7),"OXY US "&amp;TEXT(B$3,"mm/dd/yy")&amp;" C"&amp;(B$7+5*B$6)&amp;" Equity","")</f>
        <v/>
      </c>
      <c r="MW1" s="2">
        <f>IF(ISNUMBER(B$7),"OXY US "&amp;TEXT(B$3,"mm/dd/yy")&amp;" P"&amp;(B$7+5*B$6)&amp;" Equity","")</f>
        <v/>
      </c>
    </row>
    <row r="2">
      <c r="A2" s="2" t="inlineStr">
        <is>
          <t>Underlying</t>
        </is>
      </c>
      <c r="B2" s="4">
        <f>IF(Settings!$B$18="Y","OXY US Equity","")</f>
        <v/>
      </c>
      <c r="D2" s="4" t="inlineStr">
        <is>
          <t>call -5 from ATM</t>
        </is>
      </c>
      <c r="U2" s="4" t="inlineStr">
        <is>
          <t>put -5 from ATM</t>
        </is>
      </c>
      <c r="AL2" s="4" t="inlineStr">
        <is>
          <t>call -4 from ATM</t>
        </is>
      </c>
      <c r="BC2" s="4" t="inlineStr">
        <is>
          <t>put -4 from ATM</t>
        </is>
      </c>
      <c r="BT2" s="4" t="inlineStr">
        <is>
          <t>call -3 from ATM</t>
        </is>
      </c>
      <c r="CK2" s="4" t="inlineStr">
        <is>
          <t>put -3 from ATM</t>
        </is>
      </c>
      <c r="DB2" s="4" t="inlineStr">
        <is>
          <t>call -2 from ATM</t>
        </is>
      </c>
      <c r="DS2" s="4" t="inlineStr">
        <is>
          <t>put -2 from ATM</t>
        </is>
      </c>
      <c r="EJ2" s="4" t="inlineStr">
        <is>
          <t>call -1 from ATM</t>
        </is>
      </c>
      <c r="FA2" s="4" t="inlineStr">
        <is>
          <t>put -1 from ATM</t>
        </is>
      </c>
      <c r="FR2" s="4" t="inlineStr">
        <is>
          <t>call +0 from ATM</t>
        </is>
      </c>
      <c r="GI2" s="4" t="inlineStr">
        <is>
          <t>put +0 from ATM</t>
        </is>
      </c>
      <c r="GZ2" s="4" t="inlineStr">
        <is>
          <t>call +1 from ATM</t>
        </is>
      </c>
      <c r="HQ2" s="4" t="inlineStr">
        <is>
          <t>put +1 from ATM</t>
        </is>
      </c>
      <c r="IH2" s="4" t="inlineStr">
        <is>
          <t>call +2 from ATM</t>
        </is>
      </c>
      <c r="IY2" s="4" t="inlineStr">
        <is>
          <t>put +2 from ATM</t>
        </is>
      </c>
      <c r="JP2" s="4" t="inlineStr">
        <is>
          <t>call +3 from ATM</t>
        </is>
      </c>
      <c r="KG2" s="4" t="inlineStr">
        <is>
          <t>put +3 from ATM</t>
        </is>
      </c>
      <c r="KX2" s="4" t="inlineStr">
        <is>
          <t>call +4 from ATM</t>
        </is>
      </c>
      <c r="LO2" s="4" t="inlineStr">
        <is>
          <t>put +4 from ATM</t>
        </is>
      </c>
      <c r="MF2" s="4" t="inlineStr">
        <is>
          <t>call +5 from ATM</t>
        </is>
      </c>
      <c r="MW2" s="4" t="inlineStr">
        <is>
          <t>put +5 from ATM</t>
        </is>
      </c>
    </row>
    <row r="3">
      <c r="A3" s="2" t="inlineStr">
        <is>
          <t>Expiry (3rd Friday)</t>
        </is>
      </c>
      <c r="B3" s="3">
        <f>DATE(Settings!$E$18,B1,15)+MOD(6-WEEKDAY(DATE(Settings!$E$18,B1,15)),7)</f>
        <v/>
      </c>
      <c r="D3" s="5" t="inlineStr">
        <is>
          <t>Date</t>
        </is>
      </c>
      <c r="E3" s="5" t="inlineStr">
        <is>
          <t>PX_BID</t>
        </is>
      </c>
      <c r="F3" s="5" t="inlineStr">
        <is>
          <t>PX_ASK</t>
        </is>
      </c>
      <c r="G3" s="5" t="inlineStr">
        <is>
          <t>PX_MID</t>
        </is>
      </c>
      <c r="H3" s="5" t="inlineStr">
        <is>
          <t>PX_LAST</t>
        </is>
      </c>
      <c r="I3" s="5" t="inlineStr">
        <is>
          <t>PX_SETTLE</t>
        </is>
      </c>
      <c r="J3" s="5" t="inlineStr">
        <is>
          <t>PX_VOLUME</t>
        </is>
      </c>
      <c r="K3" s="5" t="inlineStr">
        <is>
          <t>OPEN_INT</t>
        </is>
      </c>
      <c r="L3" s="5" t="inlineStr">
        <is>
          <t>IVOL_MID</t>
        </is>
      </c>
      <c r="M3" s="5" t="inlineStr">
        <is>
          <t>IVOL_BID</t>
        </is>
      </c>
      <c r="N3" s="5" t="inlineStr">
        <is>
          <t>IVOL_ASK</t>
        </is>
      </c>
      <c r="O3" s="5" t="inlineStr">
        <is>
          <t>DELTA_MID</t>
        </is>
      </c>
      <c r="P3" s="5" t="inlineStr">
        <is>
          <t>GAMMA_MID</t>
        </is>
      </c>
      <c r="Q3" s="5" t="inlineStr">
        <is>
          <t>VEGA_MID</t>
        </is>
      </c>
      <c r="R3" s="5" t="inlineStr">
        <is>
          <t>THETA_MID</t>
        </is>
      </c>
      <c r="S3" s="5" t="inlineStr">
        <is>
          <t>OPT_UNDL_PX</t>
        </is>
      </c>
      <c r="U3" s="5" t="inlineStr">
        <is>
          <t>Date</t>
        </is>
      </c>
      <c r="V3" s="5" t="inlineStr">
        <is>
          <t>PX_BID</t>
        </is>
      </c>
      <c r="W3" s="5" t="inlineStr">
        <is>
          <t>PX_ASK</t>
        </is>
      </c>
      <c r="X3" s="5" t="inlineStr">
        <is>
          <t>PX_MID</t>
        </is>
      </c>
      <c r="Y3" s="5" t="inlineStr">
        <is>
          <t>PX_LAST</t>
        </is>
      </c>
      <c r="Z3" s="5" t="inlineStr">
        <is>
          <t>PX_SETTLE</t>
        </is>
      </c>
      <c r="AA3" s="5" t="inlineStr">
        <is>
          <t>PX_VOLUME</t>
        </is>
      </c>
      <c r="AB3" s="5" t="inlineStr">
        <is>
          <t>OPEN_INT</t>
        </is>
      </c>
      <c r="AC3" s="5" t="inlineStr">
        <is>
          <t>IVOL_MID</t>
        </is>
      </c>
      <c r="AD3" s="5" t="inlineStr">
        <is>
          <t>IVOL_BID</t>
        </is>
      </c>
      <c r="AE3" s="5" t="inlineStr">
        <is>
          <t>IVOL_ASK</t>
        </is>
      </c>
      <c r="AF3" s="5" t="inlineStr">
        <is>
          <t>DELTA_MID</t>
        </is>
      </c>
      <c r="AG3" s="5" t="inlineStr">
        <is>
          <t>GAMMA_MID</t>
        </is>
      </c>
      <c r="AH3" s="5" t="inlineStr">
        <is>
          <t>VEGA_MID</t>
        </is>
      </c>
      <c r="AI3" s="5" t="inlineStr">
        <is>
          <t>THETA_MID</t>
        </is>
      </c>
      <c r="AJ3" s="5" t="inlineStr">
        <is>
          <t>OPT_UNDL_PX</t>
        </is>
      </c>
      <c r="AL3" s="5" t="inlineStr">
        <is>
          <t>Date</t>
        </is>
      </c>
      <c r="AM3" s="5" t="inlineStr">
        <is>
          <t>PX_BID</t>
        </is>
      </c>
      <c r="AN3" s="5" t="inlineStr">
        <is>
          <t>PX_ASK</t>
        </is>
      </c>
      <c r="AO3" s="5" t="inlineStr">
        <is>
          <t>PX_MID</t>
        </is>
      </c>
      <c r="AP3" s="5" t="inlineStr">
        <is>
          <t>PX_LAST</t>
        </is>
      </c>
      <c r="AQ3" s="5" t="inlineStr">
        <is>
          <t>PX_SETTLE</t>
        </is>
      </c>
      <c r="AR3" s="5" t="inlineStr">
        <is>
          <t>PX_VOLUME</t>
        </is>
      </c>
      <c r="AS3" s="5" t="inlineStr">
        <is>
          <t>OPEN_INT</t>
        </is>
      </c>
      <c r="AT3" s="5" t="inlineStr">
        <is>
          <t>IVOL_MID</t>
        </is>
      </c>
      <c r="AU3" s="5" t="inlineStr">
        <is>
          <t>IVOL_BID</t>
        </is>
      </c>
      <c r="AV3" s="5" t="inlineStr">
        <is>
          <t>IVOL_ASK</t>
        </is>
      </c>
      <c r="AW3" s="5" t="inlineStr">
        <is>
          <t>DELTA_MID</t>
        </is>
      </c>
      <c r="AX3" s="5" t="inlineStr">
        <is>
          <t>GAMMA_MID</t>
        </is>
      </c>
      <c r="AY3" s="5" t="inlineStr">
        <is>
          <t>VEGA_MID</t>
        </is>
      </c>
      <c r="AZ3" s="5" t="inlineStr">
        <is>
          <t>THETA_MID</t>
        </is>
      </c>
      <c r="BA3" s="5" t="inlineStr">
        <is>
          <t>OPT_UNDL_PX</t>
        </is>
      </c>
      <c r="BC3" s="5" t="inlineStr">
        <is>
          <t>Date</t>
        </is>
      </c>
      <c r="BD3" s="5" t="inlineStr">
        <is>
          <t>PX_BID</t>
        </is>
      </c>
      <c r="BE3" s="5" t="inlineStr">
        <is>
          <t>PX_ASK</t>
        </is>
      </c>
      <c r="BF3" s="5" t="inlineStr">
        <is>
          <t>PX_MID</t>
        </is>
      </c>
      <c r="BG3" s="5" t="inlineStr">
        <is>
          <t>PX_LAST</t>
        </is>
      </c>
      <c r="BH3" s="5" t="inlineStr">
        <is>
          <t>PX_SETTLE</t>
        </is>
      </c>
      <c r="BI3" s="5" t="inlineStr">
        <is>
          <t>PX_VOLUME</t>
        </is>
      </c>
      <c r="BJ3" s="5" t="inlineStr">
        <is>
          <t>OPEN_INT</t>
        </is>
      </c>
      <c r="BK3" s="5" t="inlineStr">
        <is>
          <t>IVOL_MID</t>
        </is>
      </c>
      <c r="BL3" s="5" t="inlineStr">
        <is>
          <t>IVOL_BID</t>
        </is>
      </c>
      <c r="BM3" s="5" t="inlineStr">
        <is>
          <t>IVOL_ASK</t>
        </is>
      </c>
      <c r="BN3" s="5" t="inlineStr">
        <is>
          <t>DELTA_MID</t>
        </is>
      </c>
      <c r="BO3" s="5" t="inlineStr">
        <is>
          <t>GAMMA_MID</t>
        </is>
      </c>
      <c r="BP3" s="5" t="inlineStr">
        <is>
          <t>VEGA_MID</t>
        </is>
      </c>
      <c r="BQ3" s="5" t="inlineStr">
        <is>
          <t>THETA_MID</t>
        </is>
      </c>
      <c r="BR3" s="5" t="inlineStr">
        <is>
          <t>OPT_UNDL_PX</t>
        </is>
      </c>
      <c r="BT3" s="5" t="inlineStr">
        <is>
          <t>Date</t>
        </is>
      </c>
      <c r="BU3" s="5" t="inlineStr">
        <is>
          <t>PX_BID</t>
        </is>
      </c>
      <c r="BV3" s="5" t="inlineStr">
        <is>
          <t>PX_ASK</t>
        </is>
      </c>
      <c r="BW3" s="5" t="inlineStr">
        <is>
          <t>PX_MID</t>
        </is>
      </c>
      <c r="BX3" s="5" t="inlineStr">
        <is>
          <t>PX_LAST</t>
        </is>
      </c>
      <c r="BY3" s="5" t="inlineStr">
        <is>
          <t>PX_SETTLE</t>
        </is>
      </c>
      <c r="BZ3" s="5" t="inlineStr">
        <is>
          <t>PX_VOLUME</t>
        </is>
      </c>
      <c r="CA3" s="5" t="inlineStr">
        <is>
          <t>OPEN_INT</t>
        </is>
      </c>
      <c r="CB3" s="5" t="inlineStr">
        <is>
          <t>IVOL_MID</t>
        </is>
      </c>
      <c r="CC3" s="5" t="inlineStr">
        <is>
          <t>IVOL_BID</t>
        </is>
      </c>
      <c r="CD3" s="5" t="inlineStr">
        <is>
          <t>IVOL_ASK</t>
        </is>
      </c>
      <c r="CE3" s="5" t="inlineStr">
        <is>
          <t>DELTA_MID</t>
        </is>
      </c>
      <c r="CF3" s="5" t="inlineStr">
        <is>
          <t>GAMMA_MID</t>
        </is>
      </c>
      <c r="CG3" s="5" t="inlineStr">
        <is>
          <t>VEGA_MID</t>
        </is>
      </c>
      <c r="CH3" s="5" t="inlineStr">
        <is>
          <t>THETA_MID</t>
        </is>
      </c>
      <c r="CI3" s="5" t="inlineStr">
        <is>
          <t>OPT_UNDL_PX</t>
        </is>
      </c>
      <c r="CK3" s="5" t="inlineStr">
        <is>
          <t>Date</t>
        </is>
      </c>
      <c r="CL3" s="5" t="inlineStr">
        <is>
          <t>PX_BID</t>
        </is>
      </c>
      <c r="CM3" s="5" t="inlineStr">
        <is>
          <t>PX_ASK</t>
        </is>
      </c>
      <c r="CN3" s="5" t="inlineStr">
        <is>
          <t>PX_MID</t>
        </is>
      </c>
      <c r="CO3" s="5" t="inlineStr">
        <is>
          <t>PX_LAST</t>
        </is>
      </c>
      <c r="CP3" s="5" t="inlineStr">
        <is>
          <t>PX_SETTLE</t>
        </is>
      </c>
      <c r="CQ3" s="5" t="inlineStr">
        <is>
          <t>PX_VOLUME</t>
        </is>
      </c>
      <c r="CR3" s="5" t="inlineStr">
        <is>
          <t>OPEN_INT</t>
        </is>
      </c>
      <c r="CS3" s="5" t="inlineStr">
        <is>
          <t>IVOL_MID</t>
        </is>
      </c>
      <c r="CT3" s="5" t="inlineStr">
        <is>
          <t>IVOL_BID</t>
        </is>
      </c>
      <c r="CU3" s="5" t="inlineStr">
        <is>
          <t>IVOL_ASK</t>
        </is>
      </c>
      <c r="CV3" s="5" t="inlineStr">
        <is>
          <t>DELTA_MID</t>
        </is>
      </c>
      <c r="CW3" s="5" t="inlineStr">
        <is>
          <t>GAMMA_MID</t>
        </is>
      </c>
      <c r="CX3" s="5" t="inlineStr">
        <is>
          <t>VEGA_MID</t>
        </is>
      </c>
      <c r="CY3" s="5" t="inlineStr">
        <is>
          <t>THETA_MID</t>
        </is>
      </c>
      <c r="CZ3" s="5" t="inlineStr">
        <is>
          <t>OPT_UNDL_PX</t>
        </is>
      </c>
      <c r="DB3" s="5" t="inlineStr">
        <is>
          <t>Date</t>
        </is>
      </c>
      <c r="DC3" s="5" t="inlineStr">
        <is>
          <t>PX_BID</t>
        </is>
      </c>
      <c r="DD3" s="5" t="inlineStr">
        <is>
          <t>PX_ASK</t>
        </is>
      </c>
      <c r="DE3" s="5" t="inlineStr">
        <is>
          <t>PX_MID</t>
        </is>
      </c>
      <c r="DF3" s="5" t="inlineStr">
        <is>
          <t>PX_LAST</t>
        </is>
      </c>
      <c r="DG3" s="5" t="inlineStr">
        <is>
          <t>PX_SETTLE</t>
        </is>
      </c>
      <c r="DH3" s="5" t="inlineStr">
        <is>
          <t>PX_VOLUME</t>
        </is>
      </c>
      <c r="DI3" s="5" t="inlineStr">
        <is>
          <t>OPEN_INT</t>
        </is>
      </c>
      <c r="DJ3" s="5" t="inlineStr">
        <is>
          <t>IVOL_MID</t>
        </is>
      </c>
      <c r="DK3" s="5" t="inlineStr">
        <is>
          <t>IVOL_BID</t>
        </is>
      </c>
      <c r="DL3" s="5" t="inlineStr">
        <is>
          <t>IVOL_ASK</t>
        </is>
      </c>
      <c r="DM3" s="5" t="inlineStr">
        <is>
          <t>DELTA_MID</t>
        </is>
      </c>
      <c r="DN3" s="5" t="inlineStr">
        <is>
          <t>GAMMA_MID</t>
        </is>
      </c>
      <c r="DO3" s="5" t="inlineStr">
        <is>
          <t>VEGA_MID</t>
        </is>
      </c>
      <c r="DP3" s="5" t="inlineStr">
        <is>
          <t>THETA_MID</t>
        </is>
      </c>
      <c r="DQ3" s="5" t="inlineStr">
        <is>
          <t>OPT_UNDL_PX</t>
        </is>
      </c>
      <c r="DS3" s="5" t="inlineStr">
        <is>
          <t>Date</t>
        </is>
      </c>
      <c r="DT3" s="5" t="inlineStr">
        <is>
          <t>PX_BID</t>
        </is>
      </c>
      <c r="DU3" s="5" t="inlineStr">
        <is>
          <t>PX_ASK</t>
        </is>
      </c>
      <c r="DV3" s="5" t="inlineStr">
        <is>
          <t>PX_MID</t>
        </is>
      </c>
      <c r="DW3" s="5" t="inlineStr">
        <is>
          <t>PX_LAST</t>
        </is>
      </c>
      <c r="DX3" s="5" t="inlineStr">
        <is>
          <t>PX_SETTLE</t>
        </is>
      </c>
      <c r="DY3" s="5" t="inlineStr">
        <is>
          <t>PX_VOLUME</t>
        </is>
      </c>
      <c r="DZ3" s="5" t="inlineStr">
        <is>
          <t>OPEN_INT</t>
        </is>
      </c>
      <c r="EA3" s="5" t="inlineStr">
        <is>
          <t>IVOL_MID</t>
        </is>
      </c>
      <c r="EB3" s="5" t="inlineStr">
        <is>
          <t>IVOL_BID</t>
        </is>
      </c>
      <c r="EC3" s="5" t="inlineStr">
        <is>
          <t>IVOL_ASK</t>
        </is>
      </c>
      <c r="ED3" s="5" t="inlineStr">
        <is>
          <t>DELTA_MID</t>
        </is>
      </c>
      <c r="EE3" s="5" t="inlineStr">
        <is>
          <t>GAMMA_MID</t>
        </is>
      </c>
      <c r="EF3" s="5" t="inlineStr">
        <is>
          <t>VEGA_MID</t>
        </is>
      </c>
      <c r="EG3" s="5" t="inlineStr">
        <is>
          <t>THETA_MID</t>
        </is>
      </c>
      <c r="EH3" s="5" t="inlineStr">
        <is>
          <t>OPT_UNDL_PX</t>
        </is>
      </c>
      <c r="EJ3" s="5" t="inlineStr">
        <is>
          <t>Date</t>
        </is>
      </c>
      <c r="EK3" s="5" t="inlineStr">
        <is>
          <t>PX_BID</t>
        </is>
      </c>
      <c r="EL3" s="5" t="inlineStr">
        <is>
          <t>PX_ASK</t>
        </is>
      </c>
      <c r="EM3" s="5" t="inlineStr">
        <is>
          <t>PX_MID</t>
        </is>
      </c>
      <c r="EN3" s="5" t="inlineStr">
        <is>
          <t>PX_LAST</t>
        </is>
      </c>
      <c r="EO3" s="5" t="inlineStr">
        <is>
          <t>PX_SETTLE</t>
        </is>
      </c>
      <c r="EP3" s="5" t="inlineStr">
        <is>
          <t>PX_VOLUME</t>
        </is>
      </c>
      <c r="EQ3" s="5" t="inlineStr">
        <is>
          <t>OPEN_INT</t>
        </is>
      </c>
      <c r="ER3" s="5" t="inlineStr">
        <is>
          <t>IVOL_MID</t>
        </is>
      </c>
      <c r="ES3" s="5" t="inlineStr">
        <is>
          <t>IVOL_BID</t>
        </is>
      </c>
      <c r="ET3" s="5" t="inlineStr">
        <is>
          <t>IVOL_ASK</t>
        </is>
      </c>
      <c r="EU3" s="5" t="inlineStr">
        <is>
          <t>DELTA_MID</t>
        </is>
      </c>
      <c r="EV3" s="5" t="inlineStr">
        <is>
          <t>GAMMA_MID</t>
        </is>
      </c>
      <c r="EW3" s="5" t="inlineStr">
        <is>
          <t>VEGA_MID</t>
        </is>
      </c>
      <c r="EX3" s="5" t="inlineStr">
        <is>
          <t>THETA_MID</t>
        </is>
      </c>
      <c r="EY3" s="5" t="inlineStr">
        <is>
          <t>OPT_UNDL_PX</t>
        </is>
      </c>
      <c r="FA3" s="5" t="inlineStr">
        <is>
          <t>Date</t>
        </is>
      </c>
      <c r="FB3" s="5" t="inlineStr">
        <is>
          <t>PX_BID</t>
        </is>
      </c>
      <c r="FC3" s="5" t="inlineStr">
        <is>
          <t>PX_ASK</t>
        </is>
      </c>
      <c r="FD3" s="5" t="inlineStr">
        <is>
          <t>PX_MID</t>
        </is>
      </c>
      <c r="FE3" s="5" t="inlineStr">
        <is>
          <t>PX_LAST</t>
        </is>
      </c>
      <c r="FF3" s="5" t="inlineStr">
        <is>
          <t>PX_SETTLE</t>
        </is>
      </c>
      <c r="FG3" s="5" t="inlineStr">
        <is>
          <t>PX_VOLUME</t>
        </is>
      </c>
      <c r="FH3" s="5" t="inlineStr">
        <is>
          <t>OPEN_INT</t>
        </is>
      </c>
      <c r="FI3" s="5" t="inlineStr">
        <is>
          <t>IVOL_MID</t>
        </is>
      </c>
      <c r="FJ3" s="5" t="inlineStr">
        <is>
          <t>IVOL_BID</t>
        </is>
      </c>
      <c r="FK3" s="5" t="inlineStr">
        <is>
          <t>IVOL_ASK</t>
        </is>
      </c>
      <c r="FL3" s="5" t="inlineStr">
        <is>
          <t>DELTA_MID</t>
        </is>
      </c>
      <c r="FM3" s="5" t="inlineStr">
        <is>
          <t>GAMMA_MID</t>
        </is>
      </c>
      <c r="FN3" s="5" t="inlineStr">
        <is>
          <t>VEGA_MID</t>
        </is>
      </c>
      <c r="FO3" s="5" t="inlineStr">
        <is>
          <t>THETA_MID</t>
        </is>
      </c>
      <c r="FP3" s="5" t="inlineStr">
        <is>
          <t>OPT_UNDL_PX</t>
        </is>
      </c>
      <c r="FR3" s="5" t="inlineStr">
        <is>
          <t>Date</t>
        </is>
      </c>
      <c r="FS3" s="5" t="inlineStr">
        <is>
          <t>PX_BID</t>
        </is>
      </c>
      <c r="FT3" s="5" t="inlineStr">
        <is>
          <t>PX_ASK</t>
        </is>
      </c>
      <c r="FU3" s="5" t="inlineStr">
        <is>
          <t>PX_MID</t>
        </is>
      </c>
      <c r="FV3" s="5" t="inlineStr">
        <is>
          <t>PX_LAST</t>
        </is>
      </c>
      <c r="FW3" s="5" t="inlineStr">
        <is>
          <t>PX_SETTLE</t>
        </is>
      </c>
      <c r="FX3" s="5" t="inlineStr">
        <is>
          <t>PX_VOLUME</t>
        </is>
      </c>
      <c r="FY3" s="5" t="inlineStr">
        <is>
          <t>OPEN_INT</t>
        </is>
      </c>
      <c r="FZ3" s="5" t="inlineStr">
        <is>
          <t>IVOL_MID</t>
        </is>
      </c>
      <c r="GA3" s="5" t="inlineStr">
        <is>
          <t>IVOL_BID</t>
        </is>
      </c>
      <c r="GB3" s="5" t="inlineStr">
        <is>
          <t>IVOL_ASK</t>
        </is>
      </c>
      <c r="GC3" s="5" t="inlineStr">
        <is>
          <t>DELTA_MID</t>
        </is>
      </c>
      <c r="GD3" s="5" t="inlineStr">
        <is>
          <t>GAMMA_MID</t>
        </is>
      </c>
      <c r="GE3" s="5" t="inlineStr">
        <is>
          <t>VEGA_MID</t>
        </is>
      </c>
      <c r="GF3" s="5" t="inlineStr">
        <is>
          <t>THETA_MID</t>
        </is>
      </c>
      <c r="GG3" s="5" t="inlineStr">
        <is>
          <t>OPT_UNDL_PX</t>
        </is>
      </c>
      <c r="GI3" s="5" t="inlineStr">
        <is>
          <t>Date</t>
        </is>
      </c>
      <c r="GJ3" s="5" t="inlineStr">
        <is>
          <t>PX_BID</t>
        </is>
      </c>
      <c r="GK3" s="5" t="inlineStr">
        <is>
          <t>PX_ASK</t>
        </is>
      </c>
      <c r="GL3" s="5" t="inlineStr">
        <is>
          <t>PX_MID</t>
        </is>
      </c>
      <c r="GM3" s="5" t="inlineStr">
        <is>
          <t>PX_LAST</t>
        </is>
      </c>
      <c r="GN3" s="5" t="inlineStr">
        <is>
          <t>PX_SETTLE</t>
        </is>
      </c>
      <c r="GO3" s="5" t="inlineStr">
        <is>
          <t>PX_VOLUME</t>
        </is>
      </c>
      <c r="GP3" s="5" t="inlineStr">
        <is>
          <t>OPEN_INT</t>
        </is>
      </c>
      <c r="GQ3" s="5" t="inlineStr">
        <is>
          <t>IVOL_MID</t>
        </is>
      </c>
      <c r="GR3" s="5" t="inlineStr">
        <is>
          <t>IVOL_BID</t>
        </is>
      </c>
      <c r="GS3" s="5" t="inlineStr">
        <is>
          <t>IVOL_ASK</t>
        </is>
      </c>
      <c r="GT3" s="5" t="inlineStr">
        <is>
          <t>DELTA_MID</t>
        </is>
      </c>
      <c r="GU3" s="5" t="inlineStr">
        <is>
          <t>GAMMA_MID</t>
        </is>
      </c>
      <c r="GV3" s="5" t="inlineStr">
        <is>
          <t>VEGA_MID</t>
        </is>
      </c>
      <c r="GW3" s="5" t="inlineStr">
        <is>
          <t>THETA_MID</t>
        </is>
      </c>
      <c r="GX3" s="5" t="inlineStr">
        <is>
          <t>OPT_UNDL_PX</t>
        </is>
      </c>
      <c r="GZ3" s="5" t="inlineStr">
        <is>
          <t>Date</t>
        </is>
      </c>
      <c r="HA3" s="5" t="inlineStr">
        <is>
          <t>PX_BID</t>
        </is>
      </c>
      <c r="HB3" s="5" t="inlineStr">
        <is>
          <t>PX_ASK</t>
        </is>
      </c>
      <c r="HC3" s="5" t="inlineStr">
        <is>
          <t>PX_MID</t>
        </is>
      </c>
      <c r="HD3" s="5" t="inlineStr">
        <is>
          <t>PX_LAST</t>
        </is>
      </c>
      <c r="HE3" s="5" t="inlineStr">
        <is>
          <t>PX_SETTLE</t>
        </is>
      </c>
      <c r="HF3" s="5" t="inlineStr">
        <is>
          <t>PX_VOLUME</t>
        </is>
      </c>
      <c r="HG3" s="5" t="inlineStr">
        <is>
          <t>OPEN_INT</t>
        </is>
      </c>
      <c r="HH3" s="5" t="inlineStr">
        <is>
          <t>IVOL_MID</t>
        </is>
      </c>
      <c r="HI3" s="5" t="inlineStr">
        <is>
          <t>IVOL_BID</t>
        </is>
      </c>
      <c r="HJ3" s="5" t="inlineStr">
        <is>
          <t>IVOL_ASK</t>
        </is>
      </c>
      <c r="HK3" s="5" t="inlineStr">
        <is>
          <t>DELTA_MID</t>
        </is>
      </c>
      <c r="HL3" s="5" t="inlineStr">
        <is>
          <t>GAMMA_MID</t>
        </is>
      </c>
      <c r="HM3" s="5" t="inlineStr">
        <is>
          <t>VEGA_MID</t>
        </is>
      </c>
      <c r="HN3" s="5" t="inlineStr">
        <is>
          <t>THETA_MID</t>
        </is>
      </c>
      <c r="HO3" s="5" t="inlineStr">
        <is>
          <t>OPT_UNDL_PX</t>
        </is>
      </c>
      <c r="HQ3" s="5" t="inlineStr">
        <is>
          <t>Date</t>
        </is>
      </c>
      <c r="HR3" s="5" t="inlineStr">
        <is>
          <t>PX_BID</t>
        </is>
      </c>
      <c r="HS3" s="5" t="inlineStr">
        <is>
          <t>PX_ASK</t>
        </is>
      </c>
      <c r="HT3" s="5" t="inlineStr">
        <is>
          <t>PX_MID</t>
        </is>
      </c>
      <c r="HU3" s="5" t="inlineStr">
        <is>
          <t>PX_LAST</t>
        </is>
      </c>
      <c r="HV3" s="5" t="inlineStr">
        <is>
          <t>PX_SETTLE</t>
        </is>
      </c>
      <c r="HW3" s="5" t="inlineStr">
        <is>
          <t>PX_VOLUME</t>
        </is>
      </c>
      <c r="HX3" s="5" t="inlineStr">
        <is>
          <t>OPEN_INT</t>
        </is>
      </c>
      <c r="HY3" s="5" t="inlineStr">
        <is>
          <t>IVOL_MID</t>
        </is>
      </c>
      <c r="HZ3" s="5" t="inlineStr">
        <is>
          <t>IVOL_BID</t>
        </is>
      </c>
      <c r="IA3" s="5" t="inlineStr">
        <is>
          <t>IVOL_ASK</t>
        </is>
      </c>
      <c r="IB3" s="5" t="inlineStr">
        <is>
          <t>DELTA_MID</t>
        </is>
      </c>
      <c r="IC3" s="5" t="inlineStr">
        <is>
          <t>GAMMA_MID</t>
        </is>
      </c>
      <c r="ID3" s="5" t="inlineStr">
        <is>
          <t>VEGA_MID</t>
        </is>
      </c>
      <c r="IE3" s="5" t="inlineStr">
        <is>
          <t>THETA_MID</t>
        </is>
      </c>
      <c r="IF3" s="5" t="inlineStr">
        <is>
          <t>OPT_UNDL_PX</t>
        </is>
      </c>
      <c r="IH3" s="5" t="inlineStr">
        <is>
          <t>Date</t>
        </is>
      </c>
      <c r="II3" s="5" t="inlineStr">
        <is>
          <t>PX_BID</t>
        </is>
      </c>
      <c r="IJ3" s="5" t="inlineStr">
        <is>
          <t>PX_ASK</t>
        </is>
      </c>
      <c r="IK3" s="5" t="inlineStr">
        <is>
          <t>PX_MID</t>
        </is>
      </c>
      <c r="IL3" s="5" t="inlineStr">
        <is>
          <t>PX_LAST</t>
        </is>
      </c>
      <c r="IM3" s="5" t="inlineStr">
        <is>
          <t>PX_SETTLE</t>
        </is>
      </c>
      <c r="IN3" s="5" t="inlineStr">
        <is>
          <t>PX_VOLUME</t>
        </is>
      </c>
      <c r="IO3" s="5" t="inlineStr">
        <is>
          <t>OPEN_INT</t>
        </is>
      </c>
      <c r="IP3" s="5" t="inlineStr">
        <is>
          <t>IVOL_MID</t>
        </is>
      </c>
      <c r="IQ3" s="5" t="inlineStr">
        <is>
          <t>IVOL_BID</t>
        </is>
      </c>
      <c r="IR3" s="5" t="inlineStr">
        <is>
          <t>IVOL_ASK</t>
        </is>
      </c>
      <c r="IS3" s="5" t="inlineStr">
        <is>
          <t>DELTA_MID</t>
        </is>
      </c>
      <c r="IT3" s="5" t="inlineStr">
        <is>
          <t>GAMMA_MID</t>
        </is>
      </c>
      <c r="IU3" s="5" t="inlineStr">
        <is>
          <t>VEGA_MID</t>
        </is>
      </c>
      <c r="IV3" s="5" t="inlineStr">
        <is>
          <t>THETA_MID</t>
        </is>
      </c>
      <c r="IW3" s="5" t="inlineStr">
        <is>
          <t>OPT_UNDL_PX</t>
        </is>
      </c>
      <c r="IY3" s="5" t="inlineStr">
        <is>
          <t>Date</t>
        </is>
      </c>
      <c r="IZ3" s="5" t="inlineStr">
        <is>
          <t>PX_BID</t>
        </is>
      </c>
      <c r="JA3" s="5" t="inlineStr">
        <is>
          <t>PX_ASK</t>
        </is>
      </c>
      <c r="JB3" s="5" t="inlineStr">
        <is>
          <t>PX_MID</t>
        </is>
      </c>
      <c r="JC3" s="5" t="inlineStr">
        <is>
          <t>PX_LAST</t>
        </is>
      </c>
      <c r="JD3" s="5" t="inlineStr">
        <is>
          <t>PX_SETTLE</t>
        </is>
      </c>
      <c r="JE3" s="5" t="inlineStr">
        <is>
          <t>PX_VOLUME</t>
        </is>
      </c>
      <c r="JF3" s="5" t="inlineStr">
        <is>
          <t>OPEN_INT</t>
        </is>
      </c>
      <c r="JG3" s="5" t="inlineStr">
        <is>
          <t>IVOL_MID</t>
        </is>
      </c>
      <c r="JH3" s="5" t="inlineStr">
        <is>
          <t>IVOL_BID</t>
        </is>
      </c>
      <c r="JI3" s="5" t="inlineStr">
        <is>
          <t>IVOL_ASK</t>
        </is>
      </c>
      <c r="JJ3" s="5" t="inlineStr">
        <is>
          <t>DELTA_MID</t>
        </is>
      </c>
      <c r="JK3" s="5" t="inlineStr">
        <is>
          <t>GAMMA_MID</t>
        </is>
      </c>
      <c r="JL3" s="5" t="inlineStr">
        <is>
          <t>VEGA_MID</t>
        </is>
      </c>
      <c r="JM3" s="5" t="inlineStr">
        <is>
          <t>THETA_MID</t>
        </is>
      </c>
      <c r="JN3" s="5" t="inlineStr">
        <is>
          <t>OPT_UNDL_PX</t>
        </is>
      </c>
      <c r="JP3" s="5" t="inlineStr">
        <is>
          <t>Date</t>
        </is>
      </c>
      <c r="JQ3" s="5" t="inlineStr">
        <is>
          <t>PX_BID</t>
        </is>
      </c>
      <c r="JR3" s="5" t="inlineStr">
        <is>
          <t>PX_ASK</t>
        </is>
      </c>
      <c r="JS3" s="5" t="inlineStr">
        <is>
          <t>PX_MID</t>
        </is>
      </c>
      <c r="JT3" s="5" t="inlineStr">
        <is>
          <t>PX_LAST</t>
        </is>
      </c>
      <c r="JU3" s="5" t="inlineStr">
        <is>
          <t>PX_SETTLE</t>
        </is>
      </c>
      <c r="JV3" s="5" t="inlineStr">
        <is>
          <t>PX_VOLUME</t>
        </is>
      </c>
      <c r="JW3" s="5" t="inlineStr">
        <is>
          <t>OPEN_INT</t>
        </is>
      </c>
      <c r="JX3" s="5" t="inlineStr">
        <is>
          <t>IVOL_MID</t>
        </is>
      </c>
      <c r="JY3" s="5" t="inlineStr">
        <is>
          <t>IVOL_BID</t>
        </is>
      </c>
      <c r="JZ3" s="5" t="inlineStr">
        <is>
          <t>IVOL_ASK</t>
        </is>
      </c>
      <c r="KA3" s="5" t="inlineStr">
        <is>
          <t>DELTA_MID</t>
        </is>
      </c>
      <c r="KB3" s="5" t="inlineStr">
        <is>
          <t>GAMMA_MID</t>
        </is>
      </c>
      <c r="KC3" s="5" t="inlineStr">
        <is>
          <t>VEGA_MID</t>
        </is>
      </c>
      <c r="KD3" s="5" t="inlineStr">
        <is>
          <t>THETA_MID</t>
        </is>
      </c>
      <c r="KE3" s="5" t="inlineStr">
        <is>
          <t>OPT_UNDL_PX</t>
        </is>
      </c>
      <c r="KG3" s="5" t="inlineStr">
        <is>
          <t>Date</t>
        </is>
      </c>
      <c r="KH3" s="5" t="inlineStr">
        <is>
          <t>PX_BID</t>
        </is>
      </c>
      <c r="KI3" s="5" t="inlineStr">
        <is>
          <t>PX_ASK</t>
        </is>
      </c>
      <c r="KJ3" s="5" t="inlineStr">
        <is>
          <t>PX_MID</t>
        </is>
      </c>
      <c r="KK3" s="5" t="inlineStr">
        <is>
          <t>PX_LAST</t>
        </is>
      </c>
      <c r="KL3" s="5" t="inlineStr">
        <is>
          <t>PX_SETTLE</t>
        </is>
      </c>
      <c r="KM3" s="5" t="inlineStr">
        <is>
          <t>PX_VOLUME</t>
        </is>
      </c>
      <c r="KN3" s="5" t="inlineStr">
        <is>
          <t>OPEN_INT</t>
        </is>
      </c>
      <c r="KO3" s="5" t="inlineStr">
        <is>
          <t>IVOL_MID</t>
        </is>
      </c>
      <c r="KP3" s="5" t="inlineStr">
        <is>
          <t>IVOL_BID</t>
        </is>
      </c>
      <c r="KQ3" s="5" t="inlineStr">
        <is>
          <t>IVOL_ASK</t>
        </is>
      </c>
      <c r="KR3" s="5" t="inlineStr">
        <is>
          <t>DELTA_MID</t>
        </is>
      </c>
      <c r="KS3" s="5" t="inlineStr">
        <is>
          <t>GAMMA_MID</t>
        </is>
      </c>
      <c r="KT3" s="5" t="inlineStr">
        <is>
          <t>VEGA_MID</t>
        </is>
      </c>
      <c r="KU3" s="5" t="inlineStr">
        <is>
          <t>THETA_MID</t>
        </is>
      </c>
      <c r="KV3" s="5" t="inlineStr">
        <is>
          <t>OPT_UNDL_PX</t>
        </is>
      </c>
      <c r="KX3" s="5" t="inlineStr">
        <is>
          <t>Date</t>
        </is>
      </c>
      <c r="KY3" s="5" t="inlineStr">
        <is>
          <t>PX_BID</t>
        </is>
      </c>
      <c r="KZ3" s="5" t="inlineStr">
        <is>
          <t>PX_ASK</t>
        </is>
      </c>
      <c r="LA3" s="5" t="inlineStr">
        <is>
          <t>PX_MID</t>
        </is>
      </c>
      <c r="LB3" s="5" t="inlineStr">
        <is>
          <t>PX_LAST</t>
        </is>
      </c>
      <c r="LC3" s="5" t="inlineStr">
        <is>
          <t>PX_SETTLE</t>
        </is>
      </c>
      <c r="LD3" s="5" t="inlineStr">
        <is>
          <t>PX_VOLUME</t>
        </is>
      </c>
      <c r="LE3" s="5" t="inlineStr">
        <is>
          <t>OPEN_INT</t>
        </is>
      </c>
      <c r="LF3" s="5" t="inlineStr">
        <is>
          <t>IVOL_MID</t>
        </is>
      </c>
      <c r="LG3" s="5" t="inlineStr">
        <is>
          <t>IVOL_BID</t>
        </is>
      </c>
      <c r="LH3" s="5" t="inlineStr">
        <is>
          <t>IVOL_ASK</t>
        </is>
      </c>
      <c r="LI3" s="5" t="inlineStr">
        <is>
          <t>DELTA_MID</t>
        </is>
      </c>
      <c r="LJ3" s="5" t="inlineStr">
        <is>
          <t>GAMMA_MID</t>
        </is>
      </c>
      <c r="LK3" s="5" t="inlineStr">
        <is>
          <t>VEGA_MID</t>
        </is>
      </c>
      <c r="LL3" s="5" t="inlineStr">
        <is>
          <t>THETA_MID</t>
        </is>
      </c>
      <c r="LM3" s="5" t="inlineStr">
        <is>
          <t>OPT_UNDL_PX</t>
        </is>
      </c>
      <c r="LO3" s="5" t="inlineStr">
        <is>
          <t>Date</t>
        </is>
      </c>
      <c r="LP3" s="5" t="inlineStr">
        <is>
          <t>PX_BID</t>
        </is>
      </c>
      <c r="LQ3" s="5" t="inlineStr">
        <is>
          <t>PX_ASK</t>
        </is>
      </c>
      <c r="LR3" s="5" t="inlineStr">
        <is>
          <t>PX_MID</t>
        </is>
      </c>
      <c r="LS3" s="5" t="inlineStr">
        <is>
          <t>PX_LAST</t>
        </is>
      </c>
      <c r="LT3" s="5" t="inlineStr">
        <is>
          <t>PX_SETTLE</t>
        </is>
      </c>
      <c r="LU3" s="5" t="inlineStr">
        <is>
          <t>PX_VOLUME</t>
        </is>
      </c>
      <c r="LV3" s="5" t="inlineStr">
        <is>
          <t>OPEN_INT</t>
        </is>
      </c>
      <c r="LW3" s="5" t="inlineStr">
        <is>
          <t>IVOL_MID</t>
        </is>
      </c>
      <c r="LX3" s="5" t="inlineStr">
        <is>
          <t>IVOL_BID</t>
        </is>
      </c>
      <c r="LY3" s="5" t="inlineStr">
        <is>
          <t>IVOL_ASK</t>
        </is>
      </c>
      <c r="LZ3" s="5" t="inlineStr">
        <is>
          <t>DELTA_MID</t>
        </is>
      </c>
      <c r="MA3" s="5" t="inlineStr">
        <is>
          <t>GAMMA_MID</t>
        </is>
      </c>
      <c r="MB3" s="5" t="inlineStr">
        <is>
          <t>VEGA_MID</t>
        </is>
      </c>
      <c r="MC3" s="5" t="inlineStr">
        <is>
          <t>THETA_MID</t>
        </is>
      </c>
      <c r="MD3" s="5" t="inlineStr">
        <is>
          <t>OPT_UNDL_PX</t>
        </is>
      </c>
      <c r="MF3" s="5" t="inlineStr">
        <is>
          <t>Date</t>
        </is>
      </c>
      <c r="MG3" s="5" t="inlineStr">
        <is>
          <t>PX_BID</t>
        </is>
      </c>
      <c r="MH3" s="5" t="inlineStr">
        <is>
          <t>PX_ASK</t>
        </is>
      </c>
      <c r="MI3" s="5" t="inlineStr">
        <is>
          <t>PX_MID</t>
        </is>
      </c>
      <c r="MJ3" s="5" t="inlineStr">
        <is>
          <t>PX_LAST</t>
        </is>
      </c>
      <c r="MK3" s="5" t="inlineStr">
        <is>
          <t>PX_SETTLE</t>
        </is>
      </c>
      <c r="ML3" s="5" t="inlineStr">
        <is>
          <t>PX_VOLUME</t>
        </is>
      </c>
      <c r="MM3" s="5" t="inlineStr">
        <is>
          <t>OPEN_INT</t>
        </is>
      </c>
      <c r="MN3" s="5" t="inlineStr">
        <is>
          <t>IVOL_MID</t>
        </is>
      </c>
      <c r="MO3" s="5" t="inlineStr">
        <is>
          <t>IVOL_BID</t>
        </is>
      </c>
      <c r="MP3" s="5" t="inlineStr">
        <is>
          <t>IVOL_ASK</t>
        </is>
      </c>
      <c r="MQ3" s="5" t="inlineStr">
        <is>
          <t>DELTA_MID</t>
        </is>
      </c>
      <c r="MR3" s="5" t="inlineStr">
        <is>
          <t>GAMMA_MID</t>
        </is>
      </c>
      <c r="MS3" s="5" t="inlineStr">
        <is>
          <t>VEGA_MID</t>
        </is>
      </c>
      <c r="MT3" s="5" t="inlineStr">
        <is>
          <t>THETA_MID</t>
        </is>
      </c>
      <c r="MU3" s="5" t="inlineStr">
        <is>
          <t>OPT_UNDL_PX</t>
        </is>
      </c>
      <c r="MW3" s="5" t="inlineStr">
        <is>
          <t>Date</t>
        </is>
      </c>
      <c r="MX3" s="5" t="inlineStr">
        <is>
          <t>PX_BID</t>
        </is>
      </c>
      <c r="MY3" s="5" t="inlineStr">
        <is>
          <t>PX_ASK</t>
        </is>
      </c>
      <c r="MZ3" s="5" t="inlineStr">
        <is>
          <t>PX_MID</t>
        </is>
      </c>
      <c r="NA3" s="5" t="inlineStr">
        <is>
          <t>PX_LAST</t>
        </is>
      </c>
      <c r="NB3" s="5" t="inlineStr">
        <is>
          <t>PX_SETTLE</t>
        </is>
      </c>
      <c r="NC3" s="5" t="inlineStr">
        <is>
          <t>PX_VOLUME</t>
        </is>
      </c>
      <c r="ND3" s="5" t="inlineStr">
        <is>
          <t>OPEN_INT</t>
        </is>
      </c>
      <c r="NE3" s="5" t="inlineStr">
        <is>
          <t>IVOL_MID</t>
        </is>
      </c>
      <c r="NF3" s="5" t="inlineStr">
        <is>
          <t>IVOL_BID</t>
        </is>
      </c>
      <c r="NG3" s="5" t="inlineStr">
        <is>
          <t>IVOL_ASK</t>
        </is>
      </c>
      <c r="NH3" s="5" t="inlineStr">
        <is>
          <t>DELTA_MID</t>
        </is>
      </c>
      <c r="NI3" s="5" t="inlineStr">
        <is>
          <t>GAMMA_MID</t>
        </is>
      </c>
      <c r="NJ3" s="5" t="inlineStr">
        <is>
          <t>VEGA_MID</t>
        </is>
      </c>
      <c r="NK3" s="5" t="inlineStr">
        <is>
          <t>THETA_MID</t>
        </is>
      </c>
      <c r="NL3" s="5" t="inlineStr">
        <is>
          <t>OPT_UNDL_PX</t>
        </is>
      </c>
    </row>
    <row r="4">
      <c r="A4" s="2" t="inlineStr">
        <is>
          <t>Strike reference date</t>
        </is>
      </c>
      <c r="B4" s="8">
        <f>B3-45</f>
        <v/>
      </c>
      <c r="D4" s="4">
        <f>BDH(D$1,E$3:S$3,$B$8,$B$9,"Dir=V","Dts=S","Sort=A","Days=T","Fill=B")</f>
        <v/>
      </c>
      <c r="U4" s="4">
        <f>BDH(U$1,V$3:AJ$3,$B$8,$B$9,"Dir=V","Dts=S","Sort=A","Days=T","Fill=B")</f>
        <v/>
      </c>
      <c r="AL4" s="4">
        <f>BDH(AL$1,AM$3:BA$3,$B$8,$B$9,"Dir=V","Dts=S","Sort=A","Days=T","Fill=B")</f>
        <v/>
      </c>
      <c r="BC4" s="4">
        <f>BDH(BC$1,BD$3:BR$3,$B$8,$B$9,"Dir=V","Dts=S","Sort=A","Days=T","Fill=B")</f>
        <v/>
      </c>
      <c r="BT4" s="4">
        <f>BDH(BT$1,BU$3:CI$3,$B$8,$B$9,"Dir=V","Dts=S","Sort=A","Days=T","Fill=B")</f>
        <v/>
      </c>
      <c r="CK4" s="4">
        <f>BDH(CK$1,CL$3:CZ$3,$B$8,$B$9,"Dir=V","Dts=S","Sort=A","Days=T","Fill=B")</f>
        <v/>
      </c>
      <c r="DB4" s="4">
        <f>BDH(DB$1,DC$3:DQ$3,$B$8,$B$9,"Dir=V","Dts=S","Sort=A","Days=T","Fill=B")</f>
        <v/>
      </c>
      <c r="DS4" s="4">
        <f>BDH(DS$1,DT$3:EH$3,$B$8,$B$9,"Dir=V","Dts=S","Sort=A","Days=T","Fill=B")</f>
        <v/>
      </c>
      <c r="EJ4" s="4">
        <f>BDH(EJ$1,EK$3:EY$3,$B$8,$B$9,"Dir=V","Dts=S","Sort=A","Days=T","Fill=B")</f>
        <v/>
      </c>
      <c r="FA4" s="4">
        <f>BDH(FA$1,FB$3:FP$3,$B$8,$B$9,"Dir=V","Dts=S","Sort=A","Days=T","Fill=B")</f>
        <v/>
      </c>
      <c r="FR4" s="4">
        <f>BDH(FR$1,FS$3:GG$3,$B$8,$B$9,"Dir=V","Dts=S","Sort=A","Days=T","Fill=B")</f>
        <v/>
      </c>
      <c r="GI4" s="4">
        <f>BDH(GI$1,GJ$3:GX$3,$B$8,$B$9,"Dir=V","Dts=S","Sort=A","Days=T","Fill=B")</f>
        <v/>
      </c>
      <c r="GZ4" s="4">
        <f>BDH(GZ$1,HA$3:HO$3,$B$8,$B$9,"Dir=V","Dts=S","Sort=A","Days=T","Fill=B")</f>
        <v/>
      </c>
      <c r="HQ4" s="4">
        <f>BDH(HQ$1,HR$3:IF$3,$B$8,$B$9,"Dir=V","Dts=S","Sort=A","Days=T","Fill=B")</f>
        <v/>
      </c>
      <c r="IH4" s="4">
        <f>BDH(IH$1,II$3:IW$3,$B$8,$B$9,"Dir=V","Dts=S","Sort=A","Days=T","Fill=B")</f>
        <v/>
      </c>
      <c r="IY4" s="4">
        <f>BDH(IY$1,IZ$3:JN$3,$B$8,$B$9,"Dir=V","Dts=S","Sort=A","Days=T","Fill=B")</f>
        <v/>
      </c>
      <c r="JP4" s="4">
        <f>BDH(JP$1,JQ$3:KE$3,$B$8,$B$9,"Dir=V","Dts=S","Sort=A","Days=T","Fill=B")</f>
        <v/>
      </c>
      <c r="KG4" s="4">
        <f>BDH(KG$1,KH$3:KV$3,$B$8,$B$9,"Dir=V","Dts=S","Sort=A","Days=T","Fill=B")</f>
        <v/>
      </c>
      <c r="KX4" s="4">
        <f>BDH(KX$1,KY$3:LM$3,$B$8,$B$9,"Dir=V","Dts=S","Sort=A","Days=T","Fill=B")</f>
        <v/>
      </c>
      <c r="LO4" s="4">
        <f>BDH(LO$1,LP$3:MD$3,$B$8,$B$9,"Dir=V","Dts=S","Sort=A","Days=T","Fill=B")</f>
        <v/>
      </c>
      <c r="MF4" s="4">
        <f>BDH(MF$1,MG$3:MU$3,$B$8,$B$9,"Dir=V","Dts=S","Sort=A","Days=T","Fill=B")</f>
        <v/>
      </c>
      <c r="MW4" s="4">
        <f>BDH(MW$1,MX$3:NL$3,$B$8,$B$9,"Dir=V","Dts=S","Sort=A","Days=T","Fill=B")</f>
        <v/>
      </c>
    </row>
    <row r="5">
      <c r="A5" s="2" t="inlineStr">
        <is>
          <t>Unadjusted close then</t>
        </is>
      </c>
      <c r="B5" s="10">
        <f>IF(B2="","",BDH(B2,"PX_LAST",B4,B4,"Days=A","Fill=P","Dts=H","CshAdjNormal=N","CshAdjAbnormal=N","CapChg=N"))</f>
        <v/>
      </c>
    </row>
    <row r="6">
      <c r="A6" s="2" t="inlineStr">
        <is>
          <t>Strike step</t>
        </is>
      </c>
      <c r="B6" s="11">
        <f>IF(ISNUMBER(B5),IF(B5&lt;25,0.5,IF(B5&lt;250,1,5)),"")</f>
        <v/>
      </c>
    </row>
    <row r="7">
      <c r="A7" s="2" t="inlineStr">
        <is>
          <t>ATM strike</t>
        </is>
      </c>
      <c r="B7" s="11">
        <f>IF(ISNUMBER(B5),ROUND(B5/B6,0)*B6,"")</f>
        <v/>
      </c>
    </row>
    <row r="8">
      <c r="A8" s="2" t="inlineStr">
        <is>
          <t>History start</t>
        </is>
      </c>
      <c r="B8" s="8">
        <f>B3-100</f>
        <v/>
      </c>
    </row>
    <row r="9">
      <c r="A9" s="2" t="inlineStr">
        <is>
          <t>History end</t>
        </is>
      </c>
      <c r="B9" s="8">
        <f>B3</f>
        <v/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NL9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2" customWidth="1" min="2" max="2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1" customWidth="1" min="15" max="15"/>
    <col width="11" customWidth="1" min="16" max="16"/>
    <col width="10" customWidth="1" min="17" max="17"/>
    <col width="11" customWidth="1" min="18" max="18"/>
    <col width="13" customWidth="1" min="19" max="19"/>
    <col width="12" customWidth="1" min="21" max="21"/>
    <col width="10" customWidth="1" min="22" max="22"/>
    <col width="10" customWidth="1" min="23" max="23"/>
    <col width="10" customWidth="1" min="24" max="24"/>
    <col width="10" customWidth="1" min="25" max="25"/>
    <col width="11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1" customWidth="1" min="32" max="32"/>
    <col width="11" customWidth="1" min="33" max="33"/>
    <col width="10" customWidth="1" min="34" max="34"/>
    <col width="11" customWidth="1" min="35" max="35"/>
    <col width="13" customWidth="1" min="36" max="36"/>
    <col width="12" customWidth="1" min="38" max="38"/>
    <col width="10" customWidth="1" min="39" max="39"/>
    <col width="10" customWidth="1" min="40" max="40"/>
    <col width="10" customWidth="1" min="41" max="41"/>
    <col width="10" customWidth="1" min="42" max="42"/>
    <col width="11" customWidth="1" min="43" max="43"/>
    <col width="11" customWidth="1" min="44" max="44"/>
    <col width="10" customWidth="1" min="45" max="45"/>
    <col width="10" customWidth="1" min="46" max="46"/>
    <col width="10" customWidth="1" min="47" max="47"/>
    <col width="10" customWidth="1" min="48" max="48"/>
    <col width="11" customWidth="1" min="49" max="49"/>
    <col width="11" customWidth="1" min="50" max="50"/>
    <col width="10" customWidth="1" min="51" max="51"/>
    <col width="11" customWidth="1" min="52" max="52"/>
    <col width="13" customWidth="1" min="53" max="53"/>
    <col width="12" customWidth="1" min="55" max="55"/>
    <col width="10" customWidth="1" min="56" max="56"/>
    <col width="10" customWidth="1" min="57" max="57"/>
    <col width="10" customWidth="1" min="58" max="58"/>
    <col width="10" customWidth="1" min="59" max="59"/>
    <col width="11" customWidth="1" min="60" max="60"/>
    <col width="11" customWidth="1" min="61" max="61"/>
    <col width="10" customWidth="1" min="62" max="62"/>
    <col width="10" customWidth="1" min="63" max="63"/>
    <col width="10" customWidth="1" min="64" max="64"/>
    <col width="10" customWidth="1" min="65" max="65"/>
    <col width="11" customWidth="1" min="66" max="66"/>
    <col width="11" customWidth="1" min="67" max="67"/>
    <col width="10" customWidth="1" min="68" max="68"/>
    <col width="11" customWidth="1" min="69" max="69"/>
    <col width="13" customWidth="1" min="70" max="70"/>
    <col width="12" customWidth="1" min="72" max="72"/>
    <col width="10" customWidth="1" min="73" max="73"/>
    <col width="10" customWidth="1" min="74" max="74"/>
    <col width="10" customWidth="1" min="75" max="75"/>
    <col width="10" customWidth="1" min="76" max="76"/>
    <col width="11" customWidth="1" min="77" max="77"/>
    <col width="11" customWidth="1" min="78" max="78"/>
    <col width="10" customWidth="1" min="79" max="79"/>
    <col width="10" customWidth="1" min="80" max="80"/>
    <col width="10" customWidth="1" min="81" max="81"/>
    <col width="10" customWidth="1" min="82" max="82"/>
    <col width="11" customWidth="1" min="83" max="83"/>
    <col width="11" customWidth="1" min="84" max="84"/>
    <col width="10" customWidth="1" min="85" max="85"/>
    <col width="11" customWidth="1" min="86" max="86"/>
    <col width="13" customWidth="1" min="87" max="87"/>
    <col width="12" customWidth="1" min="89" max="89"/>
    <col width="10" customWidth="1" min="90" max="90"/>
    <col width="10" customWidth="1" min="91" max="91"/>
    <col width="10" customWidth="1" min="92" max="92"/>
    <col width="10" customWidth="1" min="93" max="93"/>
    <col width="11" customWidth="1" min="94" max="94"/>
    <col width="11" customWidth="1" min="95" max="95"/>
    <col width="10" customWidth="1" min="96" max="96"/>
    <col width="10" customWidth="1" min="97" max="97"/>
    <col width="10" customWidth="1" min="98" max="98"/>
    <col width="10" customWidth="1" min="99" max="99"/>
    <col width="11" customWidth="1" min="100" max="100"/>
    <col width="11" customWidth="1" min="101" max="101"/>
    <col width="10" customWidth="1" min="102" max="102"/>
    <col width="11" customWidth="1" min="103" max="103"/>
    <col width="13" customWidth="1" min="104" max="104"/>
    <col width="12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1" customWidth="1" min="111" max="111"/>
    <col width="11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1" customWidth="1" min="117" max="117"/>
    <col width="11" customWidth="1" min="118" max="118"/>
    <col width="10" customWidth="1" min="119" max="119"/>
    <col width="11" customWidth="1" min="120" max="120"/>
    <col width="13" customWidth="1" min="121" max="121"/>
    <col width="12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1" customWidth="1" min="128" max="128"/>
    <col width="11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1" customWidth="1" min="134" max="134"/>
    <col width="11" customWidth="1" min="135" max="135"/>
    <col width="10" customWidth="1" min="136" max="136"/>
    <col width="11" customWidth="1" min="137" max="137"/>
    <col width="13" customWidth="1" min="138" max="138"/>
    <col width="12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1" customWidth="1" min="145" max="145"/>
    <col width="11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1" customWidth="1" min="151" max="151"/>
    <col width="11" customWidth="1" min="152" max="152"/>
    <col width="10" customWidth="1" min="153" max="153"/>
    <col width="11" customWidth="1" min="154" max="154"/>
    <col width="13" customWidth="1" min="155" max="155"/>
    <col width="12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1" customWidth="1" min="162" max="162"/>
    <col width="11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1" customWidth="1" min="168" max="168"/>
    <col width="11" customWidth="1" min="169" max="169"/>
    <col width="10" customWidth="1" min="170" max="170"/>
    <col width="11" customWidth="1" min="171" max="171"/>
    <col width="13" customWidth="1" min="172" max="172"/>
    <col width="12" customWidth="1" min="174" max="174"/>
    <col width="10" customWidth="1" min="175" max="175"/>
    <col width="10" customWidth="1" min="176" max="176"/>
    <col width="10" customWidth="1" min="177" max="177"/>
    <col width="10" customWidth="1" min="178" max="178"/>
    <col width="11" customWidth="1" min="179" max="179"/>
    <col width="11" customWidth="1" min="180" max="180"/>
    <col width="10" customWidth="1" min="181" max="181"/>
    <col width="10" customWidth="1" min="182" max="182"/>
    <col width="10" customWidth="1" min="183" max="183"/>
    <col width="10" customWidth="1" min="184" max="184"/>
    <col width="11" customWidth="1" min="185" max="185"/>
    <col width="11" customWidth="1" min="186" max="186"/>
    <col width="10" customWidth="1" min="187" max="187"/>
    <col width="11" customWidth="1" min="188" max="188"/>
    <col width="13" customWidth="1" min="189" max="189"/>
    <col width="12" customWidth="1" min="191" max="191"/>
    <col width="10" customWidth="1" min="192" max="192"/>
    <col width="10" customWidth="1" min="193" max="193"/>
    <col width="10" customWidth="1" min="194" max="194"/>
    <col width="10" customWidth="1" min="195" max="195"/>
    <col width="11" customWidth="1" min="196" max="196"/>
    <col width="11" customWidth="1" min="197" max="197"/>
    <col width="10" customWidth="1" min="198" max="198"/>
    <col width="10" customWidth="1" min="199" max="199"/>
    <col width="10" customWidth="1" min="200" max="200"/>
    <col width="10" customWidth="1" min="201" max="201"/>
    <col width="11" customWidth="1" min="202" max="202"/>
    <col width="11" customWidth="1" min="203" max="203"/>
    <col width="10" customWidth="1" min="204" max="204"/>
    <col width="11" customWidth="1" min="205" max="205"/>
    <col width="13" customWidth="1" min="206" max="206"/>
    <col width="12" customWidth="1" min="208" max="208"/>
    <col width="10" customWidth="1" min="209" max="209"/>
    <col width="10" customWidth="1" min="210" max="210"/>
    <col width="10" customWidth="1" min="211" max="211"/>
    <col width="10" customWidth="1" min="212" max="212"/>
    <col width="11" customWidth="1" min="213" max="213"/>
    <col width="11" customWidth="1" min="214" max="214"/>
    <col width="10" customWidth="1" min="215" max="215"/>
    <col width="10" customWidth="1" min="216" max="216"/>
    <col width="10" customWidth="1" min="217" max="217"/>
    <col width="10" customWidth="1" min="218" max="218"/>
    <col width="11" customWidth="1" min="219" max="219"/>
    <col width="11" customWidth="1" min="220" max="220"/>
    <col width="10" customWidth="1" min="221" max="221"/>
    <col width="11" customWidth="1" min="222" max="222"/>
    <col width="13" customWidth="1" min="223" max="223"/>
    <col width="12" customWidth="1" min="225" max="225"/>
    <col width="10" customWidth="1" min="226" max="226"/>
    <col width="10" customWidth="1" min="227" max="227"/>
    <col width="10" customWidth="1" min="228" max="228"/>
    <col width="10" customWidth="1" min="229" max="229"/>
    <col width="11" customWidth="1" min="230" max="230"/>
    <col width="11" customWidth="1" min="231" max="231"/>
    <col width="10" customWidth="1" min="232" max="232"/>
    <col width="10" customWidth="1" min="233" max="233"/>
    <col width="10" customWidth="1" min="234" max="234"/>
    <col width="10" customWidth="1" min="235" max="235"/>
    <col width="11" customWidth="1" min="236" max="236"/>
    <col width="11" customWidth="1" min="237" max="237"/>
    <col width="10" customWidth="1" min="238" max="238"/>
    <col width="11" customWidth="1" min="239" max="239"/>
    <col width="13" customWidth="1" min="240" max="240"/>
    <col width="12" customWidth="1" min="242" max="242"/>
    <col width="10" customWidth="1" min="243" max="243"/>
    <col width="10" customWidth="1" min="244" max="244"/>
    <col width="10" customWidth="1" min="245" max="245"/>
    <col width="10" customWidth="1" min="246" max="246"/>
    <col width="11" customWidth="1" min="247" max="247"/>
    <col width="11" customWidth="1" min="248" max="248"/>
    <col width="10" customWidth="1" min="249" max="249"/>
    <col width="10" customWidth="1" min="250" max="250"/>
    <col width="10" customWidth="1" min="251" max="251"/>
    <col width="10" customWidth="1" min="252" max="252"/>
    <col width="11" customWidth="1" min="253" max="253"/>
    <col width="11" customWidth="1" min="254" max="254"/>
    <col width="10" customWidth="1" min="255" max="255"/>
    <col width="11" customWidth="1" min="256" max="256"/>
    <col width="13" customWidth="1" min="257" max="257"/>
    <col width="12" customWidth="1" min="259" max="259"/>
    <col width="10" customWidth="1" min="260" max="260"/>
    <col width="10" customWidth="1" min="261" max="261"/>
    <col width="10" customWidth="1" min="262" max="262"/>
    <col width="10" customWidth="1" min="263" max="263"/>
    <col width="11" customWidth="1" min="264" max="264"/>
    <col width="11" customWidth="1" min="265" max="265"/>
    <col width="10" customWidth="1" min="266" max="266"/>
    <col width="10" customWidth="1" min="267" max="267"/>
    <col width="10" customWidth="1" min="268" max="268"/>
    <col width="10" customWidth="1" min="269" max="269"/>
    <col width="11" customWidth="1" min="270" max="270"/>
    <col width="11" customWidth="1" min="271" max="271"/>
    <col width="10" customWidth="1" min="272" max="272"/>
    <col width="11" customWidth="1" min="273" max="273"/>
    <col width="13" customWidth="1" min="274" max="274"/>
    <col width="12" customWidth="1" min="276" max="276"/>
    <col width="10" customWidth="1" min="277" max="277"/>
    <col width="10" customWidth="1" min="278" max="278"/>
    <col width="10" customWidth="1" min="279" max="279"/>
    <col width="10" customWidth="1" min="280" max="280"/>
    <col width="11" customWidth="1" min="281" max="281"/>
    <col width="11" customWidth="1" min="282" max="282"/>
    <col width="10" customWidth="1" min="283" max="283"/>
    <col width="10" customWidth="1" min="284" max="284"/>
    <col width="10" customWidth="1" min="285" max="285"/>
    <col width="10" customWidth="1" min="286" max="286"/>
    <col width="11" customWidth="1" min="287" max="287"/>
    <col width="11" customWidth="1" min="288" max="288"/>
    <col width="10" customWidth="1" min="289" max="289"/>
    <col width="11" customWidth="1" min="290" max="290"/>
    <col width="13" customWidth="1" min="291" max="291"/>
    <col width="12" customWidth="1" min="293" max="293"/>
    <col width="10" customWidth="1" min="294" max="294"/>
    <col width="10" customWidth="1" min="295" max="295"/>
    <col width="10" customWidth="1" min="296" max="296"/>
    <col width="10" customWidth="1" min="297" max="297"/>
    <col width="11" customWidth="1" min="298" max="298"/>
    <col width="11" customWidth="1" min="299" max="299"/>
    <col width="10" customWidth="1" min="300" max="300"/>
    <col width="10" customWidth="1" min="301" max="301"/>
    <col width="10" customWidth="1" min="302" max="302"/>
    <col width="10" customWidth="1" min="303" max="303"/>
    <col width="11" customWidth="1" min="304" max="304"/>
    <col width="11" customWidth="1" min="305" max="305"/>
    <col width="10" customWidth="1" min="306" max="306"/>
    <col width="11" customWidth="1" min="307" max="307"/>
    <col width="13" customWidth="1" min="308" max="308"/>
    <col width="12" customWidth="1" min="310" max="310"/>
    <col width="10" customWidth="1" min="311" max="311"/>
    <col width="10" customWidth="1" min="312" max="312"/>
    <col width="10" customWidth="1" min="313" max="313"/>
    <col width="10" customWidth="1" min="314" max="314"/>
    <col width="11" customWidth="1" min="315" max="315"/>
    <col width="11" customWidth="1" min="316" max="316"/>
    <col width="10" customWidth="1" min="317" max="317"/>
    <col width="10" customWidth="1" min="318" max="318"/>
    <col width="10" customWidth="1" min="319" max="319"/>
    <col width="10" customWidth="1" min="320" max="320"/>
    <col width="11" customWidth="1" min="321" max="321"/>
    <col width="11" customWidth="1" min="322" max="322"/>
    <col width="10" customWidth="1" min="323" max="323"/>
    <col width="11" customWidth="1" min="324" max="324"/>
    <col width="13" customWidth="1" min="325" max="325"/>
    <col width="12" customWidth="1" min="327" max="327"/>
    <col width="10" customWidth="1" min="328" max="328"/>
    <col width="10" customWidth="1" min="329" max="329"/>
    <col width="10" customWidth="1" min="330" max="330"/>
    <col width="10" customWidth="1" min="331" max="331"/>
    <col width="11" customWidth="1" min="332" max="332"/>
    <col width="11" customWidth="1" min="333" max="333"/>
    <col width="10" customWidth="1" min="334" max="334"/>
    <col width="10" customWidth="1" min="335" max="335"/>
    <col width="10" customWidth="1" min="336" max="336"/>
    <col width="10" customWidth="1" min="337" max="337"/>
    <col width="11" customWidth="1" min="338" max="338"/>
    <col width="11" customWidth="1" min="339" max="339"/>
    <col width="10" customWidth="1" min="340" max="340"/>
    <col width="11" customWidth="1" min="341" max="341"/>
    <col width="13" customWidth="1" min="342" max="342"/>
    <col width="12" customWidth="1" min="344" max="344"/>
    <col width="10" customWidth="1" min="345" max="345"/>
    <col width="10" customWidth="1" min="346" max="346"/>
    <col width="10" customWidth="1" min="347" max="347"/>
    <col width="10" customWidth="1" min="348" max="348"/>
    <col width="11" customWidth="1" min="349" max="349"/>
    <col width="11" customWidth="1" min="350" max="350"/>
    <col width="10" customWidth="1" min="351" max="351"/>
    <col width="10" customWidth="1" min="352" max="352"/>
    <col width="10" customWidth="1" min="353" max="353"/>
    <col width="10" customWidth="1" min="354" max="354"/>
    <col width="11" customWidth="1" min="355" max="355"/>
    <col width="11" customWidth="1" min="356" max="356"/>
    <col width="10" customWidth="1" min="357" max="357"/>
    <col width="11" customWidth="1" min="358" max="358"/>
    <col width="13" customWidth="1" min="359" max="359"/>
    <col width="12" customWidth="1" min="361" max="361"/>
    <col width="10" customWidth="1" min="362" max="362"/>
    <col width="10" customWidth="1" min="363" max="363"/>
    <col width="10" customWidth="1" min="364" max="364"/>
    <col width="10" customWidth="1" min="365" max="365"/>
    <col width="11" customWidth="1" min="366" max="366"/>
    <col width="11" customWidth="1" min="367" max="367"/>
    <col width="10" customWidth="1" min="368" max="368"/>
    <col width="10" customWidth="1" min="369" max="369"/>
    <col width="10" customWidth="1" min="370" max="370"/>
    <col width="10" customWidth="1" min="371" max="371"/>
    <col width="11" customWidth="1" min="372" max="372"/>
    <col width="11" customWidth="1" min="373" max="373"/>
    <col width="10" customWidth="1" min="374" max="374"/>
    <col width="11" customWidth="1" min="375" max="375"/>
    <col width="13" customWidth="1" min="376" max="376"/>
  </cols>
  <sheetData>
    <row r="1">
      <c r="A1" s="2" t="inlineStr">
        <is>
          <t>Month</t>
        </is>
      </c>
      <c r="B1" s="9" t="n">
        <v>2</v>
      </c>
      <c r="D1" s="2">
        <f>IF(ISNUMBER(B$7),"OXY US "&amp;TEXT(B$3,"mm/dd/yy")&amp;" C"&amp;(B$7-5*B$6)&amp;" Equity","")</f>
        <v/>
      </c>
      <c r="U1" s="2">
        <f>IF(ISNUMBER(B$7),"OXY US "&amp;TEXT(B$3,"mm/dd/yy")&amp;" P"&amp;(B$7-5*B$6)&amp;" Equity","")</f>
        <v/>
      </c>
      <c r="AL1" s="2">
        <f>IF(ISNUMBER(B$7),"OXY US "&amp;TEXT(B$3,"mm/dd/yy")&amp;" C"&amp;(B$7-4*B$6)&amp;" Equity","")</f>
        <v/>
      </c>
      <c r="BC1" s="2">
        <f>IF(ISNUMBER(B$7),"OXY US "&amp;TEXT(B$3,"mm/dd/yy")&amp;" P"&amp;(B$7-4*B$6)&amp;" Equity","")</f>
        <v/>
      </c>
      <c r="BT1" s="2">
        <f>IF(ISNUMBER(B$7),"OXY US "&amp;TEXT(B$3,"mm/dd/yy")&amp;" C"&amp;(B$7-3*B$6)&amp;" Equity","")</f>
        <v/>
      </c>
      <c r="CK1" s="2">
        <f>IF(ISNUMBER(B$7),"OXY US "&amp;TEXT(B$3,"mm/dd/yy")&amp;" P"&amp;(B$7-3*B$6)&amp;" Equity","")</f>
        <v/>
      </c>
      <c r="DB1" s="2">
        <f>IF(ISNUMBER(B$7),"OXY US "&amp;TEXT(B$3,"mm/dd/yy")&amp;" C"&amp;(B$7-2*B$6)&amp;" Equity","")</f>
        <v/>
      </c>
      <c r="DS1" s="2">
        <f>IF(ISNUMBER(B$7),"OXY US "&amp;TEXT(B$3,"mm/dd/yy")&amp;" P"&amp;(B$7-2*B$6)&amp;" Equity","")</f>
        <v/>
      </c>
      <c r="EJ1" s="2">
        <f>IF(ISNUMBER(B$7),"OXY US "&amp;TEXT(B$3,"mm/dd/yy")&amp;" C"&amp;(B$7-1*B$6)&amp;" Equity","")</f>
        <v/>
      </c>
      <c r="FA1" s="2">
        <f>IF(ISNUMBER(B$7),"OXY US "&amp;TEXT(B$3,"mm/dd/yy")&amp;" P"&amp;(B$7-1*B$6)&amp;" Equity","")</f>
        <v/>
      </c>
      <c r="FR1" s="2">
        <f>IF(ISNUMBER(B$7),"OXY US "&amp;TEXT(B$3,"mm/dd/yy")&amp;" C"&amp;B$7&amp;" Equity","")</f>
        <v/>
      </c>
      <c r="GI1" s="2">
        <f>IF(ISNUMBER(B$7),"OXY US "&amp;TEXT(B$3,"mm/dd/yy")&amp;" P"&amp;B$7&amp;" Equity","")</f>
        <v/>
      </c>
      <c r="GZ1" s="2">
        <f>IF(ISNUMBER(B$7),"OXY US "&amp;TEXT(B$3,"mm/dd/yy")&amp;" C"&amp;(B$7+1*B$6)&amp;" Equity","")</f>
        <v/>
      </c>
      <c r="HQ1" s="2">
        <f>IF(ISNUMBER(B$7),"OXY US "&amp;TEXT(B$3,"mm/dd/yy")&amp;" P"&amp;(B$7+1*B$6)&amp;" Equity","")</f>
        <v/>
      </c>
      <c r="IH1" s="2">
        <f>IF(ISNUMBER(B$7),"OXY US "&amp;TEXT(B$3,"mm/dd/yy")&amp;" C"&amp;(B$7+2*B$6)&amp;" Equity","")</f>
        <v/>
      </c>
      <c r="IY1" s="2">
        <f>IF(ISNUMBER(B$7),"OXY US "&amp;TEXT(B$3,"mm/dd/yy")&amp;" P"&amp;(B$7+2*B$6)&amp;" Equity","")</f>
        <v/>
      </c>
      <c r="JP1" s="2">
        <f>IF(ISNUMBER(B$7),"OXY US "&amp;TEXT(B$3,"mm/dd/yy")&amp;" C"&amp;(B$7+3*B$6)&amp;" Equity","")</f>
        <v/>
      </c>
      <c r="KG1" s="2">
        <f>IF(ISNUMBER(B$7),"OXY US "&amp;TEXT(B$3,"mm/dd/yy")&amp;" P"&amp;(B$7+3*B$6)&amp;" Equity","")</f>
        <v/>
      </c>
      <c r="KX1" s="2">
        <f>IF(ISNUMBER(B$7),"OXY US "&amp;TEXT(B$3,"mm/dd/yy")&amp;" C"&amp;(B$7+4*B$6)&amp;" Equity","")</f>
        <v/>
      </c>
      <c r="LO1" s="2">
        <f>IF(ISNUMBER(B$7),"OXY US "&amp;TEXT(B$3,"mm/dd/yy")&amp;" P"&amp;(B$7+4*B$6)&amp;" Equity","")</f>
        <v/>
      </c>
      <c r="MF1" s="2">
        <f>IF(ISNUMBER(B$7),"OXY US "&amp;TEXT(B$3,"mm/dd/yy")&amp;" C"&amp;(B$7+5*B$6)&amp;" Equity","")</f>
        <v/>
      </c>
      <c r="MW1" s="2">
        <f>IF(ISNUMBER(B$7),"OXY US "&amp;TEXT(B$3,"mm/dd/yy")&amp;" P"&amp;(B$7+5*B$6)&amp;" Equity","")</f>
        <v/>
      </c>
    </row>
    <row r="2">
      <c r="A2" s="2" t="inlineStr">
        <is>
          <t>Underlying</t>
        </is>
      </c>
      <c r="B2" s="4">
        <f>IF(Settings!$B$18="Y","OXY US Equity","")</f>
        <v/>
      </c>
      <c r="D2" s="4" t="inlineStr">
        <is>
          <t>call -5 from ATM</t>
        </is>
      </c>
      <c r="U2" s="4" t="inlineStr">
        <is>
          <t>put -5 from ATM</t>
        </is>
      </c>
      <c r="AL2" s="4" t="inlineStr">
        <is>
          <t>call -4 from ATM</t>
        </is>
      </c>
      <c r="BC2" s="4" t="inlineStr">
        <is>
          <t>put -4 from ATM</t>
        </is>
      </c>
      <c r="BT2" s="4" t="inlineStr">
        <is>
          <t>call -3 from ATM</t>
        </is>
      </c>
      <c r="CK2" s="4" t="inlineStr">
        <is>
          <t>put -3 from ATM</t>
        </is>
      </c>
      <c r="DB2" s="4" t="inlineStr">
        <is>
          <t>call -2 from ATM</t>
        </is>
      </c>
      <c r="DS2" s="4" t="inlineStr">
        <is>
          <t>put -2 from ATM</t>
        </is>
      </c>
      <c r="EJ2" s="4" t="inlineStr">
        <is>
          <t>call -1 from ATM</t>
        </is>
      </c>
      <c r="FA2" s="4" t="inlineStr">
        <is>
          <t>put -1 from ATM</t>
        </is>
      </c>
      <c r="FR2" s="4" t="inlineStr">
        <is>
          <t>call +0 from ATM</t>
        </is>
      </c>
      <c r="GI2" s="4" t="inlineStr">
        <is>
          <t>put +0 from ATM</t>
        </is>
      </c>
      <c r="GZ2" s="4" t="inlineStr">
        <is>
          <t>call +1 from ATM</t>
        </is>
      </c>
      <c r="HQ2" s="4" t="inlineStr">
        <is>
          <t>put +1 from ATM</t>
        </is>
      </c>
      <c r="IH2" s="4" t="inlineStr">
        <is>
          <t>call +2 from ATM</t>
        </is>
      </c>
      <c r="IY2" s="4" t="inlineStr">
        <is>
          <t>put +2 from ATM</t>
        </is>
      </c>
      <c r="JP2" s="4" t="inlineStr">
        <is>
          <t>call +3 from ATM</t>
        </is>
      </c>
      <c r="KG2" s="4" t="inlineStr">
        <is>
          <t>put +3 from ATM</t>
        </is>
      </c>
      <c r="KX2" s="4" t="inlineStr">
        <is>
          <t>call +4 from ATM</t>
        </is>
      </c>
      <c r="LO2" s="4" t="inlineStr">
        <is>
          <t>put +4 from ATM</t>
        </is>
      </c>
      <c r="MF2" s="4" t="inlineStr">
        <is>
          <t>call +5 from ATM</t>
        </is>
      </c>
      <c r="MW2" s="4" t="inlineStr">
        <is>
          <t>put +5 from ATM</t>
        </is>
      </c>
    </row>
    <row r="3">
      <c r="A3" s="2" t="inlineStr">
        <is>
          <t>Expiry (3rd Friday)</t>
        </is>
      </c>
      <c r="B3" s="3">
        <f>DATE(Settings!$E$18,B1,15)+MOD(6-WEEKDAY(DATE(Settings!$E$18,B1,15)),7)</f>
        <v/>
      </c>
      <c r="D3" s="5" t="inlineStr">
        <is>
          <t>Date</t>
        </is>
      </c>
      <c r="E3" s="5" t="inlineStr">
        <is>
          <t>PX_BID</t>
        </is>
      </c>
      <c r="F3" s="5" t="inlineStr">
        <is>
          <t>PX_ASK</t>
        </is>
      </c>
      <c r="G3" s="5" t="inlineStr">
        <is>
          <t>PX_MID</t>
        </is>
      </c>
      <c r="H3" s="5" t="inlineStr">
        <is>
          <t>PX_LAST</t>
        </is>
      </c>
      <c r="I3" s="5" t="inlineStr">
        <is>
          <t>PX_SETTLE</t>
        </is>
      </c>
      <c r="J3" s="5" t="inlineStr">
        <is>
          <t>PX_VOLUME</t>
        </is>
      </c>
      <c r="K3" s="5" t="inlineStr">
        <is>
          <t>OPEN_INT</t>
        </is>
      </c>
      <c r="L3" s="5" t="inlineStr">
        <is>
          <t>IVOL_MID</t>
        </is>
      </c>
      <c r="M3" s="5" t="inlineStr">
        <is>
          <t>IVOL_BID</t>
        </is>
      </c>
      <c r="N3" s="5" t="inlineStr">
        <is>
          <t>IVOL_ASK</t>
        </is>
      </c>
      <c r="O3" s="5" t="inlineStr">
        <is>
          <t>DELTA_MID</t>
        </is>
      </c>
      <c r="P3" s="5" t="inlineStr">
        <is>
          <t>GAMMA_MID</t>
        </is>
      </c>
      <c r="Q3" s="5" t="inlineStr">
        <is>
          <t>VEGA_MID</t>
        </is>
      </c>
      <c r="R3" s="5" t="inlineStr">
        <is>
          <t>THETA_MID</t>
        </is>
      </c>
      <c r="S3" s="5" t="inlineStr">
        <is>
          <t>OPT_UNDL_PX</t>
        </is>
      </c>
      <c r="U3" s="5" t="inlineStr">
        <is>
          <t>Date</t>
        </is>
      </c>
      <c r="V3" s="5" t="inlineStr">
        <is>
          <t>PX_BID</t>
        </is>
      </c>
      <c r="W3" s="5" t="inlineStr">
        <is>
          <t>PX_ASK</t>
        </is>
      </c>
      <c r="X3" s="5" t="inlineStr">
        <is>
          <t>PX_MID</t>
        </is>
      </c>
      <c r="Y3" s="5" t="inlineStr">
        <is>
          <t>PX_LAST</t>
        </is>
      </c>
      <c r="Z3" s="5" t="inlineStr">
        <is>
          <t>PX_SETTLE</t>
        </is>
      </c>
      <c r="AA3" s="5" t="inlineStr">
        <is>
          <t>PX_VOLUME</t>
        </is>
      </c>
      <c r="AB3" s="5" t="inlineStr">
        <is>
          <t>OPEN_INT</t>
        </is>
      </c>
      <c r="AC3" s="5" t="inlineStr">
        <is>
          <t>IVOL_MID</t>
        </is>
      </c>
      <c r="AD3" s="5" t="inlineStr">
        <is>
          <t>IVOL_BID</t>
        </is>
      </c>
      <c r="AE3" s="5" t="inlineStr">
        <is>
          <t>IVOL_ASK</t>
        </is>
      </c>
      <c r="AF3" s="5" t="inlineStr">
        <is>
          <t>DELTA_MID</t>
        </is>
      </c>
      <c r="AG3" s="5" t="inlineStr">
        <is>
          <t>GAMMA_MID</t>
        </is>
      </c>
      <c r="AH3" s="5" t="inlineStr">
        <is>
          <t>VEGA_MID</t>
        </is>
      </c>
      <c r="AI3" s="5" t="inlineStr">
        <is>
          <t>THETA_MID</t>
        </is>
      </c>
      <c r="AJ3" s="5" t="inlineStr">
        <is>
          <t>OPT_UNDL_PX</t>
        </is>
      </c>
      <c r="AL3" s="5" t="inlineStr">
        <is>
          <t>Date</t>
        </is>
      </c>
      <c r="AM3" s="5" t="inlineStr">
        <is>
          <t>PX_BID</t>
        </is>
      </c>
      <c r="AN3" s="5" t="inlineStr">
        <is>
          <t>PX_ASK</t>
        </is>
      </c>
      <c r="AO3" s="5" t="inlineStr">
        <is>
          <t>PX_MID</t>
        </is>
      </c>
      <c r="AP3" s="5" t="inlineStr">
        <is>
          <t>PX_LAST</t>
        </is>
      </c>
      <c r="AQ3" s="5" t="inlineStr">
        <is>
          <t>PX_SETTLE</t>
        </is>
      </c>
      <c r="AR3" s="5" t="inlineStr">
        <is>
          <t>PX_VOLUME</t>
        </is>
      </c>
      <c r="AS3" s="5" t="inlineStr">
        <is>
          <t>OPEN_INT</t>
        </is>
      </c>
      <c r="AT3" s="5" t="inlineStr">
        <is>
          <t>IVOL_MID</t>
        </is>
      </c>
      <c r="AU3" s="5" t="inlineStr">
        <is>
          <t>IVOL_BID</t>
        </is>
      </c>
      <c r="AV3" s="5" t="inlineStr">
        <is>
          <t>IVOL_ASK</t>
        </is>
      </c>
      <c r="AW3" s="5" t="inlineStr">
        <is>
          <t>DELTA_MID</t>
        </is>
      </c>
      <c r="AX3" s="5" t="inlineStr">
        <is>
          <t>GAMMA_MID</t>
        </is>
      </c>
      <c r="AY3" s="5" t="inlineStr">
        <is>
          <t>VEGA_MID</t>
        </is>
      </c>
      <c r="AZ3" s="5" t="inlineStr">
        <is>
          <t>THETA_MID</t>
        </is>
      </c>
      <c r="BA3" s="5" t="inlineStr">
        <is>
          <t>OPT_UNDL_PX</t>
        </is>
      </c>
      <c r="BC3" s="5" t="inlineStr">
        <is>
          <t>Date</t>
        </is>
      </c>
      <c r="BD3" s="5" t="inlineStr">
        <is>
          <t>PX_BID</t>
        </is>
      </c>
      <c r="BE3" s="5" t="inlineStr">
        <is>
          <t>PX_ASK</t>
        </is>
      </c>
      <c r="BF3" s="5" t="inlineStr">
        <is>
          <t>PX_MID</t>
        </is>
      </c>
      <c r="BG3" s="5" t="inlineStr">
        <is>
          <t>PX_LAST</t>
        </is>
      </c>
      <c r="BH3" s="5" t="inlineStr">
        <is>
          <t>PX_SETTLE</t>
        </is>
      </c>
      <c r="BI3" s="5" t="inlineStr">
        <is>
          <t>PX_VOLUME</t>
        </is>
      </c>
      <c r="BJ3" s="5" t="inlineStr">
        <is>
          <t>OPEN_INT</t>
        </is>
      </c>
      <c r="BK3" s="5" t="inlineStr">
        <is>
          <t>IVOL_MID</t>
        </is>
      </c>
      <c r="BL3" s="5" t="inlineStr">
        <is>
          <t>IVOL_BID</t>
        </is>
      </c>
      <c r="BM3" s="5" t="inlineStr">
        <is>
          <t>IVOL_ASK</t>
        </is>
      </c>
      <c r="BN3" s="5" t="inlineStr">
        <is>
          <t>DELTA_MID</t>
        </is>
      </c>
      <c r="BO3" s="5" t="inlineStr">
        <is>
          <t>GAMMA_MID</t>
        </is>
      </c>
      <c r="BP3" s="5" t="inlineStr">
        <is>
          <t>VEGA_MID</t>
        </is>
      </c>
      <c r="BQ3" s="5" t="inlineStr">
        <is>
          <t>THETA_MID</t>
        </is>
      </c>
      <c r="BR3" s="5" t="inlineStr">
        <is>
          <t>OPT_UNDL_PX</t>
        </is>
      </c>
      <c r="BT3" s="5" t="inlineStr">
        <is>
          <t>Date</t>
        </is>
      </c>
      <c r="BU3" s="5" t="inlineStr">
        <is>
          <t>PX_BID</t>
        </is>
      </c>
      <c r="BV3" s="5" t="inlineStr">
        <is>
          <t>PX_ASK</t>
        </is>
      </c>
      <c r="BW3" s="5" t="inlineStr">
        <is>
          <t>PX_MID</t>
        </is>
      </c>
      <c r="BX3" s="5" t="inlineStr">
        <is>
          <t>PX_LAST</t>
        </is>
      </c>
      <c r="BY3" s="5" t="inlineStr">
        <is>
          <t>PX_SETTLE</t>
        </is>
      </c>
      <c r="BZ3" s="5" t="inlineStr">
        <is>
          <t>PX_VOLUME</t>
        </is>
      </c>
      <c r="CA3" s="5" t="inlineStr">
        <is>
          <t>OPEN_INT</t>
        </is>
      </c>
      <c r="CB3" s="5" t="inlineStr">
        <is>
          <t>IVOL_MID</t>
        </is>
      </c>
      <c r="CC3" s="5" t="inlineStr">
        <is>
          <t>IVOL_BID</t>
        </is>
      </c>
      <c r="CD3" s="5" t="inlineStr">
        <is>
          <t>IVOL_ASK</t>
        </is>
      </c>
      <c r="CE3" s="5" t="inlineStr">
        <is>
          <t>DELTA_MID</t>
        </is>
      </c>
      <c r="CF3" s="5" t="inlineStr">
        <is>
          <t>GAMMA_MID</t>
        </is>
      </c>
      <c r="CG3" s="5" t="inlineStr">
        <is>
          <t>VEGA_MID</t>
        </is>
      </c>
      <c r="CH3" s="5" t="inlineStr">
        <is>
          <t>THETA_MID</t>
        </is>
      </c>
      <c r="CI3" s="5" t="inlineStr">
        <is>
          <t>OPT_UNDL_PX</t>
        </is>
      </c>
      <c r="CK3" s="5" t="inlineStr">
        <is>
          <t>Date</t>
        </is>
      </c>
      <c r="CL3" s="5" t="inlineStr">
        <is>
          <t>PX_BID</t>
        </is>
      </c>
      <c r="CM3" s="5" t="inlineStr">
        <is>
          <t>PX_ASK</t>
        </is>
      </c>
      <c r="CN3" s="5" t="inlineStr">
        <is>
          <t>PX_MID</t>
        </is>
      </c>
      <c r="CO3" s="5" t="inlineStr">
        <is>
          <t>PX_LAST</t>
        </is>
      </c>
      <c r="CP3" s="5" t="inlineStr">
        <is>
          <t>PX_SETTLE</t>
        </is>
      </c>
      <c r="CQ3" s="5" t="inlineStr">
        <is>
          <t>PX_VOLUME</t>
        </is>
      </c>
      <c r="CR3" s="5" t="inlineStr">
        <is>
          <t>OPEN_INT</t>
        </is>
      </c>
      <c r="CS3" s="5" t="inlineStr">
        <is>
          <t>IVOL_MID</t>
        </is>
      </c>
      <c r="CT3" s="5" t="inlineStr">
        <is>
          <t>IVOL_BID</t>
        </is>
      </c>
      <c r="CU3" s="5" t="inlineStr">
        <is>
          <t>IVOL_ASK</t>
        </is>
      </c>
      <c r="CV3" s="5" t="inlineStr">
        <is>
          <t>DELTA_MID</t>
        </is>
      </c>
      <c r="CW3" s="5" t="inlineStr">
        <is>
          <t>GAMMA_MID</t>
        </is>
      </c>
      <c r="CX3" s="5" t="inlineStr">
        <is>
          <t>VEGA_MID</t>
        </is>
      </c>
      <c r="CY3" s="5" t="inlineStr">
        <is>
          <t>THETA_MID</t>
        </is>
      </c>
      <c r="CZ3" s="5" t="inlineStr">
        <is>
          <t>OPT_UNDL_PX</t>
        </is>
      </c>
      <c r="DB3" s="5" t="inlineStr">
        <is>
          <t>Date</t>
        </is>
      </c>
      <c r="DC3" s="5" t="inlineStr">
        <is>
          <t>PX_BID</t>
        </is>
      </c>
      <c r="DD3" s="5" t="inlineStr">
        <is>
          <t>PX_ASK</t>
        </is>
      </c>
      <c r="DE3" s="5" t="inlineStr">
        <is>
          <t>PX_MID</t>
        </is>
      </c>
      <c r="DF3" s="5" t="inlineStr">
        <is>
          <t>PX_LAST</t>
        </is>
      </c>
      <c r="DG3" s="5" t="inlineStr">
        <is>
          <t>PX_SETTLE</t>
        </is>
      </c>
      <c r="DH3" s="5" t="inlineStr">
        <is>
          <t>PX_VOLUME</t>
        </is>
      </c>
      <c r="DI3" s="5" t="inlineStr">
        <is>
          <t>OPEN_INT</t>
        </is>
      </c>
      <c r="DJ3" s="5" t="inlineStr">
        <is>
          <t>IVOL_MID</t>
        </is>
      </c>
      <c r="DK3" s="5" t="inlineStr">
        <is>
          <t>IVOL_BID</t>
        </is>
      </c>
      <c r="DL3" s="5" t="inlineStr">
        <is>
          <t>IVOL_ASK</t>
        </is>
      </c>
      <c r="DM3" s="5" t="inlineStr">
        <is>
          <t>DELTA_MID</t>
        </is>
      </c>
      <c r="DN3" s="5" t="inlineStr">
        <is>
          <t>GAMMA_MID</t>
        </is>
      </c>
      <c r="DO3" s="5" t="inlineStr">
        <is>
          <t>VEGA_MID</t>
        </is>
      </c>
      <c r="DP3" s="5" t="inlineStr">
        <is>
          <t>THETA_MID</t>
        </is>
      </c>
      <c r="DQ3" s="5" t="inlineStr">
        <is>
          <t>OPT_UNDL_PX</t>
        </is>
      </c>
      <c r="DS3" s="5" t="inlineStr">
        <is>
          <t>Date</t>
        </is>
      </c>
      <c r="DT3" s="5" t="inlineStr">
        <is>
          <t>PX_BID</t>
        </is>
      </c>
      <c r="DU3" s="5" t="inlineStr">
        <is>
          <t>PX_ASK</t>
        </is>
      </c>
      <c r="DV3" s="5" t="inlineStr">
        <is>
          <t>PX_MID</t>
        </is>
      </c>
      <c r="DW3" s="5" t="inlineStr">
        <is>
          <t>PX_LAST</t>
        </is>
      </c>
      <c r="DX3" s="5" t="inlineStr">
        <is>
          <t>PX_SETTLE</t>
        </is>
      </c>
      <c r="DY3" s="5" t="inlineStr">
        <is>
          <t>PX_VOLUME</t>
        </is>
      </c>
      <c r="DZ3" s="5" t="inlineStr">
        <is>
          <t>OPEN_INT</t>
        </is>
      </c>
      <c r="EA3" s="5" t="inlineStr">
        <is>
          <t>IVOL_MID</t>
        </is>
      </c>
      <c r="EB3" s="5" t="inlineStr">
        <is>
          <t>IVOL_BID</t>
        </is>
      </c>
      <c r="EC3" s="5" t="inlineStr">
        <is>
          <t>IVOL_ASK</t>
        </is>
      </c>
      <c r="ED3" s="5" t="inlineStr">
        <is>
          <t>DELTA_MID</t>
        </is>
      </c>
      <c r="EE3" s="5" t="inlineStr">
        <is>
          <t>GAMMA_MID</t>
        </is>
      </c>
      <c r="EF3" s="5" t="inlineStr">
        <is>
          <t>VEGA_MID</t>
        </is>
      </c>
      <c r="EG3" s="5" t="inlineStr">
        <is>
          <t>THETA_MID</t>
        </is>
      </c>
      <c r="EH3" s="5" t="inlineStr">
        <is>
          <t>OPT_UNDL_PX</t>
        </is>
      </c>
      <c r="EJ3" s="5" t="inlineStr">
        <is>
          <t>Date</t>
        </is>
      </c>
      <c r="EK3" s="5" t="inlineStr">
        <is>
          <t>PX_BID</t>
        </is>
      </c>
      <c r="EL3" s="5" t="inlineStr">
        <is>
          <t>PX_ASK</t>
        </is>
      </c>
      <c r="EM3" s="5" t="inlineStr">
        <is>
          <t>PX_MID</t>
        </is>
      </c>
      <c r="EN3" s="5" t="inlineStr">
        <is>
          <t>PX_LAST</t>
        </is>
      </c>
      <c r="EO3" s="5" t="inlineStr">
        <is>
          <t>PX_SETTLE</t>
        </is>
      </c>
      <c r="EP3" s="5" t="inlineStr">
        <is>
          <t>PX_VOLUME</t>
        </is>
      </c>
      <c r="EQ3" s="5" t="inlineStr">
        <is>
          <t>OPEN_INT</t>
        </is>
      </c>
      <c r="ER3" s="5" t="inlineStr">
        <is>
          <t>IVOL_MID</t>
        </is>
      </c>
      <c r="ES3" s="5" t="inlineStr">
        <is>
          <t>IVOL_BID</t>
        </is>
      </c>
      <c r="ET3" s="5" t="inlineStr">
        <is>
          <t>IVOL_ASK</t>
        </is>
      </c>
      <c r="EU3" s="5" t="inlineStr">
        <is>
          <t>DELTA_MID</t>
        </is>
      </c>
      <c r="EV3" s="5" t="inlineStr">
        <is>
          <t>GAMMA_MID</t>
        </is>
      </c>
      <c r="EW3" s="5" t="inlineStr">
        <is>
          <t>VEGA_MID</t>
        </is>
      </c>
      <c r="EX3" s="5" t="inlineStr">
        <is>
          <t>THETA_MID</t>
        </is>
      </c>
      <c r="EY3" s="5" t="inlineStr">
        <is>
          <t>OPT_UNDL_PX</t>
        </is>
      </c>
      <c r="FA3" s="5" t="inlineStr">
        <is>
          <t>Date</t>
        </is>
      </c>
      <c r="FB3" s="5" t="inlineStr">
        <is>
          <t>PX_BID</t>
        </is>
      </c>
      <c r="FC3" s="5" t="inlineStr">
        <is>
          <t>PX_ASK</t>
        </is>
      </c>
      <c r="FD3" s="5" t="inlineStr">
        <is>
          <t>PX_MID</t>
        </is>
      </c>
      <c r="FE3" s="5" t="inlineStr">
        <is>
          <t>PX_LAST</t>
        </is>
      </c>
      <c r="FF3" s="5" t="inlineStr">
        <is>
          <t>PX_SETTLE</t>
        </is>
      </c>
      <c r="FG3" s="5" t="inlineStr">
        <is>
          <t>PX_VOLUME</t>
        </is>
      </c>
      <c r="FH3" s="5" t="inlineStr">
        <is>
          <t>OPEN_INT</t>
        </is>
      </c>
      <c r="FI3" s="5" t="inlineStr">
        <is>
          <t>IVOL_MID</t>
        </is>
      </c>
      <c r="FJ3" s="5" t="inlineStr">
        <is>
          <t>IVOL_BID</t>
        </is>
      </c>
      <c r="FK3" s="5" t="inlineStr">
        <is>
          <t>IVOL_ASK</t>
        </is>
      </c>
      <c r="FL3" s="5" t="inlineStr">
        <is>
          <t>DELTA_MID</t>
        </is>
      </c>
      <c r="FM3" s="5" t="inlineStr">
        <is>
          <t>GAMMA_MID</t>
        </is>
      </c>
      <c r="FN3" s="5" t="inlineStr">
        <is>
          <t>VEGA_MID</t>
        </is>
      </c>
      <c r="FO3" s="5" t="inlineStr">
        <is>
          <t>THETA_MID</t>
        </is>
      </c>
      <c r="FP3" s="5" t="inlineStr">
        <is>
          <t>OPT_UNDL_PX</t>
        </is>
      </c>
      <c r="FR3" s="5" t="inlineStr">
        <is>
          <t>Date</t>
        </is>
      </c>
      <c r="FS3" s="5" t="inlineStr">
        <is>
          <t>PX_BID</t>
        </is>
      </c>
      <c r="FT3" s="5" t="inlineStr">
        <is>
          <t>PX_ASK</t>
        </is>
      </c>
      <c r="FU3" s="5" t="inlineStr">
        <is>
          <t>PX_MID</t>
        </is>
      </c>
      <c r="FV3" s="5" t="inlineStr">
        <is>
          <t>PX_LAST</t>
        </is>
      </c>
      <c r="FW3" s="5" t="inlineStr">
        <is>
          <t>PX_SETTLE</t>
        </is>
      </c>
      <c r="FX3" s="5" t="inlineStr">
        <is>
          <t>PX_VOLUME</t>
        </is>
      </c>
      <c r="FY3" s="5" t="inlineStr">
        <is>
          <t>OPEN_INT</t>
        </is>
      </c>
      <c r="FZ3" s="5" t="inlineStr">
        <is>
          <t>IVOL_MID</t>
        </is>
      </c>
      <c r="GA3" s="5" t="inlineStr">
        <is>
          <t>IVOL_BID</t>
        </is>
      </c>
      <c r="GB3" s="5" t="inlineStr">
        <is>
          <t>IVOL_ASK</t>
        </is>
      </c>
      <c r="GC3" s="5" t="inlineStr">
        <is>
          <t>DELTA_MID</t>
        </is>
      </c>
      <c r="GD3" s="5" t="inlineStr">
        <is>
          <t>GAMMA_MID</t>
        </is>
      </c>
      <c r="GE3" s="5" t="inlineStr">
        <is>
          <t>VEGA_MID</t>
        </is>
      </c>
      <c r="GF3" s="5" t="inlineStr">
        <is>
          <t>THETA_MID</t>
        </is>
      </c>
      <c r="GG3" s="5" t="inlineStr">
        <is>
          <t>OPT_UNDL_PX</t>
        </is>
      </c>
      <c r="GI3" s="5" t="inlineStr">
        <is>
          <t>Date</t>
        </is>
      </c>
      <c r="GJ3" s="5" t="inlineStr">
        <is>
          <t>PX_BID</t>
        </is>
      </c>
      <c r="GK3" s="5" t="inlineStr">
        <is>
          <t>PX_ASK</t>
        </is>
      </c>
      <c r="GL3" s="5" t="inlineStr">
        <is>
          <t>PX_MID</t>
        </is>
      </c>
      <c r="GM3" s="5" t="inlineStr">
        <is>
          <t>PX_LAST</t>
        </is>
      </c>
      <c r="GN3" s="5" t="inlineStr">
        <is>
          <t>PX_SETTLE</t>
        </is>
      </c>
      <c r="GO3" s="5" t="inlineStr">
        <is>
          <t>PX_VOLUME</t>
        </is>
      </c>
      <c r="GP3" s="5" t="inlineStr">
        <is>
          <t>OPEN_INT</t>
        </is>
      </c>
      <c r="GQ3" s="5" t="inlineStr">
        <is>
          <t>IVOL_MID</t>
        </is>
      </c>
      <c r="GR3" s="5" t="inlineStr">
        <is>
          <t>IVOL_BID</t>
        </is>
      </c>
      <c r="GS3" s="5" t="inlineStr">
        <is>
          <t>IVOL_ASK</t>
        </is>
      </c>
      <c r="GT3" s="5" t="inlineStr">
        <is>
          <t>DELTA_MID</t>
        </is>
      </c>
      <c r="GU3" s="5" t="inlineStr">
        <is>
          <t>GAMMA_MID</t>
        </is>
      </c>
      <c r="GV3" s="5" t="inlineStr">
        <is>
          <t>VEGA_MID</t>
        </is>
      </c>
      <c r="GW3" s="5" t="inlineStr">
        <is>
          <t>THETA_MID</t>
        </is>
      </c>
      <c r="GX3" s="5" t="inlineStr">
        <is>
          <t>OPT_UNDL_PX</t>
        </is>
      </c>
      <c r="GZ3" s="5" t="inlineStr">
        <is>
          <t>Date</t>
        </is>
      </c>
      <c r="HA3" s="5" t="inlineStr">
        <is>
          <t>PX_BID</t>
        </is>
      </c>
      <c r="HB3" s="5" t="inlineStr">
        <is>
          <t>PX_ASK</t>
        </is>
      </c>
      <c r="HC3" s="5" t="inlineStr">
        <is>
          <t>PX_MID</t>
        </is>
      </c>
      <c r="HD3" s="5" t="inlineStr">
        <is>
          <t>PX_LAST</t>
        </is>
      </c>
      <c r="HE3" s="5" t="inlineStr">
        <is>
          <t>PX_SETTLE</t>
        </is>
      </c>
      <c r="HF3" s="5" t="inlineStr">
        <is>
          <t>PX_VOLUME</t>
        </is>
      </c>
      <c r="HG3" s="5" t="inlineStr">
        <is>
          <t>OPEN_INT</t>
        </is>
      </c>
      <c r="HH3" s="5" t="inlineStr">
        <is>
          <t>IVOL_MID</t>
        </is>
      </c>
      <c r="HI3" s="5" t="inlineStr">
        <is>
          <t>IVOL_BID</t>
        </is>
      </c>
      <c r="HJ3" s="5" t="inlineStr">
        <is>
          <t>IVOL_ASK</t>
        </is>
      </c>
      <c r="HK3" s="5" t="inlineStr">
        <is>
          <t>DELTA_MID</t>
        </is>
      </c>
      <c r="HL3" s="5" t="inlineStr">
        <is>
          <t>GAMMA_MID</t>
        </is>
      </c>
      <c r="HM3" s="5" t="inlineStr">
        <is>
          <t>VEGA_MID</t>
        </is>
      </c>
      <c r="HN3" s="5" t="inlineStr">
        <is>
          <t>THETA_MID</t>
        </is>
      </c>
      <c r="HO3" s="5" t="inlineStr">
        <is>
          <t>OPT_UNDL_PX</t>
        </is>
      </c>
      <c r="HQ3" s="5" t="inlineStr">
        <is>
          <t>Date</t>
        </is>
      </c>
      <c r="HR3" s="5" t="inlineStr">
        <is>
          <t>PX_BID</t>
        </is>
      </c>
      <c r="HS3" s="5" t="inlineStr">
        <is>
          <t>PX_ASK</t>
        </is>
      </c>
      <c r="HT3" s="5" t="inlineStr">
        <is>
          <t>PX_MID</t>
        </is>
      </c>
      <c r="HU3" s="5" t="inlineStr">
        <is>
          <t>PX_LAST</t>
        </is>
      </c>
      <c r="HV3" s="5" t="inlineStr">
        <is>
          <t>PX_SETTLE</t>
        </is>
      </c>
      <c r="HW3" s="5" t="inlineStr">
        <is>
          <t>PX_VOLUME</t>
        </is>
      </c>
      <c r="HX3" s="5" t="inlineStr">
        <is>
          <t>OPEN_INT</t>
        </is>
      </c>
      <c r="HY3" s="5" t="inlineStr">
        <is>
          <t>IVOL_MID</t>
        </is>
      </c>
      <c r="HZ3" s="5" t="inlineStr">
        <is>
          <t>IVOL_BID</t>
        </is>
      </c>
      <c r="IA3" s="5" t="inlineStr">
        <is>
          <t>IVOL_ASK</t>
        </is>
      </c>
      <c r="IB3" s="5" t="inlineStr">
        <is>
          <t>DELTA_MID</t>
        </is>
      </c>
      <c r="IC3" s="5" t="inlineStr">
        <is>
          <t>GAMMA_MID</t>
        </is>
      </c>
      <c r="ID3" s="5" t="inlineStr">
        <is>
          <t>VEGA_MID</t>
        </is>
      </c>
      <c r="IE3" s="5" t="inlineStr">
        <is>
          <t>THETA_MID</t>
        </is>
      </c>
      <c r="IF3" s="5" t="inlineStr">
        <is>
          <t>OPT_UNDL_PX</t>
        </is>
      </c>
      <c r="IH3" s="5" t="inlineStr">
        <is>
          <t>Date</t>
        </is>
      </c>
      <c r="II3" s="5" t="inlineStr">
        <is>
          <t>PX_BID</t>
        </is>
      </c>
      <c r="IJ3" s="5" t="inlineStr">
        <is>
          <t>PX_ASK</t>
        </is>
      </c>
      <c r="IK3" s="5" t="inlineStr">
        <is>
          <t>PX_MID</t>
        </is>
      </c>
      <c r="IL3" s="5" t="inlineStr">
        <is>
          <t>PX_LAST</t>
        </is>
      </c>
      <c r="IM3" s="5" t="inlineStr">
        <is>
          <t>PX_SETTLE</t>
        </is>
      </c>
      <c r="IN3" s="5" t="inlineStr">
        <is>
          <t>PX_VOLUME</t>
        </is>
      </c>
      <c r="IO3" s="5" t="inlineStr">
        <is>
          <t>OPEN_INT</t>
        </is>
      </c>
      <c r="IP3" s="5" t="inlineStr">
        <is>
          <t>IVOL_MID</t>
        </is>
      </c>
      <c r="IQ3" s="5" t="inlineStr">
        <is>
          <t>IVOL_BID</t>
        </is>
      </c>
      <c r="IR3" s="5" t="inlineStr">
        <is>
          <t>IVOL_ASK</t>
        </is>
      </c>
      <c r="IS3" s="5" t="inlineStr">
        <is>
          <t>DELTA_MID</t>
        </is>
      </c>
      <c r="IT3" s="5" t="inlineStr">
        <is>
          <t>GAMMA_MID</t>
        </is>
      </c>
      <c r="IU3" s="5" t="inlineStr">
        <is>
          <t>VEGA_MID</t>
        </is>
      </c>
      <c r="IV3" s="5" t="inlineStr">
        <is>
          <t>THETA_MID</t>
        </is>
      </c>
      <c r="IW3" s="5" t="inlineStr">
        <is>
          <t>OPT_UNDL_PX</t>
        </is>
      </c>
      <c r="IY3" s="5" t="inlineStr">
        <is>
          <t>Date</t>
        </is>
      </c>
      <c r="IZ3" s="5" t="inlineStr">
        <is>
          <t>PX_BID</t>
        </is>
      </c>
      <c r="JA3" s="5" t="inlineStr">
        <is>
          <t>PX_ASK</t>
        </is>
      </c>
      <c r="JB3" s="5" t="inlineStr">
        <is>
          <t>PX_MID</t>
        </is>
      </c>
      <c r="JC3" s="5" t="inlineStr">
        <is>
          <t>PX_LAST</t>
        </is>
      </c>
      <c r="JD3" s="5" t="inlineStr">
        <is>
          <t>PX_SETTLE</t>
        </is>
      </c>
      <c r="JE3" s="5" t="inlineStr">
        <is>
          <t>PX_VOLUME</t>
        </is>
      </c>
      <c r="JF3" s="5" t="inlineStr">
        <is>
          <t>OPEN_INT</t>
        </is>
      </c>
      <c r="JG3" s="5" t="inlineStr">
        <is>
          <t>IVOL_MID</t>
        </is>
      </c>
      <c r="JH3" s="5" t="inlineStr">
        <is>
          <t>IVOL_BID</t>
        </is>
      </c>
      <c r="JI3" s="5" t="inlineStr">
        <is>
          <t>IVOL_ASK</t>
        </is>
      </c>
      <c r="JJ3" s="5" t="inlineStr">
        <is>
          <t>DELTA_MID</t>
        </is>
      </c>
      <c r="JK3" s="5" t="inlineStr">
        <is>
          <t>GAMMA_MID</t>
        </is>
      </c>
      <c r="JL3" s="5" t="inlineStr">
        <is>
          <t>VEGA_MID</t>
        </is>
      </c>
      <c r="JM3" s="5" t="inlineStr">
        <is>
          <t>THETA_MID</t>
        </is>
      </c>
      <c r="JN3" s="5" t="inlineStr">
        <is>
          <t>OPT_UNDL_PX</t>
        </is>
      </c>
      <c r="JP3" s="5" t="inlineStr">
        <is>
          <t>Date</t>
        </is>
      </c>
      <c r="JQ3" s="5" t="inlineStr">
        <is>
          <t>PX_BID</t>
        </is>
      </c>
      <c r="JR3" s="5" t="inlineStr">
        <is>
          <t>PX_ASK</t>
        </is>
      </c>
      <c r="JS3" s="5" t="inlineStr">
        <is>
          <t>PX_MID</t>
        </is>
      </c>
      <c r="JT3" s="5" t="inlineStr">
        <is>
          <t>PX_LAST</t>
        </is>
      </c>
      <c r="JU3" s="5" t="inlineStr">
        <is>
          <t>PX_SETTLE</t>
        </is>
      </c>
      <c r="JV3" s="5" t="inlineStr">
        <is>
          <t>PX_VOLUME</t>
        </is>
      </c>
      <c r="JW3" s="5" t="inlineStr">
        <is>
          <t>OPEN_INT</t>
        </is>
      </c>
      <c r="JX3" s="5" t="inlineStr">
        <is>
          <t>IVOL_MID</t>
        </is>
      </c>
      <c r="JY3" s="5" t="inlineStr">
        <is>
          <t>IVOL_BID</t>
        </is>
      </c>
      <c r="JZ3" s="5" t="inlineStr">
        <is>
          <t>IVOL_ASK</t>
        </is>
      </c>
      <c r="KA3" s="5" t="inlineStr">
        <is>
          <t>DELTA_MID</t>
        </is>
      </c>
      <c r="KB3" s="5" t="inlineStr">
        <is>
          <t>GAMMA_MID</t>
        </is>
      </c>
      <c r="KC3" s="5" t="inlineStr">
        <is>
          <t>VEGA_MID</t>
        </is>
      </c>
      <c r="KD3" s="5" t="inlineStr">
        <is>
          <t>THETA_MID</t>
        </is>
      </c>
      <c r="KE3" s="5" t="inlineStr">
        <is>
          <t>OPT_UNDL_PX</t>
        </is>
      </c>
      <c r="KG3" s="5" t="inlineStr">
        <is>
          <t>Date</t>
        </is>
      </c>
      <c r="KH3" s="5" t="inlineStr">
        <is>
          <t>PX_BID</t>
        </is>
      </c>
      <c r="KI3" s="5" t="inlineStr">
        <is>
          <t>PX_ASK</t>
        </is>
      </c>
      <c r="KJ3" s="5" t="inlineStr">
        <is>
          <t>PX_MID</t>
        </is>
      </c>
      <c r="KK3" s="5" t="inlineStr">
        <is>
          <t>PX_LAST</t>
        </is>
      </c>
      <c r="KL3" s="5" t="inlineStr">
        <is>
          <t>PX_SETTLE</t>
        </is>
      </c>
      <c r="KM3" s="5" t="inlineStr">
        <is>
          <t>PX_VOLUME</t>
        </is>
      </c>
      <c r="KN3" s="5" t="inlineStr">
        <is>
          <t>OPEN_INT</t>
        </is>
      </c>
      <c r="KO3" s="5" t="inlineStr">
        <is>
          <t>IVOL_MID</t>
        </is>
      </c>
      <c r="KP3" s="5" t="inlineStr">
        <is>
          <t>IVOL_BID</t>
        </is>
      </c>
      <c r="KQ3" s="5" t="inlineStr">
        <is>
          <t>IVOL_ASK</t>
        </is>
      </c>
      <c r="KR3" s="5" t="inlineStr">
        <is>
          <t>DELTA_MID</t>
        </is>
      </c>
      <c r="KS3" s="5" t="inlineStr">
        <is>
          <t>GAMMA_MID</t>
        </is>
      </c>
      <c r="KT3" s="5" t="inlineStr">
        <is>
          <t>VEGA_MID</t>
        </is>
      </c>
      <c r="KU3" s="5" t="inlineStr">
        <is>
          <t>THETA_MID</t>
        </is>
      </c>
      <c r="KV3" s="5" t="inlineStr">
        <is>
          <t>OPT_UNDL_PX</t>
        </is>
      </c>
      <c r="KX3" s="5" t="inlineStr">
        <is>
          <t>Date</t>
        </is>
      </c>
      <c r="KY3" s="5" t="inlineStr">
        <is>
          <t>PX_BID</t>
        </is>
      </c>
      <c r="KZ3" s="5" t="inlineStr">
        <is>
          <t>PX_ASK</t>
        </is>
      </c>
      <c r="LA3" s="5" t="inlineStr">
        <is>
          <t>PX_MID</t>
        </is>
      </c>
      <c r="LB3" s="5" t="inlineStr">
        <is>
          <t>PX_LAST</t>
        </is>
      </c>
      <c r="LC3" s="5" t="inlineStr">
        <is>
          <t>PX_SETTLE</t>
        </is>
      </c>
      <c r="LD3" s="5" t="inlineStr">
        <is>
          <t>PX_VOLUME</t>
        </is>
      </c>
      <c r="LE3" s="5" t="inlineStr">
        <is>
          <t>OPEN_INT</t>
        </is>
      </c>
      <c r="LF3" s="5" t="inlineStr">
        <is>
          <t>IVOL_MID</t>
        </is>
      </c>
      <c r="LG3" s="5" t="inlineStr">
        <is>
          <t>IVOL_BID</t>
        </is>
      </c>
      <c r="LH3" s="5" t="inlineStr">
        <is>
          <t>IVOL_ASK</t>
        </is>
      </c>
      <c r="LI3" s="5" t="inlineStr">
        <is>
          <t>DELTA_MID</t>
        </is>
      </c>
      <c r="LJ3" s="5" t="inlineStr">
        <is>
          <t>GAMMA_MID</t>
        </is>
      </c>
      <c r="LK3" s="5" t="inlineStr">
        <is>
          <t>VEGA_MID</t>
        </is>
      </c>
      <c r="LL3" s="5" t="inlineStr">
        <is>
          <t>THETA_MID</t>
        </is>
      </c>
      <c r="LM3" s="5" t="inlineStr">
        <is>
          <t>OPT_UNDL_PX</t>
        </is>
      </c>
      <c r="LO3" s="5" t="inlineStr">
        <is>
          <t>Date</t>
        </is>
      </c>
      <c r="LP3" s="5" t="inlineStr">
        <is>
          <t>PX_BID</t>
        </is>
      </c>
      <c r="LQ3" s="5" t="inlineStr">
        <is>
          <t>PX_ASK</t>
        </is>
      </c>
      <c r="LR3" s="5" t="inlineStr">
        <is>
          <t>PX_MID</t>
        </is>
      </c>
      <c r="LS3" s="5" t="inlineStr">
        <is>
          <t>PX_LAST</t>
        </is>
      </c>
      <c r="LT3" s="5" t="inlineStr">
        <is>
          <t>PX_SETTLE</t>
        </is>
      </c>
      <c r="LU3" s="5" t="inlineStr">
        <is>
          <t>PX_VOLUME</t>
        </is>
      </c>
      <c r="LV3" s="5" t="inlineStr">
        <is>
          <t>OPEN_INT</t>
        </is>
      </c>
      <c r="LW3" s="5" t="inlineStr">
        <is>
          <t>IVOL_MID</t>
        </is>
      </c>
      <c r="LX3" s="5" t="inlineStr">
        <is>
          <t>IVOL_BID</t>
        </is>
      </c>
      <c r="LY3" s="5" t="inlineStr">
        <is>
          <t>IVOL_ASK</t>
        </is>
      </c>
      <c r="LZ3" s="5" t="inlineStr">
        <is>
          <t>DELTA_MID</t>
        </is>
      </c>
      <c r="MA3" s="5" t="inlineStr">
        <is>
          <t>GAMMA_MID</t>
        </is>
      </c>
      <c r="MB3" s="5" t="inlineStr">
        <is>
          <t>VEGA_MID</t>
        </is>
      </c>
      <c r="MC3" s="5" t="inlineStr">
        <is>
          <t>THETA_MID</t>
        </is>
      </c>
      <c r="MD3" s="5" t="inlineStr">
        <is>
          <t>OPT_UNDL_PX</t>
        </is>
      </c>
      <c r="MF3" s="5" t="inlineStr">
        <is>
          <t>Date</t>
        </is>
      </c>
      <c r="MG3" s="5" t="inlineStr">
        <is>
          <t>PX_BID</t>
        </is>
      </c>
      <c r="MH3" s="5" t="inlineStr">
        <is>
          <t>PX_ASK</t>
        </is>
      </c>
      <c r="MI3" s="5" t="inlineStr">
        <is>
          <t>PX_MID</t>
        </is>
      </c>
      <c r="MJ3" s="5" t="inlineStr">
        <is>
          <t>PX_LAST</t>
        </is>
      </c>
      <c r="MK3" s="5" t="inlineStr">
        <is>
          <t>PX_SETTLE</t>
        </is>
      </c>
      <c r="ML3" s="5" t="inlineStr">
        <is>
          <t>PX_VOLUME</t>
        </is>
      </c>
      <c r="MM3" s="5" t="inlineStr">
        <is>
          <t>OPEN_INT</t>
        </is>
      </c>
      <c r="MN3" s="5" t="inlineStr">
        <is>
          <t>IVOL_MID</t>
        </is>
      </c>
      <c r="MO3" s="5" t="inlineStr">
        <is>
          <t>IVOL_BID</t>
        </is>
      </c>
      <c r="MP3" s="5" t="inlineStr">
        <is>
          <t>IVOL_ASK</t>
        </is>
      </c>
      <c r="MQ3" s="5" t="inlineStr">
        <is>
          <t>DELTA_MID</t>
        </is>
      </c>
      <c r="MR3" s="5" t="inlineStr">
        <is>
          <t>GAMMA_MID</t>
        </is>
      </c>
      <c r="MS3" s="5" t="inlineStr">
        <is>
          <t>VEGA_MID</t>
        </is>
      </c>
      <c r="MT3" s="5" t="inlineStr">
        <is>
          <t>THETA_MID</t>
        </is>
      </c>
      <c r="MU3" s="5" t="inlineStr">
        <is>
          <t>OPT_UNDL_PX</t>
        </is>
      </c>
      <c r="MW3" s="5" t="inlineStr">
        <is>
          <t>Date</t>
        </is>
      </c>
      <c r="MX3" s="5" t="inlineStr">
        <is>
          <t>PX_BID</t>
        </is>
      </c>
      <c r="MY3" s="5" t="inlineStr">
        <is>
          <t>PX_ASK</t>
        </is>
      </c>
      <c r="MZ3" s="5" t="inlineStr">
        <is>
          <t>PX_MID</t>
        </is>
      </c>
      <c r="NA3" s="5" t="inlineStr">
        <is>
          <t>PX_LAST</t>
        </is>
      </c>
      <c r="NB3" s="5" t="inlineStr">
        <is>
          <t>PX_SETTLE</t>
        </is>
      </c>
      <c r="NC3" s="5" t="inlineStr">
        <is>
          <t>PX_VOLUME</t>
        </is>
      </c>
      <c r="ND3" s="5" t="inlineStr">
        <is>
          <t>OPEN_INT</t>
        </is>
      </c>
      <c r="NE3" s="5" t="inlineStr">
        <is>
          <t>IVOL_MID</t>
        </is>
      </c>
      <c r="NF3" s="5" t="inlineStr">
        <is>
          <t>IVOL_BID</t>
        </is>
      </c>
      <c r="NG3" s="5" t="inlineStr">
        <is>
          <t>IVOL_ASK</t>
        </is>
      </c>
      <c r="NH3" s="5" t="inlineStr">
        <is>
          <t>DELTA_MID</t>
        </is>
      </c>
      <c r="NI3" s="5" t="inlineStr">
        <is>
          <t>GAMMA_MID</t>
        </is>
      </c>
      <c r="NJ3" s="5" t="inlineStr">
        <is>
          <t>VEGA_MID</t>
        </is>
      </c>
      <c r="NK3" s="5" t="inlineStr">
        <is>
          <t>THETA_MID</t>
        </is>
      </c>
      <c r="NL3" s="5" t="inlineStr">
        <is>
          <t>OPT_UNDL_PX</t>
        </is>
      </c>
    </row>
    <row r="4">
      <c r="A4" s="2" t="inlineStr">
        <is>
          <t>Strike reference date</t>
        </is>
      </c>
      <c r="B4" s="8">
        <f>B3-45</f>
        <v/>
      </c>
      <c r="D4" s="4">
        <f>BDH(D$1,E$3:S$3,$B$8,$B$9,"Dir=V","Dts=S","Sort=A","Days=T","Fill=B")</f>
        <v/>
      </c>
      <c r="U4" s="4">
        <f>BDH(U$1,V$3:AJ$3,$B$8,$B$9,"Dir=V","Dts=S","Sort=A","Days=T","Fill=B")</f>
        <v/>
      </c>
      <c r="AL4" s="4">
        <f>BDH(AL$1,AM$3:BA$3,$B$8,$B$9,"Dir=V","Dts=S","Sort=A","Days=T","Fill=B")</f>
        <v/>
      </c>
      <c r="BC4" s="4">
        <f>BDH(BC$1,BD$3:BR$3,$B$8,$B$9,"Dir=V","Dts=S","Sort=A","Days=T","Fill=B")</f>
        <v/>
      </c>
      <c r="BT4" s="4">
        <f>BDH(BT$1,BU$3:CI$3,$B$8,$B$9,"Dir=V","Dts=S","Sort=A","Days=T","Fill=B")</f>
        <v/>
      </c>
      <c r="CK4" s="4">
        <f>BDH(CK$1,CL$3:CZ$3,$B$8,$B$9,"Dir=V","Dts=S","Sort=A","Days=T","Fill=B")</f>
        <v/>
      </c>
      <c r="DB4" s="4">
        <f>BDH(DB$1,DC$3:DQ$3,$B$8,$B$9,"Dir=V","Dts=S","Sort=A","Days=T","Fill=B")</f>
        <v/>
      </c>
      <c r="DS4" s="4">
        <f>BDH(DS$1,DT$3:EH$3,$B$8,$B$9,"Dir=V","Dts=S","Sort=A","Days=T","Fill=B")</f>
        <v/>
      </c>
      <c r="EJ4" s="4">
        <f>BDH(EJ$1,EK$3:EY$3,$B$8,$B$9,"Dir=V","Dts=S","Sort=A","Days=T","Fill=B")</f>
        <v/>
      </c>
      <c r="FA4" s="4">
        <f>BDH(FA$1,FB$3:FP$3,$B$8,$B$9,"Dir=V","Dts=S","Sort=A","Days=T","Fill=B")</f>
        <v/>
      </c>
      <c r="FR4" s="4">
        <f>BDH(FR$1,FS$3:GG$3,$B$8,$B$9,"Dir=V","Dts=S","Sort=A","Days=T","Fill=B")</f>
        <v/>
      </c>
      <c r="GI4" s="4">
        <f>BDH(GI$1,GJ$3:GX$3,$B$8,$B$9,"Dir=V","Dts=S","Sort=A","Days=T","Fill=B")</f>
        <v/>
      </c>
      <c r="GZ4" s="4">
        <f>BDH(GZ$1,HA$3:HO$3,$B$8,$B$9,"Dir=V","Dts=S","Sort=A","Days=T","Fill=B")</f>
        <v/>
      </c>
      <c r="HQ4" s="4">
        <f>BDH(HQ$1,HR$3:IF$3,$B$8,$B$9,"Dir=V","Dts=S","Sort=A","Days=T","Fill=B")</f>
        <v/>
      </c>
      <c r="IH4" s="4">
        <f>BDH(IH$1,II$3:IW$3,$B$8,$B$9,"Dir=V","Dts=S","Sort=A","Days=T","Fill=B")</f>
        <v/>
      </c>
      <c r="IY4" s="4">
        <f>BDH(IY$1,IZ$3:JN$3,$B$8,$B$9,"Dir=V","Dts=S","Sort=A","Days=T","Fill=B")</f>
        <v/>
      </c>
      <c r="JP4" s="4">
        <f>BDH(JP$1,JQ$3:KE$3,$B$8,$B$9,"Dir=V","Dts=S","Sort=A","Days=T","Fill=B")</f>
        <v/>
      </c>
      <c r="KG4" s="4">
        <f>BDH(KG$1,KH$3:KV$3,$B$8,$B$9,"Dir=V","Dts=S","Sort=A","Days=T","Fill=B")</f>
        <v/>
      </c>
      <c r="KX4" s="4">
        <f>BDH(KX$1,KY$3:LM$3,$B$8,$B$9,"Dir=V","Dts=S","Sort=A","Days=T","Fill=B")</f>
        <v/>
      </c>
      <c r="LO4" s="4">
        <f>BDH(LO$1,LP$3:MD$3,$B$8,$B$9,"Dir=V","Dts=S","Sort=A","Days=T","Fill=B")</f>
        <v/>
      </c>
      <c r="MF4" s="4">
        <f>BDH(MF$1,MG$3:MU$3,$B$8,$B$9,"Dir=V","Dts=S","Sort=A","Days=T","Fill=B")</f>
        <v/>
      </c>
      <c r="MW4" s="4">
        <f>BDH(MW$1,MX$3:NL$3,$B$8,$B$9,"Dir=V","Dts=S","Sort=A","Days=T","Fill=B")</f>
        <v/>
      </c>
    </row>
    <row r="5">
      <c r="A5" s="2" t="inlineStr">
        <is>
          <t>Unadjusted close then</t>
        </is>
      </c>
      <c r="B5" s="10">
        <f>IF(B2="","",BDH(B2,"PX_LAST",B4,B4,"Days=A","Fill=P","Dts=H","CshAdjNormal=N","CshAdjAbnormal=N","CapChg=N"))</f>
        <v/>
      </c>
    </row>
    <row r="6">
      <c r="A6" s="2" t="inlineStr">
        <is>
          <t>Strike step</t>
        </is>
      </c>
      <c r="B6" s="11">
        <f>IF(ISNUMBER(B5),IF(B5&lt;25,0.5,IF(B5&lt;250,1,5)),"")</f>
        <v/>
      </c>
    </row>
    <row r="7">
      <c r="A7" s="2" t="inlineStr">
        <is>
          <t>ATM strike</t>
        </is>
      </c>
      <c r="B7" s="11">
        <f>IF(ISNUMBER(B5),ROUND(B5/B6,0)*B6,"")</f>
        <v/>
      </c>
    </row>
    <row r="8">
      <c r="A8" s="2" t="inlineStr">
        <is>
          <t>History start</t>
        </is>
      </c>
      <c r="B8" s="8">
        <f>B3-100</f>
        <v/>
      </c>
    </row>
    <row r="9">
      <c r="A9" s="2" t="inlineStr">
        <is>
          <t>History end</t>
        </is>
      </c>
      <c r="B9" s="8">
        <f>B3</f>
        <v/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NL9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2" customWidth="1" min="2" max="2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1" customWidth="1" min="15" max="15"/>
    <col width="11" customWidth="1" min="16" max="16"/>
    <col width="10" customWidth="1" min="17" max="17"/>
    <col width="11" customWidth="1" min="18" max="18"/>
    <col width="13" customWidth="1" min="19" max="19"/>
    <col width="12" customWidth="1" min="21" max="21"/>
    <col width="10" customWidth="1" min="22" max="22"/>
    <col width="10" customWidth="1" min="23" max="23"/>
    <col width="10" customWidth="1" min="24" max="24"/>
    <col width="10" customWidth="1" min="25" max="25"/>
    <col width="11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1" customWidth="1" min="32" max="32"/>
    <col width="11" customWidth="1" min="33" max="33"/>
    <col width="10" customWidth="1" min="34" max="34"/>
    <col width="11" customWidth="1" min="35" max="35"/>
    <col width="13" customWidth="1" min="36" max="36"/>
    <col width="12" customWidth="1" min="38" max="38"/>
    <col width="10" customWidth="1" min="39" max="39"/>
    <col width="10" customWidth="1" min="40" max="40"/>
    <col width="10" customWidth="1" min="41" max="41"/>
    <col width="10" customWidth="1" min="42" max="42"/>
    <col width="11" customWidth="1" min="43" max="43"/>
    <col width="11" customWidth="1" min="44" max="44"/>
    <col width="10" customWidth="1" min="45" max="45"/>
    <col width="10" customWidth="1" min="46" max="46"/>
    <col width="10" customWidth="1" min="47" max="47"/>
    <col width="10" customWidth="1" min="48" max="48"/>
    <col width="11" customWidth="1" min="49" max="49"/>
    <col width="11" customWidth="1" min="50" max="50"/>
    <col width="10" customWidth="1" min="51" max="51"/>
    <col width="11" customWidth="1" min="52" max="52"/>
    <col width="13" customWidth="1" min="53" max="53"/>
    <col width="12" customWidth="1" min="55" max="55"/>
    <col width="10" customWidth="1" min="56" max="56"/>
    <col width="10" customWidth="1" min="57" max="57"/>
    <col width="10" customWidth="1" min="58" max="58"/>
    <col width="10" customWidth="1" min="59" max="59"/>
    <col width="11" customWidth="1" min="60" max="60"/>
    <col width="11" customWidth="1" min="61" max="61"/>
    <col width="10" customWidth="1" min="62" max="62"/>
    <col width="10" customWidth="1" min="63" max="63"/>
    <col width="10" customWidth="1" min="64" max="64"/>
    <col width="10" customWidth="1" min="65" max="65"/>
    <col width="11" customWidth="1" min="66" max="66"/>
    <col width="11" customWidth="1" min="67" max="67"/>
    <col width="10" customWidth="1" min="68" max="68"/>
    <col width="11" customWidth="1" min="69" max="69"/>
    <col width="13" customWidth="1" min="70" max="70"/>
    <col width="12" customWidth="1" min="72" max="72"/>
    <col width="10" customWidth="1" min="73" max="73"/>
    <col width="10" customWidth="1" min="74" max="74"/>
    <col width="10" customWidth="1" min="75" max="75"/>
    <col width="10" customWidth="1" min="76" max="76"/>
    <col width="11" customWidth="1" min="77" max="77"/>
    <col width="11" customWidth="1" min="78" max="78"/>
    <col width="10" customWidth="1" min="79" max="79"/>
    <col width="10" customWidth="1" min="80" max="80"/>
    <col width="10" customWidth="1" min="81" max="81"/>
    <col width="10" customWidth="1" min="82" max="82"/>
    <col width="11" customWidth="1" min="83" max="83"/>
    <col width="11" customWidth="1" min="84" max="84"/>
    <col width="10" customWidth="1" min="85" max="85"/>
    <col width="11" customWidth="1" min="86" max="86"/>
    <col width="13" customWidth="1" min="87" max="87"/>
    <col width="12" customWidth="1" min="89" max="89"/>
    <col width="10" customWidth="1" min="90" max="90"/>
    <col width="10" customWidth="1" min="91" max="91"/>
    <col width="10" customWidth="1" min="92" max="92"/>
    <col width="10" customWidth="1" min="93" max="93"/>
    <col width="11" customWidth="1" min="94" max="94"/>
    <col width="11" customWidth="1" min="95" max="95"/>
    <col width="10" customWidth="1" min="96" max="96"/>
    <col width="10" customWidth="1" min="97" max="97"/>
    <col width="10" customWidth="1" min="98" max="98"/>
    <col width="10" customWidth="1" min="99" max="99"/>
    <col width="11" customWidth="1" min="100" max="100"/>
    <col width="11" customWidth="1" min="101" max="101"/>
    <col width="10" customWidth="1" min="102" max="102"/>
    <col width="11" customWidth="1" min="103" max="103"/>
    <col width="13" customWidth="1" min="104" max="104"/>
    <col width="12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1" customWidth="1" min="111" max="111"/>
    <col width="11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1" customWidth="1" min="117" max="117"/>
    <col width="11" customWidth="1" min="118" max="118"/>
    <col width="10" customWidth="1" min="119" max="119"/>
    <col width="11" customWidth="1" min="120" max="120"/>
    <col width="13" customWidth="1" min="121" max="121"/>
    <col width="12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1" customWidth="1" min="128" max="128"/>
    <col width="11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1" customWidth="1" min="134" max="134"/>
    <col width="11" customWidth="1" min="135" max="135"/>
    <col width="10" customWidth="1" min="136" max="136"/>
    <col width="11" customWidth="1" min="137" max="137"/>
    <col width="13" customWidth="1" min="138" max="138"/>
    <col width="12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1" customWidth="1" min="145" max="145"/>
    <col width="11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1" customWidth="1" min="151" max="151"/>
    <col width="11" customWidth="1" min="152" max="152"/>
    <col width="10" customWidth="1" min="153" max="153"/>
    <col width="11" customWidth="1" min="154" max="154"/>
    <col width="13" customWidth="1" min="155" max="155"/>
    <col width="12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1" customWidth="1" min="162" max="162"/>
    <col width="11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1" customWidth="1" min="168" max="168"/>
    <col width="11" customWidth="1" min="169" max="169"/>
    <col width="10" customWidth="1" min="170" max="170"/>
    <col width="11" customWidth="1" min="171" max="171"/>
    <col width="13" customWidth="1" min="172" max="172"/>
    <col width="12" customWidth="1" min="174" max="174"/>
    <col width="10" customWidth="1" min="175" max="175"/>
    <col width="10" customWidth="1" min="176" max="176"/>
    <col width="10" customWidth="1" min="177" max="177"/>
    <col width="10" customWidth="1" min="178" max="178"/>
    <col width="11" customWidth="1" min="179" max="179"/>
    <col width="11" customWidth="1" min="180" max="180"/>
    <col width="10" customWidth="1" min="181" max="181"/>
    <col width="10" customWidth="1" min="182" max="182"/>
    <col width="10" customWidth="1" min="183" max="183"/>
    <col width="10" customWidth="1" min="184" max="184"/>
    <col width="11" customWidth="1" min="185" max="185"/>
    <col width="11" customWidth="1" min="186" max="186"/>
    <col width="10" customWidth="1" min="187" max="187"/>
    <col width="11" customWidth="1" min="188" max="188"/>
    <col width="13" customWidth="1" min="189" max="189"/>
    <col width="12" customWidth="1" min="191" max="191"/>
    <col width="10" customWidth="1" min="192" max="192"/>
    <col width="10" customWidth="1" min="193" max="193"/>
    <col width="10" customWidth="1" min="194" max="194"/>
    <col width="10" customWidth="1" min="195" max="195"/>
    <col width="11" customWidth="1" min="196" max="196"/>
    <col width="11" customWidth="1" min="197" max="197"/>
    <col width="10" customWidth="1" min="198" max="198"/>
    <col width="10" customWidth="1" min="199" max="199"/>
    <col width="10" customWidth="1" min="200" max="200"/>
    <col width="10" customWidth="1" min="201" max="201"/>
    <col width="11" customWidth="1" min="202" max="202"/>
    <col width="11" customWidth="1" min="203" max="203"/>
    <col width="10" customWidth="1" min="204" max="204"/>
    <col width="11" customWidth="1" min="205" max="205"/>
    <col width="13" customWidth="1" min="206" max="206"/>
    <col width="12" customWidth="1" min="208" max="208"/>
    <col width="10" customWidth="1" min="209" max="209"/>
    <col width="10" customWidth="1" min="210" max="210"/>
    <col width="10" customWidth="1" min="211" max="211"/>
    <col width="10" customWidth="1" min="212" max="212"/>
    <col width="11" customWidth="1" min="213" max="213"/>
    <col width="11" customWidth="1" min="214" max="214"/>
    <col width="10" customWidth="1" min="215" max="215"/>
    <col width="10" customWidth="1" min="216" max="216"/>
    <col width="10" customWidth="1" min="217" max="217"/>
    <col width="10" customWidth="1" min="218" max="218"/>
    <col width="11" customWidth="1" min="219" max="219"/>
    <col width="11" customWidth="1" min="220" max="220"/>
    <col width="10" customWidth="1" min="221" max="221"/>
    <col width="11" customWidth="1" min="222" max="222"/>
    <col width="13" customWidth="1" min="223" max="223"/>
    <col width="12" customWidth="1" min="225" max="225"/>
    <col width="10" customWidth="1" min="226" max="226"/>
    <col width="10" customWidth="1" min="227" max="227"/>
    <col width="10" customWidth="1" min="228" max="228"/>
    <col width="10" customWidth="1" min="229" max="229"/>
    <col width="11" customWidth="1" min="230" max="230"/>
    <col width="11" customWidth="1" min="231" max="231"/>
    <col width="10" customWidth="1" min="232" max="232"/>
    <col width="10" customWidth="1" min="233" max="233"/>
    <col width="10" customWidth="1" min="234" max="234"/>
    <col width="10" customWidth="1" min="235" max="235"/>
    <col width="11" customWidth="1" min="236" max="236"/>
    <col width="11" customWidth="1" min="237" max="237"/>
    <col width="10" customWidth="1" min="238" max="238"/>
    <col width="11" customWidth="1" min="239" max="239"/>
    <col width="13" customWidth="1" min="240" max="240"/>
    <col width="12" customWidth="1" min="242" max="242"/>
    <col width="10" customWidth="1" min="243" max="243"/>
    <col width="10" customWidth="1" min="244" max="244"/>
    <col width="10" customWidth="1" min="245" max="245"/>
    <col width="10" customWidth="1" min="246" max="246"/>
    <col width="11" customWidth="1" min="247" max="247"/>
    <col width="11" customWidth="1" min="248" max="248"/>
    <col width="10" customWidth="1" min="249" max="249"/>
    <col width="10" customWidth="1" min="250" max="250"/>
    <col width="10" customWidth="1" min="251" max="251"/>
    <col width="10" customWidth="1" min="252" max="252"/>
    <col width="11" customWidth="1" min="253" max="253"/>
    <col width="11" customWidth="1" min="254" max="254"/>
    <col width="10" customWidth="1" min="255" max="255"/>
    <col width="11" customWidth="1" min="256" max="256"/>
    <col width="13" customWidth="1" min="257" max="257"/>
    <col width="12" customWidth="1" min="259" max="259"/>
    <col width="10" customWidth="1" min="260" max="260"/>
    <col width="10" customWidth="1" min="261" max="261"/>
    <col width="10" customWidth="1" min="262" max="262"/>
    <col width="10" customWidth="1" min="263" max="263"/>
    <col width="11" customWidth="1" min="264" max="264"/>
    <col width="11" customWidth="1" min="265" max="265"/>
    <col width="10" customWidth="1" min="266" max="266"/>
    <col width="10" customWidth="1" min="267" max="267"/>
    <col width="10" customWidth="1" min="268" max="268"/>
    <col width="10" customWidth="1" min="269" max="269"/>
    <col width="11" customWidth="1" min="270" max="270"/>
    <col width="11" customWidth="1" min="271" max="271"/>
    <col width="10" customWidth="1" min="272" max="272"/>
    <col width="11" customWidth="1" min="273" max="273"/>
    <col width="13" customWidth="1" min="274" max="274"/>
    <col width="12" customWidth="1" min="276" max="276"/>
    <col width="10" customWidth="1" min="277" max="277"/>
    <col width="10" customWidth="1" min="278" max="278"/>
    <col width="10" customWidth="1" min="279" max="279"/>
    <col width="10" customWidth="1" min="280" max="280"/>
    <col width="11" customWidth="1" min="281" max="281"/>
    <col width="11" customWidth="1" min="282" max="282"/>
    <col width="10" customWidth="1" min="283" max="283"/>
    <col width="10" customWidth="1" min="284" max="284"/>
    <col width="10" customWidth="1" min="285" max="285"/>
    <col width="10" customWidth="1" min="286" max="286"/>
    <col width="11" customWidth="1" min="287" max="287"/>
    <col width="11" customWidth="1" min="288" max="288"/>
    <col width="10" customWidth="1" min="289" max="289"/>
    <col width="11" customWidth="1" min="290" max="290"/>
    <col width="13" customWidth="1" min="291" max="291"/>
    <col width="12" customWidth="1" min="293" max="293"/>
    <col width="10" customWidth="1" min="294" max="294"/>
    <col width="10" customWidth="1" min="295" max="295"/>
    <col width="10" customWidth="1" min="296" max="296"/>
    <col width="10" customWidth="1" min="297" max="297"/>
    <col width="11" customWidth="1" min="298" max="298"/>
    <col width="11" customWidth="1" min="299" max="299"/>
    <col width="10" customWidth="1" min="300" max="300"/>
    <col width="10" customWidth="1" min="301" max="301"/>
    <col width="10" customWidth="1" min="302" max="302"/>
    <col width="10" customWidth="1" min="303" max="303"/>
    <col width="11" customWidth="1" min="304" max="304"/>
    <col width="11" customWidth="1" min="305" max="305"/>
    <col width="10" customWidth="1" min="306" max="306"/>
    <col width="11" customWidth="1" min="307" max="307"/>
    <col width="13" customWidth="1" min="308" max="308"/>
    <col width="12" customWidth="1" min="310" max="310"/>
    <col width="10" customWidth="1" min="311" max="311"/>
    <col width="10" customWidth="1" min="312" max="312"/>
    <col width="10" customWidth="1" min="313" max="313"/>
    <col width="10" customWidth="1" min="314" max="314"/>
    <col width="11" customWidth="1" min="315" max="315"/>
    <col width="11" customWidth="1" min="316" max="316"/>
    <col width="10" customWidth="1" min="317" max="317"/>
    <col width="10" customWidth="1" min="318" max="318"/>
    <col width="10" customWidth="1" min="319" max="319"/>
    <col width="10" customWidth="1" min="320" max="320"/>
    <col width="11" customWidth="1" min="321" max="321"/>
    <col width="11" customWidth="1" min="322" max="322"/>
    <col width="10" customWidth="1" min="323" max="323"/>
    <col width="11" customWidth="1" min="324" max="324"/>
    <col width="13" customWidth="1" min="325" max="325"/>
    <col width="12" customWidth="1" min="327" max="327"/>
    <col width="10" customWidth="1" min="328" max="328"/>
    <col width="10" customWidth="1" min="329" max="329"/>
    <col width="10" customWidth="1" min="330" max="330"/>
    <col width="10" customWidth="1" min="331" max="331"/>
    <col width="11" customWidth="1" min="332" max="332"/>
    <col width="11" customWidth="1" min="333" max="333"/>
    <col width="10" customWidth="1" min="334" max="334"/>
    <col width="10" customWidth="1" min="335" max="335"/>
    <col width="10" customWidth="1" min="336" max="336"/>
    <col width="10" customWidth="1" min="337" max="337"/>
    <col width="11" customWidth="1" min="338" max="338"/>
    <col width="11" customWidth="1" min="339" max="339"/>
    <col width="10" customWidth="1" min="340" max="340"/>
    <col width="11" customWidth="1" min="341" max="341"/>
    <col width="13" customWidth="1" min="342" max="342"/>
    <col width="12" customWidth="1" min="344" max="344"/>
    <col width="10" customWidth="1" min="345" max="345"/>
    <col width="10" customWidth="1" min="346" max="346"/>
    <col width="10" customWidth="1" min="347" max="347"/>
    <col width="10" customWidth="1" min="348" max="348"/>
    <col width="11" customWidth="1" min="349" max="349"/>
    <col width="11" customWidth="1" min="350" max="350"/>
    <col width="10" customWidth="1" min="351" max="351"/>
    <col width="10" customWidth="1" min="352" max="352"/>
    <col width="10" customWidth="1" min="353" max="353"/>
    <col width="10" customWidth="1" min="354" max="354"/>
    <col width="11" customWidth="1" min="355" max="355"/>
    <col width="11" customWidth="1" min="356" max="356"/>
    <col width="10" customWidth="1" min="357" max="357"/>
    <col width="11" customWidth="1" min="358" max="358"/>
    <col width="13" customWidth="1" min="359" max="359"/>
    <col width="12" customWidth="1" min="361" max="361"/>
    <col width="10" customWidth="1" min="362" max="362"/>
    <col width="10" customWidth="1" min="363" max="363"/>
    <col width="10" customWidth="1" min="364" max="364"/>
    <col width="10" customWidth="1" min="365" max="365"/>
    <col width="11" customWidth="1" min="366" max="366"/>
    <col width="11" customWidth="1" min="367" max="367"/>
    <col width="10" customWidth="1" min="368" max="368"/>
    <col width="10" customWidth="1" min="369" max="369"/>
    <col width="10" customWidth="1" min="370" max="370"/>
    <col width="10" customWidth="1" min="371" max="371"/>
    <col width="11" customWidth="1" min="372" max="372"/>
    <col width="11" customWidth="1" min="373" max="373"/>
    <col width="10" customWidth="1" min="374" max="374"/>
    <col width="11" customWidth="1" min="375" max="375"/>
    <col width="13" customWidth="1" min="376" max="376"/>
  </cols>
  <sheetData>
    <row r="1">
      <c r="A1" s="2" t="inlineStr">
        <is>
          <t>Month</t>
        </is>
      </c>
      <c r="B1" s="9" t="n">
        <v>3</v>
      </c>
      <c r="D1" s="2">
        <f>IF(ISNUMBER(B$7),"OXY US "&amp;TEXT(B$3,"mm/dd/yy")&amp;" C"&amp;(B$7-5*B$6)&amp;" Equity","")</f>
        <v/>
      </c>
      <c r="U1" s="2">
        <f>IF(ISNUMBER(B$7),"OXY US "&amp;TEXT(B$3,"mm/dd/yy")&amp;" P"&amp;(B$7-5*B$6)&amp;" Equity","")</f>
        <v/>
      </c>
      <c r="AL1" s="2">
        <f>IF(ISNUMBER(B$7),"OXY US "&amp;TEXT(B$3,"mm/dd/yy")&amp;" C"&amp;(B$7-4*B$6)&amp;" Equity","")</f>
        <v/>
      </c>
      <c r="BC1" s="2">
        <f>IF(ISNUMBER(B$7),"OXY US "&amp;TEXT(B$3,"mm/dd/yy")&amp;" P"&amp;(B$7-4*B$6)&amp;" Equity","")</f>
        <v/>
      </c>
      <c r="BT1" s="2">
        <f>IF(ISNUMBER(B$7),"OXY US "&amp;TEXT(B$3,"mm/dd/yy")&amp;" C"&amp;(B$7-3*B$6)&amp;" Equity","")</f>
        <v/>
      </c>
      <c r="CK1" s="2">
        <f>IF(ISNUMBER(B$7),"OXY US "&amp;TEXT(B$3,"mm/dd/yy")&amp;" P"&amp;(B$7-3*B$6)&amp;" Equity","")</f>
        <v/>
      </c>
      <c r="DB1" s="2">
        <f>IF(ISNUMBER(B$7),"OXY US "&amp;TEXT(B$3,"mm/dd/yy")&amp;" C"&amp;(B$7-2*B$6)&amp;" Equity","")</f>
        <v/>
      </c>
      <c r="DS1" s="2">
        <f>IF(ISNUMBER(B$7),"OXY US "&amp;TEXT(B$3,"mm/dd/yy")&amp;" P"&amp;(B$7-2*B$6)&amp;" Equity","")</f>
        <v/>
      </c>
      <c r="EJ1" s="2">
        <f>IF(ISNUMBER(B$7),"OXY US "&amp;TEXT(B$3,"mm/dd/yy")&amp;" C"&amp;(B$7-1*B$6)&amp;" Equity","")</f>
        <v/>
      </c>
      <c r="FA1" s="2">
        <f>IF(ISNUMBER(B$7),"OXY US "&amp;TEXT(B$3,"mm/dd/yy")&amp;" P"&amp;(B$7-1*B$6)&amp;" Equity","")</f>
        <v/>
      </c>
      <c r="FR1" s="2">
        <f>IF(ISNUMBER(B$7),"OXY US "&amp;TEXT(B$3,"mm/dd/yy")&amp;" C"&amp;B$7&amp;" Equity","")</f>
        <v/>
      </c>
      <c r="GI1" s="2">
        <f>IF(ISNUMBER(B$7),"OXY US "&amp;TEXT(B$3,"mm/dd/yy")&amp;" P"&amp;B$7&amp;" Equity","")</f>
        <v/>
      </c>
      <c r="GZ1" s="2">
        <f>IF(ISNUMBER(B$7),"OXY US "&amp;TEXT(B$3,"mm/dd/yy")&amp;" C"&amp;(B$7+1*B$6)&amp;" Equity","")</f>
        <v/>
      </c>
      <c r="HQ1" s="2">
        <f>IF(ISNUMBER(B$7),"OXY US "&amp;TEXT(B$3,"mm/dd/yy")&amp;" P"&amp;(B$7+1*B$6)&amp;" Equity","")</f>
        <v/>
      </c>
      <c r="IH1" s="2">
        <f>IF(ISNUMBER(B$7),"OXY US "&amp;TEXT(B$3,"mm/dd/yy")&amp;" C"&amp;(B$7+2*B$6)&amp;" Equity","")</f>
        <v/>
      </c>
      <c r="IY1" s="2">
        <f>IF(ISNUMBER(B$7),"OXY US "&amp;TEXT(B$3,"mm/dd/yy")&amp;" P"&amp;(B$7+2*B$6)&amp;" Equity","")</f>
        <v/>
      </c>
      <c r="JP1" s="2">
        <f>IF(ISNUMBER(B$7),"OXY US "&amp;TEXT(B$3,"mm/dd/yy")&amp;" C"&amp;(B$7+3*B$6)&amp;" Equity","")</f>
        <v/>
      </c>
      <c r="KG1" s="2">
        <f>IF(ISNUMBER(B$7),"OXY US "&amp;TEXT(B$3,"mm/dd/yy")&amp;" P"&amp;(B$7+3*B$6)&amp;" Equity","")</f>
        <v/>
      </c>
      <c r="KX1" s="2">
        <f>IF(ISNUMBER(B$7),"OXY US "&amp;TEXT(B$3,"mm/dd/yy")&amp;" C"&amp;(B$7+4*B$6)&amp;" Equity","")</f>
        <v/>
      </c>
      <c r="LO1" s="2">
        <f>IF(ISNUMBER(B$7),"OXY US "&amp;TEXT(B$3,"mm/dd/yy")&amp;" P"&amp;(B$7+4*B$6)&amp;" Equity","")</f>
        <v/>
      </c>
      <c r="MF1" s="2">
        <f>IF(ISNUMBER(B$7),"OXY US "&amp;TEXT(B$3,"mm/dd/yy")&amp;" C"&amp;(B$7+5*B$6)&amp;" Equity","")</f>
        <v/>
      </c>
      <c r="MW1" s="2">
        <f>IF(ISNUMBER(B$7),"OXY US "&amp;TEXT(B$3,"mm/dd/yy")&amp;" P"&amp;(B$7+5*B$6)&amp;" Equity","")</f>
        <v/>
      </c>
    </row>
    <row r="2">
      <c r="A2" s="2" t="inlineStr">
        <is>
          <t>Underlying</t>
        </is>
      </c>
      <c r="B2" s="4">
        <f>IF(Settings!$B$18="Y","OXY US Equity","")</f>
        <v/>
      </c>
      <c r="D2" s="4" t="inlineStr">
        <is>
          <t>call -5 from ATM</t>
        </is>
      </c>
      <c r="U2" s="4" t="inlineStr">
        <is>
          <t>put -5 from ATM</t>
        </is>
      </c>
      <c r="AL2" s="4" t="inlineStr">
        <is>
          <t>call -4 from ATM</t>
        </is>
      </c>
      <c r="BC2" s="4" t="inlineStr">
        <is>
          <t>put -4 from ATM</t>
        </is>
      </c>
      <c r="BT2" s="4" t="inlineStr">
        <is>
          <t>call -3 from ATM</t>
        </is>
      </c>
      <c r="CK2" s="4" t="inlineStr">
        <is>
          <t>put -3 from ATM</t>
        </is>
      </c>
      <c r="DB2" s="4" t="inlineStr">
        <is>
          <t>call -2 from ATM</t>
        </is>
      </c>
      <c r="DS2" s="4" t="inlineStr">
        <is>
          <t>put -2 from ATM</t>
        </is>
      </c>
      <c r="EJ2" s="4" t="inlineStr">
        <is>
          <t>call -1 from ATM</t>
        </is>
      </c>
      <c r="FA2" s="4" t="inlineStr">
        <is>
          <t>put -1 from ATM</t>
        </is>
      </c>
      <c r="FR2" s="4" t="inlineStr">
        <is>
          <t>call +0 from ATM</t>
        </is>
      </c>
      <c r="GI2" s="4" t="inlineStr">
        <is>
          <t>put +0 from ATM</t>
        </is>
      </c>
      <c r="GZ2" s="4" t="inlineStr">
        <is>
          <t>call +1 from ATM</t>
        </is>
      </c>
      <c r="HQ2" s="4" t="inlineStr">
        <is>
          <t>put +1 from ATM</t>
        </is>
      </c>
      <c r="IH2" s="4" t="inlineStr">
        <is>
          <t>call +2 from ATM</t>
        </is>
      </c>
      <c r="IY2" s="4" t="inlineStr">
        <is>
          <t>put +2 from ATM</t>
        </is>
      </c>
      <c r="JP2" s="4" t="inlineStr">
        <is>
          <t>call +3 from ATM</t>
        </is>
      </c>
      <c r="KG2" s="4" t="inlineStr">
        <is>
          <t>put +3 from ATM</t>
        </is>
      </c>
      <c r="KX2" s="4" t="inlineStr">
        <is>
          <t>call +4 from ATM</t>
        </is>
      </c>
      <c r="LO2" s="4" t="inlineStr">
        <is>
          <t>put +4 from ATM</t>
        </is>
      </c>
      <c r="MF2" s="4" t="inlineStr">
        <is>
          <t>call +5 from ATM</t>
        </is>
      </c>
      <c r="MW2" s="4" t="inlineStr">
        <is>
          <t>put +5 from ATM</t>
        </is>
      </c>
    </row>
    <row r="3">
      <c r="A3" s="2" t="inlineStr">
        <is>
          <t>Expiry (3rd Friday)</t>
        </is>
      </c>
      <c r="B3" s="3">
        <f>DATE(Settings!$E$18,B1,15)+MOD(6-WEEKDAY(DATE(Settings!$E$18,B1,15)),7)</f>
        <v/>
      </c>
      <c r="D3" s="5" t="inlineStr">
        <is>
          <t>Date</t>
        </is>
      </c>
      <c r="E3" s="5" t="inlineStr">
        <is>
          <t>PX_BID</t>
        </is>
      </c>
      <c r="F3" s="5" t="inlineStr">
        <is>
          <t>PX_ASK</t>
        </is>
      </c>
      <c r="G3" s="5" t="inlineStr">
        <is>
          <t>PX_MID</t>
        </is>
      </c>
      <c r="H3" s="5" t="inlineStr">
        <is>
          <t>PX_LAST</t>
        </is>
      </c>
      <c r="I3" s="5" t="inlineStr">
        <is>
          <t>PX_SETTLE</t>
        </is>
      </c>
      <c r="J3" s="5" t="inlineStr">
        <is>
          <t>PX_VOLUME</t>
        </is>
      </c>
      <c r="K3" s="5" t="inlineStr">
        <is>
          <t>OPEN_INT</t>
        </is>
      </c>
      <c r="L3" s="5" t="inlineStr">
        <is>
          <t>IVOL_MID</t>
        </is>
      </c>
      <c r="M3" s="5" t="inlineStr">
        <is>
          <t>IVOL_BID</t>
        </is>
      </c>
      <c r="N3" s="5" t="inlineStr">
        <is>
          <t>IVOL_ASK</t>
        </is>
      </c>
      <c r="O3" s="5" t="inlineStr">
        <is>
          <t>DELTA_MID</t>
        </is>
      </c>
      <c r="P3" s="5" t="inlineStr">
        <is>
          <t>GAMMA_MID</t>
        </is>
      </c>
      <c r="Q3" s="5" t="inlineStr">
        <is>
          <t>VEGA_MID</t>
        </is>
      </c>
      <c r="R3" s="5" t="inlineStr">
        <is>
          <t>THETA_MID</t>
        </is>
      </c>
      <c r="S3" s="5" t="inlineStr">
        <is>
          <t>OPT_UNDL_PX</t>
        </is>
      </c>
      <c r="U3" s="5" t="inlineStr">
        <is>
          <t>Date</t>
        </is>
      </c>
      <c r="V3" s="5" t="inlineStr">
        <is>
          <t>PX_BID</t>
        </is>
      </c>
      <c r="W3" s="5" t="inlineStr">
        <is>
          <t>PX_ASK</t>
        </is>
      </c>
      <c r="X3" s="5" t="inlineStr">
        <is>
          <t>PX_MID</t>
        </is>
      </c>
      <c r="Y3" s="5" t="inlineStr">
        <is>
          <t>PX_LAST</t>
        </is>
      </c>
      <c r="Z3" s="5" t="inlineStr">
        <is>
          <t>PX_SETTLE</t>
        </is>
      </c>
      <c r="AA3" s="5" t="inlineStr">
        <is>
          <t>PX_VOLUME</t>
        </is>
      </c>
      <c r="AB3" s="5" t="inlineStr">
        <is>
          <t>OPEN_INT</t>
        </is>
      </c>
      <c r="AC3" s="5" t="inlineStr">
        <is>
          <t>IVOL_MID</t>
        </is>
      </c>
      <c r="AD3" s="5" t="inlineStr">
        <is>
          <t>IVOL_BID</t>
        </is>
      </c>
      <c r="AE3" s="5" t="inlineStr">
        <is>
          <t>IVOL_ASK</t>
        </is>
      </c>
      <c r="AF3" s="5" t="inlineStr">
        <is>
          <t>DELTA_MID</t>
        </is>
      </c>
      <c r="AG3" s="5" t="inlineStr">
        <is>
          <t>GAMMA_MID</t>
        </is>
      </c>
      <c r="AH3" s="5" t="inlineStr">
        <is>
          <t>VEGA_MID</t>
        </is>
      </c>
      <c r="AI3" s="5" t="inlineStr">
        <is>
          <t>THETA_MID</t>
        </is>
      </c>
      <c r="AJ3" s="5" t="inlineStr">
        <is>
          <t>OPT_UNDL_PX</t>
        </is>
      </c>
      <c r="AL3" s="5" t="inlineStr">
        <is>
          <t>Date</t>
        </is>
      </c>
      <c r="AM3" s="5" t="inlineStr">
        <is>
          <t>PX_BID</t>
        </is>
      </c>
      <c r="AN3" s="5" t="inlineStr">
        <is>
          <t>PX_ASK</t>
        </is>
      </c>
      <c r="AO3" s="5" t="inlineStr">
        <is>
          <t>PX_MID</t>
        </is>
      </c>
      <c r="AP3" s="5" t="inlineStr">
        <is>
          <t>PX_LAST</t>
        </is>
      </c>
      <c r="AQ3" s="5" t="inlineStr">
        <is>
          <t>PX_SETTLE</t>
        </is>
      </c>
      <c r="AR3" s="5" t="inlineStr">
        <is>
          <t>PX_VOLUME</t>
        </is>
      </c>
      <c r="AS3" s="5" t="inlineStr">
        <is>
          <t>OPEN_INT</t>
        </is>
      </c>
      <c r="AT3" s="5" t="inlineStr">
        <is>
          <t>IVOL_MID</t>
        </is>
      </c>
      <c r="AU3" s="5" t="inlineStr">
        <is>
          <t>IVOL_BID</t>
        </is>
      </c>
      <c r="AV3" s="5" t="inlineStr">
        <is>
          <t>IVOL_ASK</t>
        </is>
      </c>
      <c r="AW3" s="5" t="inlineStr">
        <is>
          <t>DELTA_MID</t>
        </is>
      </c>
      <c r="AX3" s="5" t="inlineStr">
        <is>
          <t>GAMMA_MID</t>
        </is>
      </c>
      <c r="AY3" s="5" t="inlineStr">
        <is>
          <t>VEGA_MID</t>
        </is>
      </c>
      <c r="AZ3" s="5" t="inlineStr">
        <is>
          <t>THETA_MID</t>
        </is>
      </c>
      <c r="BA3" s="5" t="inlineStr">
        <is>
          <t>OPT_UNDL_PX</t>
        </is>
      </c>
      <c r="BC3" s="5" t="inlineStr">
        <is>
          <t>Date</t>
        </is>
      </c>
      <c r="BD3" s="5" t="inlineStr">
        <is>
          <t>PX_BID</t>
        </is>
      </c>
      <c r="BE3" s="5" t="inlineStr">
        <is>
          <t>PX_ASK</t>
        </is>
      </c>
      <c r="BF3" s="5" t="inlineStr">
        <is>
          <t>PX_MID</t>
        </is>
      </c>
      <c r="BG3" s="5" t="inlineStr">
        <is>
          <t>PX_LAST</t>
        </is>
      </c>
      <c r="BH3" s="5" t="inlineStr">
        <is>
          <t>PX_SETTLE</t>
        </is>
      </c>
      <c r="BI3" s="5" t="inlineStr">
        <is>
          <t>PX_VOLUME</t>
        </is>
      </c>
      <c r="BJ3" s="5" t="inlineStr">
        <is>
          <t>OPEN_INT</t>
        </is>
      </c>
      <c r="BK3" s="5" t="inlineStr">
        <is>
          <t>IVOL_MID</t>
        </is>
      </c>
      <c r="BL3" s="5" t="inlineStr">
        <is>
          <t>IVOL_BID</t>
        </is>
      </c>
      <c r="BM3" s="5" t="inlineStr">
        <is>
          <t>IVOL_ASK</t>
        </is>
      </c>
      <c r="BN3" s="5" t="inlineStr">
        <is>
          <t>DELTA_MID</t>
        </is>
      </c>
      <c r="BO3" s="5" t="inlineStr">
        <is>
          <t>GAMMA_MID</t>
        </is>
      </c>
      <c r="BP3" s="5" t="inlineStr">
        <is>
          <t>VEGA_MID</t>
        </is>
      </c>
      <c r="BQ3" s="5" t="inlineStr">
        <is>
          <t>THETA_MID</t>
        </is>
      </c>
      <c r="BR3" s="5" t="inlineStr">
        <is>
          <t>OPT_UNDL_PX</t>
        </is>
      </c>
      <c r="BT3" s="5" t="inlineStr">
        <is>
          <t>Date</t>
        </is>
      </c>
      <c r="BU3" s="5" t="inlineStr">
        <is>
          <t>PX_BID</t>
        </is>
      </c>
      <c r="BV3" s="5" t="inlineStr">
        <is>
          <t>PX_ASK</t>
        </is>
      </c>
      <c r="BW3" s="5" t="inlineStr">
        <is>
          <t>PX_MID</t>
        </is>
      </c>
      <c r="BX3" s="5" t="inlineStr">
        <is>
          <t>PX_LAST</t>
        </is>
      </c>
      <c r="BY3" s="5" t="inlineStr">
        <is>
          <t>PX_SETTLE</t>
        </is>
      </c>
      <c r="BZ3" s="5" t="inlineStr">
        <is>
          <t>PX_VOLUME</t>
        </is>
      </c>
      <c r="CA3" s="5" t="inlineStr">
        <is>
          <t>OPEN_INT</t>
        </is>
      </c>
      <c r="CB3" s="5" t="inlineStr">
        <is>
          <t>IVOL_MID</t>
        </is>
      </c>
      <c r="CC3" s="5" t="inlineStr">
        <is>
          <t>IVOL_BID</t>
        </is>
      </c>
      <c r="CD3" s="5" t="inlineStr">
        <is>
          <t>IVOL_ASK</t>
        </is>
      </c>
      <c r="CE3" s="5" t="inlineStr">
        <is>
          <t>DELTA_MID</t>
        </is>
      </c>
      <c r="CF3" s="5" t="inlineStr">
        <is>
          <t>GAMMA_MID</t>
        </is>
      </c>
      <c r="CG3" s="5" t="inlineStr">
        <is>
          <t>VEGA_MID</t>
        </is>
      </c>
      <c r="CH3" s="5" t="inlineStr">
        <is>
          <t>THETA_MID</t>
        </is>
      </c>
      <c r="CI3" s="5" t="inlineStr">
        <is>
          <t>OPT_UNDL_PX</t>
        </is>
      </c>
      <c r="CK3" s="5" t="inlineStr">
        <is>
          <t>Date</t>
        </is>
      </c>
      <c r="CL3" s="5" t="inlineStr">
        <is>
          <t>PX_BID</t>
        </is>
      </c>
      <c r="CM3" s="5" t="inlineStr">
        <is>
          <t>PX_ASK</t>
        </is>
      </c>
      <c r="CN3" s="5" t="inlineStr">
        <is>
          <t>PX_MID</t>
        </is>
      </c>
      <c r="CO3" s="5" t="inlineStr">
        <is>
          <t>PX_LAST</t>
        </is>
      </c>
      <c r="CP3" s="5" t="inlineStr">
        <is>
          <t>PX_SETTLE</t>
        </is>
      </c>
      <c r="CQ3" s="5" t="inlineStr">
        <is>
          <t>PX_VOLUME</t>
        </is>
      </c>
      <c r="CR3" s="5" t="inlineStr">
        <is>
          <t>OPEN_INT</t>
        </is>
      </c>
      <c r="CS3" s="5" t="inlineStr">
        <is>
          <t>IVOL_MID</t>
        </is>
      </c>
      <c r="CT3" s="5" t="inlineStr">
        <is>
          <t>IVOL_BID</t>
        </is>
      </c>
      <c r="CU3" s="5" t="inlineStr">
        <is>
          <t>IVOL_ASK</t>
        </is>
      </c>
      <c r="CV3" s="5" t="inlineStr">
        <is>
          <t>DELTA_MID</t>
        </is>
      </c>
      <c r="CW3" s="5" t="inlineStr">
        <is>
          <t>GAMMA_MID</t>
        </is>
      </c>
      <c r="CX3" s="5" t="inlineStr">
        <is>
          <t>VEGA_MID</t>
        </is>
      </c>
      <c r="CY3" s="5" t="inlineStr">
        <is>
          <t>THETA_MID</t>
        </is>
      </c>
      <c r="CZ3" s="5" t="inlineStr">
        <is>
          <t>OPT_UNDL_PX</t>
        </is>
      </c>
      <c r="DB3" s="5" t="inlineStr">
        <is>
          <t>Date</t>
        </is>
      </c>
      <c r="DC3" s="5" t="inlineStr">
        <is>
          <t>PX_BID</t>
        </is>
      </c>
      <c r="DD3" s="5" t="inlineStr">
        <is>
          <t>PX_ASK</t>
        </is>
      </c>
      <c r="DE3" s="5" t="inlineStr">
        <is>
          <t>PX_MID</t>
        </is>
      </c>
      <c r="DF3" s="5" t="inlineStr">
        <is>
          <t>PX_LAST</t>
        </is>
      </c>
      <c r="DG3" s="5" t="inlineStr">
        <is>
          <t>PX_SETTLE</t>
        </is>
      </c>
      <c r="DH3" s="5" t="inlineStr">
        <is>
          <t>PX_VOLUME</t>
        </is>
      </c>
      <c r="DI3" s="5" t="inlineStr">
        <is>
          <t>OPEN_INT</t>
        </is>
      </c>
      <c r="DJ3" s="5" t="inlineStr">
        <is>
          <t>IVOL_MID</t>
        </is>
      </c>
      <c r="DK3" s="5" t="inlineStr">
        <is>
          <t>IVOL_BID</t>
        </is>
      </c>
      <c r="DL3" s="5" t="inlineStr">
        <is>
          <t>IVOL_ASK</t>
        </is>
      </c>
      <c r="DM3" s="5" t="inlineStr">
        <is>
          <t>DELTA_MID</t>
        </is>
      </c>
      <c r="DN3" s="5" t="inlineStr">
        <is>
          <t>GAMMA_MID</t>
        </is>
      </c>
      <c r="DO3" s="5" t="inlineStr">
        <is>
          <t>VEGA_MID</t>
        </is>
      </c>
      <c r="DP3" s="5" t="inlineStr">
        <is>
          <t>THETA_MID</t>
        </is>
      </c>
      <c r="DQ3" s="5" t="inlineStr">
        <is>
          <t>OPT_UNDL_PX</t>
        </is>
      </c>
      <c r="DS3" s="5" t="inlineStr">
        <is>
          <t>Date</t>
        </is>
      </c>
      <c r="DT3" s="5" t="inlineStr">
        <is>
          <t>PX_BID</t>
        </is>
      </c>
      <c r="DU3" s="5" t="inlineStr">
        <is>
          <t>PX_ASK</t>
        </is>
      </c>
      <c r="DV3" s="5" t="inlineStr">
        <is>
          <t>PX_MID</t>
        </is>
      </c>
      <c r="DW3" s="5" t="inlineStr">
        <is>
          <t>PX_LAST</t>
        </is>
      </c>
      <c r="DX3" s="5" t="inlineStr">
        <is>
          <t>PX_SETTLE</t>
        </is>
      </c>
      <c r="DY3" s="5" t="inlineStr">
        <is>
          <t>PX_VOLUME</t>
        </is>
      </c>
      <c r="DZ3" s="5" t="inlineStr">
        <is>
          <t>OPEN_INT</t>
        </is>
      </c>
      <c r="EA3" s="5" t="inlineStr">
        <is>
          <t>IVOL_MID</t>
        </is>
      </c>
      <c r="EB3" s="5" t="inlineStr">
        <is>
          <t>IVOL_BID</t>
        </is>
      </c>
      <c r="EC3" s="5" t="inlineStr">
        <is>
          <t>IVOL_ASK</t>
        </is>
      </c>
      <c r="ED3" s="5" t="inlineStr">
        <is>
          <t>DELTA_MID</t>
        </is>
      </c>
      <c r="EE3" s="5" t="inlineStr">
        <is>
          <t>GAMMA_MID</t>
        </is>
      </c>
      <c r="EF3" s="5" t="inlineStr">
        <is>
          <t>VEGA_MID</t>
        </is>
      </c>
      <c r="EG3" s="5" t="inlineStr">
        <is>
          <t>THETA_MID</t>
        </is>
      </c>
      <c r="EH3" s="5" t="inlineStr">
        <is>
          <t>OPT_UNDL_PX</t>
        </is>
      </c>
      <c r="EJ3" s="5" t="inlineStr">
        <is>
          <t>Date</t>
        </is>
      </c>
      <c r="EK3" s="5" t="inlineStr">
        <is>
          <t>PX_BID</t>
        </is>
      </c>
      <c r="EL3" s="5" t="inlineStr">
        <is>
          <t>PX_ASK</t>
        </is>
      </c>
      <c r="EM3" s="5" t="inlineStr">
        <is>
          <t>PX_MID</t>
        </is>
      </c>
      <c r="EN3" s="5" t="inlineStr">
        <is>
          <t>PX_LAST</t>
        </is>
      </c>
      <c r="EO3" s="5" t="inlineStr">
        <is>
          <t>PX_SETTLE</t>
        </is>
      </c>
      <c r="EP3" s="5" t="inlineStr">
        <is>
          <t>PX_VOLUME</t>
        </is>
      </c>
      <c r="EQ3" s="5" t="inlineStr">
        <is>
          <t>OPEN_INT</t>
        </is>
      </c>
      <c r="ER3" s="5" t="inlineStr">
        <is>
          <t>IVOL_MID</t>
        </is>
      </c>
      <c r="ES3" s="5" t="inlineStr">
        <is>
          <t>IVOL_BID</t>
        </is>
      </c>
      <c r="ET3" s="5" t="inlineStr">
        <is>
          <t>IVOL_ASK</t>
        </is>
      </c>
      <c r="EU3" s="5" t="inlineStr">
        <is>
          <t>DELTA_MID</t>
        </is>
      </c>
      <c r="EV3" s="5" t="inlineStr">
        <is>
          <t>GAMMA_MID</t>
        </is>
      </c>
      <c r="EW3" s="5" t="inlineStr">
        <is>
          <t>VEGA_MID</t>
        </is>
      </c>
      <c r="EX3" s="5" t="inlineStr">
        <is>
          <t>THETA_MID</t>
        </is>
      </c>
      <c r="EY3" s="5" t="inlineStr">
        <is>
          <t>OPT_UNDL_PX</t>
        </is>
      </c>
      <c r="FA3" s="5" t="inlineStr">
        <is>
          <t>Date</t>
        </is>
      </c>
      <c r="FB3" s="5" t="inlineStr">
        <is>
          <t>PX_BID</t>
        </is>
      </c>
      <c r="FC3" s="5" t="inlineStr">
        <is>
          <t>PX_ASK</t>
        </is>
      </c>
      <c r="FD3" s="5" t="inlineStr">
        <is>
          <t>PX_MID</t>
        </is>
      </c>
      <c r="FE3" s="5" t="inlineStr">
        <is>
          <t>PX_LAST</t>
        </is>
      </c>
      <c r="FF3" s="5" t="inlineStr">
        <is>
          <t>PX_SETTLE</t>
        </is>
      </c>
      <c r="FG3" s="5" t="inlineStr">
        <is>
          <t>PX_VOLUME</t>
        </is>
      </c>
      <c r="FH3" s="5" t="inlineStr">
        <is>
          <t>OPEN_INT</t>
        </is>
      </c>
      <c r="FI3" s="5" t="inlineStr">
        <is>
          <t>IVOL_MID</t>
        </is>
      </c>
      <c r="FJ3" s="5" t="inlineStr">
        <is>
          <t>IVOL_BID</t>
        </is>
      </c>
      <c r="FK3" s="5" t="inlineStr">
        <is>
          <t>IVOL_ASK</t>
        </is>
      </c>
      <c r="FL3" s="5" t="inlineStr">
        <is>
          <t>DELTA_MID</t>
        </is>
      </c>
      <c r="FM3" s="5" t="inlineStr">
        <is>
          <t>GAMMA_MID</t>
        </is>
      </c>
      <c r="FN3" s="5" t="inlineStr">
        <is>
          <t>VEGA_MID</t>
        </is>
      </c>
      <c r="FO3" s="5" t="inlineStr">
        <is>
          <t>THETA_MID</t>
        </is>
      </c>
      <c r="FP3" s="5" t="inlineStr">
        <is>
          <t>OPT_UNDL_PX</t>
        </is>
      </c>
      <c r="FR3" s="5" t="inlineStr">
        <is>
          <t>Date</t>
        </is>
      </c>
      <c r="FS3" s="5" t="inlineStr">
        <is>
          <t>PX_BID</t>
        </is>
      </c>
      <c r="FT3" s="5" t="inlineStr">
        <is>
          <t>PX_ASK</t>
        </is>
      </c>
      <c r="FU3" s="5" t="inlineStr">
        <is>
          <t>PX_MID</t>
        </is>
      </c>
      <c r="FV3" s="5" t="inlineStr">
        <is>
          <t>PX_LAST</t>
        </is>
      </c>
      <c r="FW3" s="5" t="inlineStr">
        <is>
          <t>PX_SETTLE</t>
        </is>
      </c>
      <c r="FX3" s="5" t="inlineStr">
        <is>
          <t>PX_VOLUME</t>
        </is>
      </c>
      <c r="FY3" s="5" t="inlineStr">
        <is>
          <t>OPEN_INT</t>
        </is>
      </c>
      <c r="FZ3" s="5" t="inlineStr">
        <is>
          <t>IVOL_MID</t>
        </is>
      </c>
      <c r="GA3" s="5" t="inlineStr">
        <is>
          <t>IVOL_BID</t>
        </is>
      </c>
      <c r="GB3" s="5" t="inlineStr">
        <is>
          <t>IVOL_ASK</t>
        </is>
      </c>
      <c r="GC3" s="5" t="inlineStr">
        <is>
          <t>DELTA_MID</t>
        </is>
      </c>
      <c r="GD3" s="5" t="inlineStr">
        <is>
          <t>GAMMA_MID</t>
        </is>
      </c>
      <c r="GE3" s="5" t="inlineStr">
        <is>
          <t>VEGA_MID</t>
        </is>
      </c>
      <c r="GF3" s="5" t="inlineStr">
        <is>
          <t>THETA_MID</t>
        </is>
      </c>
      <c r="GG3" s="5" t="inlineStr">
        <is>
          <t>OPT_UNDL_PX</t>
        </is>
      </c>
      <c r="GI3" s="5" t="inlineStr">
        <is>
          <t>Date</t>
        </is>
      </c>
      <c r="GJ3" s="5" t="inlineStr">
        <is>
          <t>PX_BID</t>
        </is>
      </c>
      <c r="GK3" s="5" t="inlineStr">
        <is>
          <t>PX_ASK</t>
        </is>
      </c>
      <c r="GL3" s="5" t="inlineStr">
        <is>
          <t>PX_MID</t>
        </is>
      </c>
      <c r="GM3" s="5" t="inlineStr">
        <is>
          <t>PX_LAST</t>
        </is>
      </c>
      <c r="GN3" s="5" t="inlineStr">
        <is>
          <t>PX_SETTLE</t>
        </is>
      </c>
      <c r="GO3" s="5" t="inlineStr">
        <is>
          <t>PX_VOLUME</t>
        </is>
      </c>
      <c r="GP3" s="5" t="inlineStr">
        <is>
          <t>OPEN_INT</t>
        </is>
      </c>
      <c r="GQ3" s="5" t="inlineStr">
        <is>
          <t>IVOL_MID</t>
        </is>
      </c>
      <c r="GR3" s="5" t="inlineStr">
        <is>
          <t>IVOL_BID</t>
        </is>
      </c>
      <c r="GS3" s="5" t="inlineStr">
        <is>
          <t>IVOL_ASK</t>
        </is>
      </c>
      <c r="GT3" s="5" t="inlineStr">
        <is>
          <t>DELTA_MID</t>
        </is>
      </c>
      <c r="GU3" s="5" t="inlineStr">
        <is>
          <t>GAMMA_MID</t>
        </is>
      </c>
      <c r="GV3" s="5" t="inlineStr">
        <is>
          <t>VEGA_MID</t>
        </is>
      </c>
      <c r="GW3" s="5" t="inlineStr">
        <is>
          <t>THETA_MID</t>
        </is>
      </c>
      <c r="GX3" s="5" t="inlineStr">
        <is>
          <t>OPT_UNDL_PX</t>
        </is>
      </c>
      <c r="GZ3" s="5" t="inlineStr">
        <is>
          <t>Date</t>
        </is>
      </c>
      <c r="HA3" s="5" t="inlineStr">
        <is>
          <t>PX_BID</t>
        </is>
      </c>
      <c r="HB3" s="5" t="inlineStr">
        <is>
          <t>PX_ASK</t>
        </is>
      </c>
      <c r="HC3" s="5" t="inlineStr">
        <is>
          <t>PX_MID</t>
        </is>
      </c>
      <c r="HD3" s="5" t="inlineStr">
        <is>
          <t>PX_LAST</t>
        </is>
      </c>
      <c r="HE3" s="5" t="inlineStr">
        <is>
          <t>PX_SETTLE</t>
        </is>
      </c>
      <c r="HF3" s="5" t="inlineStr">
        <is>
          <t>PX_VOLUME</t>
        </is>
      </c>
      <c r="HG3" s="5" t="inlineStr">
        <is>
          <t>OPEN_INT</t>
        </is>
      </c>
      <c r="HH3" s="5" t="inlineStr">
        <is>
          <t>IVOL_MID</t>
        </is>
      </c>
      <c r="HI3" s="5" t="inlineStr">
        <is>
          <t>IVOL_BID</t>
        </is>
      </c>
      <c r="HJ3" s="5" t="inlineStr">
        <is>
          <t>IVOL_ASK</t>
        </is>
      </c>
      <c r="HK3" s="5" t="inlineStr">
        <is>
          <t>DELTA_MID</t>
        </is>
      </c>
      <c r="HL3" s="5" t="inlineStr">
        <is>
          <t>GAMMA_MID</t>
        </is>
      </c>
      <c r="HM3" s="5" t="inlineStr">
        <is>
          <t>VEGA_MID</t>
        </is>
      </c>
      <c r="HN3" s="5" t="inlineStr">
        <is>
          <t>THETA_MID</t>
        </is>
      </c>
      <c r="HO3" s="5" t="inlineStr">
        <is>
          <t>OPT_UNDL_PX</t>
        </is>
      </c>
      <c r="HQ3" s="5" t="inlineStr">
        <is>
          <t>Date</t>
        </is>
      </c>
      <c r="HR3" s="5" t="inlineStr">
        <is>
          <t>PX_BID</t>
        </is>
      </c>
      <c r="HS3" s="5" t="inlineStr">
        <is>
          <t>PX_ASK</t>
        </is>
      </c>
      <c r="HT3" s="5" t="inlineStr">
        <is>
          <t>PX_MID</t>
        </is>
      </c>
      <c r="HU3" s="5" t="inlineStr">
        <is>
          <t>PX_LAST</t>
        </is>
      </c>
      <c r="HV3" s="5" t="inlineStr">
        <is>
          <t>PX_SETTLE</t>
        </is>
      </c>
      <c r="HW3" s="5" t="inlineStr">
        <is>
          <t>PX_VOLUME</t>
        </is>
      </c>
      <c r="HX3" s="5" t="inlineStr">
        <is>
          <t>OPEN_INT</t>
        </is>
      </c>
      <c r="HY3" s="5" t="inlineStr">
        <is>
          <t>IVOL_MID</t>
        </is>
      </c>
      <c r="HZ3" s="5" t="inlineStr">
        <is>
          <t>IVOL_BID</t>
        </is>
      </c>
      <c r="IA3" s="5" t="inlineStr">
        <is>
          <t>IVOL_ASK</t>
        </is>
      </c>
      <c r="IB3" s="5" t="inlineStr">
        <is>
          <t>DELTA_MID</t>
        </is>
      </c>
      <c r="IC3" s="5" t="inlineStr">
        <is>
          <t>GAMMA_MID</t>
        </is>
      </c>
      <c r="ID3" s="5" t="inlineStr">
        <is>
          <t>VEGA_MID</t>
        </is>
      </c>
      <c r="IE3" s="5" t="inlineStr">
        <is>
          <t>THETA_MID</t>
        </is>
      </c>
      <c r="IF3" s="5" t="inlineStr">
        <is>
          <t>OPT_UNDL_PX</t>
        </is>
      </c>
      <c r="IH3" s="5" t="inlineStr">
        <is>
          <t>Date</t>
        </is>
      </c>
      <c r="II3" s="5" t="inlineStr">
        <is>
          <t>PX_BID</t>
        </is>
      </c>
      <c r="IJ3" s="5" t="inlineStr">
        <is>
          <t>PX_ASK</t>
        </is>
      </c>
      <c r="IK3" s="5" t="inlineStr">
        <is>
          <t>PX_MID</t>
        </is>
      </c>
      <c r="IL3" s="5" t="inlineStr">
        <is>
          <t>PX_LAST</t>
        </is>
      </c>
      <c r="IM3" s="5" t="inlineStr">
        <is>
          <t>PX_SETTLE</t>
        </is>
      </c>
      <c r="IN3" s="5" t="inlineStr">
        <is>
          <t>PX_VOLUME</t>
        </is>
      </c>
      <c r="IO3" s="5" t="inlineStr">
        <is>
          <t>OPEN_INT</t>
        </is>
      </c>
      <c r="IP3" s="5" t="inlineStr">
        <is>
          <t>IVOL_MID</t>
        </is>
      </c>
      <c r="IQ3" s="5" t="inlineStr">
        <is>
          <t>IVOL_BID</t>
        </is>
      </c>
      <c r="IR3" s="5" t="inlineStr">
        <is>
          <t>IVOL_ASK</t>
        </is>
      </c>
      <c r="IS3" s="5" t="inlineStr">
        <is>
          <t>DELTA_MID</t>
        </is>
      </c>
      <c r="IT3" s="5" t="inlineStr">
        <is>
          <t>GAMMA_MID</t>
        </is>
      </c>
      <c r="IU3" s="5" t="inlineStr">
        <is>
          <t>VEGA_MID</t>
        </is>
      </c>
      <c r="IV3" s="5" t="inlineStr">
        <is>
          <t>THETA_MID</t>
        </is>
      </c>
      <c r="IW3" s="5" t="inlineStr">
        <is>
          <t>OPT_UNDL_PX</t>
        </is>
      </c>
      <c r="IY3" s="5" t="inlineStr">
        <is>
          <t>Date</t>
        </is>
      </c>
      <c r="IZ3" s="5" t="inlineStr">
        <is>
          <t>PX_BID</t>
        </is>
      </c>
      <c r="JA3" s="5" t="inlineStr">
        <is>
          <t>PX_ASK</t>
        </is>
      </c>
      <c r="JB3" s="5" t="inlineStr">
        <is>
          <t>PX_MID</t>
        </is>
      </c>
      <c r="JC3" s="5" t="inlineStr">
        <is>
          <t>PX_LAST</t>
        </is>
      </c>
      <c r="JD3" s="5" t="inlineStr">
        <is>
          <t>PX_SETTLE</t>
        </is>
      </c>
      <c r="JE3" s="5" t="inlineStr">
        <is>
          <t>PX_VOLUME</t>
        </is>
      </c>
      <c r="JF3" s="5" t="inlineStr">
        <is>
          <t>OPEN_INT</t>
        </is>
      </c>
      <c r="JG3" s="5" t="inlineStr">
        <is>
          <t>IVOL_MID</t>
        </is>
      </c>
      <c r="JH3" s="5" t="inlineStr">
        <is>
          <t>IVOL_BID</t>
        </is>
      </c>
      <c r="JI3" s="5" t="inlineStr">
        <is>
          <t>IVOL_ASK</t>
        </is>
      </c>
      <c r="JJ3" s="5" t="inlineStr">
        <is>
          <t>DELTA_MID</t>
        </is>
      </c>
      <c r="JK3" s="5" t="inlineStr">
        <is>
          <t>GAMMA_MID</t>
        </is>
      </c>
      <c r="JL3" s="5" t="inlineStr">
        <is>
          <t>VEGA_MID</t>
        </is>
      </c>
      <c r="JM3" s="5" t="inlineStr">
        <is>
          <t>THETA_MID</t>
        </is>
      </c>
      <c r="JN3" s="5" t="inlineStr">
        <is>
          <t>OPT_UNDL_PX</t>
        </is>
      </c>
      <c r="JP3" s="5" t="inlineStr">
        <is>
          <t>Date</t>
        </is>
      </c>
      <c r="JQ3" s="5" t="inlineStr">
        <is>
          <t>PX_BID</t>
        </is>
      </c>
      <c r="JR3" s="5" t="inlineStr">
        <is>
          <t>PX_ASK</t>
        </is>
      </c>
      <c r="JS3" s="5" t="inlineStr">
        <is>
          <t>PX_MID</t>
        </is>
      </c>
      <c r="JT3" s="5" t="inlineStr">
        <is>
          <t>PX_LAST</t>
        </is>
      </c>
      <c r="JU3" s="5" t="inlineStr">
        <is>
          <t>PX_SETTLE</t>
        </is>
      </c>
      <c r="JV3" s="5" t="inlineStr">
        <is>
          <t>PX_VOLUME</t>
        </is>
      </c>
      <c r="JW3" s="5" t="inlineStr">
        <is>
          <t>OPEN_INT</t>
        </is>
      </c>
      <c r="JX3" s="5" t="inlineStr">
        <is>
          <t>IVOL_MID</t>
        </is>
      </c>
      <c r="JY3" s="5" t="inlineStr">
        <is>
          <t>IVOL_BID</t>
        </is>
      </c>
      <c r="JZ3" s="5" t="inlineStr">
        <is>
          <t>IVOL_ASK</t>
        </is>
      </c>
      <c r="KA3" s="5" t="inlineStr">
        <is>
          <t>DELTA_MID</t>
        </is>
      </c>
      <c r="KB3" s="5" t="inlineStr">
        <is>
          <t>GAMMA_MID</t>
        </is>
      </c>
      <c r="KC3" s="5" t="inlineStr">
        <is>
          <t>VEGA_MID</t>
        </is>
      </c>
      <c r="KD3" s="5" t="inlineStr">
        <is>
          <t>THETA_MID</t>
        </is>
      </c>
      <c r="KE3" s="5" t="inlineStr">
        <is>
          <t>OPT_UNDL_PX</t>
        </is>
      </c>
      <c r="KG3" s="5" t="inlineStr">
        <is>
          <t>Date</t>
        </is>
      </c>
      <c r="KH3" s="5" t="inlineStr">
        <is>
          <t>PX_BID</t>
        </is>
      </c>
      <c r="KI3" s="5" t="inlineStr">
        <is>
          <t>PX_ASK</t>
        </is>
      </c>
      <c r="KJ3" s="5" t="inlineStr">
        <is>
          <t>PX_MID</t>
        </is>
      </c>
      <c r="KK3" s="5" t="inlineStr">
        <is>
          <t>PX_LAST</t>
        </is>
      </c>
      <c r="KL3" s="5" t="inlineStr">
        <is>
          <t>PX_SETTLE</t>
        </is>
      </c>
      <c r="KM3" s="5" t="inlineStr">
        <is>
          <t>PX_VOLUME</t>
        </is>
      </c>
      <c r="KN3" s="5" t="inlineStr">
        <is>
          <t>OPEN_INT</t>
        </is>
      </c>
      <c r="KO3" s="5" t="inlineStr">
        <is>
          <t>IVOL_MID</t>
        </is>
      </c>
      <c r="KP3" s="5" t="inlineStr">
        <is>
          <t>IVOL_BID</t>
        </is>
      </c>
      <c r="KQ3" s="5" t="inlineStr">
        <is>
          <t>IVOL_ASK</t>
        </is>
      </c>
      <c r="KR3" s="5" t="inlineStr">
        <is>
          <t>DELTA_MID</t>
        </is>
      </c>
      <c r="KS3" s="5" t="inlineStr">
        <is>
          <t>GAMMA_MID</t>
        </is>
      </c>
      <c r="KT3" s="5" t="inlineStr">
        <is>
          <t>VEGA_MID</t>
        </is>
      </c>
      <c r="KU3" s="5" t="inlineStr">
        <is>
          <t>THETA_MID</t>
        </is>
      </c>
      <c r="KV3" s="5" t="inlineStr">
        <is>
          <t>OPT_UNDL_PX</t>
        </is>
      </c>
      <c r="KX3" s="5" t="inlineStr">
        <is>
          <t>Date</t>
        </is>
      </c>
      <c r="KY3" s="5" t="inlineStr">
        <is>
          <t>PX_BID</t>
        </is>
      </c>
      <c r="KZ3" s="5" t="inlineStr">
        <is>
          <t>PX_ASK</t>
        </is>
      </c>
      <c r="LA3" s="5" t="inlineStr">
        <is>
          <t>PX_MID</t>
        </is>
      </c>
      <c r="LB3" s="5" t="inlineStr">
        <is>
          <t>PX_LAST</t>
        </is>
      </c>
      <c r="LC3" s="5" t="inlineStr">
        <is>
          <t>PX_SETTLE</t>
        </is>
      </c>
      <c r="LD3" s="5" t="inlineStr">
        <is>
          <t>PX_VOLUME</t>
        </is>
      </c>
      <c r="LE3" s="5" t="inlineStr">
        <is>
          <t>OPEN_INT</t>
        </is>
      </c>
      <c r="LF3" s="5" t="inlineStr">
        <is>
          <t>IVOL_MID</t>
        </is>
      </c>
      <c r="LG3" s="5" t="inlineStr">
        <is>
          <t>IVOL_BID</t>
        </is>
      </c>
      <c r="LH3" s="5" t="inlineStr">
        <is>
          <t>IVOL_ASK</t>
        </is>
      </c>
      <c r="LI3" s="5" t="inlineStr">
        <is>
          <t>DELTA_MID</t>
        </is>
      </c>
      <c r="LJ3" s="5" t="inlineStr">
        <is>
          <t>GAMMA_MID</t>
        </is>
      </c>
      <c r="LK3" s="5" t="inlineStr">
        <is>
          <t>VEGA_MID</t>
        </is>
      </c>
      <c r="LL3" s="5" t="inlineStr">
        <is>
          <t>THETA_MID</t>
        </is>
      </c>
      <c r="LM3" s="5" t="inlineStr">
        <is>
          <t>OPT_UNDL_PX</t>
        </is>
      </c>
      <c r="LO3" s="5" t="inlineStr">
        <is>
          <t>Date</t>
        </is>
      </c>
      <c r="LP3" s="5" t="inlineStr">
        <is>
          <t>PX_BID</t>
        </is>
      </c>
      <c r="LQ3" s="5" t="inlineStr">
        <is>
          <t>PX_ASK</t>
        </is>
      </c>
      <c r="LR3" s="5" t="inlineStr">
        <is>
          <t>PX_MID</t>
        </is>
      </c>
      <c r="LS3" s="5" t="inlineStr">
        <is>
          <t>PX_LAST</t>
        </is>
      </c>
      <c r="LT3" s="5" t="inlineStr">
        <is>
          <t>PX_SETTLE</t>
        </is>
      </c>
      <c r="LU3" s="5" t="inlineStr">
        <is>
          <t>PX_VOLUME</t>
        </is>
      </c>
      <c r="LV3" s="5" t="inlineStr">
        <is>
          <t>OPEN_INT</t>
        </is>
      </c>
      <c r="LW3" s="5" t="inlineStr">
        <is>
          <t>IVOL_MID</t>
        </is>
      </c>
      <c r="LX3" s="5" t="inlineStr">
        <is>
          <t>IVOL_BID</t>
        </is>
      </c>
      <c r="LY3" s="5" t="inlineStr">
        <is>
          <t>IVOL_ASK</t>
        </is>
      </c>
      <c r="LZ3" s="5" t="inlineStr">
        <is>
          <t>DELTA_MID</t>
        </is>
      </c>
      <c r="MA3" s="5" t="inlineStr">
        <is>
          <t>GAMMA_MID</t>
        </is>
      </c>
      <c r="MB3" s="5" t="inlineStr">
        <is>
          <t>VEGA_MID</t>
        </is>
      </c>
      <c r="MC3" s="5" t="inlineStr">
        <is>
          <t>THETA_MID</t>
        </is>
      </c>
      <c r="MD3" s="5" t="inlineStr">
        <is>
          <t>OPT_UNDL_PX</t>
        </is>
      </c>
      <c r="MF3" s="5" t="inlineStr">
        <is>
          <t>Date</t>
        </is>
      </c>
      <c r="MG3" s="5" t="inlineStr">
        <is>
          <t>PX_BID</t>
        </is>
      </c>
      <c r="MH3" s="5" t="inlineStr">
        <is>
          <t>PX_ASK</t>
        </is>
      </c>
      <c r="MI3" s="5" t="inlineStr">
        <is>
          <t>PX_MID</t>
        </is>
      </c>
      <c r="MJ3" s="5" t="inlineStr">
        <is>
          <t>PX_LAST</t>
        </is>
      </c>
      <c r="MK3" s="5" t="inlineStr">
        <is>
          <t>PX_SETTLE</t>
        </is>
      </c>
      <c r="ML3" s="5" t="inlineStr">
        <is>
          <t>PX_VOLUME</t>
        </is>
      </c>
      <c r="MM3" s="5" t="inlineStr">
        <is>
          <t>OPEN_INT</t>
        </is>
      </c>
      <c r="MN3" s="5" t="inlineStr">
        <is>
          <t>IVOL_MID</t>
        </is>
      </c>
      <c r="MO3" s="5" t="inlineStr">
        <is>
          <t>IVOL_BID</t>
        </is>
      </c>
      <c r="MP3" s="5" t="inlineStr">
        <is>
          <t>IVOL_ASK</t>
        </is>
      </c>
      <c r="MQ3" s="5" t="inlineStr">
        <is>
          <t>DELTA_MID</t>
        </is>
      </c>
      <c r="MR3" s="5" t="inlineStr">
        <is>
          <t>GAMMA_MID</t>
        </is>
      </c>
      <c r="MS3" s="5" t="inlineStr">
        <is>
          <t>VEGA_MID</t>
        </is>
      </c>
      <c r="MT3" s="5" t="inlineStr">
        <is>
          <t>THETA_MID</t>
        </is>
      </c>
      <c r="MU3" s="5" t="inlineStr">
        <is>
          <t>OPT_UNDL_PX</t>
        </is>
      </c>
      <c r="MW3" s="5" t="inlineStr">
        <is>
          <t>Date</t>
        </is>
      </c>
      <c r="MX3" s="5" t="inlineStr">
        <is>
          <t>PX_BID</t>
        </is>
      </c>
      <c r="MY3" s="5" t="inlineStr">
        <is>
          <t>PX_ASK</t>
        </is>
      </c>
      <c r="MZ3" s="5" t="inlineStr">
        <is>
          <t>PX_MID</t>
        </is>
      </c>
      <c r="NA3" s="5" t="inlineStr">
        <is>
          <t>PX_LAST</t>
        </is>
      </c>
      <c r="NB3" s="5" t="inlineStr">
        <is>
          <t>PX_SETTLE</t>
        </is>
      </c>
      <c r="NC3" s="5" t="inlineStr">
        <is>
          <t>PX_VOLUME</t>
        </is>
      </c>
      <c r="ND3" s="5" t="inlineStr">
        <is>
          <t>OPEN_INT</t>
        </is>
      </c>
      <c r="NE3" s="5" t="inlineStr">
        <is>
          <t>IVOL_MID</t>
        </is>
      </c>
      <c r="NF3" s="5" t="inlineStr">
        <is>
          <t>IVOL_BID</t>
        </is>
      </c>
      <c r="NG3" s="5" t="inlineStr">
        <is>
          <t>IVOL_ASK</t>
        </is>
      </c>
      <c r="NH3" s="5" t="inlineStr">
        <is>
          <t>DELTA_MID</t>
        </is>
      </c>
      <c r="NI3" s="5" t="inlineStr">
        <is>
          <t>GAMMA_MID</t>
        </is>
      </c>
      <c r="NJ3" s="5" t="inlineStr">
        <is>
          <t>VEGA_MID</t>
        </is>
      </c>
      <c r="NK3" s="5" t="inlineStr">
        <is>
          <t>THETA_MID</t>
        </is>
      </c>
      <c r="NL3" s="5" t="inlineStr">
        <is>
          <t>OPT_UNDL_PX</t>
        </is>
      </c>
    </row>
    <row r="4">
      <c r="A4" s="2" t="inlineStr">
        <is>
          <t>Strike reference date</t>
        </is>
      </c>
      <c r="B4" s="8">
        <f>B3-45</f>
        <v/>
      </c>
      <c r="D4" s="4">
        <f>BDH(D$1,E$3:S$3,$B$8,$B$9,"Dir=V","Dts=S","Sort=A","Days=T","Fill=B")</f>
        <v/>
      </c>
      <c r="U4" s="4">
        <f>BDH(U$1,V$3:AJ$3,$B$8,$B$9,"Dir=V","Dts=S","Sort=A","Days=T","Fill=B")</f>
        <v/>
      </c>
      <c r="AL4" s="4">
        <f>BDH(AL$1,AM$3:BA$3,$B$8,$B$9,"Dir=V","Dts=S","Sort=A","Days=T","Fill=B")</f>
        <v/>
      </c>
      <c r="BC4" s="4">
        <f>BDH(BC$1,BD$3:BR$3,$B$8,$B$9,"Dir=V","Dts=S","Sort=A","Days=T","Fill=B")</f>
        <v/>
      </c>
      <c r="BT4" s="4">
        <f>BDH(BT$1,BU$3:CI$3,$B$8,$B$9,"Dir=V","Dts=S","Sort=A","Days=T","Fill=B")</f>
        <v/>
      </c>
      <c r="CK4" s="4">
        <f>BDH(CK$1,CL$3:CZ$3,$B$8,$B$9,"Dir=V","Dts=S","Sort=A","Days=T","Fill=B")</f>
        <v/>
      </c>
      <c r="DB4" s="4">
        <f>BDH(DB$1,DC$3:DQ$3,$B$8,$B$9,"Dir=V","Dts=S","Sort=A","Days=T","Fill=B")</f>
        <v/>
      </c>
      <c r="DS4" s="4">
        <f>BDH(DS$1,DT$3:EH$3,$B$8,$B$9,"Dir=V","Dts=S","Sort=A","Days=T","Fill=B")</f>
        <v/>
      </c>
      <c r="EJ4" s="4">
        <f>BDH(EJ$1,EK$3:EY$3,$B$8,$B$9,"Dir=V","Dts=S","Sort=A","Days=T","Fill=B")</f>
        <v/>
      </c>
      <c r="FA4" s="4">
        <f>BDH(FA$1,FB$3:FP$3,$B$8,$B$9,"Dir=V","Dts=S","Sort=A","Days=T","Fill=B")</f>
        <v/>
      </c>
      <c r="FR4" s="4">
        <f>BDH(FR$1,FS$3:GG$3,$B$8,$B$9,"Dir=V","Dts=S","Sort=A","Days=T","Fill=B")</f>
        <v/>
      </c>
      <c r="GI4" s="4">
        <f>BDH(GI$1,GJ$3:GX$3,$B$8,$B$9,"Dir=V","Dts=S","Sort=A","Days=T","Fill=B")</f>
        <v/>
      </c>
      <c r="GZ4" s="4">
        <f>BDH(GZ$1,HA$3:HO$3,$B$8,$B$9,"Dir=V","Dts=S","Sort=A","Days=T","Fill=B")</f>
        <v/>
      </c>
      <c r="HQ4" s="4">
        <f>BDH(HQ$1,HR$3:IF$3,$B$8,$B$9,"Dir=V","Dts=S","Sort=A","Days=T","Fill=B")</f>
        <v/>
      </c>
      <c r="IH4" s="4">
        <f>BDH(IH$1,II$3:IW$3,$B$8,$B$9,"Dir=V","Dts=S","Sort=A","Days=T","Fill=B")</f>
        <v/>
      </c>
      <c r="IY4" s="4">
        <f>BDH(IY$1,IZ$3:JN$3,$B$8,$B$9,"Dir=V","Dts=S","Sort=A","Days=T","Fill=B")</f>
        <v/>
      </c>
      <c r="JP4" s="4">
        <f>BDH(JP$1,JQ$3:KE$3,$B$8,$B$9,"Dir=V","Dts=S","Sort=A","Days=T","Fill=B")</f>
        <v/>
      </c>
      <c r="KG4" s="4">
        <f>BDH(KG$1,KH$3:KV$3,$B$8,$B$9,"Dir=V","Dts=S","Sort=A","Days=T","Fill=B")</f>
        <v/>
      </c>
      <c r="KX4" s="4">
        <f>BDH(KX$1,KY$3:LM$3,$B$8,$B$9,"Dir=V","Dts=S","Sort=A","Days=T","Fill=B")</f>
        <v/>
      </c>
      <c r="LO4" s="4">
        <f>BDH(LO$1,LP$3:MD$3,$B$8,$B$9,"Dir=V","Dts=S","Sort=A","Days=T","Fill=B")</f>
        <v/>
      </c>
      <c r="MF4" s="4">
        <f>BDH(MF$1,MG$3:MU$3,$B$8,$B$9,"Dir=V","Dts=S","Sort=A","Days=T","Fill=B")</f>
        <v/>
      </c>
      <c r="MW4" s="4">
        <f>BDH(MW$1,MX$3:NL$3,$B$8,$B$9,"Dir=V","Dts=S","Sort=A","Days=T","Fill=B")</f>
        <v/>
      </c>
    </row>
    <row r="5">
      <c r="A5" s="2" t="inlineStr">
        <is>
          <t>Unadjusted close then</t>
        </is>
      </c>
      <c r="B5" s="10">
        <f>IF(B2="","",BDH(B2,"PX_LAST",B4,B4,"Days=A","Fill=P","Dts=H","CshAdjNormal=N","CshAdjAbnormal=N","CapChg=N"))</f>
        <v/>
      </c>
    </row>
    <row r="6">
      <c r="A6" s="2" t="inlineStr">
        <is>
          <t>Strike step</t>
        </is>
      </c>
      <c r="B6" s="11">
        <f>IF(ISNUMBER(B5),IF(B5&lt;25,0.5,IF(B5&lt;250,1,5)),"")</f>
        <v/>
      </c>
    </row>
    <row r="7">
      <c r="A7" s="2" t="inlineStr">
        <is>
          <t>ATM strike</t>
        </is>
      </c>
      <c r="B7" s="11">
        <f>IF(ISNUMBER(B5),ROUND(B5/B6,0)*B6,"")</f>
        <v/>
      </c>
    </row>
    <row r="8">
      <c r="A8" s="2" t="inlineStr">
        <is>
          <t>History start</t>
        </is>
      </c>
      <c r="B8" s="8">
        <f>B3-100</f>
        <v/>
      </c>
    </row>
    <row r="9">
      <c r="A9" s="2" t="inlineStr">
        <is>
          <t>History end</t>
        </is>
      </c>
      <c r="B9" s="8">
        <f>B3</f>
        <v/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NL9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2" customWidth="1" min="2" max="2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1" customWidth="1" min="15" max="15"/>
    <col width="11" customWidth="1" min="16" max="16"/>
    <col width="10" customWidth="1" min="17" max="17"/>
    <col width="11" customWidth="1" min="18" max="18"/>
    <col width="13" customWidth="1" min="19" max="19"/>
    <col width="12" customWidth="1" min="21" max="21"/>
    <col width="10" customWidth="1" min="22" max="22"/>
    <col width="10" customWidth="1" min="23" max="23"/>
    <col width="10" customWidth="1" min="24" max="24"/>
    <col width="10" customWidth="1" min="25" max="25"/>
    <col width="11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1" customWidth="1" min="32" max="32"/>
    <col width="11" customWidth="1" min="33" max="33"/>
    <col width="10" customWidth="1" min="34" max="34"/>
    <col width="11" customWidth="1" min="35" max="35"/>
    <col width="13" customWidth="1" min="36" max="36"/>
    <col width="12" customWidth="1" min="38" max="38"/>
    <col width="10" customWidth="1" min="39" max="39"/>
    <col width="10" customWidth="1" min="40" max="40"/>
    <col width="10" customWidth="1" min="41" max="41"/>
    <col width="10" customWidth="1" min="42" max="42"/>
    <col width="11" customWidth="1" min="43" max="43"/>
    <col width="11" customWidth="1" min="44" max="44"/>
    <col width="10" customWidth="1" min="45" max="45"/>
    <col width="10" customWidth="1" min="46" max="46"/>
    <col width="10" customWidth="1" min="47" max="47"/>
    <col width="10" customWidth="1" min="48" max="48"/>
    <col width="11" customWidth="1" min="49" max="49"/>
    <col width="11" customWidth="1" min="50" max="50"/>
    <col width="10" customWidth="1" min="51" max="51"/>
    <col width="11" customWidth="1" min="52" max="52"/>
    <col width="13" customWidth="1" min="53" max="53"/>
    <col width="12" customWidth="1" min="55" max="55"/>
    <col width="10" customWidth="1" min="56" max="56"/>
    <col width="10" customWidth="1" min="57" max="57"/>
    <col width="10" customWidth="1" min="58" max="58"/>
    <col width="10" customWidth="1" min="59" max="59"/>
    <col width="11" customWidth="1" min="60" max="60"/>
    <col width="11" customWidth="1" min="61" max="61"/>
    <col width="10" customWidth="1" min="62" max="62"/>
    <col width="10" customWidth="1" min="63" max="63"/>
    <col width="10" customWidth="1" min="64" max="64"/>
    <col width="10" customWidth="1" min="65" max="65"/>
    <col width="11" customWidth="1" min="66" max="66"/>
    <col width="11" customWidth="1" min="67" max="67"/>
    <col width="10" customWidth="1" min="68" max="68"/>
    <col width="11" customWidth="1" min="69" max="69"/>
    <col width="13" customWidth="1" min="70" max="70"/>
    <col width="12" customWidth="1" min="72" max="72"/>
    <col width="10" customWidth="1" min="73" max="73"/>
    <col width="10" customWidth="1" min="74" max="74"/>
    <col width="10" customWidth="1" min="75" max="75"/>
    <col width="10" customWidth="1" min="76" max="76"/>
    <col width="11" customWidth="1" min="77" max="77"/>
    <col width="11" customWidth="1" min="78" max="78"/>
    <col width="10" customWidth="1" min="79" max="79"/>
    <col width="10" customWidth="1" min="80" max="80"/>
    <col width="10" customWidth="1" min="81" max="81"/>
    <col width="10" customWidth="1" min="82" max="82"/>
    <col width="11" customWidth="1" min="83" max="83"/>
    <col width="11" customWidth="1" min="84" max="84"/>
    <col width="10" customWidth="1" min="85" max="85"/>
    <col width="11" customWidth="1" min="86" max="86"/>
    <col width="13" customWidth="1" min="87" max="87"/>
    <col width="12" customWidth="1" min="89" max="89"/>
    <col width="10" customWidth="1" min="90" max="90"/>
    <col width="10" customWidth="1" min="91" max="91"/>
    <col width="10" customWidth="1" min="92" max="92"/>
    <col width="10" customWidth="1" min="93" max="93"/>
    <col width="11" customWidth="1" min="94" max="94"/>
    <col width="11" customWidth="1" min="95" max="95"/>
    <col width="10" customWidth="1" min="96" max="96"/>
    <col width="10" customWidth="1" min="97" max="97"/>
    <col width="10" customWidth="1" min="98" max="98"/>
    <col width="10" customWidth="1" min="99" max="99"/>
    <col width="11" customWidth="1" min="100" max="100"/>
    <col width="11" customWidth="1" min="101" max="101"/>
    <col width="10" customWidth="1" min="102" max="102"/>
    <col width="11" customWidth="1" min="103" max="103"/>
    <col width="13" customWidth="1" min="104" max="104"/>
    <col width="12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1" customWidth="1" min="111" max="111"/>
    <col width="11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1" customWidth="1" min="117" max="117"/>
    <col width="11" customWidth="1" min="118" max="118"/>
    <col width="10" customWidth="1" min="119" max="119"/>
    <col width="11" customWidth="1" min="120" max="120"/>
    <col width="13" customWidth="1" min="121" max="121"/>
    <col width="12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1" customWidth="1" min="128" max="128"/>
    <col width="11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1" customWidth="1" min="134" max="134"/>
    <col width="11" customWidth="1" min="135" max="135"/>
    <col width="10" customWidth="1" min="136" max="136"/>
    <col width="11" customWidth="1" min="137" max="137"/>
    <col width="13" customWidth="1" min="138" max="138"/>
    <col width="12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1" customWidth="1" min="145" max="145"/>
    <col width="11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1" customWidth="1" min="151" max="151"/>
    <col width="11" customWidth="1" min="152" max="152"/>
    <col width="10" customWidth="1" min="153" max="153"/>
    <col width="11" customWidth="1" min="154" max="154"/>
    <col width="13" customWidth="1" min="155" max="155"/>
    <col width="12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1" customWidth="1" min="162" max="162"/>
    <col width="11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1" customWidth="1" min="168" max="168"/>
    <col width="11" customWidth="1" min="169" max="169"/>
    <col width="10" customWidth="1" min="170" max="170"/>
    <col width="11" customWidth="1" min="171" max="171"/>
    <col width="13" customWidth="1" min="172" max="172"/>
    <col width="12" customWidth="1" min="174" max="174"/>
    <col width="10" customWidth="1" min="175" max="175"/>
    <col width="10" customWidth="1" min="176" max="176"/>
    <col width="10" customWidth="1" min="177" max="177"/>
    <col width="10" customWidth="1" min="178" max="178"/>
    <col width="11" customWidth="1" min="179" max="179"/>
    <col width="11" customWidth="1" min="180" max="180"/>
    <col width="10" customWidth="1" min="181" max="181"/>
    <col width="10" customWidth="1" min="182" max="182"/>
    <col width="10" customWidth="1" min="183" max="183"/>
    <col width="10" customWidth="1" min="184" max="184"/>
    <col width="11" customWidth="1" min="185" max="185"/>
    <col width="11" customWidth="1" min="186" max="186"/>
    <col width="10" customWidth="1" min="187" max="187"/>
    <col width="11" customWidth="1" min="188" max="188"/>
    <col width="13" customWidth="1" min="189" max="189"/>
    <col width="12" customWidth="1" min="191" max="191"/>
    <col width="10" customWidth="1" min="192" max="192"/>
    <col width="10" customWidth="1" min="193" max="193"/>
    <col width="10" customWidth="1" min="194" max="194"/>
    <col width="10" customWidth="1" min="195" max="195"/>
    <col width="11" customWidth="1" min="196" max="196"/>
    <col width="11" customWidth="1" min="197" max="197"/>
    <col width="10" customWidth="1" min="198" max="198"/>
    <col width="10" customWidth="1" min="199" max="199"/>
    <col width="10" customWidth="1" min="200" max="200"/>
    <col width="10" customWidth="1" min="201" max="201"/>
    <col width="11" customWidth="1" min="202" max="202"/>
    <col width="11" customWidth="1" min="203" max="203"/>
    <col width="10" customWidth="1" min="204" max="204"/>
    <col width="11" customWidth="1" min="205" max="205"/>
    <col width="13" customWidth="1" min="206" max="206"/>
    <col width="12" customWidth="1" min="208" max="208"/>
    <col width="10" customWidth="1" min="209" max="209"/>
    <col width="10" customWidth="1" min="210" max="210"/>
    <col width="10" customWidth="1" min="211" max="211"/>
    <col width="10" customWidth="1" min="212" max="212"/>
    <col width="11" customWidth="1" min="213" max="213"/>
    <col width="11" customWidth="1" min="214" max="214"/>
    <col width="10" customWidth="1" min="215" max="215"/>
    <col width="10" customWidth="1" min="216" max="216"/>
    <col width="10" customWidth="1" min="217" max="217"/>
    <col width="10" customWidth="1" min="218" max="218"/>
    <col width="11" customWidth="1" min="219" max="219"/>
    <col width="11" customWidth="1" min="220" max="220"/>
    <col width="10" customWidth="1" min="221" max="221"/>
    <col width="11" customWidth="1" min="222" max="222"/>
    <col width="13" customWidth="1" min="223" max="223"/>
    <col width="12" customWidth="1" min="225" max="225"/>
    <col width="10" customWidth="1" min="226" max="226"/>
    <col width="10" customWidth="1" min="227" max="227"/>
    <col width="10" customWidth="1" min="228" max="228"/>
    <col width="10" customWidth="1" min="229" max="229"/>
    <col width="11" customWidth="1" min="230" max="230"/>
    <col width="11" customWidth="1" min="231" max="231"/>
    <col width="10" customWidth="1" min="232" max="232"/>
    <col width="10" customWidth="1" min="233" max="233"/>
    <col width="10" customWidth="1" min="234" max="234"/>
    <col width="10" customWidth="1" min="235" max="235"/>
    <col width="11" customWidth="1" min="236" max="236"/>
    <col width="11" customWidth="1" min="237" max="237"/>
    <col width="10" customWidth="1" min="238" max="238"/>
    <col width="11" customWidth="1" min="239" max="239"/>
    <col width="13" customWidth="1" min="240" max="240"/>
    <col width="12" customWidth="1" min="242" max="242"/>
    <col width="10" customWidth="1" min="243" max="243"/>
    <col width="10" customWidth="1" min="244" max="244"/>
    <col width="10" customWidth="1" min="245" max="245"/>
    <col width="10" customWidth="1" min="246" max="246"/>
    <col width="11" customWidth="1" min="247" max="247"/>
    <col width="11" customWidth="1" min="248" max="248"/>
    <col width="10" customWidth="1" min="249" max="249"/>
    <col width="10" customWidth="1" min="250" max="250"/>
    <col width="10" customWidth="1" min="251" max="251"/>
    <col width="10" customWidth="1" min="252" max="252"/>
    <col width="11" customWidth="1" min="253" max="253"/>
    <col width="11" customWidth="1" min="254" max="254"/>
    <col width="10" customWidth="1" min="255" max="255"/>
    <col width="11" customWidth="1" min="256" max="256"/>
    <col width="13" customWidth="1" min="257" max="257"/>
    <col width="12" customWidth="1" min="259" max="259"/>
    <col width="10" customWidth="1" min="260" max="260"/>
    <col width="10" customWidth="1" min="261" max="261"/>
    <col width="10" customWidth="1" min="262" max="262"/>
    <col width="10" customWidth="1" min="263" max="263"/>
    <col width="11" customWidth="1" min="264" max="264"/>
    <col width="11" customWidth="1" min="265" max="265"/>
    <col width="10" customWidth="1" min="266" max="266"/>
    <col width="10" customWidth="1" min="267" max="267"/>
    <col width="10" customWidth="1" min="268" max="268"/>
    <col width="10" customWidth="1" min="269" max="269"/>
    <col width="11" customWidth="1" min="270" max="270"/>
    <col width="11" customWidth="1" min="271" max="271"/>
    <col width="10" customWidth="1" min="272" max="272"/>
    <col width="11" customWidth="1" min="273" max="273"/>
    <col width="13" customWidth="1" min="274" max="274"/>
    <col width="12" customWidth="1" min="276" max="276"/>
    <col width="10" customWidth="1" min="277" max="277"/>
    <col width="10" customWidth="1" min="278" max="278"/>
    <col width="10" customWidth="1" min="279" max="279"/>
    <col width="10" customWidth="1" min="280" max="280"/>
    <col width="11" customWidth="1" min="281" max="281"/>
    <col width="11" customWidth="1" min="282" max="282"/>
    <col width="10" customWidth="1" min="283" max="283"/>
    <col width="10" customWidth="1" min="284" max="284"/>
    <col width="10" customWidth="1" min="285" max="285"/>
    <col width="10" customWidth="1" min="286" max="286"/>
    <col width="11" customWidth="1" min="287" max="287"/>
    <col width="11" customWidth="1" min="288" max="288"/>
    <col width="10" customWidth="1" min="289" max="289"/>
    <col width="11" customWidth="1" min="290" max="290"/>
    <col width="13" customWidth="1" min="291" max="291"/>
    <col width="12" customWidth="1" min="293" max="293"/>
    <col width="10" customWidth="1" min="294" max="294"/>
    <col width="10" customWidth="1" min="295" max="295"/>
    <col width="10" customWidth="1" min="296" max="296"/>
    <col width="10" customWidth="1" min="297" max="297"/>
    <col width="11" customWidth="1" min="298" max="298"/>
    <col width="11" customWidth="1" min="299" max="299"/>
    <col width="10" customWidth="1" min="300" max="300"/>
    <col width="10" customWidth="1" min="301" max="301"/>
    <col width="10" customWidth="1" min="302" max="302"/>
    <col width="10" customWidth="1" min="303" max="303"/>
    <col width="11" customWidth="1" min="304" max="304"/>
    <col width="11" customWidth="1" min="305" max="305"/>
    <col width="10" customWidth="1" min="306" max="306"/>
    <col width="11" customWidth="1" min="307" max="307"/>
    <col width="13" customWidth="1" min="308" max="308"/>
    <col width="12" customWidth="1" min="310" max="310"/>
    <col width="10" customWidth="1" min="311" max="311"/>
    <col width="10" customWidth="1" min="312" max="312"/>
    <col width="10" customWidth="1" min="313" max="313"/>
    <col width="10" customWidth="1" min="314" max="314"/>
    <col width="11" customWidth="1" min="315" max="315"/>
    <col width="11" customWidth="1" min="316" max="316"/>
    <col width="10" customWidth="1" min="317" max="317"/>
    <col width="10" customWidth="1" min="318" max="318"/>
    <col width="10" customWidth="1" min="319" max="319"/>
    <col width="10" customWidth="1" min="320" max="320"/>
    <col width="11" customWidth="1" min="321" max="321"/>
    <col width="11" customWidth="1" min="322" max="322"/>
    <col width="10" customWidth="1" min="323" max="323"/>
    <col width="11" customWidth="1" min="324" max="324"/>
    <col width="13" customWidth="1" min="325" max="325"/>
    <col width="12" customWidth="1" min="327" max="327"/>
    <col width="10" customWidth="1" min="328" max="328"/>
    <col width="10" customWidth="1" min="329" max="329"/>
    <col width="10" customWidth="1" min="330" max="330"/>
    <col width="10" customWidth="1" min="331" max="331"/>
    <col width="11" customWidth="1" min="332" max="332"/>
    <col width="11" customWidth="1" min="333" max="333"/>
    <col width="10" customWidth="1" min="334" max="334"/>
    <col width="10" customWidth="1" min="335" max="335"/>
    <col width="10" customWidth="1" min="336" max="336"/>
    <col width="10" customWidth="1" min="337" max="337"/>
    <col width="11" customWidth="1" min="338" max="338"/>
    <col width="11" customWidth="1" min="339" max="339"/>
    <col width="10" customWidth="1" min="340" max="340"/>
    <col width="11" customWidth="1" min="341" max="341"/>
    <col width="13" customWidth="1" min="342" max="342"/>
    <col width="12" customWidth="1" min="344" max="344"/>
    <col width="10" customWidth="1" min="345" max="345"/>
    <col width="10" customWidth="1" min="346" max="346"/>
    <col width="10" customWidth="1" min="347" max="347"/>
    <col width="10" customWidth="1" min="348" max="348"/>
    <col width="11" customWidth="1" min="349" max="349"/>
    <col width="11" customWidth="1" min="350" max="350"/>
    <col width="10" customWidth="1" min="351" max="351"/>
    <col width="10" customWidth="1" min="352" max="352"/>
    <col width="10" customWidth="1" min="353" max="353"/>
    <col width="10" customWidth="1" min="354" max="354"/>
    <col width="11" customWidth="1" min="355" max="355"/>
    <col width="11" customWidth="1" min="356" max="356"/>
    <col width="10" customWidth="1" min="357" max="357"/>
    <col width="11" customWidth="1" min="358" max="358"/>
    <col width="13" customWidth="1" min="359" max="359"/>
    <col width="12" customWidth="1" min="361" max="361"/>
    <col width="10" customWidth="1" min="362" max="362"/>
    <col width="10" customWidth="1" min="363" max="363"/>
    <col width="10" customWidth="1" min="364" max="364"/>
    <col width="10" customWidth="1" min="365" max="365"/>
    <col width="11" customWidth="1" min="366" max="366"/>
    <col width="11" customWidth="1" min="367" max="367"/>
    <col width="10" customWidth="1" min="368" max="368"/>
    <col width="10" customWidth="1" min="369" max="369"/>
    <col width="10" customWidth="1" min="370" max="370"/>
    <col width="10" customWidth="1" min="371" max="371"/>
    <col width="11" customWidth="1" min="372" max="372"/>
    <col width="11" customWidth="1" min="373" max="373"/>
    <col width="10" customWidth="1" min="374" max="374"/>
    <col width="11" customWidth="1" min="375" max="375"/>
    <col width="13" customWidth="1" min="376" max="376"/>
  </cols>
  <sheetData>
    <row r="1">
      <c r="A1" s="2" t="inlineStr">
        <is>
          <t>Month</t>
        </is>
      </c>
      <c r="B1" s="9" t="n">
        <v>4</v>
      </c>
      <c r="D1" s="2">
        <f>IF(ISNUMBER(B$7),"OXY US "&amp;TEXT(B$3,"mm/dd/yy")&amp;" C"&amp;(B$7-5*B$6)&amp;" Equity","")</f>
        <v/>
      </c>
      <c r="U1" s="2">
        <f>IF(ISNUMBER(B$7),"OXY US "&amp;TEXT(B$3,"mm/dd/yy")&amp;" P"&amp;(B$7-5*B$6)&amp;" Equity","")</f>
        <v/>
      </c>
      <c r="AL1" s="2">
        <f>IF(ISNUMBER(B$7),"OXY US "&amp;TEXT(B$3,"mm/dd/yy")&amp;" C"&amp;(B$7-4*B$6)&amp;" Equity","")</f>
        <v/>
      </c>
      <c r="BC1" s="2">
        <f>IF(ISNUMBER(B$7),"OXY US "&amp;TEXT(B$3,"mm/dd/yy")&amp;" P"&amp;(B$7-4*B$6)&amp;" Equity","")</f>
        <v/>
      </c>
      <c r="BT1" s="2">
        <f>IF(ISNUMBER(B$7),"OXY US "&amp;TEXT(B$3,"mm/dd/yy")&amp;" C"&amp;(B$7-3*B$6)&amp;" Equity","")</f>
        <v/>
      </c>
      <c r="CK1" s="2">
        <f>IF(ISNUMBER(B$7),"OXY US "&amp;TEXT(B$3,"mm/dd/yy")&amp;" P"&amp;(B$7-3*B$6)&amp;" Equity","")</f>
        <v/>
      </c>
      <c r="DB1" s="2">
        <f>IF(ISNUMBER(B$7),"OXY US "&amp;TEXT(B$3,"mm/dd/yy")&amp;" C"&amp;(B$7-2*B$6)&amp;" Equity","")</f>
        <v/>
      </c>
      <c r="DS1" s="2">
        <f>IF(ISNUMBER(B$7),"OXY US "&amp;TEXT(B$3,"mm/dd/yy")&amp;" P"&amp;(B$7-2*B$6)&amp;" Equity","")</f>
        <v/>
      </c>
      <c r="EJ1" s="2">
        <f>IF(ISNUMBER(B$7),"OXY US "&amp;TEXT(B$3,"mm/dd/yy")&amp;" C"&amp;(B$7-1*B$6)&amp;" Equity","")</f>
        <v/>
      </c>
      <c r="FA1" s="2">
        <f>IF(ISNUMBER(B$7),"OXY US "&amp;TEXT(B$3,"mm/dd/yy")&amp;" P"&amp;(B$7-1*B$6)&amp;" Equity","")</f>
        <v/>
      </c>
      <c r="FR1" s="2">
        <f>IF(ISNUMBER(B$7),"OXY US "&amp;TEXT(B$3,"mm/dd/yy")&amp;" C"&amp;B$7&amp;" Equity","")</f>
        <v/>
      </c>
      <c r="GI1" s="2">
        <f>IF(ISNUMBER(B$7),"OXY US "&amp;TEXT(B$3,"mm/dd/yy")&amp;" P"&amp;B$7&amp;" Equity","")</f>
        <v/>
      </c>
      <c r="GZ1" s="2">
        <f>IF(ISNUMBER(B$7),"OXY US "&amp;TEXT(B$3,"mm/dd/yy")&amp;" C"&amp;(B$7+1*B$6)&amp;" Equity","")</f>
        <v/>
      </c>
      <c r="HQ1" s="2">
        <f>IF(ISNUMBER(B$7),"OXY US "&amp;TEXT(B$3,"mm/dd/yy")&amp;" P"&amp;(B$7+1*B$6)&amp;" Equity","")</f>
        <v/>
      </c>
      <c r="IH1" s="2">
        <f>IF(ISNUMBER(B$7),"OXY US "&amp;TEXT(B$3,"mm/dd/yy")&amp;" C"&amp;(B$7+2*B$6)&amp;" Equity","")</f>
        <v/>
      </c>
      <c r="IY1" s="2">
        <f>IF(ISNUMBER(B$7),"OXY US "&amp;TEXT(B$3,"mm/dd/yy")&amp;" P"&amp;(B$7+2*B$6)&amp;" Equity","")</f>
        <v/>
      </c>
      <c r="JP1" s="2">
        <f>IF(ISNUMBER(B$7),"OXY US "&amp;TEXT(B$3,"mm/dd/yy")&amp;" C"&amp;(B$7+3*B$6)&amp;" Equity","")</f>
        <v/>
      </c>
      <c r="KG1" s="2">
        <f>IF(ISNUMBER(B$7),"OXY US "&amp;TEXT(B$3,"mm/dd/yy")&amp;" P"&amp;(B$7+3*B$6)&amp;" Equity","")</f>
        <v/>
      </c>
      <c r="KX1" s="2">
        <f>IF(ISNUMBER(B$7),"OXY US "&amp;TEXT(B$3,"mm/dd/yy")&amp;" C"&amp;(B$7+4*B$6)&amp;" Equity","")</f>
        <v/>
      </c>
      <c r="LO1" s="2">
        <f>IF(ISNUMBER(B$7),"OXY US "&amp;TEXT(B$3,"mm/dd/yy")&amp;" P"&amp;(B$7+4*B$6)&amp;" Equity","")</f>
        <v/>
      </c>
      <c r="MF1" s="2">
        <f>IF(ISNUMBER(B$7),"OXY US "&amp;TEXT(B$3,"mm/dd/yy")&amp;" C"&amp;(B$7+5*B$6)&amp;" Equity","")</f>
        <v/>
      </c>
      <c r="MW1" s="2">
        <f>IF(ISNUMBER(B$7),"OXY US "&amp;TEXT(B$3,"mm/dd/yy")&amp;" P"&amp;(B$7+5*B$6)&amp;" Equity","")</f>
        <v/>
      </c>
    </row>
    <row r="2">
      <c r="A2" s="2" t="inlineStr">
        <is>
          <t>Underlying</t>
        </is>
      </c>
      <c r="B2" s="4">
        <f>IF(Settings!$B$18="Y","OXY US Equity","")</f>
        <v/>
      </c>
      <c r="D2" s="4" t="inlineStr">
        <is>
          <t>call -5 from ATM</t>
        </is>
      </c>
      <c r="U2" s="4" t="inlineStr">
        <is>
          <t>put -5 from ATM</t>
        </is>
      </c>
      <c r="AL2" s="4" t="inlineStr">
        <is>
          <t>call -4 from ATM</t>
        </is>
      </c>
      <c r="BC2" s="4" t="inlineStr">
        <is>
          <t>put -4 from ATM</t>
        </is>
      </c>
      <c r="BT2" s="4" t="inlineStr">
        <is>
          <t>call -3 from ATM</t>
        </is>
      </c>
      <c r="CK2" s="4" t="inlineStr">
        <is>
          <t>put -3 from ATM</t>
        </is>
      </c>
      <c r="DB2" s="4" t="inlineStr">
        <is>
          <t>call -2 from ATM</t>
        </is>
      </c>
      <c r="DS2" s="4" t="inlineStr">
        <is>
          <t>put -2 from ATM</t>
        </is>
      </c>
      <c r="EJ2" s="4" t="inlineStr">
        <is>
          <t>call -1 from ATM</t>
        </is>
      </c>
      <c r="FA2" s="4" t="inlineStr">
        <is>
          <t>put -1 from ATM</t>
        </is>
      </c>
      <c r="FR2" s="4" t="inlineStr">
        <is>
          <t>call +0 from ATM</t>
        </is>
      </c>
      <c r="GI2" s="4" t="inlineStr">
        <is>
          <t>put +0 from ATM</t>
        </is>
      </c>
      <c r="GZ2" s="4" t="inlineStr">
        <is>
          <t>call +1 from ATM</t>
        </is>
      </c>
      <c r="HQ2" s="4" t="inlineStr">
        <is>
          <t>put +1 from ATM</t>
        </is>
      </c>
      <c r="IH2" s="4" t="inlineStr">
        <is>
          <t>call +2 from ATM</t>
        </is>
      </c>
      <c r="IY2" s="4" t="inlineStr">
        <is>
          <t>put +2 from ATM</t>
        </is>
      </c>
      <c r="JP2" s="4" t="inlineStr">
        <is>
          <t>call +3 from ATM</t>
        </is>
      </c>
      <c r="KG2" s="4" t="inlineStr">
        <is>
          <t>put +3 from ATM</t>
        </is>
      </c>
      <c r="KX2" s="4" t="inlineStr">
        <is>
          <t>call +4 from ATM</t>
        </is>
      </c>
      <c r="LO2" s="4" t="inlineStr">
        <is>
          <t>put +4 from ATM</t>
        </is>
      </c>
      <c r="MF2" s="4" t="inlineStr">
        <is>
          <t>call +5 from ATM</t>
        </is>
      </c>
      <c r="MW2" s="4" t="inlineStr">
        <is>
          <t>put +5 from ATM</t>
        </is>
      </c>
    </row>
    <row r="3">
      <c r="A3" s="2" t="inlineStr">
        <is>
          <t>Expiry (3rd Friday)</t>
        </is>
      </c>
      <c r="B3" s="3">
        <f>DATE(Settings!$E$18,B1,15)+MOD(6-WEEKDAY(DATE(Settings!$E$18,B1,15)),7)</f>
        <v/>
      </c>
      <c r="D3" s="5" t="inlineStr">
        <is>
          <t>Date</t>
        </is>
      </c>
      <c r="E3" s="5" t="inlineStr">
        <is>
          <t>PX_BID</t>
        </is>
      </c>
      <c r="F3" s="5" t="inlineStr">
        <is>
          <t>PX_ASK</t>
        </is>
      </c>
      <c r="G3" s="5" t="inlineStr">
        <is>
          <t>PX_MID</t>
        </is>
      </c>
      <c r="H3" s="5" t="inlineStr">
        <is>
          <t>PX_LAST</t>
        </is>
      </c>
      <c r="I3" s="5" t="inlineStr">
        <is>
          <t>PX_SETTLE</t>
        </is>
      </c>
      <c r="J3" s="5" t="inlineStr">
        <is>
          <t>PX_VOLUME</t>
        </is>
      </c>
      <c r="K3" s="5" t="inlineStr">
        <is>
          <t>OPEN_INT</t>
        </is>
      </c>
      <c r="L3" s="5" t="inlineStr">
        <is>
          <t>IVOL_MID</t>
        </is>
      </c>
      <c r="M3" s="5" t="inlineStr">
        <is>
          <t>IVOL_BID</t>
        </is>
      </c>
      <c r="N3" s="5" t="inlineStr">
        <is>
          <t>IVOL_ASK</t>
        </is>
      </c>
      <c r="O3" s="5" t="inlineStr">
        <is>
          <t>DELTA_MID</t>
        </is>
      </c>
      <c r="P3" s="5" t="inlineStr">
        <is>
          <t>GAMMA_MID</t>
        </is>
      </c>
      <c r="Q3" s="5" t="inlineStr">
        <is>
          <t>VEGA_MID</t>
        </is>
      </c>
      <c r="R3" s="5" t="inlineStr">
        <is>
          <t>THETA_MID</t>
        </is>
      </c>
      <c r="S3" s="5" t="inlineStr">
        <is>
          <t>OPT_UNDL_PX</t>
        </is>
      </c>
      <c r="U3" s="5" t="inlineStr">
        <is>
          <t>Date</t>
        </is>
      </c>
      <c r="V3" s="5" t="inlineStr">
        <is>
          <t>PX_BID</t>
        </is>
      </c>
      <c r="W3" s="5" t="inlineStr">
        <is>
          <t>PX_ASK</t>
        </is>
      </c>
      <c r="X3" s="5" t="inlineStr">
        <is>
          <t>PX_MID</t>
        </is>
      </c>
      <c r="Y3" s="5" t="inlineStr">
        <is>
          <t>PX_LAST</t>
        </is>
      </c>
      <c r="Z3" s="5" t="inlineStr">
        <is>
          <t>PX_SETTLE</t>
        </is>
      </c>
      <c r="AA3" s="5" t="inlineStr">
        <is>
          <t>PX_VOLUME</t>
        </is>
      </c>
      <c r="AB3" s="5" t="inlineStr">
        <is>
          <t>OPEN_INT</t>
        </is>
      </c>
      <c r="AC3" s="5" t="inlineStr">
        <is>
          <t>IVOL_MID</t>
        </is>
      </c>
      <c r="AD3" s="5" t="inlineStr">
        <is>
          <t>IVOL_BID</t>
        </is>
      </c>
      <c r="AE3" s="5" t="inlineStr">
        <is>
          <t>IVOL_ASK</t>
        </is>
      </c>
      <c r="AF3" s="5" t="inlineStr">
        <is>
          <t>DELTA_MID</t>
        </is>
      </c>
      <c r="AG3" s="5" t="inlineStr">
        <is>
          <t>GAMMA_MID</t>
        </is>
      </c>
      <c r="AH3" s="5" t="inlineStr">
        <is>
          <t>VEGA_MID</t>
        </is>
      </c>
      <c r="AI3" s="5" t="inlineStr">
        <is>
          <t>THETA_MID</t>
        </is>
      </c>
      <c r="AJ3" s="5" t="inlineStr">
        <is>
          <t>OPT_UNDL_PX</t>
        </is>
      </c>
      <c r="AL3" s="5" t="inlineStr">
        <is>
          <t>Date</t>
        </is>
      </c>
      <c r="AM3" s="5" t="inlineStr">
        <is>
          <t>PX_BID</t>
        </is>
      </c>
      <c r="AN3" s="5" t="inlineStr">
        <is>
          <t>PX_ASK</t>
        </is>
      </c>
      <c r="AO3" s="5" t="inlineStr">
        <is>
          <t>PX_MID</t>
        </is>
      </c>
      <c r="AP3" s="5" t="inlineStr">
        <is>
          <t>PX_LAST</t>
        </is>
      </c>
      <c r="AQ3" s="5" t="inlineStr">
        <is>
          <t>PX_SETTLE</t>
        </is>
      </c>
      <c r="AR3" s="5" t="inlineStr">
        <is>
          <t>PX_VOLUME</t>
        </is>
      </c>
      <c r="AS3" s="5" t="inlineStr">
        <is>
          <t>OPEN_INT</t>
        </is>
      </c>
      <c r="AT3" s="5" t="inlineStr">
        <is>
          <t>IVOL_MID</t>
        </is>
      </c>
      <c r="AU3" s="5" t="inlineStr">
        <is>
          <t>IVOL_BID</t>
        </is>
      </c>
      <c r="AV3" s="5" t="inlineStr">
        <is>
          <t>IVOL_ASK</t>
        </is>
      </c>
      <c r="AW3" s="5" t="inlineStr">
        <is>
          <t>DELTA_MID</t>
        </is>
      </c>
      <c r="AX3" s="5" t="inlineStr">
        <is>
          <t>GAMMA_MID</t>
        </is>
      </c>
      <c r="AY3" s="5" t="inlineStr">
        <is>
          <t>VEGA_MID</t>
        </is>
      </c>
      <c r="AZ3" s="5" t="inlineStr">
        <is>
          <t>THETA_MID</t>
        </is>
      </c>
      <c r="BA3" s="5" t="inlineStr">
        <is>
          <t>OPT_UNDL_PX</t>
        </is>
      </c>
      <c r="BC3" s="5" t="inlineStr">
        <is>
          <t>Date</t>
        </is>
      </c>
      <c r="BD3" s="5" t="inlineStr">
        <is>
          <t>PX_BID</t>
        </is>
      </c>
      <c r="BE3" s="5" t="inlineStr">
        <is>
          <t>PX_ASK</t>
        </is>
      </c>
      <c r="BF3" s="5" t="inlineStr">
        <is>
          <t>PX_MID</t>
        </is>
      </c>
      <c r="BG3" s="5" t="inlineStr">
        <is>
          <t>PX_LAST</t>
        </is>
      </c>
      <c r="BH3" s="5" t="inlineStr">
        <is>
          <t>PX_SETTLE</t>
        </is>
      </c>
      <c r="BI3" s="5" t="inlineStr">
        <is>
          <t>PX_VOLUME</t>
        </is>
      </c>
      <c r="BJ3" s="5" t="inlineStr">
        <is>
          <t>OPEN_INT</t>
        </is>
      </c>
      <c r="BK3" s="5" t="inlineStr">
        <is>
          <t>IVOL_MID</t>
        </is>
      </c>
      <c r="BL3" s="5" t="inlineStr">
        <is>
          <t>IVOL_BID</t>
        </is>
      </c>
      <c r="BM3" s="5" t="inlineStr">
        <is>
          <t>IVOL_ASK</t>
        </is>
      </c>
      <c r="BN3" s="5" t="inlineStr">
        <is>
          <t>DELTA_MID</t>
        </is>
      </c>
      <c r="BO3" s="5" t="inlineStr">
        <is>
          <t>GAMMA_MID</t>
        </is>
      </c>
      <c r="BP3" s="5" t="inlineStr">
        <is>
          <t>VEGA_MID</t>
        </is>
      </c>
      <c r="BQ3" s="5" t="inlineStr">
        <is>
          <t>THETA_MID</t>
        </is>
      </c>
      <c r="BR3" s="5" t="inlineStr">
        <is>
          <t>OPT_UNDL_PX</t>
        </is>
      </c>
      <c r="BT3" s="5" t="inlineStr">
        <is>
          <t>Date</t>
        </is>
      </c>
      <c r="BU3" s="5" t="inlineStr">
        <is>
          <t>PX_BID</t>
        </is>
      </c>
      <c r="BV3" s="5" t="inlineStr">
        <is>
          <t>PX_ASK</t>
        </is>
      </c>
      <c r="BW3" s="5" t="inlineStr">
        <is>
          <t>PX_MID</t>
        </is>
      </c>
      <c r="BX3" s="5" t="inlineStr">
        <is>
          <t>PX_LAST</t>
        </is>
      </c>
      <c r="BY3" s="5" t="inlineStr">
        <is>
          <t>PX_SETTLE</t>
        </is>
      </c>
      <c r="BZ3" s="5" t="inlineStr">
        <is>
          <t>PX_VOLUME</t>
        </is>
      </c>
      <c r="CA3" s="5" t="inlineStr">
        <is>
          <t>OPEN_INT</t>
        </is>
      </c>
      <c r="CB3" s="5" t="inlineStr">
        <is>
          <t>IVOL_MID</t>
        </is>
      </c>
      <c r="CC3" s="5" t="inlineStr">
        <is>
          <t>IVOL_BID</t>
        </is>
      </c>
      <c r="CD3" s="5" t="inlineStr">
        <is>
          <t>IVOL_ASK</t>
        </is>
      </c>
      <c r="CE3" s="5" t="inlineStr">
        <is>
          <t>DELTA_MID</t>
        </is>
      </c>
      <c r="CF3" s="5" t="inlineStr">
        <is>
          <t>GAMMA_MID</t>
        </is>
      </c>
      <c r="CG3" s="5" t="inlineStr">
        <is>
          <t>VEGA_MID</t>
        </is>
      </c>
      <c r="CH3" s="5" t="inlineStr">
        <is>
          <t>THETA_MID</t>
        </is>
      </c>
      <c r="CI3" s="5" t="inlineStr">
        <is>
          <t>OPT_UNDL_PX</t>
        </is>
      </c>
      <c r="CK3" s="5" t="inlineStr">
        <is>
          <t>Date</t>
        </is>
      </c>
      <c r="CL3" s="5" t="inlineStr">
        <is>
          <t>PX_BID</t>
        </is>
      </c>
      <c r="CM3" s="5" t="inlineStr">
        <is>
          <t>PX_ASK</t>
        </is>
      </c>
      <c r="CN3" s="5" t="inlineStr">
        <is>
          <t>PX_MID</t>
        </is>
      </c>
      <c r="CO3" s="5" t="inlineStr">
        <is>
          <t>PX_LAST</t>
        </is>
      </c>
      <c r="CP3" s="5" t="inlineStr">
        <is>
          <t>PX_SETTLE</t>
        </is>
      </c>
      <c r="CQ3" s="5" t="inlineStr">
        <is>
          <t>PX_VOLUME</t>
        </is>
      </c>
      <c r="CR3" s="5" t="inlineStr">
        <is>
          <t>OPEN_INT</t>
        </is>
      </c>
      <c r="CS3" s="5" t="inlineStr">
        <is>
          <t>IVOL_MID</t>
        </is>
      </c>
      <c r="CT3" s="5" t="inlineStr">
        <is>
          <t>IVOL_BID</t>
        </is>
      </c>
      <c r="CU3" s="5" t="inlineStr">
        <is>
          <t>IVOL_ASK</t>
        </is>
      </c>
      <c r="CV3" s="5" t="inlineStr">
        <is>
          <t>DELTA_MID</t>
        </is>
      </c>
      <c r="CW3" s="5" t="inlineStr">
        <is>
          <t>GAMMA_MID</t>
        </is>
      </c>
      <c r="CX3" s="5" t="inlineStr">
        <is>
          <t>VEGA_MID</t>
        </is>
      </c>
      <c r="CY3" s="5" t="inlineStr">
        <is>
          <t>THETA_MID</t>
        </is>
      </c>
      <c r="CZ3" s="5" t="inlineStr">
        <is>
          <t>OPT_UNDL_PX</t>
        </is>
      </c>
      <c r="DB3" s="5" t="inlineStr">
        <is>
          <t>Date</t>
        </is>
      </c>
      <c r="DC3" s="5" t="inlineStr">
        <is>
          <t>PX_BID</t>
        </is>
      </c>
      <c r="DD3" s="5" t="inlineStr">
        <is>
          <t>PX_ASK</t>
        </is>
      </c>
      <c r="DE3" s="5" t="inlineStr">
        <is>
          <t>PX_MID</t>
        </is>
      </c>
      <c r="DF3" s="5" t="inlineStr">
        <is>
          <t>PX_LAST</t>
        </is>
      </c>
      <c r="DG3" s="5" t="inlineStr">
        <is>
          <t>PX_SETTLE</t>
        </is>
      </c>
      <c r="DH3" s="5" t="inlineStr">
        <is>
          <t>PX_VOLUME</t>
        </is>
      </c>
      <c r="DI3" s="5" t="inlineStr">
        <is>
          <t>OPEN_INT</t>
        </is>
      </c>
      <c r="DJ3" s="5" t="inlineStr">
        <is>
          <t>IVOL_MID</t>
        </is>
      </c>
      <c r="DK3" s="5" t="inlineStr">
        <is>
          <t>IVOL_BID</t>
        </is>
      </c>
      <c r="DL3" s="5" t="inlineStr">
        <is>
          <t>IVOL_ASK</t>
        </is>
      </c>
      <c r="DM3" s="5" t="inlineStr">
        <is>
          <t>DELTA_MID</t>
        </is>
      </c>
      <c r="DN3" s="5" t="inlineStr">
        <is>
          <t>GAMMA_MID</t>
        </is>
      </c>
      <c r="DO3" s="5" t="inlineStr">
        <is>
          <t>VEGA_MID</t>
        </is>
      </c>
      <c r="DP3" s="5" t="inlineStr">
        <is>
          <t>THETA_MID</t>
        </is>
      </c>
      <c r="DQ3" s="5" t="inlineStr">
        <is>
          <t>OPT_UNDL_PX</t>
        </is>
      </c>
      <c r="DS3" s="5" t="inlineStr">
        <is>
          <t>Date</t>
        </is>
      </c>
      <c r="DT3" s="5" t="inlineStr">
        <is>
          <t>PX_BID</t>
        </is>
      </c>
      <c r="DU3" s="5" t="inlineStr">
        <is>
          <t>PX_ASK</t>
        </is>
      </c>
      <c r="DV3" s="5" t="inlineStr">
        <is>
          <t>PX_MID</t>
        </is>
      </c>
      <c r="DW3" s="5" t="inlineStr">
        <is>
          <t>PX_LAST</t>
        </is>
      </c>
      <c r="DX3" s="5" t="inlineStr">
        <is>
          <t>PX_SETTLE</t>
        </is>
      </c>
      <c r="DY3" s="5" t="inlineStr">
        <is>
          <t>PX_VOLUME</t>
        </is>
      </c>
      <c r="DZ3" s="5" t="inlineStr">
        <is>
          <t>OPEN_INT</t>
        </is>
      </c>
      <c r="EA3" s="5" t="inlineStr">
        <is>
          <t>IVOL_MID</t>
        </is>
      </c>
      <c r="EB3" s="5" t="inlineStr">
        <is>
          <t>IVOL_BID</t>
        </is>
      </c>
      <c r="EC3" s="5" t="inlineStr">
        <is>
          <t>IVOL_ASK</t>
        </is>
      </c>
      <c r="ED3" s="5" t="inlineStr">
        <is>
          <t>DELTA_MID</t>
        </is>
      </c>
      <c r="EE3" s="5" t="inlineStr">
        <is>
          <t>GAMMA_MID</t>
        </is>
      </c>
      <c r="EF3" s="5" t="inlineStr">
        <is>
          <t>VEGA_MID</t>
        </is>
      </c>
      <c r="EG3" s="5" t="inlineStr">
        <is>
          <t>THETA_MID</t>
        </is>
      </c>
      <c r="EH3" s="5" t="inlineStr">
        <is>
          <t>OPT_UNDL_PX</t>
        </is>
      </c>
      <c r="EJ3" s="5" t="inlineStr">
        <is>
          <t>Date</t>
        </is>
      </c>
      <c r="EK3" s="5" t="inlineStr">
        <is>
          <t>PX_BID</t>
        </is>
      </c>
      <c r="EL3" s="5" t="inlineStr">
        <is>
          <t>PX_ASK</t>
        </is>
      </c>
      <c r="EM3" s="5" t="inlineStr">
        <is>
          <t>PX_MID</t>
        </is>
      </c>
      <c r="EN3" s="5" t="inlineStr">
        <is>
          <t>PX_LAST</t>
        </is>
      </c>
      <c r="EO3" s="5" t="inlineStr">
        <is>
          <t>PX_SETTLE</t>
        </is>
      </c>
      <c r="EP3" s="5" t="inlineStr">
        <is>
          <t>PX_VOLUME</t>
        </is>
      </c>
      <c r="EQ3" s="5" t="inlineStr">
        <is>
          <t>OPEN_INT</t>
        </is>
      </c>
      <c r="ER3" s="5" t="inlineStr">
        <is>
          <t>IVOL_MID</t>
        </is>
      </c>
      <c r="ES3" s="5" t="inlineStr">
        <is>
          <t>IVOL_BID</t>
        </is>
      </c>
      <c r="ET3" s="5" t="inlineStr">
        <is>
          <t>IVOL_ASK</t>
        </is>
      </c>
      <c r="EU3" s="5" t="inlineStr">
        <is>
          <t>DELTA_MID</t>
        </is>
      </c>
      <c r="EV3" s="5" t="inlineStr">
        <is>
          <t>GAMMA_MID</t>
        </is>
      </c>
      <c r="EW3" s="5" t="inlineStr">
        <is>
          <t>VEGA_MID</t>
        </is>
      </c>
      <c r="EX3" s="5" t="inlineStr">
        <is>
          <t>THETA_MID</t>
        </is>
      </c>
      <c r="EY3" s="5" t="inlineStr">
        <is>
          <t>OPT_UNDL_PX</t>
        </is>
      </c>
      <c r="FA3" s="5" t="inlineStr">
        <is>
          <t>Date</t>
        </is>
      </c>
      <c r="FB3" s="5" t="inlineStr">
        <is>
          <t>PX_BID</t>
        </is>
      </c>
      <c r="FC3" s="5" t="inlineStr">
        <is>
          <t>PX_ASK</t>
        </is>
      </c>
      <c r="FD3" s="5" t="inlineStr">
        <is>
          <t>PX_MID</t>
        </is>
      </c>
      <c r="FE3" s="5" t="inlineStr">
        <is>
          <t>PX_LAST</t>
        </is>
      </c>
      <c r="FF3" s="5" t="inlineStr">
        <is>
          <t>PX_SETTLE</t>
        </is>
      </c>
      <c r="FG3" s="5" t="inlineStr">
        <is>
          <t>PX_VOLUME</t>
        </is>
      </c>
      <c r="FH3" s="5" t="inlineStr">
        <is>
          <t>OPEN_INT</t>
        </is>
      </c>
      <c r="FI3" s="5" t="inlineStr">
        <is>
          <t>IVOL_MID</t>
        </is>
      </c>
      <c r="FJ3" s="5" t="inlineStr">
        <is>
          <t>IVOL_BID</t>
        </is>
      </c>
      <c r="FK3" s="5" t="inlineStr">
        <is>
          <t>IVOL_ASK</t>
        </is>
      </c>
      <c r="FL3" s="5" t="inlineStr">
        <is>
          <t>DELTA_MID</t>
        </is>
      </c>
      <c r="FM3" s="5" t="inlineStr">
        <is>
          <t>GAMMA_MID</t>
        </is>
      </c>
      <c r="FN3" s="5" t="inlineStr">
        <is>
          <t>VEGA_MID</t>
        </is>
      </c>
      <c r="FO3" s="5" t="inlineStr">
        <is>
          <t>THETA_MID</t>
        </is>
      </c>
      <c r="FP3" s="5" t="inlineStr">
        <is>
          <t>OPT_UNDL_PX</t>
        </is>
      </c>
      <c r="FR3" s="5" t="inlineStr">
        <is>
          <t>Date</t>
        </is>
      </c>
      <c r="FS3" s="5" t="inlineStr">
        <is>
          <t>PX_BID</t>
        </is>
      </c>
      <c r="FT3" s="5" t="inlineStr">
        <is>
          <t>PX_ASK</t>
        </is>
      </c>
      <c r="FU3" s="5" t="inlineStr">
        <is>
          <t>PX_MID</t>
        </is>
      </c>
      <c r="FV3" s="5" t="inlineStr">
        <is>
          <t>PX_LAST</t>
        </is>
      </c>
      <c r="FW3" s="5" t="inlineStr">
        <is>
          <t>PX_SETTLE</t>
        </is>
      </c>
      <c r="FX3" s="5" t="inlineStr">
        <is>
          <t>PX_VOLUME</t>
        </is>
      </c>
      <c r="FY3" s="5" t="inlineStr">
        <is>
          <t>OPEN_INT</t>
        </is>
      </c>
      <c r="FZ3" s="5" t="inlineStr">
        <is>
          <t>IVOL_MID</t>
        </is>
      </c>
      <c r="GA3" s="5" t="inlineStr">
        <is>
          <t>IVOL_BID</t>
        </is>
      </c>
      <c r="GB3" s="5" t="inlineStr">
        <is>
          <t>IVOL_ASK</t>
        </is>
      </c>
      <c r="GC3" s="5" t="inlineStr">
        <is>
          <t>DELTA_MID</t>
        </is>
      </c>
      <c r="GD3" s="5" t="inlineStr">
        <is>
          <t>GAMMA_MID</t>
        </is>
      </c>
      <c r="GE3" s="5" t="inlineStr">
        <is>
          <t>VEGA_MID</t>
        </is>
      </c>
      <c r="GF3" s="5" t="inlineStr">
        <is>
          <t>THETA_MID</t>
        </is>
      </c>
      <c r="GG3" s="5" t="inlineStr">
        <is>
          <t>OPT_UNDL_PX</t>
        </is>
      </c>
      <c r="GI3" s="5" t="inlineStr">
        <is>
          <t>Date</t>
        </is>
      </c>
      <c r="GJ3" s="5" t="inlineStr">
        <is>
          <t>PX_BID</t>
        </is>
      </c>
      <c r="GK3" s="5" t="inlineStr">
        <is>
          <t>PX_ASK</t>
        </is>
      </c>
      <c r="GL3" s="5" t="inlineStr">
        <is>
          <t>PX_MID</t>
        </is>
      </c>
      <c r="GM3" s="5" t="inlineStr">
        <is>
          <t>PX_LAST</t>
        </is>
      </c>
      <c r="GN3" s="5" t="inlineStr">
        <is>
          <t>PX_SETTLE</t>
        </is>
      </c>
      <c r="GO3" s="5" t="inlineStr">
        <is>
          <t>PX_VOLUME</t>
        </is>
      </c>
      <c r="GP3" s="5" t="inlineStr">
        <is>
          <t>OPEN_INT</t>
        </is>
      </c>
      <c r="GQ3" s="5" t="inlineStr">
        <is>
          <t>IVOL_MID</t>
        </is>
      </c>
      <c r="GR3" s="5" t="inlineStr">
        <is>
          <t>IVOL_BID</t>
        </is>
      </c>
      <c r="GS3" s="5" t="inlineStr">
        <is>
          <t>IVOL_ASK</t>
        </is>
      </c>
      <c r="GT3" s="5" t="inlineStr">
        <is>
          <t>DELTA_MID</t>
        </is>
      </c>
      <c r="GU3" s="5" t="inlineStr">
        <is>
          <t>GAMMA_MID</t>
        </is>
      </c>
      <c r="GV3" s="5" t="inlineStr">
        <is>
          <t>VEGA_MID</t>
        </is>
      </c>
      <c r="GW3" s="5" t="inlineStr">
        <is>
          <t>THETA_MID</t>
        </is>
      </c>
      <c r="GX3" s="5" t="inlineStr">
        <is>
          <t>OPT_UNDL_PX</t>
        </is>
      </c>
      <c r="GZ3" s="5" t="inlineStr">
        <is>
          <t>Date</t>
        </is>
      </c>
      <c r="HA3" s="5" t="inlineStr">
        <is>
          <t>PX_BID</t>
        </is>
      </c>
      <c r="HB3" s="5" t="inlineStr">
        <is>
          <t>PX_ASK</t>
        </is>
      </c>
      <c r="HC3" s="5" t="inlineStr">
        <is>
          <t>PX_MID</t>
        </is>
      </c>
      <c r="HD3" s="5" t="inlineStr">
        <is>
          <t>PX_LAST</t>
        </is>
      </c>
      <c r="HE3" s="5" t="inlineStr">
        <is>
          <t>PX_SETTLE</t>
        </is>
      </c>
      <c r="HF3" s="5" t="inlineStr">
        <is>
          <t>PX_VOLUME</t>
        </is>
      </c>
      <c r="HG3" s="5" t="inlineStr">
        <is>
          <t>OPEN_INT</t>
        </is>
      </c>
      <c r="HH3" s="5" t="inlineStr">
        <is>
          <t>IVOL_MID</t>
        </is>
      </c>
      <c r="HI3" s="5" t="inlineStr">
        <is>
          <t>IVOL_BID</t>
        </is>
      </c>
      <c r="HJ3" s="5" t="inlineStr">
        <is>
          <t>IVOL_ASK</t>
        </is>
      </c>
      <c r="HK3" s="5" t="inlineStr">
        <is>
          <t>DELTA_MID</t>
        </is>
      </c>
      <c r="HL3" s="5" t="inlineStr">
        <is>
          <t>GAMMA_MID</t>
        </is>
      </c>
      <c r="HM3" s="5" t="inlineStr">
        <is>
          <t>VEGA_MID</t>
        </is>
      </c>
      <c r="HN3" s="5" t="inlineStr">
        <is>
          <t>THETA_MID</t>
        </is>
      </c>
      <c r="HO3" s="5" t="inlineStr">
        <is>
          <t>OPT_UNDL_PX</t>
        </is>
      </c>
      <c r="HQ3" s="5" t="inlineStr">
        <is>
          <t>Date</t>
        </is>
      </c>
      <c r="HR3" s="5" t="inlineStr">
        <is>
          <t>PX_BID</t>
        </is>
      </c>
      <c r="HS3" s="5" t="inlineStr">
        <is>
          <t>PX_ASK</t>
        </is>
      </c>
      <c r="HT3" s="5" t="inlineStr">
        <is>
          <t>PX_MID</t>
        </is>
      </c>
      <c r="HU3" s="5" t="inlineStr">
        <is>
          <t>PX_LAST</t>
        </is>
      </c>
      <c r="HV3" s="5" t="inlineStr">
        <is>
          <t>PX_SETTLE</t>
        </is>
      </c>
      <c r="HW3" s="5" t="inlineStr">
        <is>
          <t>PX_VOLUME</t>
        </is>
      </c>
      <c r="HX3" s="5" t="inlineStr">
        <is>
          <t>OPEN_INT</t>
        </is>
      </c>
      <c r="HY3" s="5" t="inlineStr">
        <is>
          <t>IVOL_MID</t>
        </is>
      </c>
      <c r="HZ3" s="5" t="inlineStr">
        <is>
          <t>IVOL_BID</t>
        </is>
      </c>
      <c r="IA3" s="5" t="inlineStr">
        <is>
          <t>IVOL_ASK</t>
        </is>
      </c>
      <c r="IB3" s="5" t="inlineStr">
        <is>
          <t>DELTA_MID</t>
        </is>
      </c>
      <c r="IC3" s="5" t="inlineStr">
        <is>
          <t>GAMMA_MID</t>
        </is>
      </c>
      <c r="ID3" s="5" t="inlineStr">
        <is>
          <t>VEGA_MID</t>
        </is>
      </c>
      <c r="IE3" s="5" t="inlineStr">
        <is>
          <t>THETA_MID</t>
        </is>
      </c>
      <c r="IF3" s="5" t="inlineStr">
        <is>
          <t>OPT_UNDL_PX</t>
        </is>
      </c>
      <c r="IH3" s="5" t="inlineStr">
        <is>
          <t>Date</t>
        </is>
      </c>
      <c r="II3" s="5" t="inlineStr">
        <is>
          <t>PX_BID</t>
        </is>
      </c>
      <c r="IJ3" s="5" t="inlineStr">
        <is>
          <t>PX_ASK</t>
        </is>
      </c>
      <c r="IK3" s="5" t="inlineStr">
        <is>
          <t>PX_MID</t>
        </is>
      </c>
      <c r="IL3" s="5" t="inlineStr">
        <is>
          <t>PX_LAST</t>
        </is>
      </c>
      <c r="IM3" s="5" t="inlineStr">
        <is>
          <t>PX_SETTLE</t>
        </is>
      </c>
      <c r="IN3" s="5" t="inlineStr">
        <is>
          <t>PX_VOLUME</t>
        </is>
      </c>
      <c r="IO3" s="5" t="inlineStr">
        <is>
          <t>OPEN_INT</t>
        </is>
      </c>
      <c r="IP3" s="5" t="inlineStr">
        <is>
          <t>IVOL_MID</t>
        </is>
      </c>
      <c r="IQ3" s="5" t="inlineStr">
        <is>
          <t>IVOL_BID</t>
        </is>
      </c>
      <c r="IR3" s="5" t="inlineStr">
        <is>
          <t>IVOL_ASK</t>
        </is>
      </c>
      <c r="IS3" s="5" t="inlineStr">
        <is>
          <t>DELTA_MID</t>
        </is>
      </c>
      <c r="IT3" s="5" t="inlineStr">
        <is>
          <t>GAMMA_MID</t>
        </is>
      </c>
      <c r="IU3" s="5" t="inlineStr">
        <is>
          <t>VEGA_MID</t>
        </is>
      </c>
      <c r="IV3" s="5" t="inlineStr">
        <is>
          <t>THETA_MID</t>
        </is>
      </c>
      <c r="IW3" s="5" t="inlineStr">
        <is>
          <t>OPT_UNDL_PX</t>
        </is>
      </c>
      <c r="IY3" s="5" t="inlineStr">
        <is>
          <t>Date</t>
        </is>
      </c>
      <c r="IZ3" s="5" t="inlineStr">
        <is>
          <t>PX_BID</t>
        </is>
      </c>
      <c r="JA3" s="5" t="inlineStr">
        <is>
          <t>PX_ASK</t>
        </is>
      </c>
      <c r="JB3" s="5" t="inlineStr">
        <is>
          <t>PX_MID</t>
        </is>
      </c>
      <c r="JC3" s="5" t="inlineStr">
        <is>
          <t>PX_LAST</t>
        </is>
      </c>
      <c r="JD3" s="5" t="inlineStr">
        <is>
          <t>PX_SETTLE</t>
        </is>
      </c>
      <c r="JE3" s="5" t="inlineStr">
        <is>
          <t>PX_VOLUME</t>
        </is>
      </c>
      <c r="JF3" s="5" t="inlineStr">
        <is>
          <t>OPEN_INT</t>
        </is>
      </c>
      <c r="JG3" s="5" t="inlineStr">
        <is>
          <t>IVOL_MID</t>
        </is>
      </c>
      <c r="JH3" s="5" t="inlineStr">
        <is>
          <t>IVOL_BID</t>
        </is>
      </c>
      <c r="JI3" s="5" t="inlineStr">
        <is>
          <t>IVOL_ASK</t>
        </is>
      </c>
      <c r="JJ3" s="5" t="inlineStr">
        <is>
          <t>DELTA_MID</t>
        </is>
      </c>
      <c r="JK3" s="5" t="inlineStr">
        <is>
          <t>GAMMA_MID</t>
        </is>
      </c>
      <c r="JL3" s="5" t="inlineStr">
        <is>
          <t>VEGA_MID</t>
        </is>
      </c>
      <c r="JM3" s="5" t="inlineStr">
        <is>
          <t>THETA_MID</t>
        </is>
      </c>
      <c r="JN3" s="5" t="inlineStr">
        <is>
          <t>OPT_UNDL_PX</t>
        </is>
      </c>
      <c r="JP3" s="5" t="inlineStr">
        <is>
          <t>Date</t>
        </is>
      </c>
      <c r="JQ3" s="5" t="inlineStr">
        <is>
          <t>PX_BID</t>
        </is>
      </c>
      <c r="JR3" s="5" t="inlineStr">
        <is>
          <t>PX_ASK</t>
        </is>
      </c>
      <c r="JS3" s="5" t="inlineStr">
        <is>
          <t>PX_MID</t>
        </is>
      </c>
      <c r="JT3" s="5" t="inlineStr">
        <is>
          <t>PX_LAST</t>
        </is>
      </c>
      <c r="JU3" s="5" t="inlineStr">
        <is>
          <t>PX_SETTLE</t>
        </is>
      </c>
      <c r="JV3" s="5" t="inlineStr">
        <is>
          <t>PX_VOLUME</t>
        </is>
      </c>
      <c r="JW3" s="5" t="inlineStr">
        <is>
          <t>OPEN_INT</t>
        </is>
      </c>
      <c r="JX3" s="5" t="inlineStr">
        <is>
          <t>IVOL_MID</t>
        </is>
      </c>
      <c r="JY3" s="5" t="inlineStr">
        <is>
          <t>IVOL_BID</t>
        </is>
      </c>
      <c r="JZ3" s="5" t="inlineStr">
        <is>
          <t>IVOL_ASK</t>
        </is>
      </c>
      <c r="KA3" s="5" t="inlineStr">
        <is>
          <t>DELTA_MID</t>
        </is>
      </c>
      <c r="KB3" s="5" t="inlineStr">
        <is>
          <t>GAMMA_MID</t>
        </is>
      </c>
      <c r="KC3" s="5" t="inlineStr">
        <is>
          <t>VEGA_MID</t>
        </is>
      </c>
      <c r="KD3" s="5" t="inlineStr">
        <is>
          <t>THETA_MID</t>
        </is>
      </c>
      <c r="KE3" s="5" t="inlineStr">
        <is>
          <t>OPT_UNDL_PX</t>
        </is>
      </c>
      <c r="KG3" s="5" t="inlineStr">
        <is>
          <t>Date</t>
        </is>
      </c>
      <c r="KH3" s="5" t="inlineStr">
        <is>
          <t>PX_BID</t>
        </is>
      </c>
      <c r="KI3" s="5" t="inlineStr">
        <is>
          <t>PX_ASK</t>
        </is>
      </c>
      <c r="KJ3" s="5" t="inlineStr">
        <is>
          <t>PX_MID</t>
        </is>
      </c>
      <c r="KK3" s="5" t="inlineStr">
        <is>
          <t>PX_LAST</t>
        </is>
      </c>
      <c r="KL3" s="5" t="inlineStr">
        <is>
          <t>PX_SETTLE</t>
        </is>
      </c>
      <c r="KM3" s="5" t="inlineStr">
        <is>
          <t>PX_VOLUME</t>
        </is>
      </c>
      <c r="KN3" s="5" t="inlineStr">
        <is>
          <t>OPEN_INT</t>
        </is>
      </c>
      <c r="KO3" s="5" t="inlineStr">
        <is>
          <t>IVOL_MID</t>
        </is>
      </c>
      <c r="KP3" s="5" t="inlineStr">
        <is>
          <t>IVOL_BID</t>
        </is>
      </c>
      <c r="KQ3" s="5" t="inlineStr">
        <is>
          <t>IVOL_ASK</t>
        </is>
      </c>
      <c r="KR3" s="5" t="inlineStr">
        <is>
          <t>DELTA_MID</t>
        </is>
      </c>
      <c r="KS3" s="5" t="inlineStr">
        <is>
          <t>GAMMA_MID</t>
        </is>
      </c>
      <c r="KT3" s="5" t="inlineStr">
        <is>
          <t>VEGA_MID</t>
        </is>
      </c>
      <c r="KU3" s="5" t="inlineStr">
        <is>
          <t>THETA_MID</t>
        </is>
      </c>
      <c r="KV3" s="5" t="inlineStr">
        <is>
          <t>OPT_UNDL_PX</t>
        </is>
      </c>
      <c r="KX3" s="5" t="inlineStr">
        <is>
          <t>Date</t>
        </is>
      </c>
      <c r="KY3" s="5" t="inlineStr">
        <is>
          <t>PX_BID</t>
        </is>
      </c>
      <c r="KZ3" s="5" t="inlineStr">
        <is>
          <t>PX_ASK</t>
        </is>
      </c>
      <c r="LA3" s="5" t="inlineStr">
        <is>
          <t>PX_MID</t>
        </is>
      </c>
      <c r="LB3" s="5" t="inlineStr">
        <is>
          <t>PX_LAST</t>
        </is>
      </c>
      <c r="LC3" s="5" t="inlineStr">
        <is>
          <t>PX_SETTLE</t>
        </is>
      </c>
      <c r="LD3" s="5" t="inlineStr">
        <is>
          <t>PX_VOLUME</t>
        </is>
      </c>
      <c r="LE3" s="5" t="inlineStr">
        <is>
          <t>OPEN_INT</t>
        </is>
      </c>
      <c r="LF3" s="5" t="inlineStr">
        <is>
          <t>IVOL_MID</t>
        </is>
      </c>
      <c r="LG3" s="5" t="inlineStr">
        <is>
          <t>IVOL_BID</t>
        </is>
      </c>
      <c r="LH3" s="5" t="inlineStr">
        <is>
          <t>IVOL_ASK</t>
        </is>
      </c>
      <c r="LI3" s="5" t="inlineStr">
        <is>
          <t>DELTA_MID</t>
        </is>
      </c>
      <c r="LJ3" s="5" t="inlineStr">
        <is>
          <t>GAMMA_MID</t>
        </is>
      </c>
      <c r="LK3" s="5" t="inlineStr">
        <is>
          <t>VEGA_MID</t>
        </is>
      </c>
      <c r="LL3" s="5" t="inlineStr">
        <is>
          <t>THETA_MID</t>
        </is>
      </c>
      <c r="LM3" s="5" t="inlineStr">
        <is>
          <t>OPT_UNDL_PX</t>
        </is>
      </c>
      <c r="LO3" s="5" t="inlineStr">
        <is>
          <t>Date</t>
        </is>
      </c>
      <c r="LP3" s="5" t="inlineStr">
        <is>
          <t>PX_BID</t>
        </is>
      </c>
      <c r="LQ3" s="5" t="inlineStr">
        <is>
          <t>PX_ASK</t>
        </is>
      </c>
      <c r="LR3" s="5" t="inlineStr">
        <is>
          <t>PX_MID</t>
        </is>
      </c>
      <c r="LS3" s="5" t="inlineStr">
        <is>
          <t>PX_LAST</t>
        </is>
      </c>
      <c r="LT3" s="5" t="inlineStr">
        <is>
          <t>PX_SETTLE</t>
        </is>
      </c>
      <c r="LU3" s="5" t="inlineStr">
        <is>
          <t>PX_VOLUME</t>
        </is>
      </c>
      <c r="LV3" s="5" t="inlineStr">
        <is>
          <t>OPEN_INT</t>
        </is>
      </c>
      <c r="LW3" s="5" t="inlineStr">
        <is>
          <t>IVOL_MID</t>
        </is>
      </c>
      <c r="LX3" s="5" t="inlineStr">
        <is>
          <t>IVOL_BID</t>
        </is>
      </c>
      <c r="LY3" s="5" t="inlineStr">
        <is>
          <t>IVOL_ASK</t>
        </is>
      </c>
      <c r="LZ3" s="5" t="inlineStr">
        <is>
          <t>DELTA_MID</t>
        </is>
      </c>
      <c r="MA3" s="5" t="inlineStr">
        <is>
          <t>GAMMA_MID</t>
        </is>
      </c>
      <c r="MB3" s="5" t="inlineStr">
        <is>
          <t>VEGA_MID</t>
        </is>
      </c>
      <c r="MC3" s="5" t="inlineStr">
        <is>
          <t>THETA_MID</t>
        </is>
      </c>
      <c r="MD3" s="5" t="inlineStr">
        <is>
          <t>OPT_UNDL_PX</t>
        </is>
      </c>
      <c r="MF3" s="5" t="inlineStr">
        <is>
          <t>Date</t>
        </is>
      </c>
      <c r="MG3" s="5" t="inlineStr">
        <is>
          <t>PX_BID</t>
        </is>
      </c>
      <c r="MH3" s="5" t="inlineStr">
        <is>
          <t>PX_ASK</t>
        </is>
      </c>
      <c r="MI3" s="5" t="inlineStr">
        <is>
          <t>PX_MID</t>
        </is>
      </c>
      <c r="MJ3" s="5" t="inlineStr">
        <is>
          <t>PX_LAST</t>
        </is>
      </c>
      <c r="MK3" s="5" t="inlineStr">
        <is>
          <t>PX_SETTLE</t>
        </is>
      </c>
      <c r="ML3" s="5" t="inlineStr">
        <is>
          <t>PX_VOLUME</t>
        </is>
      </c>
      <c r="MM3" s="5" t="inlineStr">
        <is>
          <t>OPEN_INT</t>
        </is>
      </c>
      <c r="MN3" s="5" t="inlineStr">
        <is>
          <t>IVOL_MID</t>
        </is>
      </c>
      <c r="MO3" s="5" t="inlineStr">
        <is>
          <t>IVOL_BID</t>
        </is>
      </c>
      <c r="MP3" s="5" t="inlineStr">
        <is>
          <t>IVOL_ASK</t>
        </is>
      </c>
      <c r="MQ3" s="5" t="inlineStr">
        <is>
          <t>DELTA_MID</t>
        </is>
      </c>
      <c r="MR3" s="5" t="inlineStr">
        <is>
          <t>GAMMA_MID</t>
        </is>
      </c>
      <c r="MS3" s="5" t="inlineStr">
        <is>
          <t>VEGA_MID</t>
        </is>
      </c>
      <c r="MT3" s="5" t="inlineStr">
        <is>
          <t>THETA_MID</t>
        </is>
      </c>
      <c r="MU3" s="5" t="inlineStr">
        <is>
          <t>OPT_UNDL_PX</t>
        </is>
      </c>
      <c r="MW3" s="5" t="inlineStr">
        <is>
          <t>Date</t>
        </is>
      </c>
      <c r="MX3" s="5" t="inlineStr">
        <is>
          <t>PX_BID</t>
        </is>
      </c>
      <c r="MY3" s="5" t="inlineStr">
        <is>
          <t>PX_ASK</t>
        </is>
      </c>
      <c r="MZ3" s="5" t="inlineStr">
        <is>
          <t>PX_MID</t>
        </is>
      </c>
      <c r="NA3" s="5" t="inlineStr">
        <is>
          <t>PX_LAST</t>
        </is>
      </c>
      <c r="NB3" s="5" t="inlineStr">
        <is>
          <t>PX_SETTLE</t>
        </is>
      </c>
      <c r="NC3" s="5" t="inlineStr">
        <is>
          <t>PX_VOLUME</t>
        </is>
      </c>
      <c r="ND3" s="5" t="inlineStr">
        <is>
          <t>OPEN_INT</t>
        </is>
      </c>
      <c r="NE3" s="5" t="inlineStr">
        <is>
          <t>IVOL_MID</t>
        </is>
      </c>
      <c r="NF3" s="5" t="inlineStr">
        <is>
          <t>IVOL_BID</t>
        </is>
      </c>
      <c r="NG3" s="5" t="inlineStr">
        <is>
          <t>IVOL_ASK</t>
        </is>
      </c>
      <c r="NH3" s="5" t="inlineStr">
        <is>
          <t>DELTA_MID</t>
        </is>
      </c>
      <c r="NI3" s="5" t="inlineStr">
        <is>
          <t>GAMMA_MID</t>
        </is>
      </c>
      <c r="NJ3" s="5" t="inlineStr">
        <is>
          <t>VEGA_MID</t>
        </is>
      </c>
      <c r="NK3" s="5" t="inlineStr">
        <is>
          <t>THETA_MID</t>
        </is>
      </c>
      <c r="NL3" s="5" t="inlineStr">
        <is>
          <t>OPT_UNDL_PX</t>
        </is>
      </c>
    </row>
    <row r="4">
      <c r="A4" s="2" t="inlineStr">
        <is>
          <t>Strike reference date</t>
        </is>
      </c>
      <c r="B4" s="8">
        <f>B3-45</f>
        <v/>
      </c>
      <c r="D4" s="4">
        <f>BDH(D$1,E$3:S$3,$B$8,$B$9,"Dir=V","Dts=S","Sort=A","Days=T","Fill=B")</f>
        <v/>
      </c>
      <c r="U4" s="4">
        <f>BDH(U$1,V$3:AJ$3,$B$8,$B$9,"Dir=V","Dts=S","Sort=A","Days=T","Fill=B")</f>
        <v/>
      </c>
      <c r="AL4" s="4">
        <f>BDH(AL$1,AM$3:BA$3,$B$8,$B$9,"Dir=V","Dts=S","Sort=A","Days=T","Fill=B")</f>
        <v/>
      </c>
      <c r="BC4" s="4">
        <f>BDH(BC$1,BD$3:BR$3,$B$8,$B$9,"Dir=V","Dts=S","Sort=A","Days=T","Fill=B")</f>
        <v/>
      </c>
      <c r="BT4" s="4">
        <f>BDH(BT$1,BU$3:CI$3,$B$8,$B$9,"Dir=V","Dts=S","Sort=A","Days=T","Fill=B")</f>
        <v/>
      </c>
      <c r="CK4" s="4">
        <f>BDH(CK$1,CL$3:CZ$3,$B$8,$B$9,"Dir=V","Dts=S","Sort=A","Days=T","Fill=B")</f>
        <v/>
      </c>
      <c r="DB4" s="4">
        <f>BDH(DB$1,DC$3:DQ$3,$B$8,$B$9,"Dir=V","Dts=S","Sort=A","Days=T","Fill=B")</f>
        <v/>
      </c>
      <c r="DS4" s="4">
        <f>BDH(DS$1,DT$3:EH$3,$B$8,$B$9,"Dir=V","Dts=S","Sort=A","Days=T","Fill=B")</f>
        <v/>
      </c>
      <c r="EJ4" s="4">
        <f>BDH(EJ$1,EK$3:EY$3,$B$8,$B$9,"Dir=V","Dts=S","Sort=A","Days=T","Fill=B")</f>
        <v/>
      </c>
      <c r="FA4" s="4">
        <f>BDH(FA$1,FB$3:FP$3,$B$8,$B$9,"Dir=V","Dts=S","Sort=A","Days=T","Fill=B")</f>
        <v/>
      </c>
      <c r="FR4" s="4">
        <f>BDH(FR$1,FS$3:GG$3,$B$8,$B$9,"Dir=V","Dts=S","Sort=A","Days=T","Fill=B")</f>
        <v/>
      </c>
      <c r="GI4" s="4">
        <f>BDH(GI$1,GJ$3:GX$3,$B$8,$B$9,"Dir=V","Dts=S","Sort=A","Days=T","Fill=B")</f>
        <v/>
      </c>
      <c r="GZ4" s="4">
        <f>BDH(GZ$1,HA$3:HO$3,$B$8,$B$9,"Dir=V","Dts=S","Sort=A","Days=T","Fill=B")</f>
        <v/>
      </c>
      <c r="HQ4" s="4">
        <f>BDH(HQ$1,HR$3:IF$3,$B$8,$B$9,"Dir=V","Dts=S","Sort=A","Days=T","Fill=B")</f>
        <v/>
      </c>
      <c r="IH4" s="4">
        <f>BDH(IH$1,II$3:IW$3,$B$8,$B$9,"Dir=V","Dts=S","Sort=A","Days=T","Fill=B")</f>
        <v/>
      </c>
      <c r="IY4" s="4">
        <f>BDH(IY$1,IZ$3:JN$3,$B$8,$B$9,"Dir=V","Dts=S","Sort=A","Days=T","Fill=B")</f>
        <v/>
      </c>
      <c r="JP4" s="4">
        <f>BDH(JP$1,JQ$3:KE$3,$B$8,$B$9,"Dir=V","Dts=S","Sort=A","Days=T","Fill=B")</f>
        <v/>
      </c>
      <c r="KG4" s="4">
        <f>BDH(KG$1,KH$3:KV$3,$B$8,$B$9,"Dir=V","Dts=S","Sort=A","Days=T","Fill=B")</f>
        <v/>
      </c>
      <c r="KX4" s="4">
        <f>BDH(KX$1,KY$3:LM$3,$B$8,$B$9,"Dir=V","Dts=S","Sort=A","Days=T","Fill=B")</f>
        <v/>
      </c>
      <c r="LO4" s="4">
        <f>BDH(LO$1,LP$3:MD$3,$B$8,$B$9,"Dir=V","Dts=S","Sort=A","Days=T","Fill=B")</f>
        <v/>
      </c>
      <c r="MF4" s="4">
        <f>BDH(MF$1,MG$3:MU$3,$B$8,$B$9,"Dir=V","Dts=S","Sort=A","Days=T","Fill=B")</f>
        <v/>
      </c>
      <c r="MW4" s="4">
        <f>BDH(MW$1,MX$3:NL$3,$B$8,$B$9,"Dir=V","Dts=S","Sort=A","Days=T","Fill=B")</f>
        <v/>
      </c>
    </row>
    <row r="5">
      <c r="A5" s="2" t="inlineStr">
        <is>
          <t>Unadjusted close then</t>
        </is>
      </c>
      <c r="B5" s="10">
        <f>IF(B2="","",BDH(B2,"PX_LAST",B4,B4,"Days=A","Fill=P","Dts=H","CshAdjNormal=N","CshAdjAbnormal=N","CapChg=N"))</f>
        <v/>
      </c>
    </row>
    <row r="6">
      <c r="A6" s="2" t="inlineStr">
        <is>
          <t>Strike step</t>
        </is>
      </c>
      <c r="B6" s="11">
        <f>IF(ISNUMBER(B5),IF(B5&lt;25,0.5,IF(B5&lt;250,1,5)),"")</f>
        <v/>
      </c>
    </row>
    <row r="7">
      <c r="A7" s="2" t="inlineStr">
        <is>
          <t>ATM strike</t>
        </is>
      </c>
      <c r="B7" s="11">
        <f>IF(ISNUMBER(B5),ROUND(B5/B6,0)*B6,"")</f>
        <v/>
      </c>
    </row>
    <row r="8">
      <c r="A8" s="2" t="inlineStr">
        <is>
          <t>History start</t>
        </is>
      </c>
      <c r="B8" s="8">
        <f>B3-100</f>
        <v/>
      </c>
    </row>
    <row r="9">
      <c r="A9" s="2" t="inlineStr">
        <is>
          <t>History end</t>
        </is>
      </c>
      <c r="B9" s="8">
        <f>B3</f>
        <v/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NL9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2" customWidth="1" min="2" max="2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1" customWidth="1" min="15" max="15"/>
    <col width="11" customWidth="1" min="16" max="16"/>
    <col width="10" customWidth="1" min="17" max="17"/>
    <col width="11" customWidth="1" min="18" max="18"/>
    <col width="13" customWidth="1" min="19" max="19"/>
    <col width="12" customWidth="1" min="21" max="21"/>
    <col width="10" customWidth="1" min="22" max="22"/>
    <col width="10" customWidth="1" min="23" max="23"/>
    <col width="10" customWidth="1" min="24" max="24"/>
    <col width="10" customWidth="1" min="25" max="25"/>
    <col width="11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1" customWidth="1" min="32" max="32"/>
    <col width="11" customWidth="1" min="33" max="33"/>
    <col width="10" customWidth="1" min="34" max="34"/>
    <col width="11" customWidth="1" min="35" max="35"/>
    <col width="13" customWidth="1" min="36" max="36"/>
    <col width="12" customWidth="1" min="38" max="38"/>
    <col width="10" customWidth="1" min="39" max="39"/>
    <col width="10" customWidth="1" min="40" max="40"/>
    <col width="10" customWidth="1" min="41" max="41"/>
    <col width="10" customWidth="1" min="42" max="42"/>
    <col width="11" customWidth="1" min="43" max="43"/>
    <col width="11" customWidth="1" min="44" max="44"/>
    <col width="10" customWidth="1" min="45" max="45"/>
    <col width="10" customWidth="1" min="46" max="46"/>
    <col width="10" customWidth="1" min="47" max="47"/>
    <col width="10" customWidth="1" min="48" max="48"/>
    <col width="11" customWidth="1" min="49" max="49"/>
    <col width="11" customWidth="1" min="50" max="50"/>
    <col width="10" customWidth="1" min="51" max="51"/>
    <col width="11" customWidth="1" min="52" max="52"/>
    <col width="13" customWidth="1" min="53" max="53"/>
    <col width="12" customWidth="1" min="55" max="55"/>
    <col width="10" customWidth="1" min="56" max="56"/>
    <col width="10" customWidth="1" min="57" max="57"/>
    <col width="10" customWidth="1" min="58" max="58"/>
    <col width="10" customWidth="1" min="59" max="59"/>
    <col width="11" customWidth="1" min="60" max="60"/>
    <col width="11" customWidth="1" min="61" max="61"/>
    <col width="10" customWidth="1" min="62" max="62"/>
    <col width="10" customWidth="1" min="63" max="63"/>
    <col width="10" customWidth="1" min="64" max="64"/>
    <col width="10" customWidth="1" min="65" max="65"/>
    <col width="11" customWidth="1" min="66" max="66"/>
    <col width="11" customWidth="1" min="67" max="67"/>
    <col width="10" customWidth="1" min="68" max="68"/>
    <col width="11" customWidth="1" min="69" max="69"/>
    <col width="13" customWidth="1" min="70" max="70"/>
    <col width="12" customWidth="1" min="72" max="72"/>
    <col width="10" customWidth="1" min="73" max="73"/>
    <col width="10" customWidth="1" min="74" max="74"/>
    <col width="10" customWidth="1" min="75" max="75"/>
    <col width="10" customWidth="1" min="76" max="76"/>
    <col width="11" customWidth="1" min="77" max="77"/>
    <col width="11" customWidth="1" min="78" max="78"/>
    <col width="10" customWidth="1" min="79" max="79"/>
    <col width="10" customWidth="1" min="80" max="80"/>
    <col width="10" customWidth="1" min="81" max="81"/>
    <col width="10" customWidth="1" min="82" max="82"/>
    <col width="11" customWidth="1" min="83" max="83"/>
    <col width="11" customWidth="1" min="84" max="84"/>
    <col width="10" customWidth="1" min="85" max="85"/>
    <col width="11" customWidth="1" min="86" max="86"/>
    <col width="13" customWidth="1" min="87" max="87"/>
    <col width="12" customWidth="1" min="89" max="89"/>
    <col width="10" customWidth="1" min="90" max="90"/>
    <col width="10" customWidth="1" min="91" max="91"/>
    <col width="10" customWidth="1" min="92" max="92"/>
    <col width="10" customWidth="1" min="93" max="93"/>
    <col width="11" customWidth="1" min="94" max="94"/>
    <col width="11" customWidth="1" min="95" max="95"/>
    <col width="10" customWidth="1" min="96" max="96"/>
    <col width="10" customWidth="1" min="97" max="97"/>
    <col width="10" customWidth="1" min="98" max="98"/>
    <col width="10" customWidth="1" min="99" max="99"/>
    <col width="11" customWidth="1" min="100" max="100"/>
    <col width="11" customWidth="1" min="101" max="101"/>
    <col width="10" customWidth="1" min="102" max="102"/>
    <col width="11" customWidth="1" min="103" max="103"/>
    <col width="13" customWidth="1" min="104" max="104"/>
    <col width="12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1" customWidth="1" min="111" max="111"/>
    <col width="11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1" customWidth="1" min="117" max="117"/>
    <col width="11" customWidth="1" min="118" max="118"/>
    <col width="10" customWidth="1" min="119" max="119"/>
    <col width="11" customWidth="1" min="120" max="120"/>
    <col width="13" customWidth="1" min="121" max="121"/>
    <col width="12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1" customWidth="1" min="128" max="128"/>
    <col width="11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1" customWidth="1" min="134" max="134"/>
    <col width="11" customWidth="1" min="135" max="135"/>
    <col width="10" customWidth="1" min="136" max="136"/>
    <col width="11" customWidth="1" min="137" max="137"/>
    <col width="13" customWidth="1" min="138" max="138"/>
    <col width="12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1" customWidth="1" min="145" max="145"/>
    <col width="11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1" customWidth="1" min="151" max="151"/>
    <col width="11" customWidth="1" min="152" max="152"/>
    <col width="10" customWidth="1" min="153" max="153"/>
    <col width="11" customWidth="1" min="154" max="154"/>
    <col width="13" customWidth="1" min="155" max="155"/>
    <col width="12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1" customWidth="1" min="162" max="162"/>
    <col width="11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1" customWidth="1" min="168" max="168"/>
    <col width="11" customWidth="1" min="169" max="169"/>
    <col width="10" customWidth="1" min="170" max="170"/>
    <col width="11" customWidth="1" min="171" max="171"/>
    <col width="13" customWidth="1" min="172" max="172"/>
    <col width="12" customWidth="1" min="174" max="174"/>
    <col width="10" customWidth="1" min="175" max="175"/>
    <col width="10" customWidth="1" min="176" max="176"/>
    <col width="10" customWidth="1" min="177" max="177"/>
    <col width="10" customWidth="1" min="178" max="178"/>
    <col width="11" customWidth="1" min="179" max="179"/>
    <col width="11" customWidth="1" min="180" max="180"/>
    <col width="10" customWidth="1" min="181" max="181"/>
    <col width="10" customWidth="1" min="182" max="182"/>
    <col width="10" customWidth="1" min="183" max="183"/>
    <col width="10" customWidth="1" min="184" max="184"/>
    <col width="11" customWidth="1" min="185" max="185"/>
    <col width="11" customWidth="1" min="186" max="186"/>
    <col width="10" customWidth="1" min="187" max="187"/>
    <col width="11" customWidth="1" min="188" max="188"/>
    <col width="13" customWidth="1" min="189" max="189"/>
    <col width="12" customWidth="1" min="191" max="191"/>
    <col width="10" customWidth="1" min="192" max="192"/>
    <col width="10" customWidth="1" min="193" max="193"/>
    <col width="10" customWidth="1" min="194" max="194"/>
    <col width="10" customWidth="1" min="195" max="195"/>
    <col width="11" customWidth="1" min="196" max="196"/>
    <col width="11" customWidth="1" min="197" max="197"/>
    <col width="10" customWidth="1" min="198" max="198"/>
    <col width="10" customWidth="1" min="199" max="199"/>
    <col width="10" customWidth="1" min="200" max="200"/>
    <col width="10" customWidth="1" min="201" max="201"/>
    <col width="11" customWidth="1" min="202" max="202"/>
    <col width="11" customWidth="1" min="203" max="203"/>
    <col width="10" customWidth="1" min="204" max="204"/>
    <col width="11" customWidth="1" min="205" max="205"/>
    <col width="13" customWidth="1" min="206" max="206"/>
    <col width="12" customWidth="1" min="208" max="208"/>
    <col width="10" customWidth="1" min="209" max="209"/>
    <col width="10" customWidth="1" min="210" max="210"/>
    <col width="10" customWidth="1" min="211" max="211"/>
    <col width="10" customWidth="1" min="212" max="212"/>
    <col width="11" customWidth="1" min="213" max="213"/>
    <col width="11" customWidth="1" min="214" max="214"/>
    <col width="10" customWidth="1" min="215" max="215"/>
    <col width="10" customWidth="1" min="216" max="216"/>
    <col width="10" customWidth="1" min="217" max="217"/>
    <col width="10" customWidth="1" min="218" max="218"/>
    <col width="11" customWidth="1" min="219" max="219"/>
    <col width="11" customWidth="1" min="220" max="220"/>
    <col width="10" customWidth="1" min="221" max="221"/>
    <col width="11" customWidth="1" min="222" max="222"/>
    <col width="13" customWidth="1" min="223" max="223"/>
    <col width="12" customWidth="1" min="225" max="225"/>
    <col width="10" customWidth="1" min="226" max="226"/>
    <col width="10" customWidth="1" min="227" max="227"/>
    <col width="10" customWidth="1" min="228" max="228"/>
    <col width="10" customWidth="1" min="229" max="229"/>
    <col width="11" customWidth="1" min="230" max="230"/>
    <col width="11" customWidth="1" min="231" max="231"/>
    <col width="10" customWidth="1" min="232" max="232"/>
    <col width="10" customWidth="1" min="233" max="233"/>
    <col width="10" customWidth="1" min="234" max="234"/>
    <col width="10" customWidth="1" min="235" max="235"/>
    <col width="11" customWidth="1" min="236" max="236"/>
    <col width="11" customWidth="1" min="237" max="237"/>
    <col width="10" customWidth="1" min="238" max="238"/>
    <col width="11" customWidth="1" min="239" max="239"/>
    <col width="13" customWidth="1" min="240" max="240"/>
    <col width="12" customWidth="1" min="242" max="242"/>
    <col width="10" customWidth="1" min="243" max="243"/>
    <col width="10" customWidth="1" min="244" max="244"/>
    <col width="10" customWidth="1" min="245" max="245"/>
    <col width="10" customWidth="1" min="246" max="246"/>
    <col width="11" customWidth="1" min="247" max="247"/>
    <col width="11" customWidth="1" min="248" max="248"/>
    <col width="10" customWidth="1" min="249" max="249"/>
    <col width="10" customWidth="1" min="250" max="250"/>
    <col width="10" customWidth="1" min="251" max="251"/>
    <col width="10" customWidth="1" min="252" max="252"/>
    <col width="11" customWidth="1" min="253" max="253"/>
    <col width="11" customWidth="1" min="254" max="254"/>
    <col width="10" customWidth="1" min="255" max="255"/>
    <col width="11" customWidth="1" min="256" max="256"/>
    <col width="13" customWidth="1" min="257" max="257"/>
    <col width="12" customWidth="1" min="259" max="259"/>
    <col width="10" customWidth="1" min="260" max="260"/>
    <col width="10" customWidth="1" min="261" max="261"/>
    <col width="10" customWidth="1" min="262" max="262"/>
    <col width="10" customWidth="1" min="263" max="263"/>
    <col width="11" customWidth="1" min="264" max="264"/>
    <col width="11" customWidth="1" min="265" max="265"/>
    <col width="10" customWidth="1" min="266" max="266"/>
    <col width="10" customWidth="1" min="267" max="267"/>
    <col width="10" customWidth="1" min="268" max="268"/>
    <col width="10" customWidth="1" min="269" max="269"/>
    <col width="11" customWidth="1" min="270" max="270"/>
    <col width="11" customWidth="1" min="271" max="271"/>
    <col width="10" customWidth="1" min="272" max="272"/>
    <col width="11" customWidth="1" min="273" max="273"/>
    <col width="13" customWidth="1" min="274" max="274"/>
    <col width="12" customWidth="1" min="276" max="276"/>
    <col width="10" customWidth="1" min="277" max="277"/>
    <col width="10" customWidth="1" min="278" max="278"/>
    <col width="10" customWidth="1" min="279" max="279"/>
    <col width="10" customWidth="1" min="280" max="280"/>
    <col width="11" customWidth="1" min="281" max="281"/>
    <col width="11" customWidth="1" min="282" max="282"/>
    <col width="10" customWidth="1" min="283" max="283"/>
    <col width="10" customWidth="1" min="284" max="284"/>
    <col width="10" customWidth="1" min="285" max="285"/>
    <col width="10" customWidth="1" min="286" max="286"/>
    <col width="11" customWidth="1" min="287" max="287"/>
    <col width="11" customWidth="1" min="288" max="288"/>
    <col width="10" customWidth="1" min="289" max="289"/>
    <col width="11" customWidth="1" min="290" max="290"/>
    <col width="13" customWidth="1" min="291" max="291"/>
    <col width="12" customWidth="1" min="293" max="293"/>
    <col width="10" customWidth="1" min="294" max="294"/>
    <col width="10" customWidth="1" min="295" max="295"/>
    <col width="10" customWidth="1" min="296" max="296"/>
    <col width="10" customWidth="1" min="297" max="297"/>
    <col width="11" customWidth="1" min="298" max="298"/>
    <col width="11" customWidth="1" min="299" max="299"/>
    <col width="10" customWidth="1" min="300" max="300"/>
    <col width="10" customWidth="1" min="301" max="301"/>
    <col width="10" customWidth="1" min="302" max="302"/>
    <col width="10" customWidth="1" min="303" max="303"/>
    <col width="11" customWidth="1" min="304" max="304"/>
    <col width="11" customWidth="1" min="305" max="305"/>
    <col width="10" customWidth="1" min="306" max="306"/>
    <col width="11" customWidth="1" min="307" max="307"/>
    <col width="13" customWidth="1" min="308" max="308"/>
    <col width="12" customWidth="1" min="310" max="310"/>
    <col width="10" customWidth="1" min="311" max="311"/>
    <col width="10" customWidth="1" min="312" max="312"/>
    <col width="10" customWidth="1" min="313" max="313"/>
    <col width="10" customWidth="1" min="314" max="314"/>
    <col width="11" customWidth="1" min="315" max="315"/>
    <col width="11" customWidth="1" min="316" max="316"/>
    <col width="10" customWidth="1" min="317" max="317"/>
    <col width="10" customWidth="1" min="318" max="318"/>
    <col width="10" customWidth="1" min="319" max="319"/>
    <col width="10" customWidth="1" min="320" max="320"/>
    <col width="11" customWidth="1" min="321" max="321"/>
    <col width="11" customWidth="1" min="322" max="322"/>
    <col width="10" customWidth="1" min="323" max="323"/>
    <col width="11" customWidth="1" min="324" max="324"/>
    <col width="13" customWidth="1" min="325" max="325"/>
    <col width="12" customWidth="1" min="327" max="327"/>
    <col width="10" customWidth="1" min="328" max="328"/>
    <col width="10" customWidth="1" min="329" max="329"/>
    <col width="10" customWidth="1" min="330" max="330"/>
    <col width="10" customWidth="1" min="331" max="331"/>
    <col width="11" customWidth="1" min="332" max="332"/>
    <col width="11" customWidth="1" min="333" max="333"/>
    <col width="10" customWidth="1" min="334" max="334"/>
    <col width="10" customWidth="1" min="335" max="335"/>
    <col width="10" customWidth="1" min="336" max="336"/>
    <col width="10" customWidth="1" min="337" max="337"/>
    <col width="11" customWidth="1" min="338" max="338"/>
    <col width="11" customWidth="1" min="339" max="339"/>
    <col width="10" customWidth="1" min="340" max="340"/>
    <col width="11" customWidth="1" min="341" max="341"/>
    <col width="13" customWidth="1" min="342" max="342"/>
    <col width="12" customWidth="1" min="344" max="344"/>
    <col width="10" customWidth="1" min="345" max="345"/>
    <col width="10" customWidth="1" min="346" max="346"/>
    <col width="10" customWidth="1" min="347" max="347"/>
    <col width="10" customWidth="1" min="348" max="348"/>
    <col width="11" customWidth="1" min="349" max="349"/>
    <col width="11" customWidth="1" min="350" max="350"/>
    <col width="10" customWidth="1" min="351" max="351"/>
    <col width="10" customWidth="1" min="352" max="352"/>
    <col width="10" customWidth="1" min="353" max="353"/>
    <col width="10" customWidth="1" min="354" max="354"/>
    <col width="11" customWidth="1" min="355" max="355"/>
    <col width="11" customWidth="1" min="356" max="356"/>
    <col width="10" customWidth="1" min="357" max="357"/>
    <col width="11" customWidth="1" min="358" max="358"/>
    <col width="13" customWidth="1" min="359" max="359"/>
    <col width="12" customWidth="1" min="361" max="361"/>
    <col width="10" customWidth="1" min="362" max="362"/>
    <col width="10" customWidth="1" min="363" max="363"/>
    <col width="10" customWidth="1" min="364" max="364"/>
    <col width="10" customWidth="1" min="365" max="365"/>
    <col width="11" customWidth="1" min="366" max="366"/>
    <col width="11" customWidth="1" min="367" max="367"/>
    <col width="10" customWidth="1" min="368" max="368"/>
    <col width="10" customWidth="1" min="369" max="369"/>
    <col width="10" customWidth="1" min="370" max="370"/>
    <col width="10" customWidth="1" min="371" max="371"/>
    <col width="11" customWidth="1" min="372" max="372"/>
    <col width="11" customWidth="1" min="373" max="373"/>
    <col width="10" customWidth="1" min="374" max="374"/>
    <col width="11" customWidth="1" min="375" max="375"/>
    <col width="13" customWidth="1" min="376" max="376"/>
  </cols>
  <sheetData>
    <row r="1">
      <c r="A1" s="2" t="inlineStr">
        <is>
          <t>Month</t>
        </is>
      </c>
      <c r="B1" s="9" t="n">
        <v>5</v>
      </c>
      <c r="D1" s="2">
        <f>IF(ISNUMBER(B$7),"OXY US "&amp;TEXT(B$3,"mm/dd/yy")&amp;" C"&amp;(B$7-5*B$6)&amp;" Equity","")</f>
        <v/>
      </c>
      <c r="U1" s="2">
        <f>IF(ISNUMBER(B$7),"OXY US "&amp;TEXT(B$3,"mm/dd/yy")&amp;" P"&amp;(B$7-5*B$6)&amp;" Equity","")</f>
        <v/>
      </c>
      <c r="AL1" s="2">
        <f>IF(ISNUMBER(B$7),"OXY US "&amp;TEXT(B$3,"mm/dd/yy")&amp;" C"&amp;(B$7-4*B$6)&amp;" Equity","")</f>
        <v/>
      </c>
      <c r="BC1" s="2">
        <f>IF(ISNUMBER(B$7),"OXY US "&amp;TEXT(B$3,"mm/dd/yy")&amp;" P"&amp;(B$7-4*B$6)&amp;" Equity","")</f>
        <v/>
      </c>
      <c r="BT1" s="2">
        <f>IF(ISNUMBER(B$7),"OXY US "&amp;TEXT(B$3,"mm/dd/yy")&amp;" C"&amp;(B$7-3*B$6)&amp;" Equity","")</f>
        <v/>
      </c>
      <c r="CK1" s="2">
        <f>IF(ISNUMBER(B$7),"OXY US "&amp;TEXT(B$3,"mm/dd/yy")&amp;" P"&amp;(B$7-3*B$6)&amp;" Equity","")</f>
        <v/>
      </c>
      <c r="DB1" s="2">
        <f>IF(ISNUMBER(B$7),"OXY US "&amp;TEXT(B$3,"mm/dd/yy")&amp;" C"&amp;(B$7-2*B$6)&amp;" Equity","")</f>
        <v/>
      </c>
      <c r="DS1" s="2">
        <f>IF(ISNUMBER(B$7),"OXY US "&amp;TEXT(B$3,"mm/dd/yy")&amp;" P"&amp;(B$7-2*B$6)&amp;" Equity","")</f>
        <v/>
      </c>
      <c r="EJ1" s="2">
        <f>IF(ISNUMBER(B$7),"OXY US "&amp;TEXT(B$3,"mm/dd/yy")&amp;" C"&amp;(B$7-1*B$6)&amp;" Equity","")</f>
        <v/>
      </c>
      <c r="FA1" s="2">
        <f>IF(ISNUMBER(B$7),"OXY US "&amp;TEXT(B$3,"mm/dd/yy")&amp;" P"&amp;(B$7-1*B$6)&amp;" Equity","")</f>
        <v/>
      </c>
      <c r="FR1" s="2">
        <f>IF(ISNUMBER(B$7),"OXY US "&amp;TEXT(B$3,"mm/dd/yy")&amp;" C"&amp;B$7&amp;" Equity","")</f>
        <v/>
      </c>
      <c r="GI1" s="2">
        <f>IF(ISNUMBER(B$7),"OXY US "&amp;TEXT(B$3,"mm/dd/yy")&amp;" P"&amp;B$7&amp;" Equity","")</f>
        <v/>
      </c>
      <c r="GZ1" s="2">
        <f>IF(ISNUMBER(B$7),"OXY US "&amp;TEXT(B$3,"mm/dd/yy")&amp;" C"&amp;(B$7+1*B$6)&amp;" Equity","")</f>
        <v/>
      </c>
      <c r="HQ1" s="2">
        <f>IF(ISNUMBER(B$7),"OXY US "&amp;TEXT(B$3,"mm/dd/yy")&amp;" P"&amp;(B$7+1*B$6)&amp;" Equity","")</f>
        <v/>
      </c>
      <c r="IH1" s="2">
        <f>IF(ISNUMBER(B$7),"OXY US "&amp;TEXT(B$3,"mm/dd/yy")&amp;" C"&amp;(B$7+2*B$6)&amp;" Equity","")</f>
        <v/>
      </c>
      <c r="IY1" s="2">
        <f>IF(ISNUMBER(B$7),"OXY US "&amp;TEXT(B$3,"mm/dd/yy")&amp;" P"&amp;(B$7+2*B$6)&amp;" Equity","")</f>
        <v/>
      </c>
      <c r="JP1" s="2">
        <f>IF(ISNUMBER(B$7),"OXY US "&amp;TEXT(B$3,"mm/dd/yy")&amp;" C"&amp;(B$7+3*B$6)&amp;" Equity","")</f>
        <v/>
      </c>
      <c r="KG1" s="2">
        <f>IF(ISNUMBER(B$7),"OXY US "&amp;TEXT(B$3,"mm/dd/yy")&amp;" P"&amp;(B$7+3*B$6)&amp;" Equity","")</f>
        <v/>
      </c>
      <c r="KX1" s="2">
        <f>IF(ISNUMBER(B$7),"OXY US "&amp;TEXT(B$3,"mm/dd/yy")&amp;" C"&amp;(B$7+4*B$6)&amp;" Equity","")</f>
        <v/>
      </c>
      <c r="LO1" s="2">
        <f>IF(ISNUMBER(B$7),"OXY US "&amp;TEXT(B$3,"mm/dd/yy")&amp;" P"&amp;(B$7+4*B$6)&amp;" Equity","")</f>
        <v/>
      </c>
      <c r="MF1" s="2">
        <f>IF(ISNUMBER(B$7),"OXY US "&amp;TEXT(B$3,"mm/dd/yy")&amp;" C"&amp;(B$7+5*B$6)&amp;" Equity","")</f>
        <v/>
      </c>
      <c r="MW1" s="2">
        <f>IF(ISNUMBER(B$7),"OXY US "&amp;TEXT(B$3,"mm/dd/yy")&amp;" P"&amp;(B$7+5*B$6)&amp;" Equity","")</f>
        <v/>
      </c>
    </row>
    <row r="2">
      <c r="A2" s="2" t="inlineStr">
        <is>
          <t>Underlying</t>
        </is>
      </c>
      <c r="B2" s="4">
        <f>IF(Settings!$B$18="Y","OXY US Equity","")</f>
        <v/>
      </c>
      <c r="D2" s="4" t="inlineStr">
        <is>
          <t>call -5 from ATM</t>
        </is>
      </c>
      <c r="U2" s="4" t="inlineStr">
        <is>
          <t>put -5 from ATM</t>
        </is>
      </c>
      <c r="AL2" s="4" t="inlineStr">
        <is>
          <t>call -4 from ATM</t>
        </is>
      </c>
      <c r="BC2" s="4" t="inlineStr">
        <is>
          <t>put -4 from ATM</t>
        </is>
      </c>
      <c r="BT2" s="4" t="inlineStr">
        <is>
          <t>call -3 from ATM</t>
        </is>
      </c>
      <c r="CK2" s="4" t="inlineStr">
        <is>
          <t>put -3 from ATM</t>
        </is>
      </c>
      <c r="DB2" s="4" t="inlineStr">
        <is>
          <t>call -2 from ATM</t>
        </is>
      </c>
      <c r="DS2" s="4" t="inlineStr">
        <is>
          <t>put -2 from ATM</t>
        </is>
      </c>
      <c r="EJ2" s="4" t="inlineStr">
        <is>
          <t>call -1 from ATM</t>
        </is>
      </c>
      <c r="FA2" s="4" t="inlineStr">
        <is>
          <t>put -1 from ATM</t>
        </is>
      </c>
      <c r="FR2" s="4" t="inlineStr">
        <is>
          <t>call +0 from ATM</t>
        </is>
      </c>
      <c r="GI2" s="4" t="inlineStr">
        <is>
          <t>put +0 from ATM</t>
        </is>
      </c>
      <c r="GZ2" s="4" t="inlineStr">
        <is>
          <t>call +1 from ATM</t>
        </is>
      </c>
      <c r="HQ2" s="4" t="inlineStr">
        <is>
          <t>put +1 from ATM</t>
        </is>
      </c>
      <c r="IH2" s="4" t="inlineStr">
        <is>
          <t>call +2 from ATM</t>
        </is>
      </c>
      <c r="IY2" s="4" t="inlineStr">
        <is>
          <t>put +2 from ATM</t>
        </is>
      </c>
      <c r="JP2" s="4" t="inlineStr">
        <is>
          <t>call +3 from ATM</t>
        </is>
      </c>
      <c r="KG2" s="4" t="inlineStr">
        <is>
          <t>put +3 from ATM</t>
        </is>
      </c>
      <c r="KX2" s="4" t="inlineStr">
        <is>
          <t>call +4 from ATM</t>
        </is>
      </c>
      <c r="LO2" s="4" t="inlineStr">
        <is>
          <t>put +4 from ATM</t>
        </is>
      </c>
      <c r="MF2" s="4" t="inlineStr">
        <is>
          <t>call +5 from ATM</t>
        </is>
      </c>
      <c r="MW2" s="4" t="inlineStr">
        <is>
          <t>put +5 from ATM</t>
        </is>
      </c>
    </row>
    <row r="3">
      <c r="A3" s="2" t="inlineStr">
        <is>
          <t>Expiry (3rd Friday)</t>
        </is>
      </c>
      <c r="B3" s="3">
        <f>DATE(Settings!$E$18,B1,15)+MOD(6-WEEKDAY(DATE(Settings!$E$18,B1,15)),7)</f>
        <v/>
      </c>
      <c r="D3" s="5" t="inlineStr">
        <is>
          <t>Date</t>
        </is>
      </c>
      <c r="E3" s="5" t="inlineStr">
        <is>
          <t>PX_BID</t>
        </is>
      </c>
      <c r="F3" s="5" t="inlineStr">
        <is>
          <t>PX_ASK</t>
        </is>
      </c>
      <c r="G3" s="5" t="inlineStr">
        <is>
          <t>PX_MID</t>
        </is>
      </c>
      <c r="H3" s="5" t="inlineStr">
        <is>
          <t>PX_LAST</t>
        </is>
      </c>
      <c r="I3" s="5" t="inlineStr">
        <is>
          <t>PX_SETTLE</t>
        </is>
      </c>
      <c r="J3" s="5" t="inlineStr">
        <is>
          <t>PX_VOLUME</t>
        </is>
      </c>
      <c r="K3" s="5" t="inlineStr">
        <is>
          <t>OPEN_INT</t>
        </is>
      </c>
      <c r="L3" s="5" t="inlineStr">
        <is>
          <t>IVOL_MID</t>
        </is>
      </c>
      <c r="M3" s="5" t="inlineStr">
        <is>
          <t>IVOL_BID</t>
        </is>
      </c>
      <c r="N3" s="5" t="inlineStr">
        <is>
          <t>IVOL_ASK</t>
        </is>
      </c>
      <c r="O3" s="5" t="inlineStr">
        <is>
          <t>DELTA_MID</t>
        </is>
      </c>
      <c r="P3" s="5" t="inlineStr">
        <is>
          <t>GAMMA_MID</t>
        </is>
      </c>
      <c r="Q3" s="5" t="inlineStr">
        <is>
          <t>VEGA_MID</t>
        </is>
      </c>
      <c r="R3" s="5" t="inlineStr">
        <is>
          <t>THETA_MID</t>
        </is>
      </c>
      <c r="S3" s="5" t="inlineStr">
        <is>
          <t>OPT_UNDL_PX</t>
        </is>
      </c>
      <c r="U3" s="5" t="inlineStr">
        <is>
          <t>Date</t>
        </is>
      </c>
      <c r="V3" s="5" t="inlineStr">
        <is>
          <t>PX_BID</t>
        </is>
      </c>
      <c r="W3" s="5" t="inlineStr">
        <is>
          <t>PX_ASK</t>
        </is>
      </c>
      <c r="X3" s="5" t="inlineStr">
        <is>
          <t>PX_MID</t>
        </is>
      </c>
      <c r="Y3" s="5" t="inlineStr">
        <is>
          <t>PX_LAST</t>
        </is>
      </c>
      <c r="Z3" s="5" t="inlineStr">
        <is>
          <t>PX_SETTLE</t>
        </is>
      </c>
      <c r="AA3" s="5" t="inlineStr">
        <is>
          <t>PX_VOLUME</t>
        </is>
      </c>
      <c r="AB3" s="5" t="inlineStr">
        <is>
          <t>OPEN_INT</t>
        </is>
      </c>
      <c r="AC3" s="5" t="inlineStr">
        <is>
          <t>IVOL_MID</t>
        </is>
      </c>
      <c r="AD3" s="5" t="inlineStr">
        <is>
          <t>IVOL_BID</t>
        </is>
      </c>
      <c r="AE3" s="5" t="inlineStr">
        <is>
          <t>IVOL_ASK</t>
        </is>
      </c>
      <c r="AF3" s="5" t="inlineStr">
        <is>
          <t>DELTA_MID</t>
        </is>
      </c>
      <c r="AG3" s="5" t="inlineStr">
        <is>
          <t>GAMMA_MID</t>
        </is>
      </c>
      <c r="AH3" s="5" t="inlineStr">
        <is>
          <t>VEGA_MID</t>
        </is>
      </c>
      <c r="AI3" s="5" t="inlineStr">
        <is>
          <t>THETA_MID</t>
        </is>
      </c>
      <c r="AJ3" s="5" t="inlineStr">
        <is>
          <t>OPT_UNDL_PX</t>
        </is>
      </c>
      <c r="AL3" s="5" t="inlineStr">
        <is>
          <t>Date</t>
        </is>
      </c>
      <c r="AM3" s="5" t="inlineStr">
        <is>
          <t>PX_BID</t>
        </is>
      </c>
      <c r="AN3" s="5" t="inlineStr">
        <is>
          <t>PX_ASK</t>
        </is>
      </c>
      <c r="AO3" s="5" t="inlineStr">
        <is>
          <t>PX_MID</t>
        </is>
      </c>
      <c r="AP3" s="5" t="inlineStr">
        <is>
          <t>PX_LAST</t>
        </is>
      </c>
      <c r="AQ3" s="5" t="inlineStr">
        <is>
          <t>PX_SETTLE</t>
        </is>
      </c>
      <c r="AR3" s="5" t="inlineStr">
        <is>
          <t>PX_VOLUME</t>
        </is>
      </c>
      <c r="AS3" s="5" t="inlineStr">
        <is>
          <t>OPEN_INT</t>
        </is>
      </c>
      <c r="AT3" s="5" t="inlineStr">
        <is>
          <t>IVOL_MID</t>
        </is>
      </c>
      <c r="AU3" s="5" t="inlineStr">
        <is>
          <t>IVOL_BID</t>
        </is>
      </c>
      <c r="AV3" s="5" t="inlineStr">
        <is>
          <t>IVOL_ASK</t>
        </is>
      </c>
      <c r="AW3" s="5" t="inlineStr">
        <is>
          <t>DELTA_MID</t>
        </is>
      </c>
      <c r="AX3" s="5" t="inlineStr">
        <is>
          <t>GAMMA_MID</t>
        </is>
      </c>
      <c r="AY3" s="5" t="inlineStr">
        <is>
          <t>VEGA_MID</t>
        </is>
      </c>
      <c r="AZ3" s="5" t="inlineStr">
        <is>
          <t>THETA_MID</t>
        </is>
      </c>
      <c r="BA3" s="5" t="inlineStr">
        <is>
          <t>OPT_UNDL_PX</t>
        </is>
      </c>
      <c r="BC3" s="5" t="inlineStr">
        <is>
          <t>Date</t>
        </is>
      </c>
      <c r="BD3" s="5" t="inlineStr">
        <is>
          <t>PX_BID</t>
        </is>
      </c>
      <c r="BE3" s="5" t="inlineStr">
        <is>
          <t>PX_ASK</t>
        </is>
      </c>
      <c r="BF3" s="5" t="inlineStr">
        <is>
          <t>PX_MID</t>
        </is>
      </c>
      <c r="BG3" s="5" t="inlineStr">
        <is>
          <t>PX_LAST</t>
        </is>
      </c>
      <c r="BH3" s="5" t="inlineStr">
        <is>
          <t>PX_SETTLE</t>
        </is>
      </c>
      <c r="BI3" s="5" t="inlineStr">
        <is>
          <t>PX_VOLUME</t>
        </is>
      </c>
      <c r="BJ3" s="5" t="inlineStr">
        <is>
          <t>OPEN_INT</t>
        </is>
      </c>
      <c r="BK3" s="5" t="inlineStr">
        <is>
          <t>IVOL_MID</t>
        </is>
      </c>
      <c r="BL3" s="5" t="inlineStr">
        <is>
          <t>IVOL_BID</t>
        </is>
      </c>
      <c r="BM3" s="5" t="inlineStr">
        <is>
          <t>IVOL_ASK</t>
        </is>
      </c>
      <c r="BN3" s="5" t="inlineStr">
        <is>
          <t>DELTA_MID</t>
        </is>
      </c>
      <c r="BO3" s="5" t="inlineStr">
        <is>
          <t>GAMMA_MID</t>
        </is>
      </c>
      <c r="BP3" s="5" t="inlineStr">
        <is>
          <t>VEGA_MID</t>
        </is>
      </c>
      <c r="BQ3" s="5" t="inlineStr">
        <is>
          <t>THETA_MID</t>
        </is>
      </c>
      <c r="BR3" s="5" t="inlineStr">
        <is>
          <t>OPT_UNDL_PX</t>
        </is>
      </c>
      <c r="BT3" s="5" t="inlineStr">
        <is>
          <t>Date</t>
        </is>
      </c>
      <c r="BU3" s="5" t="inlineStr">
        <is>
          <t>PX_BID</t>
        </is>
      </c>
      <c r="BV3" s="5" t="inlineStr">
        <is>
          <t>PX_ASK</t>
        </is>
      </c>
      <c r="BW3" s="5" t="inlineStr">
        <is>
          <t>PX_MID</t>
        </is>
      </c>
      <c r="BX3" s="5" t="inlineStr">
        <is>
          <t>PX_LAST</t>
        </is>
      </c>
      <c r="BY3" s="5" t="inlineStr">
        <is>
          <t>PX_SETTLE</t>
        </is>
      </c>
      <c r="BZ3" s="5" t="inlineStr">
        <is>
          <t>PX_VOLUME</t>
        </is>
      </c>
      <c r="CA3" s="5" t="inlineStr">
        <is>
          <t>OPEN_INT</t>
        </is>
      </c>
      <c r="CB3" s="5" t="inlineStr">
        <is>
          <t>IVOL_MID</t>
        </is>
      </c>
      <c r="CC3" s="5" t="inlineStr">
        <is>
          <t>IVOL_BID</t>
        </is>
      </c>
      <c r="CD3" s="5" t="inlineStr">
        <is>
          <t>IVOL_ASK</t>
        </is>
      </c>
      <c r="CE3" s="5" t="inlineStr">
        <is>
          <t>DELTA_MID</t>
        </is>
      </c>
      <c r="CF3" s="5" t="inlineStr">
        <is>
          <t>GAMMA_MID</t>
        </is>
      </c>
      <c r="CG3" s="5" t="inlineStr">
        <is>
          <t>VEGA_MID</t>
        </is>
      </c>
      <c r="CH3" s="5" t="inlineStr">
        <is>
          <t>THETA_MID</t>
        </is>
      </c>
      <c r="CI3" s="5" t="inlineStr">
        <is>
          <t>OPT_UNDL_PX</t>
        </is>
      </c>
      <c r="CK3" s="5" t="inlineStr">
        <is>
          <t>Date</t>
        </is>
      </c>
      <c r="CL3" s="5" t="inlineStr">
        <is>
          <t>PX_BID</t>
        </is>
      </c>
      <c r="CM3" s="5" t="inlineStr">
        <is>
          <t>PX_ASK</t>
        </is>
      </c>
      <c r="CN3" s="5" t="inlineStr">
        <is>
          <t>PX_MID</t>
        </is>
      </c>
      <c r="CO3" s="5" t="inlineStr">
        <is>
          <t>PX_LAST</t>
        </is>
      </c>
      <c r="CP3" s="5" t="inlineStr">
        <is>
          <t>PX_SETTLE</t>
        </is>
      </c>
      <c r="CQ3" s="5" t="inlineStr">
        <is>
          <t>PX_VOLUME</t>
        </is>
      </c>
      <c r="CR3" s="5" t="inlineStr">
        <is>
          <t>OPEN_INT</t>
        </is>
      </c>
      <c r="CS3" s="5" t="inlineStr">
        <is>
          <t>IVOL_MID</t>
        </is>
      </c>
      <c r="CT3" s="5" t="inlineStr">
        <is>
          <t>IVOL_BID</t>
        </is>
      </c>
      <c r="CU3" s="5" t="inlineStr">
        <is>
          <t>IVOL_ASK</t>
        </is>
      </c>
      <c r="CV3" s="5" t="inlineStr">
        <is>
          <t>DELTA_MID</t>
        </is>
      </c>
      <c r="CW3" s="5" t="inlineStr">
        <is>
          <t>GAMMA_MID</t>
        </is>
      </c>
      <c r="CX3" s="5" t="inlineStr">
        <is>
          <t>VEGA_MID</t>
        </is>
      </c>
      <c r="CY3" s="5" t="inlineStr">
        <is>
          <t>THETA_MID</t>
        </is>
      </c>
      <c r="CZ3" s="5" t="inlineStr">
        <is>
          <t>OPT_UNDL_PX</t>
        </is>
      </c>
      <c r="DB3" s="5" t="inlineStr">
        <is>
          <t>Date</t>
        </is>
      </c>
      <c r="DC3" s="5" t="inlineStr">
        <is>
          <t>PX_BID</t>
        </is>
      </c>
      <c r="DD3" s="5" t="inlineStr">
        <is>
          <t>PX_ASK</t>
        </is>
      </c>
      <c r="DE3" s="5" t="inlineStr">
        <is>
          <t>PX_MID</t>
        </is>
      </c>
      <c r="DF3" s="5" t="inlineStr">
        <is>
          <t>PX_LAST</t>
        </is>
      </c>
      <c r="DG3" s="5" t="inlineStr">
        <is>
          <t>PX_SETTLE</t>
        </is>
      </c>
      <c r="DH3" s="5" t="inlineStr">
        <is>
          <t>PX_VOLUME</t>
        </is>
      </c>
      <c r="DI3" s="5" t="inlineStr">
        <is>
          <t>OPEN_INT</t>
        </is>
      </c>
      <c r="DJ3" s="5" t="inlineStr">
        <is>
          <t>IVOL_MID</t>
        </is>
      </c>
      <c r="DK3" s="5" t="inlineStr">
        <is>
          <t>IVOL_BID</t>
        </is>
      </c>
      <c r="DL3" s="5" t="inlineStr">
        <is>
          <t>IVOL_ASK</t>
        </is>
      </c>
      <c r="DM3" s="5" t="inlineStr">
        <is>
          <t>DELTA_MID</t>
        </is>
      </c>
      <c r="DN3" s="5" t="inlineStr">
        <is>
          <t>GAMMA_MID</t>
        </is>
      </c>
      <c r="DO3" s="5" t="inlineStr">
        <is>
          <t>VEGA_MID</t>
        </is>
      </c>
      <c r="DP3" s="5" t="inlineStr">
        <is>
          <t>THETA_MID</t>
        </is>
      </c>
      <c r="DQ3" s="5" t="inlineStr">
        <is>
          <t>OPT_UNDL_PX</t>
        </is>
      </c>
      <c r="DS3" s="5" t="inlineStr">
        <is>
          <t>Date</t>
        </is>
      </c>
      <c r="DT3" s="5" t="inlineStr">
        <is>
          <t>PX_BID</t>
        </is>
      </c>
      <c r="DU3" s="5" t="inlineStr">
        <is>
          <t>PX_ASK</t>
        </is>
      </c>
      <c r="DV3" s="5" t="inlineStr">
        <is>
          <t>PX_MID</t>
        </is>
      </c>
      <c r="DW3" s="5" t="inlineStr">
        <is>
          <t>PX_LAST</t>
        </is>
      </c>
      <c r="DX3" s="5" t="inlineStr">
        <is>
          <t>PX_SETTLE</t>
        </is>
      </c>
      <c r="DY3" s="5" t="inlineStr">
        <is>
          <t>PX_VOLUME</t>
        </is>
      </c>
      <c r="DZ3" s="5" t="inlineStr">
        <is>
          <t>OPEN_INT</t>
        </is>
      </c>
      <c r="EA3" s="5" t="inlineStr">
        <is>
          <t>IVOL_MID</t>
        </is>
      </c>
      <c r="EB3" s="5" t="inlineStr">
        <is>
          <t>IVOL_BID</t>
        </is>
      </c>
      <c r="EC3" s="5" t="inlineStr">
        <is>
          <t>IVOL_ASK</t>
        </is>
      </c>
      <c r="ED3" s="5" t="inlineStr">
        <is>
          <t>DELTA_MID</t>
        </is>
      </c>
      <c r="EE3" s="5" t="inlineStr">
        <is>
          <t>GAMMA_MID</t>
        </is>
      </c>
      <c r="EF3" s="5" t="inlineStr">
        <is>
          <t>VEGA_MID</t>
        </is>
      </c>
      <c r="EG3" s="5" t="inlineStr">
        <is>
          <t>THETA_MID</t>
        </is>
      </c>
      <c r="EH3" s="5" t="inlineStr">
        <is>
          <t>OPT_UNDL_PX</t>
        </is>
      </c>
      <c r="EJ3" s="5" t="inlineStr">
        <is>
          <t>Date</t>
        </is>
      </c>
      <c r="EK3" s="5" t="inlineStr">
        <is>
          <t>PX_BID</t>
        </is>
      </c>
      <c r="EL3" s="5" t="inlineStr">
        <is>
          <t>PX_ASK</t>
        </is>
      </c>
      <c r="EM3" s="5" t="inlineStr">
        <is>
          <t>PX_MID</t>
        </is>
      </c>
      <c r="EN3" s="5" t="inlineStr">
        <is>
          <t>PX_LAST</t>
        </is>
      </c>
      <c r="EO3" s="5" t="inlineStr">
        <is>
          <t>PX_SETTLE</t>
        </is>
      </c>
      <c r="EP3" s="5" t="inlineStr">
        <is>
          <t>PX_VOLUME</t>
        </is>
      </c>
      <c r="EQ3" s="5" t="inlineStr">
        <is>
          <t>OPEN_INT</t>
        </is>
      </c>
      <c r="ER3" s="5" t="inlineStr">
        <is>
          <t>IVOL_MID</t>
        </is>
      </c>
      <c r="ES3" s="5" t="inlineStr">
        <is>
          <t>IVOL_BID</t>
        </is>
      </c>
      <c r="ET3" s="5" t="inlineStr">
        <is>
          <t>IVOL_ASK</t>
        </is>
      </c>
      <c r="EU3" s="5" t="inlineStr">
        <is>
          <t>DELTA_MID</t>
        </is>
      </c>
      <c r="EV3" s="5" t="inlineStr">
        <is>
          <t>GAMMA_MID</t>
        </is>
      </c>
      <c r="EW3" s="5" t="inlineStr">
        <is>
          <t>VEGA_MID</t>
        </is>
      </c>
      <c r="EX3" s="5" t="inlineStr">
        <is>
          <t>THETA_MID</t>
        </is>
      </c>
      <c r="EY3" s="5" t="inlineStr">
        <is>
          <t>OPT_UNDL_PX</t>
        </is>
      </c>
      <c r="FA3" s="5" t="inlineStr">
        <is>
          <t>Date</t>
        </is>
      </c>
      <c r="FB3" s="5" t="inlineStr">
        <is>
          <t>PX_BID</t>
        </is>
      </c>
      <c r="FC3" s="5" t="inlineStr">
        <is>
          <t>PX_ASK</t>
        </is>
      </c>
      <c r="FD3" s="5" t="inlineStr">
        <is>
          <t>PX_MID</t>
        </is>
      </c>
      <c r="FE3" s="5" t="inlineStr">
        <is>
          <t>PX_LAST</t>
        </is>
      </c>
      <c r="FF3" s="5" t="inlineStr">
        <is>
          <t>PX_SETTLE</t>
        </is>
      </c>
      <c r="FG3" s="5" t="inlineStr">
        <is>
          <t>PX_VOLUME</t>
        </is>
      </c>
      <c r="FH3" s="5" t="inlineStr">
        <is>
          <t>OPEN_INT</t>
        </is>
      </c>
      <c r="FI3" s="5" t="inlineStr">
        <is>
          <t>IVOL_MID</t>
        </is>
      </c>
      <c r="FJ3" s="5" t="inlineStr">
        <is>
          <t>IVOL_BID</t>
        </is>
      </c>
      <c r="FK3" s="5" t="inlineStr">
        <is>
          <t>IVOL_ASK</t>
        </is>
      </c>
      <c r="FL3" s="5" t="inlineStr">
        <is>
          <t>DELTA_MID</t>
        </is>
      </c>
      <c r="FM3" s="5" t="inlineStr">
        <is>
          <t>GAMMA_MID</t>
        </is>
      </c>
      <c r="FN3" s="5" t="inlineStr">
        <is>
          <t>VEGA_MID</t>
        </is>
      </c>
      <c r="FO3" s="5" t="inlineStr">
        <is>
          <t>THETA_MID</t>
        </is>
      </c>
      <c r="FP3" s="5" t="inlineStr">
        <is>
          <t>OPT_UNDL_PX</t>
        </is>
      </c>
      <c r="FR3" s="5" t="inlineStr">
        <is>
          <t>Date</t>
        </is>
      </c>
      <c r="FS3" s="5" t="inlineStr">
        <is>
          <t>PX_BID</t>
        </is>
      </c>
      <c r="FT3" s="5" t="inlineStr">
        <is>
          <t>PX_ASK</t>
        </is>
      </c>
      <c r="FU3" s="5" t="inlineStr">
        <is>
          <t>PX_MID</t>
        </is>
      </c>
      <c r="FV3" s="5" t="inlineStr">
        <is>
          <t>PX_LAST</t>
        </is>
      </c>
      <c r="FW3" s="5" t="inlineStr">
        <is>
          <t>PX_SETTLE</t>
        </is>
      </c>
      <c r="FX3" s="5" t="inlineStr">
        <is>
          <t>PX_VOLUME</t>
        </is>
      </c>
      <c r="FY3" s="5" t="inlineStr">
        <is>
          <t>OPEN_INT</t>
        </is>
      </c>
      <c r="FZ3" s="5" t="inlineStr">
        <is>
          <t>IVOL_MID</t>
        </is>
      </c>
      <c r="GA3" s="5" t="inlineStr">
        <is>
          <t>IVOL_BID</t>
        </is>
      </c>
      <c r="GB3" s="5" t="inlineStr">
        <is>
          <t>IVOL_ASK</t>
        </is>
      </c>
      <c r="GC3" s="5" t="inlineStr">
        <is>
          <t>DELTA_MID</t>
        </is>
      </c>
      <c r="GD3" s="5" t="inlineStr">
        <is>
          <t>GAMMA_MID</t>
        </is>
      </c>
      <c r="GE3" s="5" t="inlineStr">
        <is>
          <t>VEGA_MID</t>
        </is>
      </c>
      <c r="GF3" s="5" t="inlineStr">
        <is>
          <t>THETA_MID</t>
        </is>
      </c>
      <c r="GG3" s="5" t="inlineStr">
        <is>
          <t>OPT_UNDL_PX</t>
        </is>
      </c>
      <c r="GI3" s="5" t="inlineStr">
        <is>
          <t>Date</t>
        </is>
      </c>
      <c r="GJ3" s="5" t="inlineStr">
        <is>
          <t>PX_BID</t>
        </is>
      </c>
      <c r="GK3" s="5" t="inlineStr">
        <is>
          <t>PX_ASK</t>
        </is>
      </c>
      <c r="GL3" s="5" t="inlineStr">
        <is>
          <t>PX_MID</t>
        </is>
      </c>
      <c r="GM3" s="5" t="inlineStr">
        <is>
          <t>PX_LAST</t>
        </is>
      </c>
      <c r="GN3" s="5" t="inlineStr">
        <is>
          <t>PX_SETTLE</t>
        </is>
      </c>
      <c r="GO3" s="5" t="inlineStr">
        <is>
          <t>PX_VOLUME</t>
        </is>
      </c>
      <c r="GP3" s="5" t="inlineStr">
        <is>
          <t>OPEN_INT</t>
        </is>
      </c>
      <c r="GQ3" s="5" t="inlineStr">
        <is>
          <t>IVOL_MID</t>
        </is>
      </c>
      <c r="GR3" s="5" t="inlineStr">
        <is>
          <t>IVOL_BID</t>
        </is>
      </c>
      <c r="GS3" s="5" t="inlineStr">
        <is>
          <t>IVOL_ASK</t>
        </is>
      </c>
      <c r="GT3" s="5" t="inlineStr">
        <is>
          <t>DELTA_MID</t>
        </is>
      </c>
      <c r="GU3" s="5" t="inlineStr">
        <is>
          <t>GAMMA_MID</t>
        </is>
      </c>
      <c r="GV3" s="5" t="inlineStr">
        <is>
          <t>VEGA_MID</t>
        </is>
      </c>
      <c r="GW3" s="5" t="inlineStr">
        <is>
          <t>THETA_MID</t>
        </is>
      </c>
      <c r="GX3" s="5" t="inlineStr">
        <is>
          <t>OPT_UNDL_PX</t>
        </is>
      </c>
      <c r="GZ3" s="5" t="inlineStr">
        <is>
          <t>Date</t>
        </is>
      </c>
      <c r="HA3" s="5" t="inlineStr">
        <is>
          <t>PX_BID</t>
        </is>
      </c>
      <c r="HB3" s="5" t="inlineStr">
        <is>
          <t>PX_ASK</t>
        </is>
      </c>
      <c r="HC3" s="5" t="inlineStr">
        <is>
          <t>PX_MID</t>
        </is>
      </c>
      <c r="HD3" s="5" t="inlineStr">
        <is>
          <t>PX_LAST</t>
        </is>
      </c>
      <c r="HE3" s="5" t="inlineStr">
        <is>
          <t>PX_SETTLE</t>
        </is>
      </c>
      <c r="HF3" s="5" t="inlineStr">
        <is>
          <t>PX_VOLUME</t>
        </is>
      </c>
      <c r="HG3" s="5" t="inlineStr">
        <is>
          <t>OPEN_INT</t>
        </is>
      </c>
      <c r="HH3" s="5" t="inlineStr">
        <is>
          <t>IVOL_MID</t>
        </is>
      </c>
      <c r="HI3" s="5" t="inlineStr">
        <is>
          <t>IVOL_BID</t>
        </is>
      </c>
      <c r="HJ3" s="5" t="inlineStr">
        <is>
          <t>IVOL_ASK</t>
        </is>
      </c>
      <c r="HK3" s="5" t="inlineStr">
        <is>
          <t>DELTA_MID</t>
        </is>
      </c>
      <c r="HL3" s="5" t="inlineStr">
        <is>
          <t>GAMMA_MID</t>
        </is>
      </c>
      <c r="HM3" s="5" t="inlineStr">
        <is>
          <t>VEGA_MID</t>
        </is>
      </c>
      <c r="HN3" s="5" t="inlineStr">
        <is>
          <t>THETA_MID</t>
        </is>
      </c>
      <c r="HO3" s="5" t="inlineStr">
        <is>
          <t>OPT_UNDL_PX</t>
        </is>
      </c>
      <c r="HQ3" s="5" t="inlineStr">
        <is>
          <t>Date</t>
        </is>
      </c>
      <c r="HR3" s="5" t="inlineStr">
        <is>
          <t>PX_BID</t>
        </is>
      </c>
      <c r="HS3" s="5" t="inlineStr">
        <is>
          <t>PX_ASK</t>
        </is>
      </c>
      <c r="HT3" s="5" t="inlineStr">
        <is>
          <t>PX_MID</t>
        </is>
      </c>
      <c r="HU3" s="5" t="inlineStr">
        <is>
          <t>PX_LAST</t>
        </is>
      </c>
      <c r="HV3" s="5" t="inlineStr">
        <is>
          <t>PX_SETTLE</t>
        </is>
      </c>
      <c r="HW3" s="5" t="inlineStr">
        <is>
          <t>PX_VOLUME</t>
        </is>
      </c>
      <c r="HX3" s="5" t="inlineStr">
        <is>
          <t>OPEN_INT</t>
        </is>
      </c>
      <c r="HY3" s="5" t="inlineStr">
        <is>
          <t>IVOL_MID</t>
        </is>
      </c>
      <c r="HZ3" s="5" t="inlineStr">
        <is>
          <t>IVOL_BID</t>
        </is>
      </c>
      <c r="IA3" s="5" t="inlineStr">
        <is>
          <t>IVOL_ASK</t>
        </is>
      </c>
      <c r="IB3" s="5" t="inlineStr">
        <is>
          <t>DELTA_MID</t>
        </is>
      </c>
      <c r="IC3" s="5" t="inlineStr">
        <is>
          <t>GAMMA_MID</t>
        </is>
      </c>
      <c r="ID3" s="5" t="inlineStr">
        <is>
          <t>VEGA_MID</t>
        </is>
      </c>
      <c r="IE3" s="5" t="inlineStr">
        <is>
          <t>THETA_MID</t>
        </is>
      </c>
      <c r="IF3" s="5" t="inlineStr">
        <is>
          <t>OPT_UNDL_PX</t>
        </is>
      </c>
      <c r="IH3" s="5" t="inlineStr">
        <is>
          <t>Date</t>
        </is>
      </c>
      <c r="II3" s="5" t="inlineStr">
        <is>
          <t>PX_BID</t>
        </is>
      </c>
      <c r="IJ3" s="5" t="inlineStr">
        <is>
          <t>PX_ASK</t>
        </is>
      </c>
      <c r="IK3" s="5" t="inlineStr">
        <is>
          <t>PX_MID</t>
        </is>
      </c>
      <c r="IL3" s="5" t="inlineStr">
        <is>
          <t>PX_LAST</t>
        </is>
      </c>
      <c r="IM3" s="5" t="inlineStr">
        <is>
          <t>PX_SETTLE</t>
        </is>
      </c>
      <c r="IN3" s="5" t="inlineStr">
        <is>
          <t>PX_VOLUME</t>
        </is>
      </c>
      <c r="IO3" s="5" t="inlineStr">
        <is>
          <t>OPEN_INT</t>
        </is>
      </c>
      <c r="IP3" s="5" t="inlineStr">
        <is>
          <t>IVOL_MID</t>
        </is>
      </c>
      <c r="IQ3" s="5" t="inlineStr">
        <is>
          <t>IVOL_BID</t>
        </is>
      </c>
      <c r="IR3" s="5" t="inlineStr">
        <is>
          <t>IVOL_ASK</t>
        </is>
      </c>
      <c r="IS3" s="5" t="inlineStr">
        <is>
          <t>DELTA_MID</t>
        </is>
      </c>
      <c r="IT3" s="5" t="inlineStr">
        <is>
          <t>GAMMA_MID</t>
        </is>
      </c>
      <c r="IU3" s="5" t="inlineStr">
        <is>
          <t>VEGA_MID</t>
        </is>
      </c>
      <c r="IV3" s="5" t="inlineStr">
        <is>
          <t>THETA_MID</t>
        </is>
      </c>
      <c r="IW3" s="5" t="inlineStr">
        <is>
          <t>OPT_UNDL_PX</t>
        </is>
      </c>
      <c r="IY3" s="5" t="inlineStr">
        <is>
          <t>Date</t>
        </is>
      </c>
      <c r="IZ3" s="5" t="inlineStr">
        <is>
          <t>PX_BID</t>
        </is>
      </c>
      <c r="JA3" s="5" t="inlineStr">
        <is>
          <t>PX_ASK</t>
        </is>
      </c>
      <c r="JB3" s="5" t="inlineStr">
        <is>
          <t>PX_MID</t>
        </is>
      </c>
      <c r="JC3" s="5" t="inlineStr">
        <is>
          <t>PX_LAST</t>
        </is>
      </c>
      <c r="JD3" s="5" t="inlineStr">
        <is>
          <t>PX_SETTLE</t>
        </is>
      </c>
      <c r="JE3" s="5" t="inlineStr">
        <is>
          <t>PX_VOLUME</t>
        </is>
      </c>
      <c r="JF3" s="5" t="inlineStr">
        <is>
          <t>OPEN_INT</t>
        </is>
      </c>
      <c r="JG3" s="5" t="inlineStr">
        <is>
          <t>IVOL_MID</t>
        </is>
      </c>
      <c r="JH3" s="5" t="inlineStr">
        <is>
          <t>IVOL_BID</t>
        </is>
      </c>
      <c r="JI3" s="5" t="inlineStr">
        <is>
          <t>IVOL_ASK</t>
        </is>
      </c>
      <c r="JJ3" s="5" t="inlineStr">
        <is>
          <t>DELTA_MID</t>
        </is>
      </c>
      <c r="JK3" s="5" t="inlineStr">
        <is>
          <t>GAMMA_MID</t>
        </is>
      </c>
      <c r="JL3" s="5" t="inlineStr">
        <is>
          <t>VEGA_MID</t>
        </is>
      </c>
      <c r="JM3" s="5" t="inlineStr">
        <is>
          <t>THETA_MID</t>
        </is>
      </c>
      <c r="JN3" s="5" t="inlineStr">
        <is>
          <t>OPT_UNDL_PX</t>
        </is>
      </c>
      <c r="JP3" s="5" t="inlineStr">
        <is>
          <t>Date</t>
        </is>
      </c>
      <c r="JQ3" s="5" t="inlineStr">
        <is>
          <t>PX_BID</t>
        </is>
      </c>
      <c r="JR3" s="5" t="inlineStr">
        <is>
          <t>PX_ASK</t>
        </is>
      </c>
      <c r="JS3" s="5" t="inlineStr">
        <is>
          <t>PX_MID</t>
        </is>
      </c>
      <c r="JT3" s="5" t="inlineStr">
        <is>
          <t>PX_LAST</t>
        </is>
      </c>
      <c r="JU3" s="5" t="inlineStr">
        <is>
          <t>PX_SETTLE</t>
        </is>
      </c>
      <c r="JV3" s="5" t="inlineStr">
        <is>
          <t>PX_VOLUME</t>
        </is>
      </c>
      <c r="JW3" s="5" t="inlineStr">
        <is>
          <t>OPEN_INT</t>
        </is>
      </c>
      <c r="JX3" s="5" t="inlineStr">
        <is>
          <t>IVOL_MID</t>
        </is>
      </c>
      <c r="JY3" s="5" t="inlineStr">
        <is>
          <t>IVOL_BID</t>
        </is>
      </c>
      <c r="JZ3" s="5" t="inlineStr">
        <is>
          <t>IVOL_ASK</t>
        </is>
      </c>
      <c r="KA3" s="5" t="inlineStr">
        <is>
          <t>DELTA_MID</t>
        </is>
      </c>
      <c r="KB3" s="5" t="inlineStr">
        <is>
          <t>GAMMA_MID</t>
        </is>
      </c>
      <c r="KC3" s="5" t="inlineStr">
        <is>
          <t>VEGA_MID</t>
        </is>
      </c>
      <c r="KD3" s="5" t="inlineStr">
        <is>
          <t>THETA_MID</t>
        </is>
      </c>
      <c r="KE3" s="5" t="inlineStr">
        <is>
          <t>OPT_UNDL_PX</t>
        </is>
      </c>
      <c r="KG3" s="5" t="inlineStr">
        <is>
          <t>Date</t>
        </is>
      </c>
      <c r="KH3" s="5" t="inlineStr">
        <is>
          <t>PX_BID</t>
        </is>
      </c>
      <c r="KI3" s="5" t="inlineStr">
        <is>
          <t>PX_ASK</t>
        </is>
      </c>
      <c r="KJ3" s="5" t="inlineStr">
        <is>
          <t>PX_MID</t>
        </is>
      </c>
      <c r="KK3" s="5" t="inlineStr">
        <is>
          <t>PX_LAST</t>
        </is>
      </c>
      <c r="KL3" s="5" t="inlineStr">
        <is>
          <t>PX_SETTLE</t>
        </is>
      </c>
      <c r="KM3" s="5" t="inlineStr">
        <is>
          <t>PX_VOLUME</t>
        </is>
      </c>
      <c r="KN3" s="5" t="inlineStr">
        <is>
          <t>OPEN_INT</t>
        </is>
      </c>
      <c r="KO3" s="5" t="inlineStr">
        <is>
          <t>IVOL_MID</t>
        </is>
      </c>
      <c r="KP3" s="5" t="inlineStr">
        <is>
          <t>IVOL_BID</t>
        </is>
      </c>
      <c r="KQ3" s="5" t="inlineStr">
        <is>
          <t>IVOL_ASK</t>
        </is>
      </c>
      <c r="KR3" s="5" t="inlineStr">
        <is>
          <t>DELTA_MID</t>
        </is>
      </c>
      <c r="KS3" s="5" t="inlineStr">
        <is>
          <t>GAMMA_MID</t>
        </is>
      </c>
      <c r="KT3" s="5" t="inlineStr">
        <is>
          <t>VEGA_MID</t>
        </is>
      </c>
      <c r="KU3" s="5" t="inlineStr">
        <is>
          <t>THETA_MID</t>
        </is>
      </c>
      <c r="KV3" s="5" t="inlineStr">
        <is>
          <t>OPT_UNDL_PX</t>
        </is>
      </c>
      <c r="KX3" s="5" t="inlineStr">
        <is>
          <t>Date</t>
        </is>
      </c>
      <c r="KY3" s="5" t="inlineStr">
        <is>
          <t>PX_BID</t>
        </is>
      </c>
      <c r="KZ3" s="5" t="inlineStr">
        <is>
          <t>PX_ASK</t>
        </is>
      </c>
      <c r="LA3" s="5" t="inlineStr">
        <is>
          <t>PX_MID</t>
        </is>
      </c>
      <c r="LB3" s="5" t="inlineStr">
        <is>
          <t>PX_LAST</t>
        </is>
      </c>
      <c r="LC3" s="5" t="inlineStr">
        <is>
          <t>PX_SETTLE</t>
        </is>
      </c>
      <c r="LD3" s="5" t="inlineStr">
        <is>
          <t>PX_VOLUME</t>
        </is>
      </c>
      <c r="LE3" s="5" t="inlineStr">
        <is>
          <t>OPEN_INT</t>
        </is>
      </c>
      <c r="LF3" s="5" t="inlineStr">
        <is>
          <t>IVOL_MID</t>
        </is>
      </c>
      <c r="LG3" s="5" t="inlineStr">
        <is>
          <t>IVOL_BID</t>
        </is>
      </c>
      <c r="LH3" s="5" t="inlineStr">
        <is>
          <t>IVOL_ASK</t>
        </is>
      </c>
      <c r="LI3" s="5" t="inlineStr">
        <is>
          <t>DELTA_MID</t>
        </is>
      </c>
      <c r="LJ3" s="5" t="inlineStr">
        <is>
          <t>GAMMA_MID</t>
        </is>
      </c>
      <c r="LK3" s="5" t="inlineStr">
        <is>
          <t>VEGA_MID</t>
        </is>
      </c>
      <c r="LL3" s="5" t="inlineStr">
        <is>
          <t>THETA_MID</t>
        </is>
      </c>
      <c r="LM3" s="5" t="inlineStr">
        <is>
          <t>OPT_UNDL_PX</t>
        </is>
      </c>
      <c r="LO3" s="5" t="inlineStr">
        <is>
          <t>Date</t>
        </is>
      </c>
      <c r="LP3" s="5" t="inlineStr">
        <is>
          <t>PX_BID</t>
        </is>
      </c>
      <c r="LQ3" s="5" t="inlineStr">
        <is>
          <t>PX_ASK</t>
        </is>
      </c>
      <c r="LR3" s="5" t="inlineStr">
        <is>
          <t>PX_MID</t>
        </is>
      </c>
      <c r="LS3" s="5" t="inlineStr">
        <is>
          <t>PX_LAST</t>
        </is>
      </c>
      <c r="LT3" s="5" t="inlineStr">
        <is>
          <t>PX_SETTLE</t>
        </is>
      </c>
      <c r="LU3" s="5" t="inlineStr">
        <is>
          <t>PX_VOLUME</t>
        </is>
      </c>
      <c r="LV3" s="5" t="inlineStr">
        <is>
          <t>OPEN_INT</t>
        </is>
      </c>
      <c r="LW3" s="5" t="inlineStr">
        <is>
          <t>IVOL_MID</t>
        </is>
      </c>
      <c r="LX3" s="5" t="inlineStr">
        <is>
          <t>IVOL_BID</t>
        </is>
      </c>
      <c r="LY3" s="5" t="inlineStr">
        <is>
          <t>IVOL_ASK</t>
        </is>
      </c>
      <c r="LZ3" s="5" t="inlineStr">
        <is>
          <t>DELTA_MID</t>
        </is>
      </c>
      <c r="MA3" s="5" t="inlineStr">
        <is>
          <t>GAMMA_MID</t>
        </is>
      </c>
      <c r="MB3" s="5" t="inlineStr">
        <is>
          <t>VEGA_MID</t>
        </is>
      </c>
      <c r="MC3" s="5" t="inlineStr">
        <is>
          <t>THETA_MID</t>
        </is>
      </c>
      <c r="MD3" s="5" t="inlineStr">
        <is>
          <t>OPT_UNDL_PX</t>
        </is>
      </c>
      <c r="MF3" s="5" t="inlineStr">
        <is>
          <t>Date</t>
        </is>
      </c>
      <c r="MG3" s="5" t="inlineStr">
        <is>
          <t>PX_BID</t>
        </is>
      </c>
      <c r="MH3" s="5" t="inlineStr">
        <is>
          <t>PX_ASK</t>
        </is>
      </c>
      <c r="MI3" s="5" t="inlineStr">
        <is>
          <t>PX_MID</t>
        </is>
      </c>
      <c r="MJ3" s="5" t="inlineStr">
        <is>
          <t>PX_LAST</t>
        </is>
      </c>
      <c r="MK3" s="5" t="inlineStr">
        <is>
          <t>PX_SETTLE</t>
        </is>
      </c>
      <c r="ML3" s="5" t="inlineStr">
        <is>
          <t>PX_VOLUME</t>
        </is>
      </c>
      <c r="MM3" s="5" t="inlineStr">
        <is>
          <t>OPEN_INT</t>
        </is>
      </c>
      <c r="MN3" s="5" t="inlineStr">
        <is>
          <t>IVOL_MID</t>
        </is>
      </c>
      <c r="MO3" s="5" t="inlineStr">
        <is>
          <t>IVOL_BID</t>
        </is>
      </c>
      <c r="MP3" s="5" t="inlineStr">
        <is>
          <t>IVOL_ASK</t>
        </is>
      </c>
      <c r="MQ3" s="5" t="inlineStr">
        <is>
          <t>DELTA_MID</t>
        </is>
      </c>
      <c r="MR3" s="5" t="inlineStr">
        <is>
          <t>GAMMA_MID</t>
        </is>
      </c>
      <c r="MS3" s="5" t="inlineStr">
        <is>
          <t>VEGA_MID</t>
        </is>
      </c>
      <c r="MT3" s="5" t="inlineStr">
        <is>
          <t>THETA_MID</t>
        </is>
      </c>
      <c r="MU3" s="5" t="inlineStr">
        <is>
          <t>OPT_UNDL_PX</t>
        </is>
      </c>
      <c r="MW3" s="5" t="inlineStr">
        <is>
          <t>Date</t>
        </is>
      </c>
      <c r="MX3" s="5" t="inlineStr">
        <is>
          <t>PX_BID</t>
        </is>
      </c>
      <c r="MY3" s="5" t="inlineStr">
        <is>
          <t>PX_ASK</t>
        </is>
      </c>
      <c r="MZ3" s="5" t="inlineStr">
        <is>
          <t>PX_MID</t>
        </is>
      </c>
      <c r="NA3" s="5" t="inlineStr">
        <is>
          <t>PX_LAST</t>
        </is>
      </c>
      <c r="NB3" s="5" t="inlineStr">
        <is>
          <t>PX_SETTLE</t>
        </is>
      </c>
      <c r="NC3" s="5" t="inlineStr">
        <is>
          <t>PX_VOLUME</t>
        </is>
      </c>
      <c r="ND3" s="5" t="inlineStr">
        <is>
          <t>OPEN_INT</t>
        </is>
      </c>
      <c r="NE3" s="5" t="inlineStr">
        <is>
          <t>IVOL_MID</t>
        </is>
      </c>
      <c r="NF3" s="5" t="inlineStr">
        <is>
          <t>IVOL_BID</t>
        </is>
      </c>
      <c r="NG3" s="5" t="inlineStr">
        <is>
          <t>IVOL_ASK</t>
        </is>
      </c>
      <c r="NH3" s="5" t="inlineStr">
        <is>
          <t>DELTA_MID</t>
        </is>
      </c>
      <c r="NI3" s="5" t="inlineStr">
        <is>
          <t>GAMMA_MID</t>
        </is>
      </c>
      <c r="NJ3" s="5" t="inlineStr">
        <is>
          <t>VEGA_MID</t>
        </is>
      </c>
      <c r="NK3" s="5" t="inlineStr">
        <is>
          <t>THETA_MID</t>
        </is>
      </c>
      <c r="NL3" s="5" t="inlineStr">
        <is>
          <t>OPT_UNDL_PX</t>
        </is>
      </c>
    </row>
    <row r="4">
      <c r="A4" s="2" t="inlineStr">
        <is>
          <t>Strike reference date</t>
        </is>
      </c>
      <c r="B4" s="8">
        <f>B3-45</f>
        <v/>
      </c>
      <c r="D4" s="4">
        <f>BDH(D$1,E$3:S$3,$B$8,$B$9,"Dir=V","Dts=S","Sort=A","Days=T","Fill=B")</f>
        <v/>
      </c>
      <c r="U4" s="4">
        <f>BDH(U$1,V$3:AJ$3,$B$8,$B$9,"Dir=V","Dts=S","Sort=A","Days=T","Fill=B")</f>
        <v/>
      </c>
      <c r="AL4" s="4">
        <f>BDH(AL$1,AM$3:BA$3,$B$8,$B$9,"Dir=V","Dts=S","Sort=A","Days=T","Fill=B")</f>
        <v/>
      </c>
      <c r="BC4" s="4">
        <f>BDH(BC$1,BD$3:BR$3,$B$8,$B$9,"Dir=V","Dts=S","Sort=A","Days=T","Fill=B")</f>
        <v/>
      </c>
      <c r="BT4" s="4">
        <f>BDH(BT$1,BU$3:CI$3,$B$8,$B$9,"Dir=V","Dts=S","Sort=A","Days=T","Fill=B")</f>
        <v/>
      </c>
      <c r="CK4" s="4">
        <f>BDH(CK$1,CL$3:CZ$3,$B$8,$B$9,"Dir=V","Dts=S","Sort=A","Days=T","Fill=B")</f>
        <v/>
      </c>
      <c r="DB4" s="4">
        <f>BDH(DB$1,DC$3:DQ$3,$B$8,$B$9,"Dir=V","Dts=S","Sort=A","Days=T","Fill=B")</f>
        <v/>
      </c>
      <c r="DS4" s="4">
        <f>BDH(DS$1,DT$3:EH$3,$B$8,$B$9,"Dir=V","Dts=S","Sort=A","Days=T","Fill=B")</f>
        <v/>
      </c>
      <c r="EJ4" s="4">
        <f>BDH(EJ$1,EK$3:EY$3,$B$8,$B$9,"Dir=V","Dts=S","Sort=A","Days=T","Fill=B")</f>
        <v/>
      </c>
      <c r="FA4" s="4">
        <f>BDH(FA$1,FB$3:FP$3,$B$8,$B$9,"Dir=V","Dts=S","Sort=A","Days=T","Fill=B")</f>
        <v/>
      </c>
      <c r="FR4" s="4">
        <f>BDH(FR$1,FS$3:GG$3,$B$8,$B$9,"Dir=V","Dts=S","Sort=A","Days=T","Fill=B")</f>
        <v/>
      </c>
      <c r="GI4" s="4">
        <f>BDH(GI$1,GJ$3:GX$3,$B$8,$B$9,"Dir=V","Dts=S","Sort=A","Days=T","Fill=B")</f>
        <v/>
      </c>
      <c r="GZ4" s="4">
        <f>BDH(GZ$1,HA$3:HO$3,$B$8,$B$9,"Dir=V","Dts=S","Sort=A","Days=T","Fill=B")</f>
        <v/>
      </c>
      <c r="HQ4" s="4">
        <f>BDH(HQ$1,HR$3:IF$3,$B$8,$B$9,"Dir=V","Dts=S","Sort=A","Days=T","Fill=B")</f>
        <v/>
      </c>
      <c r="IH4" s="4">
        <f>BDH(IH$1,II$3:IW$3,$B$8,$B$9,"Dir=V","Dts=S","Sort=A","Days=T","Fill=B")</f>
        <v/>
      </c>
      <c r="IY4" s="4">
        <f>BDH(IY$1,IZ$3:JN$3,$B$8,$B$9,"Dir=V","Dts=S","Sort=A","Days=T","Fill=B")</f>
        <v/>
      </c>
      <c r="JP4" s="4">
        <f>BDH(JP$1,JQ$3:KE$3,$B$8,$B$9,"Dir=V","Dts=S","Sort=A","Days=T","Fill=B")</f>
        <v/>
      </c>
      <c r="KG4" s="4">
        <f>BDH(KG$1,KH$3:KV$3,$B$8,$B$9,"Dir=V","Dts=S","Sort=A","Days=T","Fill=B")</f>
        <v/>
      </c>
      <c r="KX4" s="4">
        <f>BDH(KX$1,KY$3:LM$3,$B$8,$B$9,"Dir=V","Dts=S","Sort=A","Days=T","Fill=B")</f>
        <v/>
      </c>
      <c r="LO4" s="4">
        <f>BDH(LO$1,LP$3:MD$3,$B$8,$B$9,"Dir=V","Dts=S","Sort=A","Days=T","Fill=B")</f>
        <v/>
      </c>
      <c r="MF4" s="4">
        <f>BDH(MF$1,MG$3:MU$3,$B$8,$B$9,"Dir=V","Dts=S","Sort=A","Days=T","Fill=B")</f>
        <v/>
      </c>
      <c r="MW4" s="4">
        <f>BDH(MW$1,MX$3:NL$3,$B$8,$B$9,"Dir=V","Dts=S","Sort=A","Days=T","Fill=B")</f>
        <v/>
      </c>
    </row>
    <row r="5">
      <c r="A5" s="2" t="inlineStr">
        <is>
          <t>Unadjusted close then</t>
        </is>
      </c>
      <c r="B5" s="10">
        <f>IF(B2="","",BDH(B2,"PX_LAST",B4,B4,"Days=A","Fill=P","Dts=H","CshAdjNormal=N","CshAdjAbnormal=N","CapChg=N"))</f>
        <v/>
      </c>
    </row>
    <row r="6">
      <c r="A6" s="2" t="inlineStr">
        <is>
          <t>Strike step</t>
        </is>
      </c>
      <c r="B6" s="11">
        <f>IF(ISNUMBER(B5),IF(B5&lt;25,0.5,IF(B5&lt;250,1,5)),"")</f>
        <v/>
      </c>
    </row>
    <row r="7">
      <c r="A7" s="2" t="inlineStr">
        <is>
          <t>ATM strike</t>
        </is>
      </c>
      <c r="B7" s="11">
        <f>IF(ISNUMBER(B5),ROUND(B5/B6,0)*B6,"")</f>
        <v/>
      </c>
    </row>
    <row r="8">
      <c r="A8" s="2" t="inlineStr">
        <is>
          <t>History start</t>
        </is>
      </c>
      <c r="B8" s="8">
        <f>B3-100</f>
        <v/>
      </c>
    </row>
    <row r="9">
      <c r="A9" s="2" t="inlineStr">
        <is>
          <t>History end</t>
        </is>
      </c>
      <c r="B9" s="8">
        <f>B3</f>
        <v/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NL9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2" customWidth="1" min="2" max="2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1" customWidth="1" min="15" max="15"/>
    <col width="11" customWidth="1" min="16" max="16"/>
    <col width="10" customWidth="1" min="17" max="17"/>
    <col width="11" customWidth="1" min="18" max="18"/>
    <col width="13" customWidth="1" min="19" max="19"/>
    <col width="12" customWidth="1" min="21" max="21"/>
    <col width="10" customWidth="1" min="22" max="22"/>
    <col width="10" customWidth="1" min="23" max="23"/>
    <col width="10" customWidth="1" min="24" max="24"/>
    <col width="10" customWidth="1" min="25" max="25"/>
    <col width="11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1" customWidth="1" min="32" max="32"/>
    <col width="11" customWidth="1" min="33" max="33"/>
    <col width="10" customWidth="1" min="34" max="34"/>
    <col width="11" customWidth="1" min="35" max="35"/>
    <col width="13" customWidth="1" min="36" max="36"/>
    <col width="12" customWidth="1" min="38" max="38"/>
    <col width="10" customWidth="1" min="39" max="39"/>
    <col width="10" customWidth="1" min="40" max="40"/>
    <col width="10" customWidth="1" min="41" max="41"/>
    <col width="10" customWidth="1" min="42" max="42"/>
    <col width="11" customWidth="1" min="43" max="43"/>
    <col width="11" customWidth="1" min="44" max="44"/>
    <col width="10" customWidth="1" min="45" max="45"/>
    <col width="10" customWidth="1" min="46" max="46"/>
    <col width="10" customWidth="1" min="47" max="47"/>
    <col width="10" customWidth="1" min="48" max="48"/>
    <col width="11" customWidth="1" min="49" max="49"/>
    <col width="11" customWidth="1" min="50" max="50"/>
    <col width="10" customWidth="1" min="51" max="51"/>
    <col width="11" customWidth="1" min="52" max="52"/>
    <col width="13" customWidth="1" min="53" max="53"/>
    <col width="12" customWidth="1" min="55" max="55"/>
    <col width="10" customWidth="1" min="56" max="56"/>
    <col width="10" customWidth="1" min="57" max="57"/>
    <col width="10" customWidth="1" min="58" max="58"/>
    <col width="10" customWidth="1" min="59" max="59"/>
    <col width="11" customWidth="1" min="60" max="60"/>
    <col width="11" customWidth="1" min="61" max="61"/>
    <col width="10" customWidth="1" min="62" max="62"/>
    <col width="10" customWidth="1" min="63" max="63"/>
    <col width="10" customWidth="1" min="64" max="64"/>
    <col width="10" customWidth="1" min="65" max="65"/>
    <col width="11" customWidth="1" min="66" max="66"/>
    <col width="11" customWidth="1" min="67" max="67"/>
    <col width="10" customWidth="1" min="68" max="68"/>
    <col width="11" customWidth="1" min="69" max="69"/>
    <col width="13" customWidth="1" min="70" max="70"/>
    <col width="12" customWidth="1" min="72" max="72"/>
    <col width="10" customWidth="1" min="73" max="73"/>
    <col width="10" customWidth="1" min="74" max="74"/>
    <col width="10" customWidth="1" min="75" max="75"/>
    <col width="10" customWidth="1" min="76" max="76"/>
    <col width="11" customWidth="1" min="77" max="77"/>
    <col width="11" customWidth="1" min="78" max="78"/>
    <col width="10" customWidth="1" min="79" max="79"/>
    <col width="10" customWidth="1" min="80" max="80"/>
    <col width="10" customWidth="1" min="81" max="81"/>
    <col width="10" customWidth="1" min="82" max="82"/>
    <col width="11" customWidth="1" min="83" max="83"/>
    <col width="11" customWidth="1" min="84" max="84"/>
    <col width="10" customWidth="1" min="85" max="85"/>
    <col width="11" customWidth="1" min="86" max="86"/>
    <col width="13" customWidth="1" min="87" max="87"/>
    <col width="12" customWidth="1" min="89" max="89"/>
    <col width="10" customWidth="1" min="90" max="90"/>
    <col width="10" customWidth="1" min="91" max="91"/>
    <col width="10" customWidth="1" min="92" max="92"/>
    <col width="10" customWidth="1" min="93" max="93"/>
    <col width="11" customWidth="1" min="94" max="94"/>
    <col width="11" customWidth="1" min="95" max="95"/>
    <col width="10" customWidth="1" min="96" max="96"/>
    <col width="10" customWidth="1" min="97" max="97"/>
    <col width="10" customWidth="1" min="98" max="98"/>
    <col width="10" customWidth="1" min="99" max="99"/>
    <col width="11" customWidth="1" min="100" max="100"/>
    <col width="11" customWidth="1" min="101" max="101"/>
    <col width="10" customWidth="1" min="102" max="102"/>
    <col width="11" customWidth="1" min="103" max="103"/>
    <col width="13" customWidth="1" min="104" max="104"/>
    <col width="12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1" customWidth="1" min="111" max="111"/>
    <col width="11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1" customWidth="1" min="117" max="117"/>
    <col width="11" customWidth="1" min="118" max="118"/>
    <col width="10" customWidth="1" min="119" max="119"/>
    <col width="11" customWidth="1" min="120" max="120"/>
    <col width="13" customWidth="1" min="121" max="121"/>
    <col width="12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1" customWidth="1" min="128" max="128"/>
    <col width="11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1" customWidth="1" min="134" max="134"/>
    <col width="11" customWidth="1" min="135" max="135"/>
    <col width="10" customWidth="1" min="136" max="136"/>
    <col width="11" customWidth="1" min="137" max="137"/>
    <col width="13" customWidth="1" min="138" max="138"/>
    <col width="12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1" customWidth="1" min="145" max="145"/>
    <col width="11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1" customWidth="1" min="151" max="151"/>
    <col width="11" customWidth="1" min="152" max="152"/>
    <col width="10" customWidth="1" min="153" max="153"/>
    <col width="11" customWidth="1" min="154" max="154"/>
    <col width="13" customWidth="1" min="155" max="155"/>
    <col width="12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1" customWidth="1" min="162" max="162"/>
    <col width="11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1" customWidth="1" min="168" max="168"/>
    <col width="11" customWidth="1" min="169" max="169"/>
    <col width="10" customWidth="1" min="170" max="170"/>
    <col width="11" customWidth="1" min="171" max="171"/>
    <col width="13" customWidth="1" min="172" max="172"/>
    <col width="12" customWidth="1" min="174" max="174"/>
    <col width="10" customWidth="1" min="175" max="175"/>
    <col width="10" customWidth="1" min="176" max="176"/>
    <col width="10" customWidth="1" min="177" max="177"/>
    <col width="10" customWidth="1" min="178" max="178"/>
    <col width="11" customWidth="1" min="179" max="179"/>
    <col width="11" customWidth="1" min="180" max="180"/>
    <col width="10" customWidth="1" min="181" max="181"/>
    <col width="10" customWidth="1" min="182" max="182"/>
    <col width="10" customWidth="1" min="183" max="183"/>
    <col width="10" customWidth="1" min="184" max="184"/>
    <col width="11" customWidth="1" min="185" max="185"/>
    <col width="11" customWidth="1" min="186" max="186"/>
    <col width="10" customWidth="1" min="187" max="187"/>
    <col width="11" customWidth="1" min="188" max="188"/>
    <col width="13" customWidth="1" min="189" max="189"/>
    <col width="12" customWidth="1" min="191" max="191"/>
    <col width="10" customWidth="1" min="192" max="192"/>
    <col width="10" customWidth="1" min="193" max="193"/>
    <col width="10" customWidth="1" min="194" max="194"/>
    <col width="10" customWidth="1" min="195" max="195"/>
    <col width="11" customWidth="1" min="196" max="196"/>
    <col width="11" customWidth="1" min="197" max="197"/>
    <col width="10" customWidth="1" min="198" max="198"/>
    <col width="10" customWidth="1" min="199" max="199"/>
    <col width="10" customWidth="1" min="200" max="200"/>
    <col width="10" customWidth="1" min="201" max="201"/>
    <col width="11" customWidth="1" min="202" max="202"/>
    <col width="11" customWidth="1" min="203" max="203"/>
    <col width="10" customWidth="1" min="204" max="204"/>
    <col width="11" customWidth="1" min="205" max="205"/>
    <col width="13" customWidth="1" min="206" max="206"/>
    <col width="12" customWidth="1" min="208" max="208"/>
    <col width="10" customWidth="1" min="209" max="209"/>
    <col width="10" customWidth="1" min="210" max="210"/>
    <col width="10" customWidth="1" min="211" max="211"/>
    <col width="10" customWidth="1" min="212" max="212"/>
    <col width="11" customWidth="1" min="213" max="213"/>
    <col width="11" customWidth="1" min="214" max="214"/>
    <col width="10" customWidth="1" min="215" max="215"/>
    <col width="10" customWidth="1" min="216" max="216"/>
    <col width="10" customWidth="1" min="217" max="217"/>
    <col width="10" customWidth="1" min="218" max="218"/>
    <col width="11" customWidth="1" min="219" max="219"/>
    <col width="11" customWidth="1" min="220" max="220"/>
    <col width="10" customWidth="1" min="221" max="221"/>
    <col width="11" customWidth="1" min="222" max="222"/>
    <col width="13" customWidth="1" min="223" max="223"/>
    <col width="12" customWidth="1" min="225" max="225"/>
    <col width="10" customWidth="1" min="226" max="226"/>
    <col width="10" customWidth="1" min="227" max="227"/>
    <col width="10" customWidth="1" min="228" max="228"/>
    <col width="10" customWidth="1" min="229" max="229"/>
    <col width="11" customWidth="1" min="230" max="230"/>
    <col width="11" customWidth="1" min="231" max="231"/>
    <col width="10" customWidth="1" min="232" max="232"/>
    <col width="10" customWidth="1" min="233" max="233"/>
    <col width="10" customWidth="1" min="234" max="234"/>
    <col width="10" customWidth="1" min="235" max="235"/>
    <col width="11" customWidth="1" min="236" max="236"/>
    <col width="11" customWidth="1" min="237" max="237"/>
    <col width="10" customWidth="1" min="238" max="238"/>
    <col width="11" customWidth="1" min="239" max="239"/>
    <col width="13" customWidth="1" min="240" max="240"/>
    <col width="12" customWidth="1" min="242" max="242"/>
    <col width="10" customWidth="1" min="243" max="243"/>
    <col width="10" customWidth="1" min="244" max="244"/>
    <col width="10" customWidth="1" min="245" max="245"/>
    <col width="10" customWidth="1" min="246" max="246"/>
    <col width="11" customWidth="1" min="247" max="247"/>
    <col width="11" customWidth="1" min="248" max="248"/>
    <col width="10" customWidth="1" min="249" max="249"/>
    <col width="10" customWidth="1" min="250" max="250"/>
    <col width="10" customWidth="1" min="251" max="251"/>
    <col width="10" customWidth="1" min="252" max="252"/>
    <col width="11" customWidth="1" min="253" max="253"/>
    <col width="11" customWidth="1" min="254" max="254"/>
    <col width="10" customWidth="1" min="255" max="255"/>
    <col width="11" customWidth="1" min="256" max="256"/>
    <col width="13" customWidth="1" min="257" max="257"/>
    <col width="12" customWidth="1" min="259" max="259"/>
    <col width="10" customWidth="1" min="260" max="260"/>
    <col width="10" customWidth="1" min="261" max="261"/>
    <col width="10" customWidth="1" min="262" max="262"/>
    <col width="10" customWidth="1" min="263" max="263"/>
    <col width="11" customWidth="1" min="264" max="264"/>
    <col width="11" customWidth="1" min="265" max="265"/>
    <col width="10" customWidth="1" min="266" max="266"/>
    <col width="10" customWidth="1" min="267" max="267"/>
    <col width="10" customWidth="1" min="268" max="268"/>
    <col width="10" customWidth="1" min="269" max="269"/>
    <col width="11" customWidth="1" min="270" max="270"/>
    <col width="11" customWidth="1" min="271" max="271"/>
    <col width="10" customWidth="1" min="272" max="272"/>
    <col width="11" customWidth="1" min="273" max="273"/>
    <col width="13" customWidth="1" min="274" max="274"/>
    <col width="12" customWidth="1" min="276" max="276"/>
    <col width="10" customWidth="1" min="277" max="277"/>
    <col width="10" customWidth="1" min="278" max="278"/>
    <col width="10" customWidth="1" min="279" max="279"/>
    <col width="10" customWidth="1" min="280" max="280"/>
    <col width="11" customWidth="1" min="281" max="281"/>
    <col width="11" customWidth="1" min="282" max="282"/>
    <col width="10" customWidth="1" min="283" max="283"/>
    <col width="10" customWidth="1" min="284" max="284"/>
    <col width="10" customWidth="1" min="285" max="285"/>
    <col width="10" customWidth="1" min="286" max="286"/>
    <col width="11" customWidth="1" min="287" max="287"/>
    <col width="11" customWidth="1" min="288" max="288"/>
    <col width="10" customWidth="1" min="289" max="289"/>
    <col width="11" customWidth="1" min="290" max="290"/>
    <col width="13" customWidth="1" min="291" max="291"/>
    <col width="12" customWidth="1" min="293" max="293"/>
    <col width="10" customWidth="1" min="294" max="294"/>
    <col width="10" customWidth="1" min="295" max="295"/>
    <col width="10" customWidth="1" min="296" max="296"/>
    <col width="10" customWidth="1" min="297" max="297"/>
    <col width="11" customWidth="1" min="298" max="298"/>
    <col width="11" customWidth="1" min="299" max="299"/>
    <col width="10" customWidth="1" min="300" max="300"/>
    <col width="10" customWidth="1" min="301" max="301"/>
    <col width="10" customWidth="1" min="302" max="302"/>
    <col width="10" customWidth="1" min="303" max="303"/>
    <col width="11" customWidth="1" min="304" max="304"/>
    <col width="11" customWidth="1" min="305" max="305"/>
    <col width="10" customWidth="1" min="306" max="306"/>
    <col width="11" customWidth="1" min="307" max="307"/>
    <col width="13" customWidth="1" min="308" max="308"/>
    <col width="12" customWidth="1" min="310" max="310"/>
    <col width="10" customWidth="1" min="311" max="311"/>
    <col width="10" customWidth="1" min="312" max="312"/>
    <col width="10" customWidth="1" min="313" max="313"/>
    <col width="10" customWidth="1" min="314" max="314"/>
    <col width="11" customWidth="1" min="315" max="315"/>
    <col width="11" customWidth="1" min="316" max="316"/>
    <col width="10" customWidth="1" min="317" max="317"/>
    <col width="10" customWidth="1" min="318" max="318"/>
    <col width="10" customWidth="1" min="319" max="319"/>
    <col width="10" customWidth="1" min="320" max="320"/>
    <col width="11" customWidth="1" min="321" max="321"/>
    <col width="11" customWidth="1" min="322" max="322"/>
    <col width="10" customWidth="1" min="323" max="323"/>
    <col width="11" customWidth="1" min="324" max="324"/>
    <col width="13" customWidth="1" min="325" max="325"/>
    <col width="12" customWidth="1" min="327" max="327"/>
    <col width="10" customWidth="1" min="328" max="328"/>
    <col width="10" customWidth="1" min="329" max="329"/>
    <col width="10" customWidth="1" min="330" max="330"/>
    <col width="10" customWidth="1" min="331" max="331"/>
    <col width="11" customWidth="1" min="332" max="332"/>
    <col width="11" customWidth="1" min="333" max="333"/>
    <col width="10" customWidth="1" min="334" max="334"/>
    <col width="10" customWidth="1" min="335" max="335"/>
    <col width="10" customWidth="1" min="336" max="336"/>
    <col width="10" customWidth="1" min="337" max="337"/>
    <col width="11" customWidth="1" min="338" max="338"/>
    <col width="11" customWidth="1" min="339" max="339"/>
    <col width="10" customWidth="1" min="340" max="340"/>
    <col width="11" customWidth="1" min="341" max="341"/>
    <col width="13" customWidth="1" min="342" max="342"/>
    <col width="12" customWidth="1" min="344" max="344"/>
    <col width="10" customWidth="1" min="345" max="345"/>
    <col width="10" customWidth="1" min="346" max="346"/>
    <col width="10" customWidth="1" min="347" max="347"/>
    <col width="10" customWidth="1" min="348" max="348"/>
    <col width="11" customWidth="1" min="349" max="349"/>
    <col width="11" customWidth="1" min="350" max="350"/>
    <col width="10" customWidth="1" min="351" max="351"/>
    <col width="10" customWidth="1" min="352" max="352"/>
    <col width="10" customWidth="1" min="353" max="353"/>
    <col width="10" customWidth="1" min="354" max="354"/>
    <col width="11" customWidth="1" min="355" max="355"/>
    <col width="11" customWidth="1" min="356" max="356"/>
    <col width="10" customWidth="1" min="357" max="357"/>
    <col width="11" customWidth="1" min="358" max="358"/>
    <col width="13" customWidth="1" min="359" max="359"/>
    <col width="12" customWidth="1" min="361" max="361"/>
    <col width="10" customWidth="1" min="362" max="362"/>
    <col width="10" customWidth="1" min="363" max="363"/>
    <col width="10" customWidth="1" min="364" max="364"/>
    <col width="10" customWidth="1" min="365" max="365"/>
    <col width="11" customWidth="1" min="366" max="366"/>
    <col width="11" customWidth="1" min="367" max="367"/>
    <col width="10" customWidth="1" min="368" max="368"/>
    <col width="10" customWidth="1" min="369" max="369"/>
    <col width="10" customWidth="1" min="370" max="370"/>
    <col width="10" customWidth="1" min="371" max="371"/>
    <col width="11" customWidth="1" min="372" max="372"/>
    <col width="11" customWidth="1" min="373" max="373"/>
    <col width="10" customWidth="1" min="374" max="374"/>
    <col width="11" customWidth="1" min="375" max="375"/>
    <col width="13" customWidth="1" min="376" max="376"/>
  </cols>
  <sheetData>
    <row r="1">
      <c r="A1" s="2" t="inlineStr">
        <is>
          <t>Month</t>
        </is>
      </c>
      <c r="B1" s="9" t="n">
        <v>6</v>
      </c>
      <c r="D1" s="2">
        <f>IF(ISNUMBER(B$7),"OXY US "&amp;TEXT(B$3,"mm/dd/yy")&amp;" C"&amp;(B$7-5*B$6)&amp;" Equity","")</f>
        <v/>
      </c>
      <c r="U1" s="2">
        <f>IF(ISNUMBER(B$7),"OXY US "&amp;TEXT(B$3,"mm/dd/yy")&amp;" P"&amp;(B$7-5*B$6)&amp;" Equity","")</f>
        <v/>
      </c>
      <c r="AL1" s="2">
        <f>IF(ISNUMBER(B$7),"OXY US "&amp;TEXT(B$3,"mm/dd/yy")&amp;" C"&amp;(B$7-4*B$6)&amp;" Equity","")</f>
        <v/>
      </c>
      <c r="BC1" s="2">
        <f>IF(ISNUMBER(B$7),"OXY US "&amp;TEXT(B$3,"mm/dd/yy")&amp;" P"&amp;(B$7-4*B$6)&amp;" Equity","")</f>
        <v/>
      </c>
      <c r="BT1" s="2">
        <f>IF(ISNUMBER(B$7),"OXY US "&amp;TEXT(B$3,"mm/dd/yy")&amp;" C"&amp;(B$7-3*B$6)&amp;" Equity","")</f>
        <v/>
      </c>
      <c r="CK1" s="2">
        <f>IF(ISNUMBER(B$7),"OXY US "&amp;TEXT(B$3,"mm/dd/yy")&amp;" P"&amp;(B$7-3*B$6)&amp;" Equity","")</f>
        <v/>
      </c>
      <c r="DB1" s="2">
        <f>IF(ISNUMBER(B$7),"OXY US "&amp;TEXT(B$3,"mm/dd/yy")&amp;" C"&amp;(B$7-2*B$6)&amp;" Equity","")</f>
        <v/>
      </c>
      <c r="DS1" s="2">
        <f>IF(ISNUMBER(B$7),"OXY US "&amp;TEXT(B$3,"mm/dd/yy")&amp;" P"&amp;(B$7-2*B$6)&amp;" Equity","")</f>
        <v/>
      </c>
      <c r="EJ1" s="2">
        <f>IF(ISNUMBER(B$7),"OXY US "&amp;TEXT(B$3,"mm/dd/yy")&amp;" C"&amp;(B$7-1*B$6)&amp;" Equity","")</f>
        <v/>
      </c>
      <c r="FA1" s="2">
        <f>IF(ISNUMBER(B$7),"OXY US "&amp;TEXT(B$3,"mm/dd/yy")&amp;" P"&amp;(B$7-1*B$6)&amp;" Equity","")</f>
        <v/>
      </c>
      <c r="FR1" s="2">
        <f>IF(ISNUMBER(B$7),"OXY US "&amp;TEXT(B$3,"mm/dd/yy")&amp;" C"&amp;B$7&amp;" Equity","")</f>
        <v/>
      </c>
      <c r="GI1" s="2">
        <f>IF(ISNUMBER(B$7),"OXY US "&amp;TEXT(B$3,"mm/dd/yy")&amp;" P"&amp;B$7&amp;" Equity","")</f>
        <v/>
      </c>
      <c r="GZ1" s="2">
        <f>IF(ISNUMBER(B$7),"OXY US "&amp;TEXT(B$3,"mm/dd/yy")&amp;" C"&amp;(B$7+1*B$6)&amp;" Equity","")</f>
        <v/>
      </c>
      <c r="HQ1" s="2">
        <f>IF(ISNUMBER(B$7),"OXY US "&amp;TEXT(B$3,"mm/dd/yy")&amp;" P"&amp;(B$7+1*B$6)&amp;" Equity","")</f>
        <v/>
      </c>
      <c r="IH1" s="2">
        <f>IF(ISNUMBER(B$7),"OXY US "&amp;TEXT(B$3,"mm/dd/yy")&amp;" C"&amp;(B$7+2*B$6)&amp;" Equity","")</f>
        <v/>
      </c>
      <c r="IY1" s="2">
        <f>IF(ISNUMBER(B$7),"OXY US "&amp;TEXT(B$3,"mm/dd/yy")&amp;" P"&amp;(B$7+2*B$6)&amp;" Equity","")</f>
        <v/>
      </c>
      <c r="JP1" s="2">
        <f>IF(ISNUMBER(B$7),"OXY US "&amp;TEXT(B$3,"mm/dd/yy")&amp;" C"&amp;(B$7+3*B$6)&amp;" Equity","")</f>
        <v/>
      </c>
      <c r="KG1" s="2">
        <f>IF(ISNUMBER(B$7),"OXY US "&amp;TEXT(B$3,"mm/dd/yy")&amp;" P"&amp;(B$7+3*B$6)&amp;" Equity","")</f>
        <v/>
      </c>
      <c r="KX1" s="2">
        <f>IF(ISNUMBER(B$7),"OXY US "&amp;TEXT(B$3,"mm/dd/yy")&amp;" C"&amp;(B$7+4*B$6)&amp;" Equity","")</f>
        <v/>
      </c>
      <c r="LO1" s="2">
        <f>IF(ISNUMBER(B$7),"OXY US "&amp;TEXT(B$3,"mm/dd/yy")&amp;" P"&amp;(B$7+4*B$6)&amp;" Equity","")</f>
        <v/>
      </c>
      <c r="MF1" s="2">
        <f>IF(ISNUMBER(B$7),"OXY US "&amp;TEXT(B$3,"mm/dd/yy")&amp;" C"&amp;(B$7+5*B$6)&amp;" Equity","")</f>
        <v/>
      </c>
      <c r="MW1" s="2">
        <f>IF(ISNUMBER(B$7),"OXY US "&amp;TEXT(B$3,"mm/dd/yy")&amp;" P"&amp;(B$7+5*B$6)&amp;" Equity","")</f>
        <v/>
      </c>
    </row>
    <row r="2">
      <c r="A2" s="2" t="inlineStr">
        <is>
          <t>Underlying</t>
        </is>
      </c>
      <c r="B2" s="4">
        <f>IF(Settings!$B$18="Y","OXY US Equity","")</f>
        <v/>
      </c>
      <c r="D2" s="4" t="inlineStr">
        <is>
          <t>call -5 from ATM</t>
        </is>
      </c>
      <c r="U2" s="4" t="inlineStr">
        <is>
          <t>put -5 from ATM</t>
        </is>
      </c>
      <c r="AL2" s="4" t="inlineStr">
        <is>
          <t>call -4 from ATM</t>
        </is>
      </c>
      <c r="BC2" s="4" t="inlineStr">
        <is>
          <t>put -4 from ATM</t>
        </is>
      </c>
      <c r="BT2" s="4" t="inlineStr">
        <is>
          <t>call -3 from ATM</t>
        </is>
      </c>
      <c r="CK2" s="4" t="inlineStr">
        <is>
          <t>put -3 from ATM</t>
        </is>
      </c>
      <c r="DB2" s="4" t="inlineStr">
        <is>
          <t>call -2 from ATM</t>
        </is>
      </c>
      <c r="DS2" s="4" t="inlineStr">
        <is>
          <t>put -2 from ATM</t>
        </is>
      </c>
      <c r="EJ2" s="4" t="inlineStr">
        <is>
          <t>call -1 from ATM</t>
        </is>
      </c>
      <c r="FA2" s="4" t="inlineStr">
        <is>
          <t>put -1 from ATM</t>
        </is>
      </c>
      <c r="FR2" s="4" t="inlineStr">
        <is>
          <t>call +0 from ATM</t>
        </is>
      </c>
      <c r="GI2" s="4" t="inlineStr">
        <is>
          <t>put +0 from ATM</t>
        </is>
      </c>
      <c r="GZ2" s="4" t="inlineStr">
        <is>
          <t>call +1 from ATM</t>
        </is>
      </c>
      <c r="HQ2" s="4" t="inlineStr">
        <is>
          <t>put +1 from ATM</t>
        </is>
      </c>
      <c r="IH2" s="4" t="inlineStr">
        <is>
          <t>call +2 from ATM</t>
        </is>
      </c>
      <c r="IY2" s="4" t="inlineStr">
        <is>
          <t>put +2 from ATM</t>
        </is>
      </c>
      <c r="JP2" s="4" t="inlineStr">
        <is>
          <t>call +3 from ATM</t>
        </is>
      </c>
      <c r="KG2" s="4" t="inlineStr">
        <is>
          <t>put +3 from ATM</t>
        </is>
      </c>
      <c r="KX2" s="4" t="inlineStr">
        <is>
          <t>call +4 from ATM</t>
        </is>
      </c>
      <c r="LO2" s="4" t="inlineStr">
        <is>
          <t>put +4 from ATM</t>
        </is>
      </c>
      <c r="MF2" s="4" t="inlineStr">
        <is>
          <t>call +5 from ATM</t>
        </is>
      </c>
      <c r="MW2" s="4" t="inlineStr">
        <is>
          <t>put +5 from ATM</t>
        </is>
      </c>
    </row>
    <row r="3">
      <c r="A3" s="2" t="inlineStr">
        <is>
          <t>Expiry (3rd Friday)</t>
        </is>
      </c>
      <c r="B3" s="3">
        <f>DATE(Settings!$E$18,B1,15)+MOD(6-WEEKDAY(DATE(Settings!$E$18,B1,15)),7)</f>
        <v/>
      </c>
      <c r="D3" s="5" t="inlineStr">
        <is>
          <t>Date</t>
        </is>
      </c>
      <c r="E3" s="5" t="inlineStr">
        <is>
          <t>PX_BID</t>
        </is>
      </c>
      <c r="F3" s="5" t="inlineStr">
        <is>
          <t>PX_ASK</t>
        </is>
      </c>
      <c r="G3" s="5" t="inlineStr">
        <is>
          <t>PX_MID</t>
        </is>
      </c>
      <c r="H3" s="5" t="inlineStr">
        <is>
          <t>PX_LAST</t>
        </is>
      </c>
      <c r="I3" s="5" t="inlineStr">
        <is>
          <t>PX_SETTLE</t>
        </is>
      </c>
      <c r="J3" s="5" t="inlineStr">
        <is>
          <t>PX_VOLUME</t>
        </is>
      </c>
      <c r="K3" s="5" t="inlineStr">
        <is>
          <t>OPEN_INT</t>
        </is>
      </c>
      <c r="L3" s="5" t="inlineStr">
        <is>
          <t>IVOL_MID</t>
        </is>
      </c>
      <c r="M3" s="5" t="inlineStr">
        <is>
          <t>IVOL_BID</t>
        </is>
      </c>
      <c r="N3" s="5" t="inlineStr">
        <is>
          <t>IVOL_ASK</t>
        </is>
      </c>
      <c r="O3" s="5" t="inlineStr">
        <is>
          <t>DELTA_MID</t>
        </is>
      </c>
      <c r="P3" s="5" t="inlineStr">
        <is>
          <t>GAMMA_MID</t>
        </is>
      </c>
      <c r="Q3" s="5" t="inlineStr">
        <is>
          <t>VEGA_MID</t>
        </is>
      </c>
      <c r="R3" s="5" t="inlineStr">
        <is>
          <t>THETA_MID</t>
        </is>
      </c>
      <c r="S3" s="5" t="inlineStr">
        <is>
          <t>OPT_UNDL_PX</t>
        </is>
      </c>
      <c r="U3" s="5" t="inlineStr">
        <is>
          <t>Date</t>
        </is>
      </c>
      <c r="V3" s="5" t="inlineStr">
        <is>
          <t>PX_BID</t>
        </is>
      </c>
      <c r="W3" s="5" t="inlineStr">
        <is>
          <t>PX_ASK</t>
        </is>
      </c>
      <c r="X3" s="5" t="inlineStr">
        <is>
          <t>PX_MID</t>
        </is>
      </c>
      <c r="Y3" s="5" t="inlineStr">
        <is>
          <t>PX_LAST</t>
        </is>
      </c>
      <c r="Z3" s="5" t="inlineStr">
        <is>
          <t>PX_SETTLE</t>
        </is>
      </c>
      <c r="AA3" s="5" t="inlineStr">
        <is>
          <t>PX_VOLUME</t>
        </is>
      </c>
      <c r="AB3" s="5" t="inlineStr">
        <is>
          <t>OPEN_INT</t>
        </is>
      </c>
      <c r="AC3" s="5" t="inlineStr">
        <is>
          <t>IVOL_MID</t>
        </is>
      </c>
      <c r="AD3" s="5" t="inlineStr">
        <is>
          <t>IVOL_BID</t>
        </is>
      </c>
      <c r="AE3" s="5" t="inlineStr">
        <is>
          <t>IVOL_ASK</t>
        </is>
      </c>
      <c r="AF3" s="5" t="inlineStr">
        <is>
          <t>DELTA_MID</t>
        </is>
      </c>
      <c r="AG3" s="5" t="inlineStr">
        <is>
          <t>GAMMA_MID</t>
        </is>
      </c>
      <c r="AH3" s="5" t="inlineStr">
        <is>
          <t>VEGA_MID</t>
        </is>
      </c>
      <c r="AI3" s="5" t="inlineStr">
        <is>
          <t>THETA_MID</t>
        </is>
      </c>
      <c r="AJ3" s="5" t="inlineStr">
        <is>
          <t>OPT_UNDL_PX</t>
        </is>
      </c>
      <c r="AL3" s="5" t="inlineStr">
        <is>
          <t>Date</t>
        </is>
      </c>
      <c r="AM3" s="5" t="inlineStr">
        <is>
          <t>PX_BID</t>
        </is>
      </c>
      <c r="AN3" s="5" t="inlineStr">
        <is>
          <t>PX_ASK</t>
        </is>
      </c>
      <c r="AO3" s="5" t="inlineStr">
        <is>
          <t>PX_MID</t>
        </is>
      </c>
      <c r="AP3" s="5" t="inlineStr">
        <is>
          <t>PX_LAST</t>
        </is>
      </c>
      <c r="AQ3" s="5" t="inlineStr">
        <is>
          <t>PX_SETTLE</t>
        </is>
      </c>
      <c r="AR3" s="5" t="inlineStr">
        <is>
          <t>PX_VOLUME</t>
        </is>
      </c>
      <c r="AS3" s="5" t="inlineStr">
        <is>
          <t>OPEN_INT</t>
        </is>
      </c>
      <c r="AT3" s="5" t="inlineStr">
        <is>
          <t>IVOL_MID</t>
        </is>
      </c>
      <c r="AU3" s="5" t="inlineStr">
        <is>
          <t>IVOL_BID</t>
        </is>
      </c>
      <c r="AV3" s="5" t="inlineStr">
        <is>
          <t>IVOL_ASK</t>
        </is>
      </c>
      <c r="AW3" s="5" t="inlineStr">
        <is>
          <t>DELTA_MID</t>
        </is>
      </c>
      <c r="AX3" s="5" t="inlineStr">
        <is>
          <t>GAMMA_MID</t>
        </is>
      </c>
      <c r="AY3" s="5" t="inlineStr">
        <is>
          <t>VEGA_MID</t>
        </is>
      </c>
      <c r="AZ3" s="5" t="inlineStr">
        <is>
          <t>THETA_MID</t>
        </is>
      </c>
      <c r="BA3" s="5" t="inlineStr">
        <is>
          <t>OPT_UNDL_PX</t>
        </is>
      </c>
      <c r="BC3" s="5" t="inlineStr">
        <is>
          <t>Date</t>
        </is>
      </c>
      <c r="BD3" s="5" t="inlineStr">
        <is>
          <t>PX_BID</t>
        </is>
      </c>
      <c r="BE3" s="5" t="inlineStr">
        <is>
          <t>PX_ASK</t>
        </is>
      </c>
      <c r="BF3" s="5" t="inlineStr">
        <is>
          <t>PX_MID</t>
        </is>
      </c>
      <c r="BG3" s="5" t="inlineStr">
        <is>
          <t>PX_LAST</t>
        </is>
      </c>
      <c r="BH3" s="5" t="inlineStr">
        <is>
          <t>PX_SETTLE</t>
        </is>
      </c>
      <c r="BI3" s="5" t="inlineStr">
        <is>
          <t>PX_VOLUME</t>
        </is>
      </c>
      <c r="BJ3" s="5" t="inlineStr">
        <is>
          <t>OPEN_INT</t>
        </is>
      </c>
      <c r="BK3" s="5" t="inlineStr">
        <is>
          <t>IVOL_MID</t>
        </is>
      </c>
      <c r="BL3" s="5" t="inlineStr">
        <is>
          <t>IVOL_BID</t>
        </is>
      </c>
      <c r="BM3" s="5" t="inlineStr">
        <is>
          <t>IVOL_ASK</t>
        </is>
      </c>
      <c r="BN3" s="5" t="inlineStr">
        <is>
          <t>DELTA_MID</t>
        </is>
      </c>
      <c r="BO3" s="5" t="inlineStr">
        <is>
          <t>GAMMA_MID</t>
        </is>
      </c>
      <c r="BP3" s="5" t="inlineStr">
        <is>
          <t>VEGA_MID</t>
        </is>
      </c>
      <c r="BQ3" s="5" t="inlineStr">
        <is>
          <t>THETA_MID</t>
        </is>
      </c>
      <c r="BR3" s="5" t="inlineStr">
        <is>
          <t>OPT_UNDL_PX</t>
        </is>
      </c>
      <c r="BT3" s="5" t="inlineStr">
        <is>
          <t>Date</t>
        </is>
      </c>
      <c r="BU3" s="5" t="inlineStr">
        <is>
          <t>PX_BID</t>
        </is>
      </c>
      <c r="BV3" s="5" t="inlineStr">
        <is>
          <t>PX_ASK</t>
        </is>
      </c>
      <c r="BW3" s="5" t="inlineStr">
        <is>
          <t>PX_MID</t>
        </is>
      </c>
      <c r="BX3" s="5" t="inlineStr">
        <is>
          <t>PX_LAST</t>
        </is>
      </c>
      <c r="BY3" s="5" t="inlineStr">
        <is>
          <t>PX_SETTLE</t>
        </is>
      </c>
      <c r="BZ3" s="5" t="inlineStr">
        <is>
          <t>PX_VOLUME</t>
        </is>
      </c>
      <c r="CA3" s="5" t="inlineStr">
        <is>
          <t>OPEN_INT</t>
        </is>
      </c>
      <c r="CB3" s="5" t="inlineStr">
        <is>
          <t>IVOL_MID</t>
        </is>
      </c>
      <c r="CC3" s="5" t="inlineStr">
        <is>
          <t>IVOL_BID</t>
        </is>
      </c>
      <c r="CD3" s="5" t="inlineStr">
        <is>
          <t>IVOL_ASK</t>
        </is>
      </c>
      <c r="CE3" s="5" t="inlineStr">
        <is>
          <t>DELTA_MID</t>
        </is>
      </c>
      <c r="CF3" s="5" t="inlineStr">
        <is>
          <t>GAMMA_MID</t>
        </is>
      </c>
      <c r="CG3" s="5" t="inlineStr">
        <is>
          <t>VEGA_MID</t>
        </is>
      </c>
      <c r="CH3" s="5" t="inlineStr">
        <is>
          <t>THETA_MID</t>
        </is>
      </c>
      <c r="CI3" s="5" t="inlineStr">
        <is>
          <t>OPT_UNDL_PX</t>
        </is>
      </c>
      <c r="CK3" s="5" t="inlineStr">
        <is>
          <t>Date</t>
        </is>
      </c>
      <c r="CL3" s="5" t="inlineStr">
        <is>
          <t>PX_BID</t>
        </is>
      </c>
      <c r="CM3" s="5" t="inlineStr">
        <is>
          <t>PX_ASK</t>
        </is>
      </c>
      <c r="CN3" s="5" t="inlineStr">
        <is>
          <t>PX_MID</t>
        </is>
      </c>
      <c r="CO3" s="5" t="inlineStr">
        <is>
          <t>PX_LAST</t>
        </is>
      </c>
      <c r="CP3" s="5" t="inlineStr">
        <is>
          <t>PX_SETTLE</t>
        </is>
      </c>
      <c r="CQ3" s="5" t="inlineStr">
        <is>
          <t>PX_VOLUME</t>
        </is>
      </c>
      <c r="CR3" s="5" t="inlineStr">
        <is>
          <t>OPEN_INT</t>
        </is>
      </c>
      <c r="CS3" s="5" t="inlineStr">
        <is>
          <t>IVOL_MID</t>
        </is>
      </c>
      <c r="CT3" s="5" t="inlineStr">
        <is>
          <t>IVOL_BID</t>
        </is>
      </c>
      <c r="CU3" s="5" t="inlineStr">
        <is>
          <t>IVOL_ASK</t>
        </is>
      </c>
      <c r="CV3" s="5" t="inlineStr">
        <is>
          <t>DELTA_MID</t>
        </is>
      </c>
      <c r="CW3" s="5" t="inlineStr">
        <is>
          <t>GAMMA_MID</t>
        </is>
      </c>
      <c r="CX3" s="5" t="inlineStr">
        <is>
          <t>VEGA_MID</t>
        </is>
      </c>
      <c r="CY3" s="5" t="inlineStr">
        <is>
          <t>THETA_MID</t>
        </is>
      </c>
      <c r="CZ3" s="5" t="inlineStr">
        <is>
          <t>OPT_UNDL_PX</t>
        </is>
      </c>
      <c r="DB3" s="5" t="inlineStr">
        <is>
          <t>Date</t>
        </is>
      </c>
      <c r="DC3" s="5" t="inlineStr">
        <is>
          <t>PX_BID</t>
        </is>
      </c>
      <c r="DD3" s="5" t="inlineStr">
        <is>
          <t>PX_ASK</t>
        </is>
      </c>
      <c r="DE3" s="5" t="inlineStr">
        <is>
          <t>PX_MID</t>
        </is>
      </c>
      <c r="DF3" s="5" t="inlineStr">
        <is>
          <t>PX_LAST</t>
        </is>
      </c>
      <c r="DG3" s="5" t="inlineStr">
        <is>
          <t>PX_SETTLE</t>
        </is>
      </c>
      <c r="DH3" s="5" t="inlineStr">
        <is>
          <t>PX_VOLUME</t>
        </is>
      </c>
      <c r="DI3" s="5" t="inlineStr">
        <is>
          <t>OPEN_INT</t>
        </is>
      </c>
      <c r="DJ3" s="5" t="inlineStr">
        <is>
          <t>IVOL_MID</t>
        </is>
      </c>
      <c r="DK3" s="5" t="inlineStr">
        <is>
          <t>IVOL_BID</t>
        </is>
      </c>
      <c r="DL3" s="5" t="inlineStr">
        <is>
          <t>IVOL_ASK</t>
        </is>
      </c>
      <c r="DM3" s="5" t="inlineStr">
        <is>
          <t>DELTA_MID</t>
        </is>
      </c>
      <c r="DN3" s="5" t="inlineStr">
        <is>
          <t>GAMMA_MID</t>
        </is>
      </c>
      <c r="DO3" s="5" t="inlineStr">
        <is>
          <t>VEGA_MID</t>
        </is>
      </c>
      <c r="DP3" s="5" t="inlineStr">
        <is>
          <t>THETA_MID</t>
        </is>
      </c>
      <c r="DQ3" s="5" t="inlineStr">
        <is>
          <t>OPT_UNDL_PX</t>
        </is>
      </c>
      <c r="DS3" s="5" t="inlineStr">
        <is>
          <t>Date</t>
        </is>
      </c>
      <c r="DT3" s="5" t="inlineStr">
        <is>
          <t>PX_BID</t>
        </is>
      </c>
      <c r="DU3" s="5" t="inlineStr">
        <is>
          <t>PX_ASK</t>
        </is>
      </c>
      <c r="DV3" s="5" t="inlineStr">
        <is>
          <t>PX_MID</t>
        </is>
      </c>
      <c r="DW3" s="5" t="inlineStr">
        <is>
          <t>PX_LAST</t>
        </is>
      </c>
      <c r="DX3" s="5" t="inlineStr">
        <is>
          <t>PX_SETTLE</t>
        </is>
      </c>
      <c r="DY3" s="5" t="inlineStr">
        <is>
          <t>PX_VOLUME</t>
        </is>
      </c>
      <c r="DZ3" s="5" t="inlineStr">
        <is>
          <t>OPEN_INT</t>
        </is>
      </c>
      <c r="EA3" s="5" t="inlineStr">
        <is>
          <t>IVOL_MID</t>
        </is>
      </c>
      <c r="EB3" s="5" t="inlineStr">
        <is>
          <t>IVOL_BID</t>
        </is>
      </c>
      <c r="EC3" s="5" t="inlineStr">
        <is>
          <t>IVOL_ASK</t>
        </is>
      </c>
      <c r="ED3" s="5" t="inlineStr">
        <is>
          <t>DELTA_MID</t>
        </is>
      </c>
      <c r="EE3" s="5" t="inlineStr">
        <is>
          <t>GAMMA_MID</t>
        </is>
      </c>
      <c r="EF3" s="5" t="inlineStr">
        <is>
          <t>VEGA_MID</t>
        </is>
      </c>
      <c r="EG3" s="5" t="inlineStr">
        <is>
          <t>THETA_MID</t>
        </is>
      </c>
      <c r="EH3" s="5" t="inlineStr">
        <is>
          <t>OPT_UNDL_PX</t>
        </is>
      </c>
      <c r="EJ3" s="5" t="inlineStr">
        <is>
          <t>Date</t>
        </is>
      </c>
      <c r="EK3" s="5" t="inlineStr">
        <is>
          <t>PX_BID</t>
        </is>
      </c>
      <c r="EL3" s="5" t="inlineStr">
        <is>
          <t>PX_ASK</t>
        </is>
      </c>
      <c r="EM3" s="5" t="inlineStr">
        <is>
          <t>PX_MID</t>
        </is>
      </c>
      <c r="EN3" s="5" t="inlineStr">
        <is>
          <t>PX_LAST</t>
        </is>
      </c>
      <c r="EO3" s="5" t="inlineStr">
        <is>
          <t>PX_SETTLE</t>
        </is>
      </c>
      <c r="EP3" s="5" t="inlineStr">
        <is>
          <t>PX_VOLUME</t>
        </is>
      </c>
      <c r="EQ3" s="5" t="inlineStr">
        <is>
          <t>OPEN_INT</t>
        </is>
      </c>
      <c r="ER3" s="5" t="inlineStr">
        <is>
          <t>IVOL_MID</t>
        </is>
      </c>
      <c r="ES3" s="5" t="inlineStr">
        <is>
          <t>IVOL_BID</t>
        </is>
      </c>
      <c r="ET3" s="5" t="inlineStr">
        <is>
          <t>IVOL_ASK</t>
        </is>
      </c>
      <c r="EU3" s="5" t="inlineStr">
        <is>
          <t>DELTA_MID</t>
        </is>
      </c>
      <c r="EV3" s="5" t="inlineStr">
        <is>
          <t>GAMMA_MID</t>
        </is>
      </c>
      <c r="EW3" s="5" t="inlineStr">
        <is>
          <t>VEGA_MID</t>
        </is>
      </c>
      <c r="EX3" s="5" t="inlineStr">
        <is>
          <t>THETA_MID</t>
        </is>
      </c>
      <c r="EY3" s="5" t="inlineStr">
        <is>
          <t>OPT_UNDL_PX</t>
        </is>
      </c>
      <c r="FA3" s="5" t="inlineStr">
        <is>
          <t>Date</t>
        </is>
      </c>
      <c r="FB3" s="5" t="inlineStr">
        <is>
          <t>PX_BID</t>
        </is>
      </c>
      <c r="FC3" s="5" t="inlineStr">
        <is>
          <t>PX_ASK</t>
        </is>
      </c>
      <c r="FD3" s="5" t="inlineStr">
        <is>
          <t>PX_MID</t>
        </is>
      </c>
      <c r="FE3" s="5" t="inlineStr">
        <is>
          <t>PX_LAST</t>
        </is>
      </c>
      <c r="FF3" s="5" t="inlineStr">
        <is>
          <t>PX_SETTLE</t>
        </is>
      </c>
      <c r="FG3" s="5" t="inlineStr">
        <is>
          <t>PX_VOLUME</t>
        </is>
      </c>
      <c r="FH3" s="5" t="inlineStr">
        <is>
          <t>OPEN_INT</t>
        </is>
      </c>
      <c r="FI3" s="5" t="inlineStr">
        <is>
          <t>IVOL_MID</t>
        </is>
      </c>
      <c r="FJ3" s="5" t="inlineStr">
        <is>
          <t>IVOL_BID</t>
        </is>
      </c>
      <c r="FK3" s="5" t="inlineStr">
        <is>
          <t>IVOL_ASK</t>
        </is>
      </c>
      <c r="FL3" s="5" t="inlineStr">
        <is>
          <t>DELTA_MID</t>
        </is>
      </c>
      <c r="FM3" s="5" t="inlineStr">
        <is>
          <t>GAMMA_MID</t>
        </is>
      </c>
      <c r="FN3" s="5" t="inlineStr">
        <is>
          <t>VEGA_MID</t>
        </is>
      </c>
      <c r="FO3" s="5" t="inlineStr">
        <is>
          <t>THETA_MID</t>
        </is>
      </c>
      <c r="FP3" s="5" t="inlineStr">
        <is>
          <t>OPT_UNDL_PX</t>
        </is>
      </c>
      <c r="FR3" s="5" t="inlineStr">
        <is>
          <t>Date</t>
        </is>
      </c>
      <c r="FS3" s="5" t="inlineStr">
        <is>
          <t>PX_BID</t>
        </is>
      </c>
      <c r="FT3" s="5" t="inlineStr">
        <is>
          <t>PX_ASK</t>
        </is>
      </c>
      <c r="FU3" s="5" t="inlineStr">
        <is>
          <t>PX_MID</t>
        </is>
      </c>
      <c r="FV3" s="5" t="inlineStr">
        <is>
          <t>PX_LAST</t>
        </is>
      </c>
      <c r="FW3" s="5" t="inlineStr">
        <is>
          <t>PX_SETTLE</t>
        </is>
      </c>
      <c r="FX3" s="5" t="inlineStr">
        <is>
          <t>PX_VOLUME</t>
        </is>
      </c>
      <c r="FY3" s="5" t="inlineStr">
        <is>
          <t>OPEN_INT</t>
        </is>
      </c>
      <c r="FZ3" s="5" t="inlineStr">
        <is>
          <t>IVOL_MID</t>
        </is>
      </c>
      <c r="GA3" s="5" t="inlineStr">
        <is>
          <t>IVOL_BID</t>
        </is>
      </c>
      <c r="GB3" s="5" t="inlineStr">
        <is>
          <t>IVOL_ASK</t>
        </is>
      </c>
      <c r="GC3" s="5" t="inlineStr">
        <is>
          <t>DELTA_MID</t>
        </is>
      </c>
      <c r="GD3" s="5" t="inlineStr">
        <is>
          <t>GAMMA_MID</t>
        </is>
      </c>
      <c r="GE3" s="5" t="inlineStr">
        <is>
          <t>VEGA_MID</t>
        </is>
      </c>
      <c r="GF3" s="5" t="inlineStr">
        <is>
          <t>THETA_MID</t>
        </is>
      </c>
      <c r="GG3" s="5" t="inlineStr">
        <is>
          <t>OPT_UNDL_PX</t>
        </is>
      </c>
      <c r="GI3" s="5" t="inlineStr">
        <is>
          <t>Date</t>
        </is>
      </c>
      <c r="GJ3" s="5" t="inlineStr">
        <is>
          <t>PX_BID</t>
        </is>
      </c>
      <c r="GK3" s="5" t="inlineStr">
        <is>
          <t>PX_ASK</t>
        </is>
      </c>
      <c r="GL3" s="5" t="inlineStr">
        <is>
          <t>PX_MID</t>
        </is>
      </c>
      <c r="GM3" s="5" t="inlineStr">
        <is>
          <t>PX_LAST</t>
        </is>
      </c>
      <c r="GN3" s="5" t="inlineStr">
        <is>
          <t>PX_SETTLE</t>
        </is>
      </c>
      <c r="GO3" s="5" t="inlineStr">
        <is>
          <t>PX_VOLUME</t>
        </is>
      </c>
      <c r="GP3" s="5" t="inlineStr">
        <is>
          <t>OPEN_INT</t>
        </is>
      </c>
      <c r="GQ3" s="5" t="inlineStr">
        <is>
          <t>IVOL_MID</t>
        </is>
      </c>
      <c r="GR3" s="5" t="inlineStr">
        <is>
          <t>IVOL_BID</t>
        </is>
      </c>
      <c r="GS3" s="5" t="inlineStr">
        <is>
          <t>IVOL_ASK</t>
        </is>
      </c>
      <c r="GT3" s="5" t="inlineStr">
        <is>
          <t>DELTA_MID</t>
        </is>
      </c>
      <c r="GU3" s="5" t="inlineStr">
        <is>
          <t>GAMMA_MID</t>
        </is>
      </c>
      <c r="GV3" s="5" t="inlineStr">
        <is>
          <t>VEGA_MID</t>
        </is>
      </c>
      <c r="GW3" s="5" t="inlineStr">
        <is>
          <t>THETA_MID</t>
        </is>
      </c>
      <c r="GX3" s="5" t="inlineStr">
        <is>
          <t>OPT_UNDL_PX</t>
        </is>
      </c>
      <c r="GZ3" s="5" t="inlineStr">
        <is>
          <t>Date</t>
        </is>
      </c>
      <c r="HA3" s="5" t="inlineStr">
        <is>
          <t>PX_BID</t>
        </is>
      </c>
      <c r="HB3" s="5" t="inlineStr">
        <is>
          <t>PX_ASK</t>
        </is>
      </c>
      <c r="HC3" s="5" t="inlineStr">
        <is>
          <t>PX_MID</t>
        </is>
      </c>
      <c r="HD3" s="5" t="inlineStr">
        <is>
          <t>PX_LAST</t>
        </is>
      </c>
      <c r="HE3" s="5" t="inlineStr">
        <is>
          <t>PX_SETTLE</t>
        </is>
      </c>
      <c r="HF3" s="5" t="inlineStr">
        <is>
          <t>PX_VOLUME</t>
        </is>
      </c>
      <c r="HG3" s="5" t="inlineStr">
        <is>
          <t>OPEN_INT</t>
        </is>
      </c>
      <c r="HH3" s="5" t="inlineStr">
        <is>
          <t>IVOL_MID</t>
        </is>
      </c>
      <c r="HI3" s="5" t="inlineStr">
        <is>
          <t>IVOL_BID</t>
        </is>
      </c>
      <c r="HJ3" s="5" t="inlineStr">
        <is>
          <t>IVOL_ASK</t>
        </is>
      </c>
      <c r="HK3" s="5" t="inlineStr">
        <is>
          <t>DELTA_MID</t>
        </is>
      </c>
      <c r="HL3" s="5" t="inlineStr">
        <is>
          <t>GAMMA_MID</t>
        </is>
      </c>
      <c r="HM3" s="5" t="inlineStr">
        <is>
          <t>VEGA_MID</t>
        </is>
      </c>
      <c r="HN3" s="5" t="inlineStr">
        <is>
          <t>THETA_MID</t>
        </is>
      </c>
      <c r="HO3" s="5" t="inlineStr">
        <is>
          <t>OPT_UNDL_PX</t>
        </is>
      </c>
      <c r="HQ3" s="5" t="inlineStr">
        <is>
          <t>Date</t>
        </is>
      </c>
      <c r="HR3" s="5" t="inlineStr">
        <is>
          <t>PX_BID</t>
        </is>
      </c>
      <c r="HS3" s="5" t="inlineStr">
        <is>
          <t>PX_ASK</t>
        </is>
      </c>
      <c r="HT3" s="5" t="inlineStr">
        <is>
          <t>PX_MID</t>
        </is>
      </c>
      <c r="HU3" s="5" t="inlineStr">
        <is>
          <t>PX_LAST</t>
        </is>
      </c>
      <c r="HV3" s="5" t="inlineStr">
        <is>
          <t>PX_SETTLE</t>
        </is>
      </c>
      <c r="HW3" s="5" t="inlineStr">
        <is>
          <t>PX_VOLUME</t>
        </is>
      </c>
      <c r="HX3" s="5" t="inlineStr">
        <is>
          <t>OPEN_INT</t>
        </is>
      </c>
      <c r="HY3" s="5" t="inlineStr">
        <is>
          <t>IVOL_MID</t>
        </is>
      </c>
      <c r="HZ3" s="5" t="inlineStr">
        <is>
          <t>IVOL_BID</t>
        </is>
      </c>
      <c r="IA3" s="5" t="inlineStr">
        <is>
          <t>IVOL_ASK</t>
        </is>
      </c>
      <c r="IB3" s="5" t="inlineStr">
        <is>
          <t>DELTA_MID</t>
        </is>
      </c>
      <c r="IC3" s="5" t="inlineStr">
        <is>
          <t>GAMMA_MID</t>
        </is>
      </c>
      <c r="ID3" s="5" t="inlineStr">
        <is>
          <t>VEGA_MID</t>
        </is>
      </c>
      <c r="IE3" s="5" t="inlineStr">
        <is>
          <t>THETA_MID</t>
        </is>
      </c>
      <c r="IF3" s="5" t="inlineStr">
        <is>
          <t>OPT_UNDL_PX</t>
        </is>
      </c>
      <c r="IH3" s="5" t="inlineStr">
        <is>
          <t>Date</t>
        </is>
      </c>
      <c r="II3" s="5" t="inlineStr">
        <is>
          <t>PX_BID</t>
        </is>
      </c>
      <c r="IJ3" s="5" t="inlineStr">
        <is>
          <t>PX_ASK</t>
        </is>
      </c>
      <c r="IK3" s="5" t="inlineStr">
        <is>
          <t>PX_MID</t>
        </is>
      </c>
      <c r="IL3" s="5" t="inlineStr">
        <is>
          <t>PX_LAST</t>
        </is>
      </c>
      <c r="IM3" s="5" t="inlineStr">
        <is>
          <t>PX_SETTLE</t>
        </is>
      </c>
      <c r="IN3" s="5" t="inlineStr">
        <is>
          <t>PX_VOLUME</t>
        </is>
      </c>
      <c r="IO3" s="5" t="inlineStr">
        <is>
          <t>OPEN_INT</t>
        </is>
      </c>
      <c r="IP3" s="5" t="inlineStr">
        <is>
          <t>IVOL_MID</t>
        </is>
      </c>
      <c r="IQ3" s="5" t="inlineStr">
        <is>
          <t>IVOL_BID</t>
        </is>
      </c>
      <c r="IR3" s="5" t="inlineStr">
        <is>
          <t>IVOL_ASK</t>
        </is>
      </c>
      <c r="IS3" s="5" t="inlineStr">
        <is>
          <t>DELTA_MID</t>
        </is>
      </c>
      <c r="IT3" s="5" t="inlineStr">
        <is>
          <t>GAMMA_MID</t>
        </is>
      </c>
      <c r="IU3" s="5" t="inlineStr">
        <is>
          <t>VEGA_MID</t>
        </is>
      </c>
      <c r="IV3" s="5" t="inlineStr">
        <is>
          <t>THETA_MID</t>
        </is>
      </c>
      <c r="IW3" s="5" t="inlineStr">
        <is>
          <t>OPT_UNDL_PX</t>
        </is>
      </c>
      <c r="IY3" s="5" t="inlineStr">
        <is>
          <t>Date</t>
        </is>
      </c>
      <c r="IZ3" s="5" t="inlineStr">
        <is>
          <t>PX_BID</t>
        </is>
      </c>
      <c r="JA3" s="5" t="inlineStr">
        <is>
          <t>PX_ASK</t>
        </is>
      </c>
      <c r="JB3" s="5" t="inlineStr">
        <is>
          <t>PX_MID</t>
        </is>
      </c>
      <c r="JC3" s="5" t="inlineStr">
        <is>
          <t>PX_LAST</t>
        </is>
      </c>
      <c r="JD3" s="5" t="inlineStr">
        <is>
          <t>PX_SETTLE</t>
        </is>
      </c>
      <c r="JE3" s="5" t="inlineStr">
        <is>
          <t>PX_VOLUME</t>
        </is>
      </c>
      <c r="JF3" s="5" t="inlineStr">
        <is>
          <t>OPEN_INT</t>
        </is>
      </c>
      <c r="JG3" s="5" t="inlineStr">
        <is>
          <t>IVOL_MID</t>
        </is>
      </c>
      <c r="JH3" s="5" t="inlineStr">
        <is>
          <t>IVOL_BID</t>
        </is>
      </c>
      <c r="JI3" s="5" t="inlineStr">
        <is>
          <t>IVOL_ASK</t>
        </is>
      </c>
      <c r="JJ3" s="5" t="inlineStr">
        <is>
          <t>DELTA_MID</t>
        </is>
      </c>
      <c r="JK3" s="5" t="inlineStr">
        <is>
          <t>GAMMA_MID</t>
        </is>
      </c>
      <c r="JL3" s="5" t="inlineStr">
        <is>
          <t>VEGA_MID</t>
        </is>
      </c>
      <c r="JM3" s="5" t="inlineStr">
        <is>
          <t>THETA_MID</t>
        </is>
      </c>
      <c r="JN3" s="5" t="inlineStr">
        <is>
          <t>OPT_UNDL_PX</t>
        </is>
      </c>
      <c r="JP3" s="5" t="inlineStr">
        <is>
          <t>Date</t>
        </is>
      </c>
      <c r="JQ3" s="5" t="inlineStr">
        <is>
          <t>PX_BID</t>
        </is>
      </c>
      <c r="JR3" s="5" t="inlineStr">
        <is>
          <t>PX_ASK</t>
        </is>
      </c>
      <c r="JS3" s="5" t="inlineStr">
        <is>
          <t>PX_MID</t>
        </is>
      </c>
      <c r="JT3" s="5" t="inlineStr">
        <is>
          <t>PX_LAST</t>
        </is>
      </c>
      <c r="JU3" s="5" t="inlineStr">
        <is>
          <t>PX_SETTLE</t>
        </is>
      </c>
      <c r="JV3" s="5" t="inlineStr">
        <is>
          <t>PX_VOLUME</t>
        </is>
      </c>
      <c r="JW3" s="5" t="inlineStr">
        <is>
          <t>OPEN_INT</t>
        </is>
      </c>
      <c r="JX3" s="5" t="inlineStr">
        <is>
          <t>IVOL_MID</t>
        </is>
      </c>
      <c r="JY3" s="5" t="inlineStr">
        <is>
          <t>IVOL_BID</t>
        </is>
      </c>
      <c r="JZ3" s="5" t="inlineStr">
        <is>
          <t>IVOL_ASK</t>
        </is>
      </c>
      <c r="KA3" s="5" t="inlineStr">
        <is>
          <t>DELTA_MID</t>
        </is>
      </c>
      <c r="KB3" s="5" t="inlineStr">
        <is>
          <t>GAMMA_MID</t>
        </is>
      </c>
      <c r="KC3" s="5" t="inlineStr">
        <is>
          <t>VEGA_MID</t>
        </is>
      </c>
      <c r="KD3" s="5" t="inlineStr">
        <is>
          <t>THETA_MID</t>
        </is>
      </c>
      <c r="KE3" s="5" t="inlineStr">
        <is>
          <t>OPT_UNDL_PX</t>
        </is>
      </c>
      <c r="KG3" s="5" t="inlineStr">
        <is>
          <t>Date</t>
        </is>
      </c>
      <c r="KH3" s="5" t="inlineStr">
        <is>
          <t>PX_BID</t>
        </is>
      </c>
      <c r="KI3" s="5" t="inlineStr">
        <is>
          <t>PX_ASK</t>
        </is>
      </c>
      <c r="KJ3" s="5" t="inlineStr">
        <is>
          <t>PX_MID</t>
        </is>
      </c>
      <c r="KK3" s="5" t="inlineStr">
        <is>
          <t>PX_LAST</t>
        </is>
      </c>
      <c r="KL3" s="5" t="inlineStr">
        <is>
          <t>PX_SETTLE</t>
        </is>
      </c>
      <c r="KM3" s="5" t="inlineStr">
        <is>
          <t>PX_VOLUME</t>
        </is>
      </c>
      <c r="KN3" s="5" t="inlineStr">
        <is>
          <t>OPEN_INT</t>
        </is>
      </c>
      <c r="KO3" s="5" t="inlineStr">
        <is>
          <t>IVOL_MID</t>
        </is>
      </c>
      <c r="KP3" s="5" t="inlineStr">
        <is>
          <t>IVOL_BID</t>
        </is>
      </c>
      <c r="KQ3" s="5" t="inlineStr">
        <is>
          <t>IVOL_ASK</t>
        </is>
      </c>
      <c r="KR3" s="5" t="inlineStr">
        <is>
          <t>DELTA_MID</t>
        </is>
      </c>
      <c r="KS3" s="5" t="inlineStr">
        <is>
          <t>GAMMA_MID</t>
        </is>
      </c>
      <c r="KT3" s="5" t="inlineStr">
        <is>
          <t>VEGA_MID</t>
        </is>
      </c>
      <c r="KU3" s="5" t="inlineStr">
        <is>
          <t>THETA_MID</t>
        </is>
      </c>
      <c r="KV3" s="5" t="inlineStr">
        <is>
          <t>OPT_UNDL_PX</t>
        </is>
      </c>
      <c r="KX3" s="5" t="inlineStr">
        <is>
          <t>Date</t>
        </is>
      </c>
      <c r="KY3" s="5" t="inlineStr">
        <is>
          <t>PX_BID</t>
        </is>
      </c>
      <c r="KZ3" s="5" t="inlineStr">
        <is>
          <t>PX_ASK</t>
        </is>
      </c>
      <c r="LA3" s="5" t="inlineStr">
        <is>
          <t>PX_MID</t>
        </is>
      </c>
      <c r="LB3" s="5" t="inlineStr">
        <is>
          <t>PX_LAST</t>
        </is>
      </c>
      <c r="LC3" s="5" t="inlineStr">
        <is>
          <t>PX_SETTLE</t>
        </is>
      </c>
      <c r="LD3" s="5" t="inlineStr">
        <is>
          <t>PX_VOLUME</t>
        </is>
      </c>
      <c r="LE3" s="5" t="inlineStr">
        <is>
          <t>OPEN_INT</t>
        </is>
      </c>
      <c r="LF3" s="5" t="inlineStr">
        <is>
          <t>IVOL_MID</t>
        </is>
      </c>
      <c r="LG3" s="5" t="inlineStr">
        <is>
          <t>IVOL_BID</t>
        </is>
      </c>
      <c r="LH3" s="5" t="inlineStr">
        <is>
          <t>IVOL_ASK</t>
        </is>
      </c>
      <c r="LI3" s="5" t="inlineStr">
        <is>
          <t>DELTA_MID</t>
        </is>
      </c>
      <c r="LJ3" s="5" t="inlineStr">
        <is>
          <t>GAMMA_MID</t>
        </is>
      </c>
      <c r="LK3" s="5" t="inlineStr">
        <is>
          <t>VEGA_MID</t>
        </is>
      </c>
      <c r="LL3" s="5" t="inlineStr">
        <is>
          <t>THETA_MID</t>
        </is>
      </c>
      <c r="LM3" s="5" t="inlineStr">
        <is>
          <t>OPT_UNDL_PX</t>
        </is>
      </c>
      <c r="LO3" s="5" t="inlineStr">
        <is>
          <t>Date</t>
        </is>
      </c>
      <c r="LP3" s="5" t="inlineStr">
        <is>
          <t>PX_BID</t>
        </is>
      </c>
      <c r="LQ3" s="5" t="inlineStr">
        <is>
          <t>PX_ASK</t>
        </is>
      </c>
      <c r="LR3" s="5" t="inlineStr">
        <is>
          <t>PX_MID</t>
        </is>
      </c>
      <c r="LS3" s="5" t="inlineStr">
        <is>
          <t>PX_LAST</t>
        </is>
      </c>
      <c r="LT3" s="5" t="inlineStr">
        <is>
          <t>PX_SETTLE</t>
        </is>
      </c>
      <c r="LU3" s="5" t="inlineStr">
        <is>
          <t>PX_VOLUME</t>
        </is>
      </c>
      <c r="LV3" s="5" t="inlineStr">
        <is>
          <t>OPEN_INT</t>
        </is>
      </c>
      <c r="LW3" s="5" t="inlineStr">
        <is>
          <t>IVOL_MID</t>
        </is>
      </c>
      <c r="LX3" s="5" t="inlineStr">
        <is>
          <t>IVOL_BID</t>
        </is>
      </c>
      <c r="LY3" s="5" t="inlineStr">
        <is>
          <t>IVOL_ASK</t>
        </is>
      </c>
      <c r="LZ3" s="5" t="inlineStr">
        <is>
          <t>DELTA_MID</t>
        </is>
      </c>
      <c r="MA3" s="5" t="inlineStr">
        <is>
          <t>GAMMA_MID</t>
        </is>
      </c>
      <c r="MB3" s="5" t="inlineStr">
        <is>
          <t>VEGA_MID</t>
        </is>
      </c>
      <c r="MC3" s="5" t="inlineStr">
        <is>
          <t>THETA_MID</t>
        </is>
      </c>
      <c r="MD3" s="5" t="inlineStr">
        <is>
          <t>OPT_UNDL_PX</t>
        </is>
      </c>
      <c r="MF3" s="5" t="inlineStr">
        <is>
          <t>Date</t>
        </is>
      </c>
      <c r="MG3" s="5" t="inlineStr">
        <is>
          <t>PX_BID</t>
        </is>
      </c>
      <c r="MH3" s="5" t="inlineStr">
        <is>
          <t>PX_ASK</t>
        </is>
      </c>
      <c r="MI3" s="5" t="inlineStr">
        <is>
          <t>PX_MID</t>
        </is>
      </c>
      <c r="MJ3" s="5" t="inlineStr">
        <is>
          <t>PX_LAST</t>
        </is>
      </c>
      <c r="MK3" s="5" t="inlineStr">
        <is>
          <t>PX_SETTLE</t>
        </is>
      </c>
      <c r="ML3" s="5" t="inlineStr">
        <is>
          <t>PX_VOLUME</t>
        </is>
      </c>
      <c r="MM3" s="5" t="inlineStr">
        <is>
          <t>OPEN_INT</t>
        </is>
      </c>
      <c r="MN3" s="5" t="inlineStr">
        <is>
          <t>IVOL_MID</t>
        </is>
      </c>
      <c r="MO3" s="5" t="inlineStr">
        <is>
          <t>IVOL_BID</t>
        </is>
      </c>
      <c r="MP3" s="5" t="inlineStr">
        <is>
          <t>IVOL_ASK</t>
        </is>
      </c>
      <c r="MQ3" s="5" t="inlineStr">
        <is>
          <t>DELTA_MID</t>
        </is>
      </c>
      <c r="MR3" s="5" t="inlineStr">
        <is>
          <t>GAMMA_MID</t>
        </is>
      </c>
      <c r="MS3" s="5" t="inlineStr">
        <is>
          <t>VEGA_MID</t>
        </is>
      </c>
      <c r="MT3" s="5" t="inlineStr">
        <is>
          <t>THETA_MID</t>
        </is>
      </c>
      <c r="MU3" s="5" t="inlineStr">
        <is>
          <t>OPT_UNDL_PX</t>
        </is>
      </c>
      <c r="MW3" s="5" t="inlineStr">
        <is>
          <t>Date</t>
        </is>
      </c>
      <c r="MX3" s="5" t="inlineStr">
        <is>
          <t>PX_BID</t>
        </is>
      </c>
      <c r="MY3" s="5" t="inlineStr">
        <is>
          <t>PX_ASK</t>
        </is>
      </c>
      <c r="MZ3" s="5" t="inlineStr">
        <is>
          <t>PX_MID</t>
        </is>
      </c>
      <c r="NA3" s="5" t="inlineStr">
        <is>
          <t>PX_LAST</t>
        </is>
      </c>
      <c r="NB3" s="5" t="inlineStr">
        <is>
          <t>PX_SETTLE</t>
        </is>
      </c>
      <c r="NC3" s="5" t="inlineStr">
        <is>
          <t>PX_VOLUME</t>
        </is>
      </c>
      <c r="ND3" s="5" t="inlineStr">
        <is>
          <t>OPEN_INT</t>
        </is>
      </c>
      <c r="NE3" s="5" t="inlineStr">
        <is>
          <t>IVOL_MID</t>
        </is>
      </c>
      <c r="NF3" s="5" t="inlineStr">
        <is>
          <t>IVOL_BID</t>
        </is>
      </c>
      <c r="NG3" s="5" t="inlineStr">
        <is>
          <t>IVOL_ASK</t>
        </is>
      </c>
      <c r="NH3" s="5" t="inlineStr">
        <is>
          <t>DELTA_MID</t>
        </is>
      </c>
      <c r="NI3" s="5" t="inlineStr">
        <is>
          <t>GAMMA_MID</t>
        </is>
      </c>
      <c r="NJ3" s="5" t="inlineStr">
        <is>
          <t>VEGA_MID</t>
        </is>
      </c>
      <c r="NK3" s="5" t="inlineStr">
        <is>
          <t>THETA_MID</t>
        </is>
      </c>
      <c r="NL3" s="5" t="inlineStr">
        <is>
          <t>OPT_UNDL_PX</t>
        </is>
      </c>
    </row>
    <row r="4">
      <c r="A4" s="2" t="inlineStr">
        <is>
          <t>Strike reference date</t>
        </is>
      </c>
      <c r="B4" s="8">
        <f>B3-45</f>
        <v/>
      </c>
      <c r="D4" s="4">
        <f>BDH(D$1,E$3:S$3,$B$8,$B$9,"Dir=V","Dts=S","Sort=A","Days=T","Fill=B")</f>
        <v/>
      </c>
      <c r="U4" s="4">
        <f>BDH(U$1,V$3:AJ$3,$B$8,$B$9,"Dir=V","Dts=S","Sort=A","Days=T","Fill=B")</f>
        <v/>
      </c>
      <c r="AL4" s="4">
        <f>BDH(AL$1,AM$3:BA$3,$B$8,$B$9,"Dir=V","Dts=S","Sort=A","Days=T","Fill=B")</f>
        <v/>
      </c>
      <c r="BC4" s="4">
        <f>BDH(BC$1,BD$3:BR$3,$B$8,$B$9,"Dir=V","Dts=S","Sort=A","Days=T","Fill=B")</f>
        <v/>
      </c>
      <c r="BT4" s="4">
        <f>BDH(BT$1,BU$3:CI$3,$B$8,$B$9,"Dir=V","Dts=S","Sort=A","Days=T","Fill=B")</f>
        <v/>
      </c>
      <c r="CK4" s="4">
        <f>BDH(CK$1,CL$3:CZ$3,$B$8,$B$9,"Dir=V","Dts=S","Sort=A","Days=T","Fill=B")</f>
        <v/>
      </c>
      <c r="DB4" s="4">
        <f>BDH(DB$1,DC$3:DQ$3,$B$8,$B$9,"Dir=V","Dts=S","Sort=A","Days=T","Fill=B")</f>
        <v/>
      </c>
      <c r="DS4" s="4">
        <f>BDH(DS$1,DT$3:EH$3,$B$8,$B$9,"Dir=V","Dts=S","Sort=A","Days=T","Fill=B")</f>
        <v/>
      </c>
      <c r="EJ4" s="4">
        <f>BDH(EJ$1,EK$3:EY$3,$B$8,$B$9,"Dir=V","Dts=S","Sort=A","Days=T","Fill=B")</f>
        <v/>
      </c>
      <c r="FA4" s="4">
        <f>BDH(FA$1,FB$3:FP$3,$B$8,$B$9,"Dir=V","Dts=S","Sort=A","Days=T","Fill=B")</f>
        <v/>
      </c>
      <c r="FR4" s="4">
        <f>BDH(FR$1,FS$3:GG$3,$B$8,$B$9,"Dir=V","Dts=S","Sort=A","Days=T","Fill=B")</f>
        <v/>
      </c>
      <c r="GI4" s="4">
        <f>BDH(GI$1,GJ$3:GX$3,$B$8,$B$9,"Dir=V","Dts=S","Sort=A","Days=T","Fill=B")</f>
        <v/>
      </c>
      <c r="GZ4" s="4">
        <f>BDH(GZ$1,HA$3:HO$3,$B$8,$B$9,"Dir=V","Dts=S","Sort=A","Days=T","Fill=B")</f>
        <v/>
      </c>
      <c r="HQ4" s="4">
        <f>BDH(HQ$1,HR$3:IF$3,$B$8,$B$9,"Dir=V","Dts=S","Sort=A","Days=T","Fill=B")</f>
        <v/>
      </c>
      <c r="IH4" s="4">
        <f>BDH(IH$1,II$3:IW$3,$B$8,$B$9,"Dir=V","Dts=S","Sort=A","Days=T","Fill=B")</f>
        <v/>
      </c>
      <c r="IY4" s="4">
        <f>BDH(IY$1,IZ$3:JN$3,$B$8,$B$9,"Dir=V","Dts=S","Sort=A","Days=T","Fill=B")</f>
        <v/>
      </c>
      <c r="JP4" s="4">
        <f>BDH(JP$1,JQ$3:KE$3,$B$8,$B$9,"Dir=V","Dts=S","Sort=A","Days=T","Fill=B")</f>
        <v/>
      </c>
      <c r="KG4" s="4">
        <f>BDH(KG$1,KH$3:KV$3,$B$8,$B$9,"Dir=V","Dts=S","Sort=A","Days=T","Fill=B")</f>
        <v/>
      </c>
      <c r="KX4" s="4">
        <f>BDH(KX$1,KY$3:LM$3,$B$8,$B$9,"Dir=V","Dts=S","Sort=A","Days=T","Fill=B")</f>
        <v/>
      </c>
      <c r="LO4" s="4">
        <f>BDH(LO$1,LP$3:MD$3,$B$8,$B$9,"Dir=V","Dts=S","Sort=A","Days=T","Fill=B")</f>
        <v/>
      </c>
      <c r="MF4" s="4">
        <f>BDH(MF$1,MG$3:MU$3,$B$8,$B$9,"Dir=V","Dts=S","Sort=A","Days=T","Fill=B")</f>
        <v/>
      </c>
      <c r="MW4" s="4">
        <f>BDH(MW$1,MX$3:NL$3,$B$8,$B$9,"Dir=V","Dts=S","Sort=A","Days=T","Fill=B")</f>
        <v/>
      </c>
    </row>
    <row r="5">
      <c r="A5" s="2" t="inlineStr">
        <is>
          <t>Unadjusted close then</t>
        </is>
      </c>
      <c r="B5" s="10">
        <f>IF(B2="","",BDH(B2,"PX_LAST",B4,B4,"Days=A","Fill=P","Dts=H","CshAdjNormal=N","CshAdjAbnormal=N","CapChg=N"))</f>
        <v/>
      </c>
    </row>
    <row r="6">
      <c r="A6" s="2" t="inlineStr">
        <is>
          <t>Strike step</t>
        </is>
      </c>
      <c r="B6" s="11">
        <f>IF(ISNUMBER(B5),IF(B5&lt;25,0.5,IF(B5&lt;250,1,5)),"")</f>
        <v/>
      </c>
    </row>
    <row r="7">
      <c r="A7" s="2" t="inlineStr">
        <is>
          <t>ATM strike</t>
        </is>
      </c>
      <c r="B7" s="11">
        <f>IF(ISNUMBER(B5),ROUND(B5/B6,0)*B6,"")</f>
        <v/>
      </c>
    </row>
    <row r="8">
      <c r="A8" s="2" t="inlineStr">
        <is>
          <t>History start</t>
        </is>
      </c>
      <c r="B8" s="8">
        <f>B3-100</f>
        <v/>
      </c>
    </row>
    <row r="9">
      <c r="A9" s="2" t="inlineStr">
        <is>
          <t>History end</t>
        </is>
      </c>
      <c r="B9" s="8">
        <f>B3</f>
        <v/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NL9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2" customWidth="1" min="2" max="2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1" customWidth="1" min="15" max="15"/>
    <col width="11" customWidth="1" min="16" max="16"/>
    <col width="10" customWidth="1" min="17" max="17"/>
    <col width="11" customWidth="1" min="18" max="18"/>
    <col width="13" customWidth="1" min="19" max="19"/>
    <col width="12" customWidth="1" min="21" max="21"/>
    <col width="10" customWidth="1" min="22" max="22"/>
    <col width="10" customWidth="1" min="23" max="23"/>
    <col width="10" customWidth="1" min="24" max="24"/>
    <col width="10" customWidth="1" min="25" max="25"/>
    <col width="11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1" customWidth="1" min="32" max="32"/>
    <col width="11" customWidth="1" min="33" max="33"/>
    <col width="10" customWidth="1" min="34" max="34"/>
    <col width="11" customWidth="1" min="35" max="35"/>
    <col width="13" customWidth="1" min="36" max="36"/>
    <col width="12" customWidth="1" min="38" max="38"/>
    <col width="10" customWidth="1" min="39" max="39"/>
    <col width="10" customWidth="1" min="40" max="40"/>
    <col width="10" customWidth="1" min="41" max="41"/>
    <col width="10" customWidth="1" min="42" max="42"/>
    <col width="11" customWidth="1" min="43" max="43"/>
    <col width="11" customWidth="1" min="44" max="44"/>
    <col width="10" customWidth="1" min="45" max="45"/>
    <col width="10" customWidth="1" min="46" max="46"/>
    <col width="10" customWidth="1" min="47" max="47"/>
    <col width="10" customWidth="1" min="48" max="48"/>
    <col width="11" customWidth="1" min="49" max="49"/>
    <col width="11" customWidth="1" min="50" max="50"/>
    <col width="10" customWidth="1" min="51" max="51"/>
    <col width="11" customWidth="1" min="52" max="52"/>
    <col width="13" customWidth="1" min="53" max="53"/>
    <col width="12" customWidth="1" min="55" max="55"/>
    <col width="10" customWidth="1" min="56" max="56"/>
    <col width="10" customWidth="1" min="57" max="57"/>
    <col width="10" customWidth="1" min="58" max="58"/>
    <col width="10" customWidth="1" min="59" max="59"/>
    <col width="11" customWidth="1" min="60" max="60"/>
    <col width="11" customWidth="1" min="61" max="61"/>
    <col width="10" customWidth="1" min="62" max="62"/>
    <col width="10" customWidth="1" min="63" max="63"/>
    <col width="10" customWidth="1" min="64" max="64"/>
    <col width="10" customWidth="1" min="65" max="65"/>
    <col width="11" customWidth="1" min="66" max="66"/>
    <col width="11" customWidth="1" min="67" max="67"/>
    <col width="10" customWidth="1" min="68" max="68"/>
    <col width="11" customWidth="1" min="69" max="69"/>
    <col width="13" customWidth="1" min="70" max="70"/>
    <col width="12" customWidth="1" min="72" max="72"/>
    <col width="10" customWidth="1" min="73" max="73"/>
    <col width="10" customWidth="1" min="74" max="74"/>
    <col width="10" customWidth="1" min="75" max="75"/>
    <col width="10" customWidth="1" min="76" max="76"/>
    <col width="11" customWidth="1" min="77" max="77"/>
    <col width="11" customWidth="1" min="78" max="78"/>
    <col width="10" customWidth="1" min="79" max="79"/>
    <col width="10" customWidth="1" min="80" max="80"/>
    <col width="10" customWidth="1" min="81" max="81"/>
    <col width="10" customWidth="1" min="82" max="82"/>
    <col width="11" customWidth="1" min="83" max="83"/>
    <col width="11" customWidth="1" min="84" max="84"/>
    <col width="10" customWidth="1" min="85" max="85"/>
    <col width="11" customWidth="1" min="86" max="86"/>
    <col width="13" customWidth="1" min="87" max="87"/>
    <col width="12" customWidth="1" min="89" max="89"/>
    <col width="10" customWidth="1" min="90" max="90"/>
    <col width="10" customWidth="1" min="91" max="91"/>
    <col width="10" customWidth="1" min="92" max="92"/>
    <col width="10" customWidth="1" min="93" max="93"/>
    <col width="11" customWidth="1" min="94" max="94"/>
    <col width="11" customWidth="1" min="95" max="95"/>
    <col width="10" customWidth="1" min="96" max="96"/>
    <col width="10" customWidth="1" min="97" max="97"/>
    <col width="10" customWidth="1" min="98" max="98"/>
    <col width="10" customWidth="1" min="99" max="99"/>
    <col width="11" customWidth="1" min="100" max="100"/>
    <col width="11" customWidth="1" min="101" max="101"/>
    <col width="10" customWidth="1" min="102" max="102"/>
    <col width="11" customWidth="1" min="103" max="103"/>
    <col width="13" customWidth="1" min="104" max="104"/>
    <col width="12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1" customWidth="1" min="111" max="111"/>
    <col width="11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1" customWidth="1" min="117" max="117"/>
    <col width="11" customWidth="1" min="118" max="118"/>
    <col width="10" customWidth="1" min="119" max="119"/>
    <col width="11" customWidth="1" min="120" max="120"/>
    <col width="13" customWidth="1" min="121" max="121"/>
    <col width="12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1" customWidth="1" min="128" max="128"/>
    <col width="11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1" customWidth="1" min="134" max="134"/>
    <col width="11" customWidth="1" min="135" max="135"/>
    <col width="10" customWidth="1" min="136" max="136"/>
    <col width="11" customWidth="1" min="137" max="137"/>
    <col width="13" customWidth="1" min="138" max="138"/>
    <col width="12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1" customWidth="1" min="145" max="145"/>
    <col width="11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1" customWidth="1" min="151" max="151"/>
    <col width="11" customWidth="1" min="152" max="152"/>
    <col width="10" customWidth="1" min="153" max="153"/>
    <col width="11" customWidth="1" min="154" max="154"/>
    <col width="13" customWidth="1" min="155" max="155"/>
    <col width="12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1" customWidth="1" min="162" max="162"/>
    <col width="11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1" customWidth="1" min="168" max="168"/>
    <col width="11" customWidth="1" min="169" max="169"/>
    <col width="10" customWidth="1" min="170" max="170"/>
    <col width="11" customWidth="1" min="171" max="171"/>
    <col width="13" customWidth="1" min="172" max="172"/>
    <col width="12" customWidth="1" min="174" max="174"/>
    <col width="10" customWidth="1" min="175" max="175"/>
    <col width="10" customWidth="1" min="176" max="176"/>
    <col width="10" customWidth="1" min="177" max="177"/>
    <col width="10" customWidth="1" min="178" max="178"/>
    <col width="11" customWidth="1" min="179" max="179"/>
    <col width="11" customWidth="1" min="180" max="180"/>
    <col width="10" customWidth="1" min="181" max="181"/>
    <col width="10" customWidth="1" min="182" max="182"/>
    <col width="10" customWidth="1" min="183" max="183"/>
    <col width="10" customWidth="1" min="184" max="184"/>
    <col width="11" customWidth="1" min="185" max="185"/>
    <col width="11" customWidth="1" min="186" max="186"/>
    <col width="10" customWidth="1" min="187" max="187"/>
    <col width="11" customWidth="1" min="188" max="188"/>
    <col width="13" customWidth="1" min="189" max="189"/>
    <col width="12" customWidth="1" min="191" max="191"/>
    <col width="10" customWidth="1" min="192" max="192"/>
    <col width="10" customWidth="1" min="193" max="193"/>
    <col width="10" customWidth="1" min="194" max="194"/>
    <col width="10" customWidth="1" min="195" max="195"/>
    <col width="11" customWidth="1" min="196" max="196"/>
    <col width="11" customWidth="1" min="197" max="197"/>
    <col width="10" customWidth="1" min="198" max="198"/>
    <col width="10" customWidth="1" min="199" max="199"/>
    <col width="10" customWidth="1" min="200" max="200"/>
    <col width="10" customWidth="1" min="201" max="201"/>
    <col width="11" customWidth="1" min="202" max="202"/>
    <col width="11" customWidth="1" min="203" max="203"/>
    <col width="10" customWidth="1" min="204" max="204"/>
    <col width="11" customWidth="1" min="205" max="205"/>
    <col width="13" customWidth="1" min="206" max="206"/>
    <col width="12" customWidth="1" min="208" max="208"/>
    <col width="10" customWidth="1" min="209" max="209"/>
    <col width="10" customWidth="1" min="210" max="210"/>
    <col width="10" customWidth="1" min="211" max="211"/>
    <col width="10" customWidth="1" min="212" max="212"/>
    <col width="11" customWidth="1" min="213" max="213"/>
    <col width="11" customWidth="1" min="214" max="214"/>
    <col width="10" customWidth="1" min="215" max="215"/>
    <col width="10" customWidth="1" min="216" max="216"/>
    <col width="10" customWidth="1" min="217" max="217"/>
    <col width="10" customWidth="1" min="218" max="218"/>
    <col width="11" customWidth="1" min="219" max="219"/>
    <col width="11" customWidth="1" min="220" max="220"/>
    <col width="10" customWidth="1" min="221" max="221"/>
    <col width="11" customWidth="1" min="222" max="222"/>
    <col width="13" customWidth="1" min="223" max="223"/>
    <col width="12" customWidth="1" min="225" max="225"/>
    <col width="10" customWidth="1" min="226" max="226"/>
    <col width="10" customWidth="1" min="227" max="227"/>
    <col width="10" customWidth="1" min="228" max="228"/>
    <col width="10" customWidth="1" min="229" max="229"/>
    <col width="11" customWidth="1" min="230" max="230"/>
    <col width="11" customWidth="1" min="231" max="231"/>
    <col width="10" customWidth="1" min="232" max="232"/>
    <col width="10" customWidth="1" min="233" max="233"/>
    <col width="10" customWidth="1" min="234" max="234"/>
    <col width="10" customWidth="1" min="235" max="235"/>
    <col width="11" customWidth="1" min="236" max="236"/>
    <col width="11" customWidth="1" min="237" max="237"/>
    <col width="10" customWidth="1" min="238" max="238"/>
    <col width="11" customWidth="1" min="239" max="239"/>
    <col width="13" customWidth="1" min="240" max="240"/>
    <col width="12" customWidth="1" min="242" max="242"/>
    <col width="10" customWidth="1" min="243" max="243"/>
    <col width="10" customWidth="1" min="244" max="244"/>
    <col width="10" customWidth="1" min="245" max="245"/>
    <col width="10" customWidth="1" min="246" max="246"/>
    <col width="11" customWidth="1" min="247" max="247"/>
    <col width="11" customWidth="1" min="248" max="248"/>
    <col width="10" customWidth="1" min="249" max="249"/>
    <col width="10" customWidth="1" min="250" max="250"/>
    <col width="10" customWidth="1" min="251" max="251"/>
    <col width="10" customWidth="1" min="252" max="252"/>
    <col width="11" customWidth="1" min="253" max="253"/>
    <col width="11" customWidth="1" min="254" max="254"/>
    <col width="10" customWidth="1" min="255" max="255"/>
    <col width="11" customWidth="1" min="256" max="256"/>
    <col width="13" customWidth="1" min="257" max="257"/>
    <col width="12" customWidth="1" min="259" max="259"/>
    <col width="10" customWidth="1" min="260" max="260"/>
    <col width="10" customWidth="1" min="261" max="261"/>
    <col width="10" customWidth="1" min="262" max="262"/>
    <col width="10" customWidth="1" min="263" max="263"/>
    <col width="11" customWidth="1" min="264" max="264"/>
    <col width="11" customWidth="1" min="265" max="265"/>
    <col width="10" customWidth="1" min="266" max="266"/>
    <col width="10" customWidth="1" min="267" max="267"/>
    <col width="10" customWidth="1" min="268" max="268"/>
    <col width="10" customWidth="1" min="269" max="269"/>
    <col width="11" customWidth="1" min="270" max="270"/>
    <col width="11" customWidth="1" min="271" max="271"/>
    <col width="10" customWidth="1" min="272" max="272"/>
    <col width="11" customWidth="1" min="273" max="273"/>
    <col width="13" customWidth="1" min="274" max="274"/>
    <col width="12" customWidth="1" min="276" max="276"/>
    <col width="10" customWidth="1" min="277" max="277"/>
    <col width="10" customWidth="1" min="278" max="278"/>
    <col width="10" customWidth="1" min="279" max="279"/>
    <col width="10" customWidth="1" min="280" max="280"/>
    <col width="11" customWidth="1" min="281" max="281"/>
    <col width="11" customWidth="1" min="282" max="282"/>
    <col width="10" customWidth="1" min="283" max="283"/>
    <col width="10" customWidth="1" min="284" max="284"/>
    <col width="10" customWidth="1" min="285" max="285"/>
    <col width="10" customWidth="1" min="286" max="286"/>
    <col width="11" customWidth="1" min="287" max="287"/>
    <col width="11" customWidth="1" min="288" max="288"/>
    <col width="10" customWidth="1" min="289" max="289"/>
    <col width="11" customWidth="1" min="290" max="290"/>
    <col width="13" customWidth="1" min="291" max="291"/>
    <col width="12" customWidth="1" min="293" max="293"/>
    <col width="10" customWidth="1" min="294" max="294"/>
    <col width="10" customWidth="1" min="295" max="295"/>
    <col width="10" customWidth="1" min="296" max="296"/>
    <col width="10" customWidth="1" min="297" max="297"/>
    <col width="11" customWidth="1" min="298" max="298"/>
    <col width="11" customWidth="1" min="299" max="299"/>
    <col width="10" customWidth="1" min="300" max="300"/>
    <col width="10" customWidth="1" min="301" max="301"/>
    <col width="10" customWidth="1" min="302" max="302"/>
    <col width="10" customWidth="1" min="303" max="303"/>
    <col width="11" customWidth="1" min="304" max="304"/>
    <col width="11" customWidth="1" min="305" max="305"/>
    <col width="10" customWidth="1" min="306" max="306"/>
    <col width="11" customWidth="1" min="307" max="307"/>
    <col width="13" customWidth="1" min="308" max="308"/>
    <col width="12" customWidth="1" min="310" max="310"/>
    <col width="10" customWidth="1" min="311" max="311"/>
    <col width="10" customWidth="1" min="312" max="312"/>
    <col width="10" customWidth="1" min="313" max="313"/>
    <col width="10" customWidth="1" min="314" max="314"/>
    <col width="11" customWidth="1" min="315" max="315"/>
    <col width="11" customWidth="1" min="316" max="316"/>
    <col width="10" customWidth="1" min="317" max="317"/>
    <col width="10" customWidth="1" min="318" max="318"/>
    <col width="10" customWidth="1" min="319" max="319"/>
    <col width="10" customWidth="1" min="320" max="320"/>
    <col width="11" customWidth="1" min="321" max="321"/>
    <col width="11" customWidth="1" min="322" max="322"/>
    <col width="10" customWidth="1" min="323" max="323"/>
    <col width="11" customWidth="1" min="324" max="324"/>
    <col width="13" customWidth="1" min="325" max="325"/>
    <col width="12" customWidth="1" min="327" max="327"/>
    <col width="10" customWidth="1" min="328" max="328"/>
    <col width="10" customWidth="1" min="329" max="329"/>
    <col width="10" customWidth="1" min="330" max="330"/>
    <col width="10" customWidth="1" min="331" max="331"/>
    <col width="11" customWidth="1" min="332" max="332"/>
    <col width="11" customWidth="1" min="333" max="333"/>
    <col width="10" customWidth="1" min="334" max="334"/>
    <col width="10" customWidth="1" min="335" max="335"/>
    <col width="10" customWidth="1" min="336" max="336"/>
    <col width="10" customWidth="1" min="337" max="337"/>
    <col width="11" customWidth="1" min="338" max="338"/>
    <col width="11" customWidth="1" min="339" max="339"/>
    <col width="10" customWidth="1" min="340" max="340"/>
    <col width="11" customWidth="1" min="341" max="341"/>
    <col width="13" customWidth="1" min="342" max="342"/>
    <col width="12" customWidth="1" min="344" max="344"/>
    <col width="10" customWidth="1" min="345" max="345"/>
    <col width="10" customWidth="1" min="346" max="346"/>
    <col width="10" customWidth="1" min="347" max="347"/>
    <col width="10" customWidth="1" min="348" max="348"/>
    <col width="11" customWidth="1" min="349" max="349"/>
    <col width="11" customWidth="1" min="350" max="350"/>
    <col width="10" customWidth="1" min="351" max="351"/>
    <col width="10" customWidth="1" min="352" max="352"/>
    <col width="10" customWidth="1" min="353" max="353"/>
    <col width="10" customWidth="1" min="354" max="354"/>
    <col width="11" customWidth="1" min="355" max="355"/>
    <col width="11" customWidth="1" min="356" max="356"/>
    <col width="10" customWidth="1" min="357" max="357"/>
    <col width="11" customWidth="1" min="358" max="358"/>
    <col width="13" customWidth="1" min="359" max="359"/>
    <col width="12" customWidth="1" min="361" max="361"/>
    <col width="10" customWidth="1" min="362" max="362"/>
    <col width="10" customWidth="1" min="363" max="363"/>
    <col width="10" customWidth="1" min="364" max="364"/>
    <col width="10" customWidth="1" min="365" max="365"/>
    <col width="11" customWidth="1" min="366" max="366"/>
    <col width="11" customWidth="1" min="367" max="367"/>
    <col width="10" customWidth="1" min="368" max="368"/>
    <col width="10" customWidth="1" min="369" max="369"/>
    <col width="10" customWidth="1" min="370" max="370"/>
    <col width="10" customWidth="1" min="371" max="371"/>
    <col width="11" customWidth="1" min="372" max="372"/>
    <col width="11" customWidth="1" min="373" max="373"/>
    <col width="10" customWidth="1" min="374" max="374"/>
    <col width="11" customWidth="1" min="375" max="375"/>
    <col width="13" customWidth="1" min="376" max="376"/>
  </cols>
  <sheetData>
    <row r="1">
      <c r="A1" s="2" t="inlineStr">
        <is>
          <t>Month</t>
        </is>
      </c>
      <c r="B1" s="9" t="n">
        <v>7</v>
      </c>
      <c r="D1" s="2">
        <f>IF(ISNUMBER(B$7),"OXY US "&amp;TEXT(B$3,"mm/dd/yy")&amp;" C"&amp;(B$7-5*B$6)&amp;" Equity","")</f>
        <v/>
      </c>
      <c r="U1" s="2">
        <f>IF(ISNUMBER(B$7),"OXY US "&amp;TEXT(B$3,"mm/dd/yy")&amp;" P"&amp;(B$7-5*B$6)&amp;" Equity","")</f>
        <v/>
      </c>
      <c r="AL1" s="2">
        <f>IF(ISNUMBER(B$7),"OXY US "&amp;TEXT(B$3,"mm/dd/yy")&amp;" C"&amp;(B$7-4*B$6)&amp;" Equity","")</f>
        <v/>
      </c>
      <c r="BC1" s="2">
        <f>IF(ISNUMBER(B$7),"OXY US "&amp;TEXT(B$3,"mm/dd/yy")&amp;" P"&amp;(B$7-4*B$6)&amp;" Equity","")</f>
        <v/>
      </c>
      <c r="BT1" s="2">
        <f>IF(ISNUMBER(B$7),"OXY US "&amp;TEXT(B$3,"mm/dd/yy")&amp;" C"&amp;(B$7-3*B$6)&amp;" Equity","")</f>
        <v/>
      </c>
      <c r="CK1" s="2">
        <f>IF(ISNUMBER(B$7),"OXY US "&amp;TEXT(B$3,"mm/dd/yy")&amp;" P"&amp;(B$7-3*B$6)&amp;" Equity","")</f>
        <v/>
      </c>
      <c r="DB1" s="2">
        <f>IF(ISNUMBER(B$7),"OXY US "&amp;TEXT(B$3,"mm/dd/yy")&amp;" C"&amp;(B$7-2*B$6)&amp;" Equity","")</f>
        <v/>
      </c>
      <c r="DS1" s="2">
        <f>IF(ISNUMBER(B$7),"OXY US "&amp;TEXT(B$3,"mm/dd/yy")&amp;" P"&amp;(B$7-2*B$6)&amp;" Equity","")</f>
        <v/>
      </c>
      <c r="EJ1" s="2">
        <f>IF(ISNUMBER(B$7),"OXY US "&amp;TEXT(B$3,"mm/dd/yy")&amp;" C"&amp;(B$7-1*B$6)&amp;" Equity","")</f>
        <v/>
      </c>
      <c r="FA1" s="2">
        <f>IF(ISNUMBER(B$7),"OXY US "&amp;TEXT(B$3,"mm/dd/yy")&amp;" P"&amp;(B$7-1*B$6)&amp;" Equity","")</f>
        <v/>
      </c>
      <c r="FR1" s="2">
        <f>IF(ISNUMBER(B$7),"OXY US "&amp;TEXT(B$3,"mm/dd/yy")&amp;" C"&amp;B$7&amp;" Equity","")</f>
        <v/>
      </c>
      <c r="GI1" s="2">
        <f>IF(ISNUMBER(B$7),"OXY US "&amp;TEXT(B$3,"mm/dd/yy")&amp;" P"&amp;B$7&amp;" Equity","")</f>
        <v/>
      </c>
      <c r="GZ1" s="2">
        <f>IF(ISNUMBER(B$7),"OXY US "&amp;TEXT(B$3,"mm/dd/yy")&amp;" C"&amp;(B$7+1*B$6)&amp;" Equity","")</f>
        <v/>
      </c>
      <c r="HQ1" s="2">
        <f>IF(ISNUMBER(B$7),"OXY US "&amp;TEXT(B$3,"mm/dd/yy")&amp;" P"&amp;(B$7+1*B$6)&amp;" Equity","")</f>
        <v/>
      </c>
      <c r="IH1" s="2">
        <f>IF(ISNUMBER(B$7),"OXY US "&amp;TEXT(B$3,"mm/dd/yy")&amp;" C"&amp;(B$7+2*B$6)&amp;" Equity","")</f>
        <v/>
      </c>
      <c r="IY1" s="2">
        <f>IF(ISNUMBER(B$7),"OXY US "&amp;TEXT(B$3,"mm/dd/yy")&amp;" P"&amp;(B$7+2*B$6)&amp;" Equity","")</f>
        <v/>
      </c>
      <c r="JP1" s="2">
        <f>IF(ISNUMBER(B$7),"OXY US "&amp;TEXT(B$3,"mm/dd/yy")&amp;" C"&amp;(B$7+3*B$6)&amp;" Equity","")</f>
        <v/>
      </c>
      <c r="KG1" s="2">
        <f>IF(ISNUMBER(B$7),"OXY US "&amp;TEXT(B$3,"mm/dd/yy")&amp;" P"&amp;(B$7+3*B$6)&amp;" Equity","")</f>
        <v/>
      </c>
      <c r="KX1" s="2">
        <f>IF(ISNUMBER(B$7),"OXY US "&amp;TEXT(B$3,"mm/dd/yy")&amp;" C"&amp;(B$7+4*B$6)&amp;" Equity","")</f>
        <v/>
      </c>
      <c r="LO1" s="2">
        <f>IF(ISNUMBER(B$7),"OXY US "&amp;TEXT(B$3,"mm/dd/yy")&amp;" P"&amp;(B$7+4*B$6)&amp;" Equity","")</f>
        <v/>
      </c>
      <c r="MF1" s="2">
        <f>IF(ISNUMBER(B$7),"OXY US "&amp;TEXT(B$3,"mm/dd/yy")&amp;" C"&amp;(B$7+5*B$6)&amp;" Equity","")</f>
        <v/>
      </c>
      <c r="MW1" s="2">
        <f>IF(ISNUMBER(B$7),"OXY US "&amp;TEXT(B$3,"mm/dd/yy")&amp;" P"&amp;(B$7+5*B$6)&amp;" Equity","")</f>
        <v/>
      </c>
    </row>
    <row r="2">
      <c r="A2" s="2" t="inlineStr">
        <is>
          <t>Underlying</t>
        </is>
      </c>
      <c r="B2" s="4">
        <f>IF(Settings!$B$18="Y","OXY US Equity","")</f>
        <v/>
      </c>
      <c r="D2" s="4" t="inlineStr">
        <is>
          <t>call -5 from ATM</t>
        </is>
      </c>
      <c r="U2" s="4" t="inlineStr">
        <is>
          <t>put -5 from ATM</t>
        </is>
      </c>
      <c r="AL2" s="4" t="inlineStr">
        <is>
          <t>call -4 from ATM</t>
        </is>
      </c>
      <c r="BC2" s="4" t="inlineStr">
        <is>
          <t>put -4 from ATM</t>
        </is>
      </c>
      <c r="BT2" s="4" t="inlineStr">
        <is>
          <t>call -3 from ATM</t>
        </is>
      </c>
      <c r="CK2" s="4" t="inlineStr">
        <is>
          <t>put -3 from ATM</t>
        </is>
      </c>
      <c r="DB2" s="4" t="inlineStr">
        <is>
          <t>call -2 from ATM</t>
        </is>
      </c>
      <c r="DS2" s="4" t="inlineStr">
        <is>
          <t>put -2 from ATM</t>
        </is>
      </c>
      <c r="EJ2" s="4" t="inlineStr">
        <is>
          <t>call -1 from ATM</t>
        </is>
      </c>
      <c r="FA2" s="4" t="inlineStr">
        <is>
          <t>put -1 from ATM</t>
        </is>
      </c>
      <c r="FR2" s="4" t="inlineStr">
        <is>
          <t>call +0 from ATM</t>
        </is>
      </c>
      <c r="GI2" s="4" t="inlineStr">
        <is>
          <t>put +0 from ATM</t>
        </is>
      </c>
      <c r="GZ2" s="4" t="inlineStr">
        <is>
          <t>call +1 from ATM</t>
        </is>
      </c>
      <c r="HQ2" s="4" t="inlineStr">
        <is>
          <t>put +1 from ATM</t>
        </is>
      </c>
      <c r="IH2" s="4" t="inlineStr">
        <is>
          <t>call +2 from ATM</t>
        </is>
      </c>
      <c r="IY2" s="4" t="inlineStr">
        <is>
          <t>put +2 from ATM</t>
        </is>
      </c>
      <c r="JP2" s="4" t="inlineStr">
        <is>
          <t>call +3 from ATM</t>
        </is>
      </c>
      <c r="KG2" s="4" t="inlineStr">
        <is>
          <t>put +3 from ATM</t>
        </is>
      </c>
      <c r="KX2" s="4" t="inlineStr">
        <is>
          <t>call +4 from ATM</t>
        </is>
      </c>
      <c r="LO2" s="4" t="inlineStr">
        <is>
          <t>put +4 from ATM</t>
        </is>
      </c>
      <c r="MF2" s="4" t="inlineStr">
        <is>
          <t>call +5 from ATM</t>
        </is>
      </c>
      <c r="MW2" s="4" t="inlineStr">
        <is>
          <t>put +5 from ATM</t>
        </is>
      </c>
    </row>
    <row r="3">
      <c r="A3" s="2" t="inlineStr">
        <is>
          <t>Expiry (3rd Friday)</t>
        </is>
      </c>
      <c r="B3" s="3">
        <f>DATE(Settings!$E$18,B1,15)+MOD(6-WEEKDAY(DATE(Settings!$E$18,B1,15)),7)</f>
        <v/>
      </c>
      <c r="D3" s="5" t="inlineStr">
        <is>
          <t>Date</t>
        </is>
      </c>
      <c r="E3" s="5" t="inlineStr">
        <is>
          <t>PX_BID</t>
        </is>
      </c>
      <c r="F3" s="5" t="inlineStr">
        <is>
          <t>PX_ASK</t>
        </is>
      </c>
      <c r="G3" s="5" t="inlineStr">
        <is>
          <t>PX_MID</t>
        </is>
      </c>
      <c r="H3" s="5" t="inlineStr">
        <is>
          <t>PX_LAST</t>
        </is>
      </c>
      <c r="I3" s="5" t="inlineStr">
        <is>
          <t>PX_SETTLE</t>
        </is>
      </c>
      <c r="J3" s="5" t="inlineStr">
        <is>
          <t>PX_VOLUME</t>
        </is>
      </c>
      <c r="K3" s="5" t="inlineStr">
        <is>
          <t>OPEN_INT</t>
        </is>
      </c>
      <c r="L3" s="5" t="inlineStr">
        <is>
          <t>IVOL_MID</t>
        </is>
      </c>
      <c r="M3" s="5" t="inlineStr">
        <is>
          <t>IVOL_BID</t>
        </is>
      </c>
      <c r="N3" s="5" t="inlineStr">
        <is>
          <t>IVOL_ASK</t>
        </is>
      </c>
      <c r="O3" s="5" t="inlineStr">
        <is>
          <t>DELTA_MID</t>
        </is>
      </c>
      <c r="P3" s="5" t="inlineStr">
        <is>
          <t>GAMMA_MID</t>
        </is>
      </c>
      <c r="Q3" s="5" t="inlineStr">
        <is>
          <t>VEGA_MID</t>
        </is>
      </c>
      <c r="R3" s="5" t="inlineStr">
        <is>
          <t>THETA_MID</t>
        </is>
      </c>
      <c r="S3" s="5" t="inlineStr">
        <is>
          <t>OPT_UNDL_PX</t>
        </is>
      </c>
      <c r="U3" s="5" t="inlineStr">
        <is>
          <t>Date</t>
        </is>
      </c>
      <c r="V3" s="5" t="inlineStr">
        <is>
          <t>PX_BID</t>
        </is>
      </c>
      <c r="W3" s="5" t="inlineStr">
        <is>
          <t>PX_ASK</t>
        </is>
      </c>
      <c r="X3" s="5" t="inlineStr">
        <is>
          <t>PX_MID</t>
        </is>
      </c>
      <c r="Y3" s="5" t="inlineStr">
        <is>
          <t>PX_LAST</t>
        </is>
      </c>
      <c r="Z3" s="5" t="inlineStr">
        <is>
          <t>PX_SETTLE</t>
        </is>
      </c>
      <c r="AA3" s="5" t="inlineStr">
        <is>
          <t>PX_VOLUME</t>
        </is>
      </c>
      <c r="AB3" s="5" t="inlineStr">
        <is>
          <t>OPEN_INT</t>
        </is>
      </c>
      <c r="AC3" s="5" t="inlineStr">
        <is>
          <t>IVOL_MID</t>
        </is>
      </c>
      <c r="AD3" s="5" t="inlineStr">
        <is>
          <t>IVOL_BID</t>
        </is>
      </c>
      <c r="AE3" s="5" t="inlineStr">
        <is>
          <t>IVOL_ASK</t>
        </is>
      </c>
      <c r="AF3" s="5" t="inlineStr">
        <is>
          <t>DELTA_MID</t>
        </is>
      </c>
      <c r="AG3" s="5" t="inlineStr">
        <is>
          <t>GAMMA_MID</t>
        </is>
      </c>
      <c r="AH3" s="5" t="inlineStr">
        <is>
          <t>VEGA_MID</t>
        </is>
      </c>
      <c r="AI3" s="5" t="inlineStr">
        <is>
          <t>THETA_MID</t>
        </is>
      </c>
      <c r="AJ3" s="5" t="inlineStr">
        <is>
          <t>OPT_UNDL_PX</t>
        </is>
      </c>
      <c r="AL3" s="5" t="inlineStr">
        <is>
          <t>Date</t>
        </is>
      </c>
      <c r="AM3" s="5" t="inlineStr">
        <is>
          <t>PX_BID</t>
        </is>
      </c>
      <c r="AN3" s="5" t="inlineStr">
        <is>
          <t>PX_ASK</t>
        </is>
      </c>
      <c r="AO3" s="5" t="inlineStr">
        <is>
          <t>PX_MID</t>
        </is>
      </c>
      <c r="AP3" s="5" t="inlineStr">
        <is>
          <t>PX_LAST</t>
        </is>
      </c>
      <c r="AQ3" s="5" t="inlineStr">
        <is>
          <t>PX_SETTLE</t>
        </is>
      </c>
      <c r="AR3" s="5" t="inlineStr">
        <is>
          <t>PX_VOLUME</t>
        </is>
      </c>
      <c r="AS3" s="5" t="inlineStr">
        <is>
          <t>OPEN_INT</t>
        </is>
      </c>
      <c r="AT3" s="5" t="inlineStr">
        <is>
          <t>IVOL_MID</t>
        </is>
      </c>
      <c r="AU3" s="5" t="inlineStr">
        <is>
          <t>IVOL_BID</t>
        </is>
      </c>
      <c r="AV3" s="5" t="inlineStr">
        <is>
          <t>IVOL_ASK</t>
        </is>
      </c>
      <c r="AW3" s="5" t="inlineStr">
        <is>
          <t>DELTA_MID</t>
        </is>
      </c>
      <c r="AX3" s="5" t="inlineStr">
        <is>
          <t>GAMMA_MID</t>
        </is>
      </c>
      <c r="AY3" s="5" t="inlineStr">
        <is>
          <t>VEGA_MID</t>
        </is>
      </c>
      <c r="AZ3" s="5" t="inlineStr">
        <is>
          <t>THETA_MID</t>
        </is>
      </c>
      <c r="BA3" s="5" t="inlineStr">
        <is>
          <t>OPT_UNDL_PX</t>
        </is>
      </c>
      <c r="BC3" s="5" t="inlineStr">
        <is>
          <t>Date</t>
        </is>
      </c>
      <c r="BD3" s="5" t="inlineStr">
        <is>
          <t>PX_BID</t>
        </is>
      </c>
      <c r="BE3" s="5" t="inlineStr">
        <is>
          <t>PX_ASK</t>
        </is>
      </c>
      <c r="BF3" s="5" t="inlineStr">
        <is>
          <t>PX_MID</t>
        </is>
      </c>
      <c r="BG3" s="5" t="inlineStr">
        <is>
          <t>PX_LAST</t>
        </is>
      </c>
      <c r="BH3" s="5" t="inlineStr">
        <is>
          <t>PX_SETTLE</t>
        </is>
      </c>
      <c r="BI3" s="5" t="inlineStr">
        <is>
          <t>PX_VOLUME</t>
        </is>
      </c>
      <c r="BJ3" s="5" t="inlineStr">
        <is>
          <t>OPEN_INT</t>
        </is>
      </c>
      <c r="BK3" s="5" t="inlineStr">
        <is>
          <t>IVOL_MID</t>
        </is>
      </c>
      <c r="BL3" s="5" t="inlineStr">
        <is>
          <t>IVOL_BID</t>
        </is>
      </c>
      <c r="BM3" s="5" t="inlineStr">
        <is>
          <t>IVOL_ASK</t>
        </is>
      </c>
      <c r="BN3" s="5" t="inlineStr">
        <is>
          <t>DELTA_MID</t>
        </is>
      </c>
      <c r="BO3" s="5" t="inlineStr">
        <is>
          <t>GAMMA_MID</t>
        </is>
      </c>
      <c r="BP3" s="5" t="inlineStr">
        <is>
          <t>VEGA_MID</t>
        </is>
      </c>
      <c r="BQ3" s="5" t="inlineStr">
        <is>
          <t>THETA_MID</t>
        </is>
      </c>
      <c r="BR3" s="5" t="inlineStr">
        <is>
          <t>OPT_UNDL_PX</t>
        </is>
      </c>
      <c r="BT3" s="5" t="inlineStr">
        <is>
          <t>Date</t>
        </is>
      </c>
      <c r="BU3" s="5" t="inlineStr">
        <is>
          <t>PX_BID</t>
        </is>
      </c>
      <c r="BV3" s="5" t="inlineStr">
        <is>
          <t>PX_ASK</t>
        </is>
      </c>
      <c r="BW3" s="5" t="inlineStr">
        <is>
          <t>PX_MID</t>
        </is>
      </c>
      <c r="BX3" s="5" t="inlineStr">
        <is>
          <t>PX_LAST</t>
        </is>
      </c>
      <c r="BY3" s="5" t="inlineStr">
        <is>
          <t>PX_SETTLE</t>
        </is>
      </c>
      <c r="BZ3" s="5" t="inlineStr">
        <is>
          <t>PX_VOLUME</t>
        </is>
      </c>
      <c r="CA3" s="5" t="inlineStr">
        <is>
          <t>OPEN_INT</t>
        </is>
      </c>
      <c r="CB3" s="5" t="inlineStr">
        <is>
          <t>IVOL_MID</t>
        </is>
      </c>
      <c r="CC3" s="5" t="inlineStr">
        <is>
          <t>IVOL_BID</t>
        </is>
      </c>
      <c r="CD3" s="5" t="inlineStr">
        <is>
          <t>IVOL_ASK</t>
        </is>
      </c>
      <c r="CE3" s="5" t="inlineStr">
        <is>
          <t>DELTA_MID</t>
        </is>
      </c>
      <c r="CF3" s="5" t="inlineStr">
        <is>
          <t>GAMMA_MID</t>
        </is>
      </c>
      <c r="CG3" s="5" t="inlineStr">
        <is>
          <t>VEGA_MID</t>
        </is>
      </c>
      <c r="CH3" s="5" t="inlineStr">
        <is>
          <t>THETA_MID</t>
        </is>
      </c>
      <c r="CI3" s="5" t="inlineStr">
        <is>
          <t>OPT_UNDL_PX</t>
        </is>
      </c>
      <c r="CK3" s="5" t="inlineStr">
        <is>
          <t>Date</t>
        </is>
      </c>
      <c r="CL3" s="5" t="inlineStr">
        <is>
          <t>PX_BID</t>
        </is>
      </c>
      <c r="CM3" s="5" t="inlineStr">
        <is>
          <t>PX_ASK</t>
        </is>
      </c>
      <c r="CN3" s="5" t="inlineStr">
        <is>
          <t>PX_MID</t>
        </is>
      </c>
      <c r="CO3" s="5" t="inlineStr">
        <is>
          <t>PX_LAST</t>
        </is>
      </c>
      <c r="CP3" s="5" t="inlineStr">
        <is>
          <t>PX_SETTLE</t>
        </is>
      </c>
      <c r="CQ3" s="5" t="inlineStr">
        <is>
          <t>PX_VOLUME</t>
        </is>
      </c>
      <c r="CR3" s="5" t="inlineStr">
        <is>
          <t>OPEN_INT</t>
        </is>
      </c>
      <c r="CS3" s="5" t="inlineStr">
        <is>
          <t>IVOL_MID</t>
        </is>
      </c>
      <c r="CT3" s="5" t="inlineStr">
        <is>
          <t>IVOL_BID</t>
        </is>
      </c>
      <c r="CU3" s="5" t="inlineStr">
        <is>
          <t>IVOL_ASK</t>
        </is>
      </c>
      <c r="CV3" s="5" t="inlineStr">
        <is>
          <t>DELTA_MID</t>
        </is>
      </c>
      <c r="CW3" s="5" t="inlineStr">
        <is>
          <t>GAMMA_MID</t>
        </is>
      </c>
      <c r="CX3" s="5" t="inlineStr">
        <is>
          <t>VEGA_MID</t>
        </is>
      </c>
      <c r="CY3" s="5" t="inlineStr">
        <is>
          <t>THETA_MID</t>
        </is>
      </c>
      <c r="CZ3" s="5" t="inlineStr">
        <is>
          <t>OPT_UNDL_PX</t>
        </is>
      </c>
      <c r="DB3" s="5" t="inlineStr">
        <is>
          <t>Date</t>
        </is>
      </c>
      <c r="DC3" s="5" t="inlineStr">
        <is>
          <t>PX_BID</t>
        </is>
      </c>
      <c r="DD3" s="5" t="inlineStr">
        <is>
          <t>PX_ASK</t>
        </is>
      </c>
      <c r="DE3" s="5" t="inlineStr">
        <is>
          <t>PX_MID</t>
        </is>
      </c>
      <c r="DF3" s="5" t="inlineStr">
        <is>
          <t>PX_LAST</t>
        </is>
      </c>
      <c r="DG3" s="5" t="inlineStr">
        <is>
          <t>PX_SETTLE</t>
        </is>
      </c>
      <c r="DH3" s="5" t="inlineStr">
        <is>
          <t>PX_VOLUME</t>
        </is>
      </c>
      <c r="DI3" s="5" t="inlineStr">
        <is>
          <t>OPEN_INT</t>
        </is>
      </c>
      <c r="DJ3" s="5" t="inlineStr">
        <is>
          <t>IVOL_MID</t>
        </is>
      </c>
      <c r="DK3" s="5" t="inlineStr">
        <is>
          <t>IVOL_BID</t>
        </is>
      </c>
      <c r="DL3" s="5" t="inlineStr">
        <is>
          <t>IVOL_ASK</t>
        </is>
      </c>
      <c r="DM3" s="5" t="inlineStr">
        <is>
          <t>DELTA_MID</t>
        </is>
      </c>
      <c r="DN3" s="5" t="inlineStr">
        <is>
          <t>GAMMA_MID</t>
        </is>
      </c>
      <c r="DO3" s="5" t="inlineStr">
        <is>
          <t>VEGA_MID</t>
        </is>
      </c>
      <c r="DP3" s="5" t="inlineStr">
        <is>
          <t>THETA_MID</t>
        </is>
      </c>
      <c r="DQ3" s="5" t="inlineStr">
        <is>
          <t>OPT_UNDL_PX</t>
        </is>
      </c>
      <c r="DS3" s="5" t="inlineStr">
        <is>
          <t>Date</t>
        </is>
      </c>
      <c r="DT3" s="5" t="inlineStr">
        <is>
          <t>PX_BID</t>
        </is>
      </c>
      <c r="DU3" s="5" t="inlineStr">
        <is>
          <t>PX_ASK</t>
        </is>
      </c>
      <c r="DV3" s="5" t="inlineStr">
        <is>
          <t>PX_MID</t>
        </is>
      </c>
      <c r="DW3" s="5" t="inlineStr">
        <is>
          <t>PX_LAST</t>
        </is>
      </c>
      <c r="DX3" s="5" t="inlineStr">
        <is>
          <t>PX_SETTLE</t>
        </is>
      </c>
      <c r="DY3" s="5" t="inlineStr">
        <is>
          <t>PX_VOLUME</t>
        </is>
      </c>
      <c r="DZ3" s="5" t="inlineStr">
        <is>
          <t>OPEN_INT</t>
        </is>
      </c>
      <c r="EA3" s="5" t="inlineStr">
        <is>
          <t>IVOL_MID</t>
        </is>
      </c>
      <c r="EB3" s="5" t="inlineStr">
        <is>
          <t>IVOL_BID</t>
        </is>
      </c>
      <c r="EC3" s="5" t="inlineStr">
        <is>
          <t>IVOL_ASK</t>
        </is>
      </c>
      <c r="ED3" s="5" t="inlineStr">
        <is>
          <t>DELTA_MID</t>
        </is>
      </c>
      <c r="EE3" s="5" t="inlineStr">
        <is>
          <t>GAMMA_MID</t>
        </is>
      </c>
      <c r="EF3" s="5" t="inlineStr">
        <is>
          <t>VEGA_MID</t>
        </is>
      </c>
      <c r="EG3" s="5" t="inlineStr">
        <is>
          <t>THETA_MID</t>
        </is>
      </c>
      <c r="EH3" s="5" t="inlineStr">
        <is>
          <t>OPT_UNDL_PX</t>
        </is>
      </c>
      <c r="EJ3" s="5" t="inlineStr">
        <is>
          <t>Date</t>
        </is>
      </c>
      <c r="EK3" s="5" t="inlineStr">
        <is>
          <t>PX_BID</t>
        </is>
      </c>
      <c r="EL3" s="5" t="inlineStr">
        <is>
          <t>PX_ASK</t>
        </is>
      </c>
      <c r="EM3" s="5" t="inlineStr">
        <is>
          <t>PX_MID</t>
        </is>
      </c>
      <c r="EN3" s="5" t="inlineStr">
        <is>
          <t>PX_LAST</t>
        </is>
      </c>
      <c r="EO3" s="5" t="inlineStr">
        <is>
          <t>PX_SETTLE</t>
        </is>
      </c>
      <c r="EP3" s="5" t="inlineStr">
        <is>
          <t>PX_VOLUME</t>
        </is>
      </c>
      <c r="EQ3" s="5" t="inlineStr">
        <is>
          <t>OPEN_INT</t>
        </is>
      </c>
      <c r="ER3" s="5" t="inlineStr">
        <is>
          <t>IVOL_MID</t>
        </is>
      </c>
      <c r="ES3" s="5" t="inlineStr">
        <is>
          <t>IVOL_BID</t>
        </is>
      </c>
      <c r="ET3" s="5" t="inlineStr">
        <is>
          <t>IVOL_ASK</t>
        </is>
      </c>
      <c r="EU3" s="5" t="inlineStr">
        <is>
          <t>DELTA_MID</t>
        </is>
      </c>
      <c r="EV3" s="5" t="inlineStr">
        <is>
          <t>GAMMA_MID</t>
        </is>
      </c>
      <c r="EW3" s="5" t="inlineStr">
        <is>
          <t>VEGA_MID</t>
        </is>
      </c>
      <c r="EX3" s="5" t="inlineStr">
        <is>
          <t>THETA_MID</t>
        </is>
      </c>
      <c r="EY3" s="5" t="inlineStr">
        <is>
          <t>OPT_UNDL_PX</t>
        </is>
      </c>
      <c r="FA3" s="5" t="inlineStr">
        <is>
          <t>Date</t>
        </is>
      </c>
      <c r="FB3" s="5" t="inlineStr">
        <is>
          <t>PX_BID</t>
        </is>
      </c>
      <c r="FC3" s="5" t="inlineStr">
        <is>
          <t>PX_ASK</t>
        </is>
      </c>
      <c r="FD3" s="5" t="inlineStr">
        <is>
          <t>PX_MID</t>
        </is>
      </c>
      <c r="FE3" s="5" t="inlineStr">
        <is>
          <t>PX_LAST</t>
        </is>
      </c>
      <c r="FF3" s="5" t="inlineStr">
        <is>
          <t>PX_SETTLE</t>
        </is>
      </c>
      <c r="FG3" s="5" t="inlineStr">
        <is>
          <t>PX_VOLUME</t>
        </is>
      </c>
      <c r="FH3" s="5" t="inlineStr">
        <is>
          <t>OPEN_INT</t>
        </is>
      </c>
      <c r="FI3" s="5" t="inlineStr">
        <is>
          <t>IVOL_MID</t>
        </is>
      </c>
      <c r="FJ3" s="5" t="inlineStr">
        <is>
          <t>IVOL_BID</t>
        </is>
      </c>
      <c r="FK3" s="5" t="inlineStr">
        <is>
          <t>IVOL_ASK</t>
        </is>
      </c>
      <c r="FL3" s="5" t="inlineStr">
        <is>
          <t>DELTA_MID</t>
        </is>
      </c>
      <c r="FM3" s="5" t="inlineStr">
        <is>
          <t>GAMMA_MID</t>
        </is>
      </c>
      <c r="FN3" s="5" t="inlineStr">
        <is>
          <t>VEGA_MID</t>
        </is>
      </c>
      <c r="FO3" s="5" t="inlineStr">
        <is>
          <t>THETA_MID</t>
        </is>
      </c>
      <c r="FP3" s="5" t="inlineStr">
        <is>
          <t>OPT_UNDL_PX</t>
        </is>
      </c>
      <c r="FR3" s="5" t="inlineStr">
        <is>
          <t>Date</t>
        </is>
      </c>
      <c r="FS3" s="5" t="inlineStr">
        <is>
          <t>PX_BID</t>
        </is>
      </c>
      <c r="FT3" s="5" t="inlineStr">
        <is>
          <t>PX_ASK</t>
        </is>
      </c>
      <c r="FU3" s="5" t="inlineStr">
        <is>
          <t>PX_MID</t>
        </is>
      </c>
      <c r="FV3" s="5" t="inlineStr">
        <is>
          <t>PX_LAST</t>
        </is>
      </c>
      <c r="FW3" s="5" t="inlineStr">
        <is>
          <t>PX_SETTLE</t>
        </is>
      </c>
      <c r="FX3" s="5" t="inlineStr">
        <is>
          <t>PX_VOLUME</t>
        </is>
      </c>
      <c r="FY3" s="5" t="inlineStr">
        <is>
          <t>OPEN_INT</t>
        </is>
      </c>
      <c r="FZ3" s="5" t="inlineStr">
        <is>
          <t>IVOL_MID</t>
        </is>
      </c>
      <c r="GA3" s="5" t="inlineStr">
        <is>
          <t>IVOL_BID</t>
        </is>
      </c>
      <c r="GB3" s="5" t="inlineStr">
        <is>
          <t>IVOL_ASK</t>
        </is>
      </c>
      <c r="GC3" s="5" t="inlineStr">
        <is>
          <t>DELTA_MID</t>
        </is>
      </c>
      <c r="GD3" s="5" t="inlineStr">
        <is>
          <t>GAMMA_MID</t>
        </is>
      </c>
      <c r="GE3" s="5" t="inlineStr">
        <is>
          <t>VEGA_MID</t>
        </is>
      </c>
      <c r="GF3" s="5" t="inlineStr">
        <is>
          <t>THETA_MID</t>
        </is>
      </c>
      <c r="GG3" s="5" t="inlineStr">
        <is>
          <t>OPT_UNDL_PX</t>
        </is>
      </c>
      <c r="GI3" s="5" t="inlineStr">
        <is>
          <t>Date</t>
        </is>
      </c>
      <c r="GJ3" s="5" t="inlineStr">
        <is>
          <t>PX_BID</t>
        </is>
      </c>
      <c r="GK3" s="5" t="inlineStr">
        <is>
          <t>PX_ASK</t>
        </is>
      </c>
      <c r="GL3" s="5" t="inlineStr">
        <is>
          <t>PX_MID</t>
        </is>
      </c>
      <c r="GM3" s="5" t="inlineStr">
        <is>
          <t>PX_LAST</t>
        </is>
      </c>
      <c r="GN3" s="5" t="inlineStr">
        <is>
          <t>PX_SETTLE</t>
        </is>
      </c>
      <c r="GO3" s="5" t="inlineStr">
        <is>
          <t>PX_VOLUME</t>
        </is>
      </c>
      <c r="GP3" s="5" t="inlineStr">
        <is>
          <t>OPEN_INT</t>
        </is>
      </c>
      <c r="GQ3" s="5" t="inlineStr">
        <is>
          <t>IVOL_MID</t>
        </is>
      </c>
      <c r="GR3" s="5" t="inlineStr">
        <is>
          <t>IVOL_BID</t>
        </is>
      </c>
      <c r="GS3" s="5" t="inlineStr">
        <is>
          <t>IVOL_ASK</t>
        </is>
      </c>
      <c r="GT3" s="5" t="inlineStr">
        <is>
          <t>DELTA_MID</t>
        </is>
      </c>
      <c r="GU3" s="5" t="inlineStr">
        <is>
          <t>GAMMA_MID</t>
        </is>
      </c>
      <c r="GV3" s="5" t="inlineStr">
        <is>
          <t>VEGA_MID</t>
        </is>
      </c>
      <c r="GW3" s="5" t="inlineStr">
        <is>
          <t>THETA_MID</t>
        </is>
      </c>
      <c r="GX3" s="5" t="inlineStr">
        <is>
          <t>OPT_UNDL_PX</t>
        </is>
      </c>
      <c r="GZ3" s="5" t="inlineStr">
        <is>
          <t>Date</t>
        </is>
      </c>
      <c r="HA3" s="5" t="inlineStr">
        <is>
          <t>PX_BID</t>
        </is>
      </c>
      <c r="HB3" s="5" t="inlineStr">
        <is>
          <t>PX_ASK</t>
        </is>
      </c>
      <c r="HC3" s="5" t="inlineStr">
        <is>
          <t>PX_MID</t>
        </is>
      </c>
      <c r="HD3" s="5" t="inlineStr">
        <is>
          <t>PX_LAST</t>
        </is>
      </c>
      <c r="HE3" s="5" t="inlineStr">
        <is>
          <t>PX_SETTLE</t>
        </is>
      </c>
      <c r="HF3" s="5" t="inlineStr">
        <is>
          <t>PX_VOLUME</t>
        </is>
      </c>
      <c r="HG3" s="5" t="inlineStr">
        <is>
          <t>OPEN_INT</t>
        </is>
      </c>
      <c r="HH3" s="5" t="inlineStr">
        <is>
          <t>IVOL_MID</t>
        </is>
      </c>
      <c r="HI3" s="5" t="inlineStr">
        <is>
          <t>IVOL_BID</t>
        </is>
      </c>
      <c r="HJ3" s="5" t="inlineStr">
        <is>
          <t>IVOL_ASK</t>
        </is>
      </c>
      <c r="HK3" s="5" t="inlineStr">
        <is>
          <t>DELTA_MID</t>
        </is>
      </c>
      <c r="HL3" s="5" t="inlineStr">
        <is>
          <t>GAMMA_MID</t>
        </is>
      </c>
      <c r="HM3" s="5" t="inlineStr">
        <is>
          <t>VEGA_MID</t>
        </is>
      </c>
      <c r="HN3" s="5" t="inlineStr">
        <is>
          <t>THETA_MID</t>
        </is>
      </c>
      <c r="HO3" s="5" t="inlineStr">
        <is>
          <t>OPT_UNDL_PX</t>
        </is>
      </c>
      <c r="HQ3" s="5" t="inlineStr">
        <is>
          <t>Date</t>
        </is>
      </c>
      <c r="HR3" s="5" t="inlineStr">
        <is>
          <t>PX_BID</t>
        </is>
      </c>
      <c r="HS3" s="5" t="inlineStr">
        <is>
          <t>PX_ASK</t>
        </is>
      </c>
      <c r="HT3" s="5" t="inlineStr">
        <is>
          <t>PX_MID</t>
        </is>
      </c>
      <c r="HU3" s="5" t="inlineStr">
        <is>
          <t>PX_LAST</t>
        </is>
      </c>
      <c r="HV3" s="5" t="inlineStr">
        <is>
          <t>PX_SETTLE</t>
        </is>
      </c>
      <c r="HW3" s="5" t="inlineStr">
        <is>
          <t>PX_VOLUME</t>
        </is>
      </c>
      <c r="HX3" s="5" t="inlineStr">
        <is>
          <t>OPEN_INT</t>
        </is>
      </c>
      <c r="HY3" s="5" t="inlineStr">
        <is>
          <t>IVOL_MID</t>
        </is>
      </c>
      <c r="HZ3" s="5" t="inlineStr">
        <is>
          <t>IVOL_BID</t>
        </is>
      </c>
      <c r="IA3" s="5" t="inlineStr">
        <is>
          <t>IVOL_ASK</t>
        </is>
      </c>
      <c r="IB3" s="5" t="inlineStr">
        <is>
          <t>DELTA_MID</t>
        </is>
      </c>
      <c r="IC3" s="5" t="inlineStr">
        <is>
          <t>GAMMA_MID</t>
        </is>
      </c>
      <c r="ID3" s="5" t="inlineStr">
        <is>
          <t>VEGA_MID</t>
        </is>
      </c>
      <c r="IE3" s="5" t="inlineStr">
        <is>
          <t>THETA_MID</t>
        </is>
      </c>
      <c r="IF3" s="5" t="inlineStr">
        <is>
          <t>OPT_UNDL_PX</t>
        </is>
      </c>
      <c r="IH3" s="5" t="inlineStr">
        <is>
          <t>Date</t>
        </is>
      </c>
      <c r="II3" s="5" t="inlineStr">
        <is>
          <t>PX_BID</t>
        </is>
      </c>
      <c r="IJ3" s="5" t="inlineStr">
        <is>
          <t>PX_ASK</t>
        </is>
      </c>
      <c r="IK3" s="5" t="inlineStr">
        <is>
          <t>PX_MID</t>
        </is>
      </c>
      <c r="IL3" s="5" t="inlineStr">
        <is>
          <t>PX_LAST</t>
        </is>
      </c>
      <c r="IM3" s="5" t="inlineStr">
        <is>
          <t>PX_SETTLE</t>
        </is>
      </c>
      <c r="IN3" s="5" t="inlineStr">
        <is>
          <t>PX_VOLUME</t>
        </is>
      </c>
      <c r="IO3" s="5" t="inlineStr">
        <is>
          <t>OPEN_INT</t>
        </is>
      </c>
      <c r="IP3" s="5" t="inlineStr">
        <is>
          <t>IVOL_MID</t>
        </is>
      </c>
      <c r="IQ3" s="5" t="inlineStr">
        <is>
          <t>IVOL_BID</t>
        </is>
      </c>
      <c r="IR3" s="5" t="inlineStr">
        <is>
          <t>IVOL_ASK</t>
        </is>
      </c>
      <c r="IS3" s="5" t="inlineStr">
        <is>
          <t>DELTA_MID</t>
        </is>
      </c>
      <c r="IT3" s="5" t="inlineStr">
        <is>
          <t>GAMMA_MID</t>
        </is>
      </c>
      <c r="IU3" s="5" t="inlineStr">
        <is>
          <t>VEGA_MID</t>
        </is>
      </c>
      <c r="IV3" s="5" t="inlineStr">
        <is>
          <t>THETA_MID</t>
        </is>
      </c>
      <c r="IW3" s="5" t="inlineStr">
        <is>
          <t>OPT_UNDL_PX</t>
        </is>
      </c>
      <c r="IY3" s="5" t="inlineStr">
        <is>
          <t>Date</t>
        </is>
      </c>
      <c r="IZ3" s="5" t="inlineStr">
        <is>
          <t>PX_BID</t>
        </is>
      </c>
      <c r="JA3" s="5" t="inlineStr">
        <is>
          <t>PX_ASK</t>
        </is>
      </c>
      <c r="JB3" s="5" t="inlineStr">
        <is>
          <t>PX_MID</t>
        </is>
      </c>
      <c r="JC3" s="5" t="inlineStr">
        <is>
          <t>PX_LAST</t>
        </is>
      </c>
      <c r="JD3" s="5" t="inlineStr">
        <is>
          <t>PX_SETTLE</t>
        </is>
      </c>
      <c r="JE3" s="5" t="inlineStr">
        <is>
          <t>PX_VOLUME</t>
        </is>
      </c>
      <c r="JF3" s="5" t="inlineStr">
        <is>
          <t>OPEN_INT</t>
        </is>
      </c>
      <c r="JG3" s="5" t="inlineStr">
        <is>
          <t>IVOL_MID</t>
        </is>
      </c>
      <c r="JH3" s="5" t="inlineStr">
        <is>
          <t>IVOL_BID</t>
        </is>
      </c>
      <c r="JI3" s="5" t="inlineStr">
        <is>
          <t>IVOL_ASK</t>
        </is>
      </c>
      <c r="JJ3" s="5" t="inlineStr">
        <is>
          <t>DELTA_MID</t>
        </is>
      </c>
      <c r="JK3" s="5" t="inlineStr">
        <is>
          <t>GAMMA_MID</t>
        </is>
      </c>
      <c r="JL3" s="5" t="inlineStr">
        <is>
          <t>VEGA_MID</t>
        </is>
      </c>
      <c r="JM3" s="5" t="inlineStr">
        <is>
          <t>THETA_MID</t>
        </is>
      </c>
      <c r="JN3" s="5" t="inlineStr">
        <is>
          <t>OPT_UNDL_PX</t>
        </is>
      </c>
      <c r="JP3" s="5" t="inlineStr">
        <is>
          <t>Date</t>
        </is>
      </c>
      <c r="JQ3" s="5" t="inlineStr">
        <is>
          <t>PX_BID</t>
        </is>
      </c>
      <c r="JR3" s="5" t="inlineStr">
        <is>
          <t>PX_ASK</t>
        </is>
      </c>
      <c r="JS3" s="5" t="inlineStr">
        <is>
          <t>PX_MID</t>
        </is>
      </c>
      <c r="JT3" s="5" t="inlineStr">
        <is>
          <t>PX_LAST</t>
        </is>
      </c>
      <c r="JU3" s="5" t="inlineStr">
        <is>
          <t>PX_SETTLE</t>
        </is>
      </c>
      <c r="JV3" s="5" t="inlineStr">
        <is>
          <t>PX_VOLUME</t>
        </is>
      </c>
      <c r="JW3" s="5" t="inlineStr">
        <is>
          <t>OPEN_INT</t>
        </is>
      </c>
      <c r="JX3" s="5" t="inlineStr">
        <is>
          <t>IVOL_MID</t>
        </is>
      </c>
      <c r="JY3" s="5" t="inlineStr">
        <is>
          <t>IVOL_BID</t>
        </is>
      </c>
      <c r="JZ3" s="5" t="inlineStr">
        <is>
          <t>IVOL_ASK</t>
        </is>
      </c>
      <c r="KA3" s="5" t="inlineStr">
        <is>
          <t>DELTA_MID</t>
        </is>
      </c>
      <c r="KB3" s="5" t="inlineStr">
        <is>
          <t>GAMMA_MID</t>
        </is>
      </c>
      <c r="KC3" s="5" t="inlineStr">
        <is>
          <t>VEGA_MID</t>
        </is>
      </c>
      <c r="KD3" s="5" t="inlineStr">
        <is>
          <t>THETA_MID</t>
        </is>
      </c>
      <c r="KE3" s="5" t="inlineStr">
        <is>
          <t>OPT_UNDL_PX</t>
        </is>
      </c>
      <c r="KG3" s="5" t="inlineStr">
        <is>
          <t>Date</t>
        </is>
      </c>
      <c r="KH3" s="5" t="inlineStr">
        <is>
          <t>PX_BID</t>
        </is>
      </c>
      <c r="KI3" s="5" t="inlineStr">
        <is>
          <t>PX_ASK</t>
        </is>
      </c>
      <c r="KJ3" s="5" t="inlineStr">
        <is>
          <t>PX_MID</t>
        </is>
      </c>
      <c r="KK3" s="5" t="inlineStr">
        <is>
          <t>PX_LAST</t>
        </is>
      </c>
      <c r="KL3" s="5" t="inlineStr">
        <is>
          <t>PX_SETTLE</t>
        </is>
      </c>
      <c r="KM3" s="5" t="inlineStr">
        <is>
          <t>PX_VOLUME</t>
        </is>
      </c>
      <c r="KN3" s="5" t="inlineStr">
        <is>
          <t>OPEN_INT</t>
        </is>
      </c>
      <c r="KO3" s="5" t="inlineStr">
        <is>
          <t>IVOL_MID</t>
        </is>
      </c>
      <c r="KP3" s="5" t="inlineStr">
        <is>
          <t>IVOL_BID</t>
        </is>
      </c>
      <c r="KQ3" s="5" t="inlineStr">
        <is>
          <t>IVOL_ASK</t>
        </is>
      </c>
      <c r="KR3" s="5" t="inlineStr">
        <is>
          <t>DELTA_MID</t>
        </is>
      </c>
      <c r="KS3" s="5" t="inlineStr">
        <is>
          <t>GAMMA_MID</t>
        </is>
      </c>
      <c r="KT3" s="5" t="inlineStr">
        <is>
          <t>VEGA_MID</t>
        </is>
      </c>
      <c r="KU3" s="5" t="inlineStr">
        <is>
          <t>THETA_MID</t>
        </is>
      </c>
      <c r="KV3" s="5" t="inlineStr">
        <is>
          <t>OPT_UNDL_PX</t>
        </is>
      </c>
      <c r="KX3" s="5" t="inlineStr">
        <is>
          <t>Date</t>
        </is>
      </c>
      <c r="KY3" s="5" t="inlineStr">
        <is>
          <t>PX_BID</t>
        </is>
      </c>
      <c r="KZ3" s="5" t="inlineStr">
        <is>
          <t>PX_ASK</t>
        </is>
      </c>
      <c r="LA3" s="5" t="inlineStr">
        <is>
          <t>PX_MID</t>
        </is>
      </c>
      <c r="LB3" s="5" t="inlineStr">
        <is>
          <t>PX_LAST</t>
        </is>
      </c>
      <c r="LC3" s="5" t="inlineStr">
        <is>
          <t>PX_SETTLE</t>
        </is>
      </c>
      <c r="LD3" s="5" t="inlineStr">
        <is>
          <t>PX_VOLUME</t>
        </is>
      </c>
      <c r="LE3" s="5" t="inlineStr">
        <is>
          <t>OPEN_INT</t>
        </is>
      </c>
      <c r="LF3" s="5" t="inlineStr">
        <is>
          <t>IVOL_MID</t>
        </is>
      </c>
      <c r="LG3" s="5" t="inlineStr">
        <is>
          <t>IVOL_BID</t>
        </is>
      </c>
      <c r="LH3" s="5" t="inlineStr">
        <is>
          <t>IVOL_ASK</t>
        </is>
      </c>
      <c r="LI3" s="5" t="inlineStr">
        <is>
          <t>DELTA_MID</t>
        </is>
      </c>
      <c r="LJ3" s="5" t="inlineStr">
        <is>
          <t>GAMMA_MID</t>
        </is>
      </c>
      <c r="LK3" s="5" t="inlineStr">
        <is>
          <t>VEGA_MID</t>
        </is>
      </c>
      <c r="LL3" s="5" t="inlineStr">
        <is>
          <t>THETA_MID</t>
        </is>
      </c>
      <c r="LM3" s="5" t="inlineStr">
        <is>
          <t>OPT_UNDL_PX</t>
        </is>
      </c>
      <c r="LO3" s="5" t="inlineStr">
        <is>
          <t>Date</t>
        </is>
      </c>
      <c r="LP3" s="5" t="inlineStr">
        <is>
          <t>PX_BID</t>
        </is>
      </c>
      <c r="LQ3" s="5" t="inlineStr">
        <is>
          <t>PX_ASK</t>
        </is>
      </c>
      <c r="LR3" s="5" t="inlineStr">
        <is>
          <t>PX_MID</t>
        </is>
      </c>
      <c r="LS3" s="5" t="inlineStr">
        <is>
          <t>PX_LAST</t>
        </is>
      </c>
      <c r="LT3" s="5" t="inlineStr">
        <is>
          <t>PX_SETTLE</t>
        </is>
      </c>
      <c r="LU3" s="5" t="inlineStr">
        <is>
          <t>PX_VOLUME</t>
        </is>
      </c>
      <c r="LV3" s="5" t="inlineStr">
        <is>
          <t>OPEN_INT</t>
        </is>
      </c>
      <c r="LW3" s="5" t="inlineStr">
        <is>
          <t>IVOL_MID</t>
        </is>
      </c>
      <c r="LX3" s="5" t="inlineStr">
        <is>
          <t>IVOL_BID</t>
        </is>
      </c>
      <c r="LY3" s="5" t="inlineStr">
        <is>
          <t>IVOL_ASK</t>
        </is>
      </c>
      <c r="LZ3" s="5" t="inlineStr">
        <is>
          <t>DELTA_MID</t>
        </is>
      </c>
      <c r="MA3" s="5" t="inlineStr">
        <is>
          <t>GAMMA_MID</t>
        </is>
      </c>
      <c r="MB3" s="5" t="inlineStr">
        <is>
          <t>VEGA_MID</t>
        </is>
      </c>
      <c r="MC3" s="5" t="inlineStr">
        <is>
          <t>THETA_MID</t>
        </is>
      </c>
      <c r="MD3" s="5" t="inlineStr">
        <is>
          <t>OPT_UNDL_PX</t>
        </is>
      </c>
      <c r="MF3" s="5" t="inlineStr">
        <is>
          <t>Date</t>
        </is>
      </c>
      <c r="MG3" s="5" t="inlineStr">
        <is>
          <t>PX_BID</t>
        </is>
      </c>
      <c r="MH3" s="5" t="inlineStr">
        <is>
          <t>PX_ASK</t>
        </is>
      </c>
      <c r="MI3" s="5" t="inlineStr">
        <is>
          <t>PX_MID</t>
        </is>
      </c>
      <c r="MJ3" s="5" t="inlineStr">
        <is>
          <t>PX_LAST</t>
        </is>
      </c>
      <c r="MK3" s="5" t="inlineStr">
        <is>
          <t>PX_SETTLE</t>
        </is>
      </c>
      <c r="ML3" s="5" t="inlineStr">
        <is>
          <t>PX_VOLUME</t>
        </is>
      </c>
      <c r="MM3" s="5" t="inlineStr">
        <is>
          <t>OPEN_INT</t>
        </is>
      </c>
      <c r="MN3" s="5" t="inlineStr">
        <is>
          <t>IVOL_MID</t>
        </is>
      </c>
      <c r="MO3" s="5" t="inlineStr">
        <is>
          <t>IVOL_BID</t>
        </is>
      </c>
      <c r="MP3" s="5" t="inlineStr">
        <is>
          <t>IVOL_ASK</t>
        </is>
      </c>
      <c r="MQ3" s="5" t="inlineStr">
        <is>
          <t>DELTA_MID</t>
        </is>
      </c>
      <c r="MR3" s="5" t="inlineStr">
        <is>
          <t>GAMMA_MID</t>
        </is>
      </c>
      <c r="MS3" s="5" t="inlineStr">
        <is>
          <t>VEGA_MID</t>
        </is>
      </c>
      <c r="MT3" s="5" t="inlineStr">
        <is>
          <t>THETA_MID</t>
        </is>
      </c>
      <c r="MU3" s="5" t="inlineStr">
        <is>
          <t>OPT_UNDL_PX</t>
        </is>
      </c>
      <c r="MW3" s="5" t="inlineStr">
        <is>
          <t>Date</t>
        </is>
      </c>
      <c r="MX3" s="5" t="inlineStr">
        <is>
          <t>PX_BID</t>
        </is>
      </c>
      <c r="MY3" s="5" t="inlineStr">
        <is>
          <t>PX_ASK</t>
        </is>
      </c>
      <c r="MZ3" s="5" t="inlineStr">
        <is>
          <t>PX_MID</t>
        </is>
      </c>
      <c r="NA3" s="5" t="inlineStr">
        <is>
          <t>PX_LAST</t>
        </is>
      </c>
      <c r="NB3" s="5" t="inlineStr">
        <is>
          <t>PX_SETTLE</t>
        </is>
      </c>
      <c r="NC3" s="5" t="inlineStr">
        <is>
          <t>PX_VOLUME</t>
        </is>
      </c>
      <c r="ND3" s="5" t="inlineStr">
        <is>
          <t>OPEN_INT</t>
        </is>
      </c>
      <c r="NE3" s="5" t="inlineStr">
        <is>
          <t>IVOL_MID</t>
        </is>
      </c>
      <c r="NF3" s="5" t="inlineStr">
        <is>
          <t>IVOL_BID</t>
        </is>
      </c>
      <c r="NG3" s="5" t="inlineStr">
        <is>
          <t>IVOL_ASK</t>
        </is>
      </c>
      <c r="NH3" s="5" t="inlineStr">
        <is>
          <t>DELTA_MID</t>
        </is>
      </c>
      <c r="NI3" s="5" t="inlineStr">
        <is>
          <t>GAMMA_MID</t>
        </is>
      </c>
      <c r="NJ3" s="5" t="inlineStr">
        <is>
          <t>VEGA_MID</t>
        </is>
      </c>
      <c r="NK3" s="5" t="inlineStr">
        <is>
          <t>THETA_MID</t>
        </is>
      </c>
      <c r="NL3" s="5" t="inlineStr">
        <is>
          <t>OPT_UNDL_PX</t>
        </is>
      </c>
    </row>
    <row r="4">
      <c r="A4" s="2" t="inlineStr">
        <is>
          <t>Strike reference date</t>
        </is>
      </c>
      <c r="B4" s="8">
        <f>B3-45</f>
        <v/>
      </c>
      <c r="D4" s="4">
        <f>BDH(D$1,E$3:S$3,$B$8,$B$9,"Dir=V","Dts=S","Sort=A","Days=T","Fill=B")</f>
        <v/>
      </c>
      <c r="U4" s="4">
        <f>BDH(U$1,V$3:AJ$3,$B$8,$B$9,"Dir=V","Dts=S","Sort=A","Days=T","Fill=B")</f>
        <v/>
      </c>
      <c r="AL4" s="4">
        <f>BDH(AL$1,AM$3:BA$3,$B$8,$B$9,"Dir=V","Dts=S","Sort=A","Days=T","Fill=B")</f>
        <v/>
      </c>
      <c r="BC4" s="4">
        <f>BDH(BC$1,BD$3:BR$3,$B$8,$B$9,"Dir=V","Dts=S","Sort=A","Days=T","Fill=B")</f>
        <v/>
      </c>
      <c r="BT4" s="4">
        <f>BDH(BT$1,BU$3:CI$3,$B$8,$B$9,"Dir=V","Dts=S","Sort=A","Days=T","Fill=B")</f>
        <v/>
      </c>
      <c r="CK4" s="4">
        <f>BDH(CK$1,CL$3:CZ$3,$B$8,$B$9,"Dir=V","Dts=S","Sort=A","Days=T","Fill=B")</f>
        <v/>
      </c>
      <c r="DB4" s="4">
        <f>BDH(DB$1,DC$3:DQ$3,$B$8,$B$9,"Dir=V","Dts=S","Sort=A","Days=T","Fill=B")</f>
        <v/>
      </c>
      <c r="DS4" s="4">
        <f>BDH(DS$1,DT$3:EH$3,$B$8,$B$9,"Dir=V","Dts=S","Sort=A","Days=T","Fill=B")</f>
        <v/>
      </c>
      <c r="EJ4" s="4">
        <f>BDH(EJ$1,EK$3:EY$3,$B$8,$B$9,"Dir=V","Dts=S","Sort=A","Days=T","Fill=B")</f>
        <v/>
      </c>
      <c r="FA4" s="4">
        <f>BDH(FA$1,FB$3:FP$3,$B$8,$B$9,"Dir=V","Dts=S","Sort=A","Days=T","Fill=B")</f>
        <v/>
      </c>
      <c r="FR4" s="4">
        <f>BDH(FR$1,FS$3:GG$3,$B$8,$B$9,"Dir=V","Dts=S","Sort=A","Days=T","Fill=B")</f>
        <v/>
      </c>
      <c r="GI4" s="4">
        <f>BDH(GI$1,GJ$3:GX$3,$B$8,$B$9,"Dir=V","Dts=S","Sort=A","Days=T","Fill=B")</f>
        <v/>
      </c>
      <c r="GZ4" s="4">
        <f>BDH(GZ$1,HA$3:HO$3,$B$8,$B$9,"Dir=V","Dts=S","Sort=A","Days=T","Fill=B")</f>
        <v/>
      </c>
      <c r="HQ4" s="4">
        <f>BDH(HQ$1,HR$3:IF$3,$B$8,$B$9,"Dir=V","Dts=S","Sort=A","Days=T","Fill=B")</f>
        <v/>
      </c>
      <c r="IH4" s="4">
        <f>BDH(IH$1,II$3:IW$3,$B$8,$B$9,"Dir=V","Dts=S","Sort=A","Days=T","Fill=B")</f>
        <v/>
      </c>
      <c r="IY4" s="4">
        <f>BDH(IY$1,IZ$3:JN$3,$B$8,$B$9,"Dir=V","Dts=S","Sort=A","Days=T","Fill=B")</f>
        <v/>
      </c>
      <c r="JP4" s="4">
        <f>BDH(JP$1,JQ$3:KE$3,$B$8,$B$9,"Dir=V","Dts=S","Sort=A","Days=T","Fill=B")</f>
        <v/>
      </c>
      <c r="KG4" s="4">
        <f>BDH(KG$1,KH$3:KV$3,$B$8,$B$9,"Dir=V","Dts=S","Sort=A","Days=T","Fill=B")</f>
        <v/>
      </c>
      <c r="KX4" s="4">
        <f>BDH(KX$1,KY$3:LM$3,$B$8,$B$9,"Dir=V","Dts=S","Sort=A","Days=T","Fill=B")</f>
        <v/>
      </c>
      <c r="LO4" s="4">
        <f>BDH(LO$1,LP$3:MD$3,$B$8,$B$9,"Dir=V","Dts=S","Sort=A","Days=T","Fill=B")</f>
        <v/>
      </c>
      <c r="MF4" s="4">
        <f>BDH(MF$1,MG$3:MU$3,$B$8,$B$9,"Dir=V","Dts=S","Sort=A","Days=T","Fill=B")</f>
        <v/>
      </c>
      <c r="MW4" s="4">
        <f>BDH(MW$1,MX$3:NL$3,$B$8,$B$9,"Dir=V","Dts=S","Sort=A","Days=T","Fill=B")</f>
        <v/>
      </c>
    </row>
    <row r="5">
      <c r="A5" s="2" t="inlineStr">
        <is>
          <t>Unadjusted close then</t>
        </is>
      </c>
      <c r="B5" s="10">
        <f>IF(B2="","",BDH(B2,"PX_LAST",B4,B4,"Days=A","Fill=P","Dts=H","CshAdjNormal=N","CshAdjAbnormal=N","CapChg=N"))</f>
        <v/>
      </c>
    </row>
    <row r="6">
      <c r="A6" s="2" t="inlineStr">
        <is>
          <t>Strike step</t>
        </is>
      </c>
      <c r="B6" s="11">
        <f>IF(ISNUMBER(B5),IF(B5&lt;25,0.5,IF(B5&lt;250,1,5)),"")</f>
        <v/>
      </c>
    </row>
    <row r="7">
      <c r="A7" s="2" t="inlineStr">
        <is>
          <t>ATM strike</t>
        </is>
      </c>
      <c r="B7" s="11">
        <f>IF(ISNUMBER(B5),ROUND(B5/B6,0)*B6,"")</f>
        <v/>
      </c>
    </row>
    <row r="8">
      <c r="A8" s="2" t="inlineStr">
        <is>
          <t>History start</t>
        </is>
      </c>
      <c r="B8" s="8">
        <f>B3-100</f>
        <v/>
      </c>
    </row>
    <row r="9">
      <c r="A9" s="2" t="inlineStr">
        <is>
          <t>History end</t>
        </is>
      </c>
      <c r="B9" s="8">
        <f>B3</f>
        <v/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NL9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2" customWidth="1" min="2" max="2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1" customWidth="1" min="15" max="15"/>
    <col width="11" customWidth="1" min="16" max="16"/>
    <col width="10" customWidth="1" min="17" max="17"/>
    <col width="11" customWidth="1" min="18" max="18"/>
    <col width="13" customWidth="1" min="19" max="19"/>
    <col width="12" customWidth="1" min="21" max="21"/>
    <col width="10" customWidth="1" min="22" max="22"/>
    <col width="10" customWidth="1" min="23" max="23"/>
    <col width="10" customWidth="1" min="24" max="24"/>
    <col width="10" customWidth="1" min="25" max="25"/>
    <col width="11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1" customWidth="1" min="32" max="32"/>
    <col width="11" customWidth="1" min="33" max="33"/>
    <col width="10" customWidth="1" min="34" max="34"/>
    <col width="11" customWidth="1" min="35" max="35"/>
    <col width="13" customWidth="1" min="36" max="36"/>
    <col width="12" customWidth="1" min="38" max="38"/>
    <col width="10" customWidth="1" min="39" max="39"/>
    <col width="10" customWidth="1" min="40" max="40"/>
    <col width="10" customWidth="1" min="41" max="41"/>
    <col width="10" customWidth="1" min="42" max="42"/>
    <col width="11" customWidth="1" min="43" max="43"/>
    <col width="11" customWidth="1" min="44" max="44"/>
    <col width="10" customWidth="1" min="45" max="45"/>
    <col width="10" customWidth="1" min="46" max="46"/>
    <col width="10" customWidth="1" min="47" max="47"/>
    <col width="10" customWidth="1" min="48" max="48"/>
    <col width="11" customWidth="1" min="49" max="49"/>
    <col width="11" customWidth="1" min="50" max="50"/>
    <col width="10" customWidth="1" min="51" max="51"/>
    <col width="11" customWidth="1" min="52" max="52"/>
    <col width="13" customWidth="1" min="53" max="53"/>
    <col width="12" customWidth="1" min="55" max="55"/>
    <col width="10" customWidth="1" min="56" max="56"/>
    <col width="10" customWidth="1" min="57" max="57"/>
    <col width="10" customWidth="1" min="58" max="58"/>
    <col width="10" customWidth="1" min="59" max="59"/>
    <col width="11" customWidth="1" min="60" max="60"/>
    <col width="11" customWidth="1" min="61" max="61"/>
    <col width="10" customWidth="1" min="62" max="62"/>
    <col width="10" customWidth="1" min="63" max="63"/>
    <col width="10" customWidth="1" min="64" max="64"/>
    <col width="10" customWidth="1" min="65" max="65"/>
    <col width="11" customWidth="1" min="66" max="66"/>
    <col width="11" customWidth="1" min="67" max="67"/>
    <col width="10" customWidth="1" min="68" max="68"/>
    <col width="11" customWidth="1" min="69" max="69"/>
    <col width="13" customWidth="1" min="70" max="70"/>
    <col width="12" customWidth="1" min="72" max="72"/>
    <col width="10" customWidth="1" min="73" max="73"/>
    <col width="10" customWidth="1" min="74" max="74"/>
    <col width="10" customWidth="1" min="75" max="75"/>
    <col width="10" customWidth="1" min="76" max="76"/>
    <col width="11" customWidth="1" min="77" max="77"/>
    <col width="11" customWidth="1" min="78" max="78"/>
    <col width="10" customWidth="1" min="79" max="79"/>
    <col width="10" customWidth="1" min="80" max="80"/>
    <col width="10" customWidth="1" min="81" max="81"/>
    <col width="10" customWidth="1" min="82" max="82"/>
    <col width="11" customWidth="1" min="83" max="83"/>
    <col width="11" customWidth="1" min="84" max="84"/>
    <col width="10" customWidth="1" min="85" max="85"/>
    <col width="11" customWidth="1" min="86" max="86"/>
    <col width="13" customWidth="1" min="87" max="87"/>
    <col width="12" customWidth="1" min="89" max="89"/>
    <col width="10" customWidth="1" min="90" max="90"/>
    <col width="10" customWidth="1" min="91" max="91"/>
    <col width="10" customWidth="1" min="92" max="92"/>
    <col width="10" customWidth="1" min="93" max="93"/>
    <col width="11" customWidth="1" min="94" max="94"/>
    <col width="11" customWidth="1" min="95" max="95"/>
    <col width="10" customWidth="1" min="96" max="96"/>
    <col width="10" customWidth="1" min="97" max="97"/>
    <col width="10" customWidth="1" min="98" max="98"/>
    <col width="10" customWidth="1" min="99" max="99"/>
    <col width="11" customWidth="1" min="100" max="100"/>
    <col width="11" customWidth="1" min="101" max="101"/>
    <col width="10" customWidth="1" min="102" max="102"/>
    <col width="11" customWidth="1" min="103" max="103"/>
    <col width="13" customWidth="1" min="104" max="104"/>
    <col width="12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1" customWidth="1" min="111" max="111"/>
    <col width="11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1" customWidth="1" min="117" max="117"/>
    <col width="11" customWidth="1" min="118" max="118"/>
    <col width="10" customWidth="1" min="119" max="119"/>
    <col width="11" customWidth="1" min="120" max="120"/>
    <col width="13" customWidth="1" min="121" max="121"/>
    <col width="12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1" customWidth="1" min="128" max="128"/>
    <col width="11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1" customWidth="1" min="134" max="134"/>
    <col width="11" customWidth="1" min="135" max="135"/>
    <col width="10" customWidth="1" min="136" max="136"/>
    <col width="11" customWidth="1" min="137" max="137"/>
    <col width="13" customWidth="1" min="138" max="138"/>
    <col width="12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1" customWidth="1" min="145" max="145"/>
    <col width="11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1" customWidth="1" min="151" max="151"/>
    <col width="11" customWidth="1" min="152" max="152"/>
    <col width="10" customWidth="1" min="153" max="153"/>
    <col width="11" customWidth="1" min="154" max="154"/>
    <col width="13" customWidth="1" min="155" max="155"/>
    <col width="12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1" customWidth="1" min="162" max="162"/>
    <col width="11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1" customWidth="1" min="168" max="168"/>
    <col width="11" customWidth="1" min="169" max="169"/>
    <col width="10" customWidth="1" min="170" max="170"/>
    <col width="11" customWidth="1" min="171" max="171"/>
    <col width="13" customWidth="1" min="172" max="172"/>
    <col width="12" customWidth="1" min="174" max="174"/>
    <col width="10" customWidth="1" min="175" max="175"/>
    <col width="10" customWidth="1" min="176" max="176"/>
    <col width="10" customWidth="1" min="177" max="177"/>
    <col width="10" customWidth="1" min="178" max="178"/>
    <col width="11" customWidth="1" min="179" max="179"/>
    <col width="11" customWidth="1" min="180" max="180"/>
    <col width="10" customWidth="1" min="181" max="181"/>
    <col width="10" customWidth="1" min="182" max="182"/>
    <col width="10" customWidth="1" min="183" max="183"/>
    <col width="10" customWidth="1" min="184" max="184"/>
    <col width="11" customWidth="1" min="185" max="185"/>
    <col width="11" customWidth="1" min="186" max="186"/>
    <col width="10" customWidth="1" min="187" max="187"/>
    <col width="11" customWidth="1" min="188" max="188"/>
    <col width="13" customWidth="1" min="189" max="189"/>
    <col width="12" customWidth="1" min="191" max="191"/>
    <col width="10" customWidth="1" min="192" max="192"/>
    <col width="10" customWidth="1" min="193" max="193"/>
    <col width="10" customWidth="1" min="194" max="194"/>
    <col width="10" customWidth="1" min="195" max="195"/>
    <col width="11" customWidth="1" min="196" max="196"/>
    <col width="11" customWidth="1" min="197" max="197"/>
    <col width="10" customWidth="1" min="198" max="198"/>
    <col width="10" customWidth="1" min="199" max="199"/>
    <col width="10" customWidth="1" min="200" max="200"/>
    <col width="10" customWidth="1" min="201" max="201"/>
    <col width="11" customWidth="1" min="202" max="202"/>
    <col width="11" customWidth="1" min="203" max="203"/>
    <col width="10" customWidth="1" min="204" max="204"/>
    <col width="11" customWidth="1" min="205" max="205"/>
    <col width="13" customWidth="1" min="206" max="206"/>
    <col width="12" customWidth="1" min="208" max="208"/>
    <col width="10" customWidth="1" min="209" max="209"/>
    <col width="10" customWidth="1" min="210" max="210"/>
    <col width="10" customWidth="1" min="211" max="211"/>
    <col width="10" customWidth="1" min="212" max="212"/>
    <col width="11" customWidth="1" min="213" max="213"/>
    <col width="11" customWidth="1" min="214" max="214"/>
    <col width="10" customWidth="1" min="215" max="215"/>
    <col width="10" customWidth="1" min="216" max="216"/>
    <col width="10" customWidth="1" min="217" max="217"/>
    <col width="10" customWidth="1" min="218" max="218"/>
    <col width="11" customWidth="1" min="219" max="219"/>
    <col width="11" customWidth="1" min="220" max="220"/>
    <col width="10" customWidth="1" min="221" max="221"/>
    <col width="11" customWidth="1" min="222" max="222"/>
    <col width="13" customWidth="1" min="223" max="223"/>
    <col width="12" customWidth="1" min="225" max="225"/>
    <col width="10" customWidth="1" min="226" max="226"/>
    <col width="10" customWidth="1" min="227" max="227"/>
    <col width="10" customWidth="1" min="228" max="228"/>
    <col width="10" customWidth="1" min="229" max="229"/>
    <col width="11" customWidth="1" min="230" max="230"/>
    <col width="11" customWidth="1" min="231" max="231"/>
    <col width="10" customWidth="1" min="232" max="232"/>
    <col width="10" customWidth="1" min="233" max="233"/>
    <col width="10" customWidth="1" min="234" max="234"/>
    <col width="10" customWidth="1" min="235" max="235"/>
    <col width="11" customWidth="1" min="236" max="236"/>
    <col width="11" customWidth="1" min="237" max="237"/>
    <col width="10" customWidth="1" min="238" max="238"/>
    <col width="11" customWidth="1" min="239" max="239"/>
    <col width="13" customWidth="1" min="240" max="240"/>
    <col width="12" customWidth="1" min="242" max="242"/>
    <col width="10" customWidth="1" min="243" max="243"/>
    <col width="10" customWidth="1" min="244" max="244"/>
    <col width="10" customWidth="1" min="245" max="245"/>
    <col width="10" customWidth="1" min="246" max="246"/>
    <col width="11" customWidth="1" min="247" max="247"/>
    <col width="11" customWidth="1" min="248" max="248"/>
    <col width="10" customWidth="1" min="249" max="249"/>
    <col width="10" customWidth="1" min="250" max="250"/>
    <col width="10" customWidth="1" min="251" max="251"/>
    <col width="10" customWidth="1" min="252" max="252"/>
    <col width="11" customWidth="1" min="253" max="253"/>
    <col width="11" customWidth="1" min="254" max="254"/>
    <col width="10" customWidth="1" min="255" max="255"/>
    <col width="11" customWidth="1" min="256" max="256"/>
    <col width="13" customWidth="1" min="257" max="257"/>
    <col width="12" customWidth="1" min="259" max="259"/>
    <col width="10" customWidth="1" min="260" max="260"/>
    <col width="10" customWidth="1" min="261" max="261"/>
    <col width="10" customWidth="1" min="262" max="262"/>
    <col width="10" customWidth="1" min="263" max="263"/>
    <col width="11" customWidth="1" min="264" max="264"/>
    <col width="11" customWidth="1" min="265" max="265"/>
    <col width="10" customWidth="1" min="266" max="266"/>
    <col width="10" customWidth="1" min="267" max="267"/>
    <col width="10" customWidth="1" min="268" max="268"/>
    <col width="10" customWidth="1" min="269" max="269"/>
    <col width="11" customWidth="1" min="270" max="270"/>
    <col width="11" customWidth="1" min="271" max="271"/>
    <col width="10" customWidth="1" min="272" max="272"/>
    <col width="11" customWidth="1" min="273" max="273"/>
    <col width="13" customWidth="1" min="274" max="274"/>
    <col width="12" customWidth="1" min="276" max="276"/>
    <col width="10" customWidth="1" min="277" max="277"/>
    <col width="10" customWidth="1" min="278" max="278"/>
    <col width="10" customWidth="1" min="279" max="279"/>
    <col width="10" customWidth="1" min="280" max="280"/>
    <col width="11" customWidth="1" min="281" max="281"/>
    <col width="11" customWidth="1" min="282" max="282"/>
    <col width="10" customWidth="1" min="283" max="283"/>
    <col width="10" customWidth="1" min="284" max="284"/>
    <col width="10" customWidth="1" min="285" max="285"/>
    <col width="10" customWidth="1" min="286" max="286"/>
    <col width="11" customWidth="1" min="287" max="287"/>
    <col width="11" customWidth="1" min="288" max="288"/>
    <col width="10" customWidth="1" min="289" max="289"/>
    <col width="11" customWidth="1" min="290" max="290"/>
    <col width="13" customWidth="1" min="291" max="291"/>
    <col width="12" customWidth="1" min="293" max="293"/>
    <col width="10" customWidth="1" min="294" max="294"/>
    <col width="10" customWidth="1" min="295" max="295"/>
    <col width="10" customWidth="1" min="296" max="296"/>
    <col width="10" customWidth="1" min="297" max="297"/>
    <col width="11" customWidth="1" min="298" max="298"/>
    <col width="11" customWidth="1" min="299" max="299"/>
    <col width="10" customWidth="1" min="300" max="300"/>
    <col width="10" customWidth="1" min="301" max="301"/>
    <col width="10" customWidth="1" min="302" max="302"/>
    <col width="10" customWidth="1" min="303" max="303"/>
    <col width="11" customWidth="1" min="304" max="304"/>
    <col width="11" customWidth="1" min="305" max="305"/>
    <col width="10" customWidth="1" min="306" max="306"/>
    <col width="11" customWidth="1" min="307" max="307"/>
    <col width="13" customWidth="1" min="308" max="308"/>
    <col width="12" customWidth="1" min="310" max="310"/>
    <col width="10" customWidth="1" min="311" max="311"/>
    <col width="10" customWidth="1" min="312" max="312"/>
    <col width="10" customWidth="1" min="313" max="313"/>
    <col width="10" customWidth="1" min="314" max="314"/>
    <col width="11" customWidth="1" min="315" max="315"/>
    <col width="11" customWidth="1" min="316" max="316"/>
    <col width="10" customWidth="1" min="317" max="317"/>
    <col width="10" customWidth="1" min="318" max="318"/>
    <col width="10" customWidth="1" min="319" max="319"/>
    <col width="10" customWidth="1" min="320" max="320"/>
    <col width="11" customWidth="1" min="321" max="321"/>
    <col width="11" customWidth="1" min="322" max="322"/>
    <col width="10" customWidth="1" min="323" max="323"/>
    <col width="11" customWidth="1" min="324" max="324"/>
    <col width="13" customWidth="1" min="325" max="325"/>
    <col width="12" customWidth="1" min="327" max="327"/>
    <col width="10" customWidth="1" min="328" max="328"/>
    <col width="10" customWidth="1" min="329" max="329"/>
    <col width="10" customWidth="1" min="330" max="330"/>
    <col width="10" customWidth="1" min="331" max="331"/>
    <col width="11" customWidth="1" min="332" max="332"/>
    <col width="11" customWidth="1" min="333" max="333"/>
    <col width="10" customWidth="1" min="334" max="334"/>
    <col width="10" customWidth="1" min="335" max="335"/>
    <col width="10" customWidth="1" min="336" max="336"/>
    <col width="10" customWidth="1" min="337" max="337"/>
    <col width="11" customWidth="1" min="338" max="338"/>
    <col width="11" customWidth="1" min="339" max="339"/>
    <col width="10" customWidth="1" min="340" max="340"/>
    <col width="11" customWidth="1" min="341" max="341"/>
    <col width="13" customWidth="1" min="342" max="342"/>
    <col width="12" customWidth="1" min="344" max="344"/>
    <col width="10" customWidth="1" min="345" max="345"/>
    <col width="10" customWidth="1" min="346" max="346"/>
    <col width="10" customWidth="1" min="347" max="347"/>
    <col width="10" customWidth="1" min="348" max="348"/>
    <col width="11" customWidth="1" min="349" max="349"/>
    <col width="11" customWidth="1" min="350" max="350"/>
    <col width="10" customWidth="1" min="351" max="351"/>
    <col width="10" customWidth="1" min="352" max="352"/>
    <col width="10" customWidth="1" min="353" max="353"/>
    <col width="10" customWidth="1" min="354" max="354"/>
    <col width="11" customWidth="1" min="355" max="355"/>
    <col width="11" customWidth="1" min="356" max="356"/>
    <col width="10" customWidth="1" min="357" max="357"/>
    <col width="11" customWidth="1" min="358" max="358"/>
    <col width="13" customWidth="1" min="359" max="359"/>
    <col width="12" customWidth="1" min="361" max="361"/>
    <col width="10" customWidth="1" min="362" max="362"/>
    <col width="10" customWidth="1" min="363" max="363"/>
    <col width="10" customWidth="1" min="364" max="364"/>
    <col width="10" customWidth="1" min="365" max="365"/>
    <col width="11" customWidth="1" min="366" max="366"/>
    <col width="11" customWidth="1" min="367" max="367"/>
    <col width="10" customWidth="1" min="368" max="368"/>
    <col width="10" customWidth="1" min="369" max="369"/>
    <col width="10" customWidth="1" min="370" max="370"/>
    <col width="10" customWidth="1" min="371" max="371"/>
    <col width="11" customWidth="1" min="372" max="372"/>
    <col width="11" customWidth="1" min="373" max="373"/>
    <col width="10" customWidth="1" min="374" max="374"/>
    <col width="11" customWidth="1" min="375" max="375"/>
    <col width="13" customWidth="1" min="376" max="376"/>
  </cols>
  <sheetData>
    <row r="1">
      <c r="A1" s="2" t="inlineStr">
        <is>
          <t>Month</t>
        </is>
      </c>
      <c r="B1" s="9" t="n">
        <v>8</v>
      </c>
      <c r="D1" s="2">
        <f>IF(ISNUMBER(B$7),"OXY US "&amp;TEXT(B$3,"mm/dd/yy")&amp;" C"&amp;(B$7-5*B$6)&amp;" Equity","")</f>
        <v/>
      </c>
      <c r="U1" s="2">
        <f>IF(ISNUMBER(B$7),"OXY US "&amp;TEXT(B$3,"mm/dd/yy")&amp;" P"&amp;(B$7-5*B$6)&amp;" Equity","")</f>
        <v/>
      </c>
      <c r="AL1" s="2">
        <f>IF(ISNUMBER(B$7),"OXY US "&amp;TEXT(B$3,"mm/dd/yy")&amp;" C"&amp;(B$7-4*B$6)&amp;" Equity","")</f>
        <v/>
      </c>
      <c r="BC1" s="2">
        <f>IF(ISNUMBER(B$7),"OXY US "&amp;TEXT(B$3,"mm/dd/yy")&amp;" P"&amp;(B$7-4*B$6)&amp;" Equity","")</f>
        <v/>
      </c>
      <c r="BT1" s="2">
        <f>IF(ISNUMBER(B$7),"OXY US "&amp;TEXT(B$3,"mm/dd/yy")&amp;" C"&amp;(B$7-3*B$6)&amp;" Equity","")</f>
        <v/>
      </c>
      <c r="CK1" s="2">
        <f>IF(ISNUMBER(B$7),"OXY US "&amp;TEXT(B$3,"mm/dd/yy")&amp;" P"&amp;(B$7-3*B$6)&amp;" Equity","")</f>
        <v/>
      </c>
      <c r="DB1" s="2">
        <f>IF(ISNUMBER(B$7),"OXY US "&amp;TEXT(B$3,"mm/dd/yy")&amp;" C"&amp;(B$7-2*B$6)&amp;" Equity","")</f>
        <v/>
      </c>
      <c r="DS1" s="2">
        <f>IF(ISNUMBER(B$7),"OXY US "&amp;TEXT(B$3,"mm/dd/yy")&amp;" P"&amp;(B$7-2*B$6)&amp;" Equity","")</f>
        <v/>
      </c>
      <c r="EJ1" s="2">
        <f>IF(ISNUMBER(B$7),"OXY US "&amp;TEXT(B$3,"mm/dd/yy")&amp;" C"&amp;(B$7-1*B$6)&amp;" Equity","")</f>
        <v/>
      </c>
      <c r="FA1" s="2">
        <f>IF(ISNUMBER(B$7),"OXY US "&amp;TEXT(B$3,"mm/dd/yy")&amp;" P"&amp;(B$7-1*B$6)&amp;" Equity","")</f>
        <v/>
      </c>
      <c r="FR1" s="2">
        <f>IF(ISNUMBER(B$7),"OXY US "&amp;TEXT(B$3,"mm/dd/yy")&amp;" C"&amp;B$7&amp;" Equity","")</f>
        <v/>
      </c>
      <c r="GI1" s="2">
        <f>IF(ISNUMBER(B$7),"OXY US "&amp;TEXT(B$3,"mm/dd/yy")&amp;" P"&amp;B$7&amp;" Equity","")</f>
        <v/>
      </c>
      <c r="GZ1" s="2">
        <f>IF(ISNUMBER(B$7),"OXY US "&amp;TEXT(B$3,"mm/dd/yy")&amp;" C"&amp;(B$7+1*B$6)&amp;" Equity","")</f>
        <v/>
      </c>
      <c r="HQ1" s="2">
        <f>IF(ISNUMBER(B$7),"OXY US "&amp;TEXT(B$3,"mm/dd/yy")&amp;" P"&amp;(B$7+1*B$6)&amp;" Equity","")</f>
        <v/>
      </c>
      <c r="IH1" s="2">
        <f>IF(ISNUMBER(B$7),"OXY US "&amp;TEXT(B$3,"mm/dd/yy")&amp;" C"&amp;(B$7+2*B$6)&amp;" Equity","")</f>
        <v/>
      </c>
      <c r="IY1" s="2">
        <f>IF(ISNUMBER(B$7),"OXY US "&amp;TEXT(B$3,"mm/dd/yy")&amp;" P"&amp;(B$7+2*B$6)&amp;" Equity","")</f>
        <v/>
      </c>
      <c r="JP1" s="2">
        <f>IF(ISNUMBER(B$7),"OXY US "&amp;TEXT(B$3,"mm/dd/yy")&amp;" C"&amp;(B$7+3*B$6)&amp;" Equity","")</f>
        <v/>
      </c>
      <c r="KG1" s="2">
        <f>IF(ISNUMBER(B$7),"OXY US "&amp;TEXT(B$3,"mm/dd/yy")&amp;" P"&amp;(B$7+3*B$6)&amp;" Equity","")</f>
        <v/>
      </c>
      <c r="KX1" s="2">
        <f>IF(ISNUMBER(B$7),"OXY US "&amp;TEXT(B$3,"mm/dd/yy")&amp;" C"&amp;(B$7+4*B$6)&amp;" Equity","")</f>
        <v/>
      </c>
      <c r="LO1" s="2">
        <f>IF(ISNUMBER(B$7),"OXY US "&amp;TEXT(B$3,"mm/dd/yy")&amp;" P"&amp;(B$7+4*B$6)&amp;" Equity","")</f>
        <v/>
      </c>
      <c r="MF1" s="2">
        <f>IF(ISNUMBER(B$7),"OXY US "&amp;TEXT(B$3,"mm/dd/yy")&amp;" C"&amp;(B$7+5*B$6)&amp;" Equity","")</f>
        <v/>
      </c>
      <c r="MW1" s="2">
        <f>IF(ISNUMBER(B$7),"OXY US "&amp;TEXT(B$3,"mm/dd/yy")&amp;" P"&amp;(B$7+5*B$6)&amp;" Equity","")</f>
        <v/>
      </c>
    </row>
    <row r="2">
      <c r="A2" s="2" t="inlineStr">
        <is>
          <t>Underlying</t>
        </is>
      </c>
      <c r="B2" s="4">
        <f>IF(Settings!$B$18="Y","OXY US Equity","")</f>
        <v/>
      </c>
      <c r="D2" s="4" t="inlineStr">
        <is>
          <t>call -5 from ATM</t>
        </is>
      </c>
      <c r="U2" s="4" t="inlineStr">
        <is>
          <t>put -5 from ATM</t>
        </is>
      </c>
      <c r="AL2" s="4" t="inlineStr">
        <is>
          <t>call -4 from ATM</t>
        </is>
      </c>
      <c r="BC2" s="4" t="inlineStr">
        <is>
          <t>put -4 from ATM</t>
        </is>
      </c>
      <c r="BT2" s="4" t="inlineStr">
        <is>
          <t>call -3 from ATM</t>
        </is>
      </c>
      <c r="CK2" s="4" t="inlineStr">
        <is>
          <t>put -3 from ATM</t>
        </is>
      </c>
      <c r="DB2" s="4" t="inlineStr">
        <is>
          <t>call -2 from ATM</t>
        </is>
      </c>
      <c r="DS2" s="4" t="inlineStr">
        <is>
          <t>put -2 from ATM</t>
        </is>
      </c>
      <c r="EJ2" s="4" t="inlineStr">
        <is>
          <t>call -1 from ATM</t>
        </is>
      </c>
      <c r="FA2" s="4" t="inlineStr">
        <is>
          <t>put -1 from ATM</t>
        </is>
      </c>
      <c r="FR2" s="4" t="inlineStr">
        <is>
          <t>call +0 from ATM</t>
        </is>
      </c>
      <c r="GI2" s="4" t="inlineStr">
        <is>
          <t>put +0 from ATM</t>
        </is>
      </c>
      <c r="GZ2" s="4" t="inlineStr">
        <is>
          <t>call +1 from ATM</t>
        </is>
      </c>
      <c r="HQ2" s="4" t="inlineStr">
        <is>
          <t>put +1 from ATM</t>
        </is>
      </c>
      <c r="IH2" s="4" t="inlineStr">
        <is>
          <t>call +2 from ATM</t>
        </is>
      </c>
      <c r="IY2" s="4" t="inlineStr">
        <is>
          <t>put +2 from ATM</t>
        </is>
      </c>
      <c r="JP2" s="4" t="inlineStr">
        <is>
          <t>call +3 from ATM</t>
        </is>
      </c>
      <c r="KG2" s="4" t="inlineStr">
        <is>
          <t>put +3 from ATM</t>
        </is>
      </c>
      <c r="KX2" s="4" t="inlineStr">
        <is>
          <t>call +4 from ATM</t>
        </is>
      </c>
      <c r="LO2" s="4" t="inlineStr">
        <is>
          <t>put +4 from ATM</t>
        </is>
      </c>
      <c r="MF2" s="4" t="inlineStr">
        <is>
          <t>call +5 from ATM</t>
        </is>
      </c>
      <c r="MW2" s="4" t="inlineStr">
        <is>
          <t>put +5 from ATM</t>
        </is>
      </c>
    </row>
    <row r="3">
      <c r="A3" s="2" t="inlineStr">
        <is>
          <t>Expiry (3rd Friday)</t>
        </is>
      </c>
      <c r="B3" s="3">
        <f>DATE(Settings!$E$18,B1,15)+MOD(6-WEEKDAY(DATE(Settings!$E$18,B1,15)),7)</f>
        <v/>
      </c>
      <c r="D3" s="5" t="inlineStr">
        <is>
          <t>Date</t>
        </is>
      </c>
      <c r="E3" s="5" t="inlineStr">
        <is>
          <t>PX_BID</t>
        </is>
      </c>
      <c r="F3" s="5" t="inlineStr">
        <is>
          <t>PX_ASK</t>
        </is>
      </c>
      <c r="G3" s="5" t="inlineStr">
        <is>
          <t>PX_MID</t>
        </is>
      </c>
      <c r="H3" s="5" t="inlineStr">
        <is>
          <t>PX_LAST</t>
        </is>
      </c>
      <c r="I3" s="5" t="inlineStr">
        <is>
          <t>PX_SETTLE</t>
        </is>
      </c>
      <c r="J3" s="5" t="inlineStr">
        <is>
          <t>PX_VOLUME</t>
        </is>
      </c>
      <c r="K3" s="5" t="inlineStr">
        <is>
          <t>OPEN_INT</t>
        </is>
      </c>
      <c r="L3" s="5" t="inlineStr">
        <is>
          <t>IVOL_MID</t>
        </is>
      </c>
      <c r="M3" s="5" t="inlineStr">
        <is>
          <t>IVOL_BID</t>
        </is>
      </c>
      <c r="N3" s="5" t="inlineStr">
        <is>
          <t>IVOL_ASK</t>
        </is>
      </c>
      <c r="O3" s="5" t="inlineStr">
        <is>
          <t>DELTA_MID</t>
        </is>
      </c>
      <c r="P3" s="5" t="inlineStr">
        <is>
          <t>GAMMA_MID</t>
        </is>
      </c>
      <c r="Q3" s="5" t="inlineStr">
        <is>
          <t>VEGA_MID</t>
        </is>
      </c>
      <c r="R3" s="5" t="inlineStr">
        <is>
          <t>THETA_MID</t>
        </is>
      </c>
      <c r="S3" s="5" t="inlineStr">
        <is>
          <t>OPT_UNDL_PX</t>
        </is>
      </c>
      <c r="U3" s="5" t="inlineStr">
        <is>
          <t>Date</t>
        </is>
      </c>
      <c r="V3" s="5" t="inlineStr">
        <is>
          <t>PX_BID</t>
        </is>
      </c>
      <c r="W3" s="5" t="inlineStr">
        <is>
          <t>PX_ASK</t>
        </is>
      </c>
      <c r="X3" s="5" t="inlineStr">
        <is>
          <t>PX_MID</t>
        </is>
      </c>
      <c r="Y3" s="5" t="inlineStr">
        <is>
          <t>PX_LAST</t>
        </is>
      </c>
      <c r="Z3" s="5" t="inlineStr">
        <is>
          <t>PX_SETTLE</t>
        </is>
      </c>
      <c r="AA3" s="5" t="inlineStr">
        <is>
          <t>PX_VOLUME</t>
        </is>
      </c>
      <c r="AB3" s="5" t="inlineStr">
        <is>
          <t>OPEN_INT</t>
        </is>
      </c>
      <c r="AC3" s="5" t="inlineStr">
        <is>
          <t>IVOL_MID</t>
        </is>
      </c>
      <c r="AD3" s="5" t="inlineStr">
        <is>
          <t>IVOL_BID</t>
        </is>
      </c>
      <c r="AE3" s="5" t="inlineStr">
        <is>
          <t>IVOL_ASK</t>
        </is>
      </c>
      <c r="AF3" s="5" t="inlineStr">
        <is>
          <t>DELTA_MID</t>
        </is>
      </c>
      <c r="AG3" s="5" t="inlineStr">
        <is>
          <t>GAMMA_MID</t>
        </is>
      </c>
      <c r="AH3" s="5" t="inlineStr">
        <is>
          <t>VEGA_MID</t>
        </is>
      </c>
      <c r="AI3" s="5" t="inlineStr">
        <is>
          <t>THETA_MID</t>
        </is>
      </c>
      <c r="AJ3" s="5" t="inlineStr">
        <is>
          <t>OPT_UNDL_PX</t>
        </is>
      </c>
      <c r="AL3" s="5" t="inlineStr">
        <is>
          <t>Date</t>
        </is>
      </c>
      <c r="AM3" s="5" t="inlineStr">
        <is>
          <t>PX_BID</t>
        </is>
      </c>
      <c r="AN3" s="5" t="inlineStr">
        <is>
          <t>PX_ASK</t>
        </is>
      </c>
      <c r="AO3" s="5" t="inlineStr">
        <is>
          <t>PX_MID</t>
        </is>
      </c>
      <c r="AP3" s="5" t="inlineStr">
        <is>
          <t>PX_LAST</t>
        </is>
      </c>
      <c r="AQ3" s="5" t="inlineStr">
        <is>
          <t>PX_SETTLE</t>
        </is>
      </c>
      <c r="AR3" s="5" t="inlineStr">
        <is>
          <t>PX_VOLUME</t>
        </is>
      </c>
      <c r="AS3" s="5" t="inlineStr">
        <is>
          <t>OPEN_INT</t>
        </is>
      </c>
      <c r="AT3" s="5" t="inlineStr">
        <is>
          <t>IVOL_MID</t>
        </is>
      </c>
      <c r="AU3" s="5" t="inlineStr">
        <is>
          <t>IVOL_BID</t>
        </is>
      </c>
      <c r="AV3" s="5" t="inlineStr">
        <is>
          <t>IVOL_ASK</t>
        </is>
      </c>
      <c r="AW3" s="5" t="inlineStr">
        <is>
          <t>DELTA_MID</t>
        </is>
      </c>
      <c r="AX3" s="5" t="inlineStr">
        <is>
          <t>GAMMA_MID</t>
        </is>
      </c>
      <c r="AY3" s="5" t="inlineStr">
        <is>
          <t>VEGA_MID</t>
        </is>
      </c>
      <c r="AZ3" s="5" t="inlineStr">
        <is>
          <t>THETA_MID</t>
        </is>
      </c>
      <c r="BA3" s="5" t="inlineStr">
        <is>
          <t>OPT_UNDL_PX</t>
        </is>
      </c>
      <c r="BC3" s="5" t="inlineStr">
        <is>
          <t>Date</t>
        </is>
      </c>
      <c r="BD3" s="5" t="inlineStr">
        <is>
          <t>PX_BID</t>
        </is>
      </c>
      <c r="BE3" s="5" t="inlineStr">
        <is>
          <t>PX_ASK</t>
        </is>
      </c>
      <c r="BF3" s="5" t="inlineStr">
        <is>
          <t>PX_MID</t>
        </is>
      </c>
      <c r="BG3" s="5" t="inlineStr">
        <is>
          <t>PX_LAST</t>
        </is>
      </c>
      <c r="BH3" s="5" t="inlineStr">
        <is>
          <t>PX_SETTLE</t>
        </is>
      </c>
      <c r="BI3" s="5" t="inlineStr">
        <is>
          <t>PX_VOLUME</t>
        </is>
      </c>
      <c r="BJ3" s="5" t="inlineStr">
        <is>
          <t>OPEN_INT</t>
        </is>
      </c>
      <c r="BK3" s="5" t="inlineStr">
        <is>
          <t>IVOL_MID</t>
        </is>
      </c>
      <c r="BL3" s="5" t="inlineStr">
        <is>
          <t>IVOL_BID</t>
        </is>
      </c>
      <c r="BM3" s="5" t="inlineStr">
        <is>
          <t>IVOL_ASK</t>
        </is>
      </c>
      <c r="BN3" s="5" t="inlineStr">
        <is>
          <t>DELTA_MID</t>
        </is>
      </c>
      <c r="BO3" s="5" t="inlineStr">
        <is>
          <t>GAMMA_MID</t>
        </is>
      </c>
      <c r="BP3" s="5" t="inlineStr">
        <is>
          <t>VEGA_MID</t>
        </is>
      </c>
      <c r="BQ3" s="5" t="inlineStr">
        <is>
          <t>THETA_MID</t>
        </is>
      </c>
      <c r="BR3" s="5" t="inlineStr">
        <is>
          <t>OPT_UNDL_PX</t>
        </is>
      </c>
      <c r="BT3" s="5" t="inlineStr">
        <is>
          <t>Date</t>
        </is>
      </c>
      <c r="BU3" s="5" t="inlineStr">
        <is>
          <t>PX_BID</t>
        </is>
      </c>
      <c r="BV3" s="5" t="inlineStr">
        <is>
          <t>PX_ASK</t>
        </is>
      </c>
      <c r="BW3" s="5" t="inlineStr">
        <is>
          <t>PX_MID</t>
        </is>
      </c>
      <c r="BX3" s="5" t="inlineStr">
        <is>
          <t>PX_LAST</t>
        </is>
      </c>
      <c r="BY3" s="5" t="inlineStr">
        <is>
          <t>PX_SETTLE</t>
        </is>
      </c>
      <c r="BZ3" s="5" t="inlineStr">
        <is>
          <t>PX_VOLUME</t>
        </is>
      </c>
      <c r="CA3" s="5" t="inlineStr">
        <is>
          <t>OPEN_INT</t>
        </is>
      </c>
      <c r="CB3" s="5" t="inlineStr">
        <is>
          <t>IVOL_MID</t>
        </is>
      </c>
      <c r="CC3" s="5" t="inlineStr">
        <is>
          <t>IVOL_BID</t>
        </is>
      </c>
      <c r="CD3" s="5" t="inlineStr">
        <is>
          <t>IVOL_ASK</t>
        </is>
      </c>
      <c r="CE3" s="5" t="inlineStr">
        <is>
          <t>DELTA_MID</t>
        </is>
      </c>
      <c r="CF3" s="5" t="inlineStr">
        <is>
          <t>GAMMA_MID</t>
        </is>
      </c>
      <c r="CG3" s="5" t="inlineStr">
        <is>
          <t>VEGA_MID</t>
        </is>
      </c>
      <c r="CH3" s="5" t="inlineStr">
        <is>
          <t>THETA_MID</t>
        </is>
      </c>
      <c r="CI3" s="5" t="inlineStr">
        <is>
          <t>OPT_UNDL_PX</t>
        </is>
      </c>
      <c r="CK3" s="5" t="inlineStr">
        <is>
          <t>Date</t>
        </is>
      </c>
      <c r="CL3" s="5" t="inlineStr">
        <is>
          <t>PX_BID</t>
        </is>
      </c>
      <c r="CM3" s="5" t="inlineStr">
        <is>
          <t>PX_ASK</t>
        </is>
      </c>
      <c r="CN3" s="5" t="inlineStr">
        <is>
          <t>PX_MID</t>
        </is>
      </c>
      <c r="CO3" s="5" t="inlineStr">
        <is>
          <t>PX_LAST</t>
        </is>
      </c>
      <c r="CP3" s="5" t="inlineStr">
        <is>
          <t>PX_SETTLE</t>
        </is>
      </c>
      <c r="CQ3" s="5" t="inlineStr">
        <is>
          <t>PX_VOLUME</t>
        </is>
      </c>
      <c r="CR3" s="5" t="inlineStr">
        <is>
          <t>OPEN_INT</t>
        </is>
      </c>
      <c r="CS3" s="5" t="inlineStr">
        <is>
          <t>IVOL_MID</t>
        </is>
      </c>
      <c r="CT3" s="5" t="inlineStr">
        <is>
          <t>IVOL_BID</t>
        </is>
      </c>
      <c r="CU3" s="5" t="inlineStr">
        <is>
          <t>IVOL_ASK</t>
        </is>
      </c>
      <c r="CV3" s="5" t="inlineStr">
        <is>
          <t>DELTA_MID</t>
        </is>
      </c>
      <c r="CW3" s="5" t="inlineStr">
        <is>
          <t>GAMMA_MID</t>
        </is>
      </c>
      <c r="CX3" s="5" t="inlineStr">
        <is>
          <t>VEGA_MID</t>
        </is>
      </c>
      <c r="CY3" s="5" t="inlineStr">
        <is>
          <t>THETA_MID</t>
        </is>
      </c>
      <c r="CZ3" s="5" t="inlineStr">
        <is>
          <t>OPT_UNDL_PX</t>
        </is>
      </c>
      <c r="DB3" s="5" t="inlineStr">
        <is>
          <t>Date</t>
        </is>
      </c>
      <c r="DC3" s="5" t="inlineStr">
        <is>
          <t>PX_BID</t>
        </is>
      </c>
      <c r="DD3" s="5" t="inlineStr">
        <is>
          <t>PX_ASK</t>
        </is>
      </c>
      <c r="DE3" s="5" t="inlineStr">
        <is>
          <t>PX_MID</t>
        </is>
      </c>
      <c r="DF3" s="5" t="inlineStr">
        <is>
          <t>PX_LAST</t>
        </is>
      </c>
      <c r="DG3" s="5" t="inlineStr">
        <is>
          <t>PX_SETTLE</t>
        </is>
      </c>
      <c r="DH3" s="5" t="inlineStr">
        <is>
          <t>PX_VOLUME</t>
        </is>
      </c>
      <c r="DI3" s="5" t="inlineStr">
        <is>
          <t>OPEN_INT</t>
        </is>
      </c>
      <c r="DJ3" s="5" t="inlineStr">
        <is>
          <t>IVOL_MID</t>
        </is>
      </c>
      <c r="DK3" s="5" t="inlineStr">
        <is>
          <t>IVOL_BID</t>
        </is>
      </c>
      <c r="DL3" s="5" t="inlineStr">
        <is>
          <t>IVOL_ASK</t>
        </is>
      </c>
      <c r="DM3" s="5" t="inlineStr">
        <is>
          <t>DELTA_MID</t>
        </is>
      </c>
      <c r="DN3" s="5" t="inlineStr">
        <is>
          <t>GAMMA_MID</t>
        </is>
      </c>
      <c r="DO3" s="5" t="inlineStr">
        <is>
          <t>VEGA_MID</t>
        </is>
      </c>
      <c r="DP3" s="5" t="inlineStr">
        <is>
          <t>THETA_MID</t>
        </is>
      </c>
      <c r="DQ3" s="5" t="inlineStr">
        <is>
          <t>OPT_UNDL_PX</t>
        </is>
      </c>
      <c r="DS3" s="5" t="inlineStr">
        <is>
          <t>Date</t>
        </is>
      </c>
      <c r="DT3" s="5" t="inlineStr">
        <is>
          <t>PX_BID</t>
        </is>
      </c>
      <c r="DU3" s="5" t="inlineStr">
        <is>
          <t>PX_ASK</t>
        </is>
      </c>
      <c r="DV3" s="5" t="inlineStr">
        <is>
          <t>PX_MID</t>
        </is>
      </c>
      <c r="DW3" s="5" t="inlineStr">
        <is>
          <t>PX_LAST</t>
        </is>
      </c>
      <c r="DX3" s="5" t="inlineStr">
        <is>
          <t>PX_SETTLE</t>
        </is>
      </c>
      <c r="DY3" s="5" t="inlineStr">
        <is>
          <t>PX_VOLUME</t>
        </is>
      </c>
      <c r="DZ3" s="5" t="inlineStr">
        <is>
          <t>OPEN_INT</t>
        </is>
      </c>
      <c r="EA3" s="5" t="inlineStr">
        <is>
          <t>IVOL_MID</t>
        </is>
      </c>
      <c r="EB3" s="5" t="inlineStr">
        <is>
          <t>IVOL_BID</t>
        </is>
      </c>
      <c r="EC3" s="5" t="inlineStr">
        <is>
          <t>IVOL_ASK</t>
        </is>
      </c>
      <c r="ED3" s="5" t="inlineStr">
        <is>
          <t>DELTA_MID</t>
        </is>
      </c>
      <c r="EE3" s="5" t="inlineStr">
        <is>
          <t>GAMMA_MID</t>
        </is>
      </c>
      <c r="EF3" s="5" t="inlineStr">
        <is>
          <t>VEGA_MID</t>
        </is>
      </c>
      <c r="EG3" s="5" t="inlineStr">
        <is>
          <t>THETA_MID</t>
        </is>
      </c>
      <c r="EH3" s="5" t="inlineStr">
        <is>
          <t>OPT_UNDL_PX</t>
        </is>
      </c>
      <c r="EJ3" s="5" t="inlineStr">
        <is>
          <t>Date</t>
        </is>
      </c>
      <c r="EK3" s="5" t="inlineStr">
        <is>
          <t>PX_BID</t>
        </is>
      </c>
      <c r="EL3" s="5" t="inlineStr">
        <is>
          <t>PX_ASK</t>
        </is>
      </c>
      <c r="EM3" s="5" t="inlineStr">
        <is>
          <t>PX_MID</t>
        </is>
      </c>
      <c r="EN3" s="5" t="inlineStr">
        <is>
          <t>PX_LAST</t>
        </is>
      </c>
      <c r="EO3" s="5" t="inlineStr">
        <is>
          <t>PX_SETTLE</t>
        </is>
      </c>
      <c r="EP3" s="5" t="inlineStr">
        <is>
          <t>PX_VOLUME</t>
        </is>
      </c>
      <c r="EQ3" s="5" t="inlineStr">
        <is>
          <t>OPEN_INT</t>
        </is>
      </c>
      <c r="ER3" s="5" t="inlineStr">
        <is>
          <t>IVOL_MID</t>
        </is>
      </c>
      <c r="ES3" s="5" t="inlineStr">
        <is>
          <t>IVOL_BID</t>
        </is>
      </c>
      <c r="ET3" s="5" t="inlineStr">
        <is>
          <t>IVOL_ASK</t>
        </is>
      </c>
      <c r="EU3" s="5" t="inlineStr">
        <is>
          <t>DELTA_MID</t>
        </is>
      </c>
      <c r="EV3" s="5" t="inlineStr">
        <is>
          <t>GAMMA_MID</t>
        </is>
      </c>
      <c r="EW3" s="5" t="inlineStr">
        <is>
          <t>VEGA_MID</t>
        </is>
      </c>
      <c r="EX3" s="5" t="inlineStr">
        <is>
          <t>THETA_MID</t>
        </is>
      </c>
      <c r="EY3" s="5" t="inlineStr">
        <is>
          <t>OPT_UNDL_PX</t>
        </is>
      </c>
      <c r="FA3" s="5" t="inlineStr">
        <is>
          <t>Date</t>
        </is>
      </c>
      <c r="FB3" s="5" t="inlineStr">
        <is>
          <t>PX_BID</t>
        </is>
      </c>
      <c r="FC3" s="5" t="inlineStr">
        <is>
          <t>PX_ASK</t>
        </is>
      </c>
      <c r="FD3" s="5" t="inlineStr">
        <is>
          <t>PX_MID</t>
        </is>
      </c>
      <c r="FE3" s="5" t="inlineStr">
        <is>
          <t>PX_LAST</t>
        </is>
      </c>
      <c r="FF3" s="5" t="inlineStr">
        <is>
          <t>PX_SETTLE</t>
        </is>
      </c>
      <c r="FG3" s="5" t="inlineStr">
        <is>
          <t>PX_VOLUME</t>
        </is>
      </c>
      <c r="FH3" s="5" t="inlineStr">
        <is>
          <t>OPEN_INT</t>
        </is>
      </c>
      <c r="FI3" s="5" t="inlineStr">
        <is>
          <t>IVOL_MID</t>
        </is>
      </c>
      <c r="FJ3" s="5" t="inlineStr">
        <is>
          <t>IVOL_BID</t>
        </is>
      </c>
      <c r="FK3" s="5" t="inlineStr">
        <is>
          <t>IVOL_ASK</t>
        </is>
      </c>
      <c r="FL3" s="5" t="inlineStr">
        <is>
          <t>DELTA_MID</t>
        </is>
      </c>
      <c r="FM3" s="5" t="inlineStr">
        <is>
          <t>GAMMA_MID</t>
        </is>
      </c>
      <c r="FN3" s="5" t="inlineStr">
        <is>
          <t>VEGA_MID</t>
        </is>
      </c>
      <c r="FO3" s="5" t="inlineStr">
        <is>
          <t>THETA_MID</t>
        </is>
      </c>
      <c r="FP3" s="5" t="inlineStr">
        <is>
          <t>OPT_UNDL_PX</t>
        </is>
      </c>
      <c r="FR3" s="5" t="inlineStr">
        <is>
          <t>Date</t>
        </is>
      </c>
      <c r="FS3" s="5" t="inlineStr">
        <is>
          <t>PX_BID</t>
        </is>
      </c>
      <c r="FT3" s="5" t="inlineStr">
        <is>
          <t>PX_ASK</t>
        </is>
      </c>
      <c r="FU3" s="5" t="inlineStr">
        <is>
          <t>PX_MID</t>
        </is>
      </c>
      <c r="FV3" s="5" t="inlineStr">
        <is>
          <t>PX_LAST</t>
        </is>
      </c>
      <c r="FW3" s="5" t="inlineStr">
        <is>
          <t>PX_SETTLE</t>
        </is>
      </c>
      <c r="FX3" s="5" t="inlineStr">
        <is>
          <t>PX_VOLUME</t>
        </is>
      </c>
      <c r="FY3" s="5" t="inlineStr">
        <is>
          <t>OPEN_INT</t>
        </is>
      </c>
      <c r="FZ3" s="5" t="inlineStr">
        <is>
          <t>IVOL_MID</t>
        </is>
      </c>
      <c r="GA3" s="5" t="inlineStr">
        <is>
          <t>IVOL_BID</t>
        </is>
      </c>
      <c r="GB3" s="5" t="inlineStr">
        <is>
          <t>IVOL_ASK</t>
        </is>
      </c>
      <c r="GC3" s="5" t="inlineStr">
        <is>
          <t>DELTA_MID</t>
        </is>
      </c>
      <c r="GD3" s="5" t="inlineStr">
        <is>
          <t>GAMMA_MID</t>
        </is>
      </c>
      <c r="GE3" s="5" t="inlineStr">
        <is>
          <t>VEGA_MID</t>
        </is>
      </c>
      <c r="GF3" s="5" t="inlineStr">
        <is>
          <t>THETA_MID</t>
        </is>
      </c>
      <c r="GG3" s="5" t="inlineStr">
        <is>
          <t>OPT_UNDL_PX</t>
        </is>
      </c>
      <c r="GI3" s="5" t="inlineStr">
        <is>
          <t>Date</t>
        </is>
      </c>
      <c r="GJ3" s="5" t="inlineStr">
        <is>
          <t>PX_BID</t>
        </is>
      </c>
      <c r="GK3" s="5" t="inlineStr">
        <is>
          <t>PX_ASK</t>
        </is>
      </c>
      <c r="GL3" s="5" t="inlineStr">
        <is>
          <t>PX_MID</t>
        </is>
      </c>
      <c r="GM3" s="5" t="inlineStr">
        <is>
          <t>PX_LAST</t>
        </is>
      </c>
      <c r="GN3" s="5" t="inlineStr">
        <is>
          <t>PX_SETTLE</t>
        </is>
      </c>
      <c r="GO3" s="5" t="inlineStr">
        <is>
          <t>PX_VOLUME</t>
        </is>
      </c>
      <c r="GP3" s="5" t="inlineStr">
        <is>
          <t>OPEN_INT</t>
        </is>
      </c>
      <c r="GQ3" s="5" t="inlineStr">
        <is>
          <t>IVOL_MID</t>
        </is>
      </c>
      <c r="GR3" s="5" t="inlineStr">
        <is>
          <t>IVOL_BID</t>
        </is>
      </c>
      <c r="GS3" s="5" t="inlineStr">
        <is>
          <t>IVOL_ASK</t>
        </is>
      </c>
      <c r="GT3" s="5" t="inlineStr">
        <is>
          <t>DELTA_MID</t>
        </is>
      </c>
      <c r="GU3" s="5" t="inlineStr">
        <is>
          <t>GAMMA_MID</t>
        </is>
      </c>
      <c r="GV3" s="5" t="inlineStr">
        <is>
          <t>VEGA_MID</t>
        </is>
      </c>
      <c r="GW3" s="5" t="inlineStr">
        <is>
          <t>THETA_MID</t>
        </is>
      </c>
      <c r="GX3" s="5" t="inlineStr">
        <is>
          <t>OPT_UNDL_PX</t>
        </is>
      </c>
      <c r="GZ3" s="5" t="inlineStr">
        <is>
          <t>Date</t>
        </is>
      </c>
      <c r="HA3" s="5" t="inlineStr">
        <is>
          <t>PX_BID</t>
        </is>
      </c>
      <c r="HB3" s="5" t="inlineStr">
        <is>
          <t>PX_ASK</t>
        </is>
      </c>
      <c r="HC3" s="5" t="inlineStr">
        <is>
          <t>PX_MID</t>
        </is>
      </c>
      <c r="HD3" s="5" t="inlineStr">
        <is>
          <t>PX_LAST</t>
        </is>
      </c>
      <c r="HE3" s="5" t="inlineStr">
        <is>
          <t>PX_SETTLE</t>
        </is>
      </c>
      <c r="HF3" s="5" t="inlineStr">
        <is>
          <t>PX_VOLUME</t>
        </is>
      </c>
      <c r="HG3" s="5" t="inlineStr">
        <is>
          <t>OPEN_INT</t>
        </is>
      </c>
      <c r="HH3" s="5" t="inlineStr">
        <is>
          <t>IVOL_MID</t>
        </is>
      </c>
      <c r="HI3" s="5" t="inlineStr">
        <is>
          <t>IVOL_BID</t>
        </is>
      </c>
      <c r="HJ3" s="5" t="inlineStr">
        <is>
          <t>IVOL_ASK</t>
        </is>
      </c>
      <c r="HK3" s="5" t="inlineStr">
        <is>
          <t>DELTA_MID</t>
        </is>
      </c>
      <c r="HL3" s="5" t="inlineStr">
        <is>
          <t>GAMMA_MID</t>
        </is>
      </c>
      <c r="HM3" s="5" t="inlineStr">
        <is>
          <t>VEGA_MID</t>
        </is>
      </c>
      <c r="HN3" s="5" t="inlineStr">
        <is>
          <t>THETA_MID</t>
        </is>
      </c>
      <c r="HO3" s="5" t="inlineStr">
        <is>
          <t>OPT_UNDL_PX</t>
        </is>
      </c>
      <c r="HQ3" s="5" t="inlineStr">
        <is>
          <t>Date</t>
        </is>
      </c>
      <c r="HR3" s="5" t="inlineStr">
        <is>
          <t>PX_BID</t>
        </is>
      </c>
      <c r="HS3" s="5" t="inlineStr">
        <is>
          <t>PX_ASK</t>
        </is>
      </c>
      <c r="HT3" s="5" t="inlineStr">
        <is>
          <t>PX_MID</t>
        </is>
      </c>
      <c r="HU3" s="5" t="inlineStr">
        <is>
          <t>PX_LAST</t>
        </is>
      </c>
      <c r="HV3" s="5" t="inlineStr">
        <is>
          <t>PX_SETTLE</t>
        </is>
      </c>
      <c r="HW3" s="5" t="inlineStr">
        <is>
          <t>PX_VOLUME</t>
        </is>
      </c>
      <c r="HX3" s="5" t="inlineStr">
        <is>
          <t>OPEN_INT</t>
        </is>
      </c>
      <c r="HY3" s="5" t="inlineStr">
        <is>
          <t>IVOL_MID</t>
        </is>
      </c>
      <c r="HZ3" s="5" t="inlineStr">
        <is>
          <t>IVOL_BID</t>
        </is>
      </c>
      <c r="IA3" s="5" t="inlineStr">
        <is>
          <t>IVOL_ASK</t>
        </is>
      </c>
      <c r="IB3" s="5" t="inlineStr">
        <is>
          <t>DELTA_MID</t>
        </is>
      </c>
      <c r="IC3" s="5" t="inlineStr">
        <is>
          <t>GAMMA_MID</t>
        </is>
      </c>
      <c r="ID3" s="5" t="inlineStr">
        <is>
          <t>VEGA_MID</t>
        </is>
      </c>
      <c r="IE3" s="5" t="inlineStr">
        <is>
          <t>THETA_MID</t>
        </is>
      </c>
      <c r="IF3" s="5" t="inlineStr">
        <is>
          <t>OPT_UNDL_PX</t>
        </is>
      </c>
      <c r="IH3" s="5" t="inlineStr">
        <is>
          <t>Date</t>
        </is>
      </c>
      <c r="II3" s="5" t="inlineStr">
        <is>
          <t>PX_BID</t>
        </is>
      </c>
      <c r="IJ3" s="5" t="inlineStr">
        <is>
          <t>PX_ASK</t>
        </is>
      </c>
      <c r="IK3" s="5" t="inlineStr">
        <is>
          <t>PX_MID</t>
        </is>
      </c>
      <c r="IL3" s="5" t="inlineStr">
        <is>
          <t>PX_LAST</t>
        </is>
      </c>
      <c r="IM3" s="5" t="inlineStr">
        <is>
          <t>PX_SETTLE</t>
        </is>
      </c>
      <c r="IN3" s="5" t="inlineStr">
        <is>
          <t>PX_VOLUME</t>
        </is>
      </c>
      <c r="IO3" s="5" t="inlineStr">
        <is>
          <t>OPEN_INT</t>
        </is>
      </c>
      <c r="IP3" s="5" t="inlineStr">
        <is>
          <t>IVOL_MID</t>
        </is>
      </c>
      <c r="IQ3" s="5" t="inlineStr">
        <is>
          <t>IVOL_BID</t>
        </is>
      </c>
      <c r="IR3" s="5" t="inlineStr">
        <is>
          <t>IVOL_ASK</t>
        </is>
      </c>
      <c r="IS3" s="5" t="inlineStr">
        <is>
          <t>DELTA_MID</t>
        </is>
      </c>
      <c r="IT3" s="5" t="inlineStr">
        <is>
          <t>GAMMA_MID</t>
        </is>
      </c>
      <c r="IU3" s="5" t="inlineStr">
        <is>
          <t>VEGA_MID</t>
        </is>
      </c>
      <c r="IV3" s="5" t="inlineStr">
        <is>
          <t>THETA_MID</t>
        </is>
      </c>
      <c r="IW3" s="5" t="inlineStr">
        <is>
          <t>OPT_UNDL_PX</t>
        </is>
      </c>
      <c r="IY3" s="5" t="inlineStr">
        <is>
          <t>Date</t>
        </is>
      </c>
      <c r="IZ3" s="5" t="inlineStr">
        <is>
          <t>PX_BID</t>
        </is>
      </c>
      <c r="JA3" s="5" t="inlineStr">
        <is>
          <t>PX_ASK</t>
        </is>
      </c>
      <c r="JB3" s="5" t="inlineStr">
        <is>
          <t>PX_MID</t>
        </is>
      </c>
      <c r="JC3" s="5" t="inlineStr">
        <is>
          <t>PX_LAST</t>
        </is>
      </c>
      <c r="JD3" s="5" t="inlineStr">
        <is>
          <t>PX_SETTLE</t>
        </is>
      </c>
      <c r="JE3" s="5" t="inlineStr">
        <is>
          <t>PX_VOLUME</t>
        </is>
      </c>
      <c r="JF3" s="5" t="inlineStr">
        <is>
          <t>OPEN_INT</t>
        </is>
      </c>
      <c r="JG3" s="5" t="inlineStr">
        <is>
          <t>IVOL_MID</t>
        </is>
      </c>
      <c r="JH3" s="5" t="inlineStr">
        <is>
          <t>IVOL_BID</t>
        </is>
      </c>
      <c r="JI3" s="5" t="inlineStr">
        <is>
          <t>IVOL_ASK</t>
        </is>
      </c>
      <c r="JJ3" s="5" t="inlineStr">
        <is>
          <t>DELTA_MID</t>
        </is>
      </c>
      <c r="JK3" s="5" t="inlineStr">
        <is>
          <t>GAMMA_MID</t>
        </is>
      </c>
      <c r="JL3" s="5" t="inlineStr">
        <is>
          <t>VEGA_MID</t>
        </is>
      </c>
      <c r="JM3" s="5" t="inlineStr">
        <is>
          <t>THETA_MID</t>
        </is>
      </c>
      <c r="JN3" s="5" t="inlineStr">
        <is>
          <t>OPT_UNDL_PX</t>
        </is>
      </c>
      <c r="JP3" s="5" t="inlineStr">
        <is>
          <t>Date</t>
        </is>
      </c>
      <c r="JQ3" s="5" t="inlineStr">
        <is>
          <t>PX_BID</t>
        </is>
      </c>
      <c r="JR3" s="5" t="inlineStr">
        <is>
          <t>PX_ASK</t>
        </is>
      </c>
      <c r="JS3" s="5" t="inlineStr">
        <is>
          <t>PX_MID</t>
        </is>
      </c>
      <c r="JT3" s="5" t="inlineStr">
        <is>
          <t>PX_LAST</t>
        </is>
      </c>
      <c r="JU3" s="5" t="inlineStr">
        <is>
          <t>PX_SETTLE</t>
        </is>
      </c>
      <c r="JV3" s="5" t="inlineStr">
        <is>
          <t>PX_VOLUME</t>
        </is>
      </c>
      <c r="JW3" s="5" t="inlineStr">
        <is>
          <t>OPEN_INT</t>
        </is>
      </c>
      <c r="JX3" s="5" t="inlineStr">
        <is>
          <t>IVOL_MID</t>
        </is>
      </c>
      <c r="JY3" s="5" t="inlineStr">
        <is>
          <t>IVOL_BID</t>
        </is>
      </c>
      <c r="JZ3" s="5" t="inlineStr">
        <is>
          <t>IVOL_ASK</t>
        </is>
      </c>
      <c r="KA3" s="5" t="inlineStr">
        <is>
          <t>DELTA_MID</t>
        </is>
      </c>
      <c r="KB3" s="5" t="inlineStr">
        <is>
          <t>GAMMA_MID</t>
        </is>
      </c>
      <c r="KC3" s="5" t="inlineStr">
        <is>
          <t>VEGA_MID</t>
        </is>
      </c>
      <c r="KD3" s="5" t="inlineStr">
        <is>
          <t>THETA_MID</t>
        </is>
      </c>
      <c r="KE3" s="5" t="inlineStr">
        <is>
          <t>OPT_UNDL_PX</t>
        </is>
      </c>
      <c r="KG3" s="5" t="inlineStr">
        <is>
          <t>Date</t>
        </is>
      </c>
      <c r="KH3" s="5" t="inlineStr">
        <is>
          <t>PX_BID</t>
        </is>
      </c>
      <c r="KI3" s="5" t="inlineStr">
        <is>
          <t>PX_ASK</t>
        </is>
      </c>
      <c r="KJ3" s="5" t="inlineStr">
        <is>
          <t>PX_MID</t>
        </is>
      </c>
      <c r="KK3" s="5" t="inlineStr">
        <is>
          <t>PX_LAST</t>
        </is>
      </c>
      <c r="KL3" s="5" t="inlineStr">
        <is>
          <t>PX_SETTLE</t>
        </is>
      </c>
      <c r="KM3" s="5" t="inlineStr">
        <is>
          <t>PX_VOLUME</t>
        </is>
      </c>
      <c r="KN3" s="5" t="inlineStr">
        <is>
          <t>OPEN_INT</t>
        </is>
      </c>
      <c r="KO3" s="5" t="inlineStr">
        <is>
          <t>IVOL_MID</t>
        </is>
      </c>
      <c r="KP3" s="5" t="inlineStr">
        <is>
          <t>IVOL_BID</t>
        </is>
      </c>
      <c r="KQ3" s="5" t="inlineStr">
        <is>
          <t>IVOL_ASK</t>
        </is>
      </c>
      <c r="KR3" s="5" t="inlineStr">
        <is>
          <t>DELTA_MID</t>
        </is>
      </c>
      <c r="KS3" s="5" t="inlineStr">
        <is>
          <t>GAMMA_MID</t>
        </is>
      </c>
      <c r="KT3" s="5" t="inlineStr">
        <is>
          <t>VEGA_MID</t>
        </is>
      </c>
      <c r="KU3" s="5" t="inlineStr">
        <is>
          <t>THETA_MID</t>
        </is>
      </c>
      <c r="KV3" s="5" t="inlineStr">
        <is>
          <t>OPT_UNDL_PX</t>
        </is>
      </c>
      <c r="KX3" s="5" t="inlineStr">
        <is>
          <t>Date</t>
        </is>
      </c>
      <c r="KY3" s="5" t="inlineStr">
        <is>
          <t>PX_BID</t>
        </is>
      </c>
      <c r="KZ3" s="5" t="inlineStr">
        <is>
          <t>PX_ASK</t>
        </is>
      </c>
      <c r="LA3" s="5" t="inlineStr">
        <is>
          <t>PX_MID</t>
        </is>
      </c>
      <c r="LB3" s="5" t="inlineStr">
        <is>
          <t>PX_LAST</t>
        </is>
      </c>
      <c r="LC3" s="5" t="inlineStr">
        <is>
          <t>PX_SETTLE</t>
        </is>
      </c>
      <c r="LD3" s="5" t="inlineStr">
        <is>
          <t>PX_VOLUME</t>
        </is>
      </c>
      <c r="LE3" s="5" t="inlineStr">
        <is>
          <t>OPEN_INT</t>
        </is>
      </c>
      <c r="LF3" s="5" t="inlineStr">
        <is>
          <t>IVOL_MID</t>
        </is>
      </c>
      <c r="LG3" s="5" t="inlineStr">
        <is>
          <t>IVOL_BID</t>
        </is>
      </c>
      <c r="LH3" s="5" t="inlineStr">
        <is>
          <t>IVOL_ASK</t>
        </is>
      </c>
      <c r="LI3" s="5" t="inlineStr">
        <is>
          <t>DELTA_MID</t>
        </is>
      </c>
      <c r="LJ3" s="5" t="inlineStr">
        <is>
          <t>GAMMA_MID</t>
        </is>
      </c>
      <c r="LK3" s="5" t="inlineStr">
        <is>
          <t>VEGA_MID</t>
        </is>
      </c>
      <c r="LL3" s="5" t="inlineStr">
        <is>
          <t>THETA_MID</t>
        </is>
      </c>
      <c r="LM3" s="5" t="inlineStr">
        <is>
          <t>OPT_UNDL_PX</t>
        </is>
      </c>
      <c r="LO3" s="5" t="inlineStr">
        <is>
          <t>Date</t>
        </is>
      </c>
      <c r="LP3" s="5" t="inlineStr">
        <is>
          <t>PX_BID</t>
        </is>
      </c>
      <c r="LQ3" s="5" t="inlineStr">
        <is>
          <t>PX_ASK</t>
        </is>
      </c>
      <c r="LR3" s="5" t="inlineStr">
        <is>
          <t>PX_MID</t>
        </is>
      </c>
      <c r="LS3" s="5" t="inlineStr">
        <is>
          <t>PX_LAST</t>
        </is>
      </c>
      <c r="LT3" s="5" t="inlineStr">
        <is>
          <t>PX_SETTLE</t>
        </is>
      </c>
      <c r="LU3" s="5" t="inlineStr">
        <is>
          <t>PX_VOLUME</t>
        </is>
      </c>
      <c r="LV3" s="5" t="inlineStr">
        <is>
          <t>OPEN_INT</t>
        </is>
      </c>
      <c r="LW3" s="5" t="inlineStr">
        <is>
          <t>IVOL_MID</t>
        </is>
      </c>
      <c r="LX3" s="5" t="inlineStr">
        <is>
          <t>IVOL_BID</t>
        </is>
      </c>
      <c r="LY3" s="5" t="inlineStr">
        <is>
          <t>IVOL_ASK</t>
        </is>
      </c>
      <c r="LZ3" s="5" t="inlineStr">
        <is>
          <t>DELTA_MID</t>
        </is>
      </c>
      <c r="MA3" s="5" t="inlineStr">
        <is>
          <t>GAMMA_MID</t>
        </is>
      </c>
      <c r="MB3" s="5" t="inlineStr">
        <is>
          <t>VEGA_MID</t>
        </is>
      </c>
      <c r="MC3" s="5" t="inlineStr">
        <is>
          <t>THETA_MID</t>
        </is>
      </c>
      <c r="MD3" s="5" t="inlineStr">
        <is>
          <t>OPT_UNDL_PX</t>
        </is>
      </c>
      <c r="MF3" s="5" t="inlineStr">
        <is>
          <t>Date</t>
        </is>
      </c>
      <c r="MG3" s="5" t="inlineStr">
        <is>
          <t>PX_BID</t>
        </is>
      </c>
      <c r="MH3" s="5" t="inlineStr">
        <is>
          <t>PX_ASK</t>
        </is>
      </c>
      <c r="MI3" s="5" t="inlineStr">
        <is>
          <t>PX_MID</t>
        </is>
      </c>
      <c r="MJ3" s="5" t="inlineStr">
        <is>
          <t>PX_LAST</t>
        </is>
      </c>
      <c r="MK3" s="5" t="inlineStr">
        <is>
          <t>PX_SETTLE</t>
        </is>
      </c>
      <c r="ML3" s="5" t="inlineStr">
        <is>
          <t>PX_VOLUME</t>
        </is>
      </c>
      <c r="MM3" s="5" t="inlineStr">
        <is>
          <t>OPEN_INT</t>
        </is>
      </c>
      <c r="MN3" s="5" t="inlineStr">
        <is>
          <t>IVOL_MID</t>
        </is>
      </c>
      <c r="MO3" s="5" t="inlineStr">
        <is>
          <t>IVOL_BID</t>
        </is>
      </c>
      <c r="MP3" s="5" t="inlineStr">
        <is>
          <t>IVOL_ASK</t>
        </is>
      </c>
      <c r="MQ3" s="5" t="inlineStr">
        <is>
          <t>DELTA_MID</t>
        </is>
      </c>
      <c r="MR3" s="5" t="inlineStr">
        <is>
          <t>GAMMA_MID</t>
        </is>
      </c>
      <c r="MS3" s="5" t="inlineStr">
        <is>
          <t>VEGA_MID</t>
        </is>
      </c>
      <c r="MT3" s="5" t="inlineStr">
        <is>
          <t>THETA_MID</t>
        </is>
      </c>
      <c r="MU3" s="5" t="inlineStr">
        <is>
          <t>OPT_UNDL_PX</t>
        </is>
      </c>
      <c r="MW3" s="5" t="inlineStr">
        <is>
          <t>Date</t>
        </is>
      </c>
      <c r="MX3" s="5" t="inlineStr">
        <is>
          <t>PX_BID</t>
        </is>
      </c>
      <c r="MY3" s="5" t="inlineStr">
        <is>
          <t>PX_ASK</t>
        </is>
      </c>
      <c r="MZ3" s="5" t="inlineStr">
        <is>
          <t>PX_MID</t>
        </is>
      </c>
      <c r="NA3" s="5" t="inlineStr">
        <is>
          <t>PX_LAST</t>
        </is>
      </c>
      <c r="NB3" s="5" t="inlineStr">
        <is>
          <t>PX_SETTLE</t>
        </is>
      </c>
      <c r="NC3" s="5" t="inlineStr">
        <is>
          <t>PX_VOLUME</t>
        </is>
      </c>
      <c r="ND3" s="5" t="inlineStr">
        <is>
          <t>OPEN_INT</t>
        </is>
      </c>
      <c r="NE3" s="5" t="inlineStr">
        <is>
          <t>IVOL_MID</t>
        </is>
      </c>
      <c r="NF3" s="5" t="inlineStr">
        <is>
          <t>IVOL_BID</t>
        </is>
      </c>
      <c r="NG3" s="5" t="inlineStr">
        <is>
          <t>IVOL_ASK</t>
        </is>
      </c>
      <c r="NH3" s="5" t="inlineStr">
        <is>
          <t>DELTA_MID</t>
        </is>
      </c>
      <c r="NI3" s="5" t="inlineStr">
        <is>
          <t>GAMMA_MID</t>
        </is>
      </c>
      <c r="NJ3" s="5" t="inlineStr">
        <is>
          <t>VEGA_MID</t>
        </is>
      </c>
      <c r="NK3" s="5" t="inlineStr">
        <is>
          <t>THETA_MID</t>
        </is>
      </c>
      <c r="NL3" s="5" t="inlineStr">
        <is>
          <t>OPT_UNDL_PX</t>
        </is>
      </c>
    </row>
    <row r="4">
      <c r="A4" s="2" t="inlineStr">
        <is>
          <t>Strike reference date</t>
        </is>
      </c>
      <c r="B4" s="8">
        <f>B3-45</f>
        <v/>
      </c>
      <c r="D4" s="4">
        <f>BDH(D$1,E$3:S$3,$B$8,$B$9,"Dir=V","Dts=S","Sort=A","Days=T","Fill=B")</f>
        <v/>
      </c>
      <c r="U4" s="4">
        <f>BDH(U$1,V$3:AJ$3,$B$8,$B$9,"Dir=V","Dts=S","Sort=A","Days=T","Fill=B")</f>
        <v/>
      </c>
      <c r="AL4" s="4">
        <f>BDH(AL$1,AM$3:BA$3,$B$8,$B$9,"Dir=V","Dts=S","Sort=A","Days=T","Fill=B")</f>
        <v/>
      </c>
      <c r="BC4" s="4">
        <f>BDH(BC$1,BD$3:BR$3,$B$8,$B$9,"Dir=V","Dts=S","Sort=A","Days=T","Fill=B")</f>
        <v/>
      </c>
      <c r="BT4" s="4">
        <f>BDH(BT$1,BU$3:CI$3,$B$8,$B$9,"Dir=V","Dts=S","Sort=A","Days=T","Fill=B")</f>
        <v/>
      </c>
      <c r="CK4" s="4">
        <f>BDH(CK$1,CL$3:CZ$3,$B$8,$B$9,"Dir=V","Dts=S","Sort=A","Days=T","Fill=B")</f>
        <v/>
      </c>
      <c r="DB4" s="4">
        <f>BDH(DB$1,DC$3:DQ$3,$B$8,$B$9,"Dir=V","Dts=S","Sort=A","Days=T","Fill=B")</f>
        <v/>
      </c>
      <c r="DS4" s="4">
        <f>BDH(DS$1,DT$3:EH$3,$B$8,$B$9,"Dir=V","Dts=S","Sort=A","Days=T","Fill=B")</f>
        <v/>
      </c>
      <c r="EJ4" s="4">
        <f>BDH(EJ$1,EK$3:EY$3,$B$8,$B$9,"Dir=V","Dts=S","Sort=A","Days=T","Fill=B")</f>
        <v/>
      </c>
      <c r="FA4" s="4">
        <f>BDH(FA$1,FB$3:FP$3,$B$8,$B$9,"Dir=V","Dts=S","Sort=A","Days=T","Fill=B")</f>
        <v/>
      </c>
      <c r="FR4" s="4">
        <f>BDH(FR$1,FS$3:GG$3,$B$8,$B$9,"Dir=V","Dts=S","Sort=A","Days=T","Fill=B")</f>
        <v/>
      </c>
      <c r="GI4" s="4">
        <f>BDH(GI$1,GJ$3:GX$3,$B$8,$B$9,"Dir=V","Dts=S","Sort=A","Days=T","Fill=B")</f>
        <v/>
      </c>
      <c r="GZ4" s="4">
        <f>BDH(GZ$1,HA$3:HO$3,$B$8,$B$9,"Dir=V","Dts=S","Sort=A","Days=T","Fill=B")</f>
        <v/>
      </c>
      <c r="HQ4" s="4">
        <f>BDH(HQ$1,HR$3:IF$3,$B$8,$B$9,"Dir=V","Dts=S","Sort=A","Days=T","Fill=B")</f>
        <v/>
      </c>
      <c r="IH4" s="4">
        <f>BDH(IH$1,II$3:IW$3,$B$8,$B$9,"Dir=V","Dts=S","Sort=A","Days=T","Fill=B")</f>
        <v/>
      </c>
      <c r="IY4" s="4">
        <f>BDH(IY$1,IZ$3:JN$3,$B$8,$B$9,"Dir=V","Dts=S","Sort=A","Days=T","Fill=B")</f>
        <v/>
      </c>
      <c r="JP4" s="4">
        <f>BDH(JP$1,JQ$3:KE$3,$B$8,$B$9,"Dir=V","Dts=S","Sort=A","Days=T","Fill=B")</f>
        <v/>
      </c>
      <c r="KG4" s="4">
        <f>BDH(KG$1,KH$3:KV$3,$B$8,$B$9,"Dir=V","Dts=S","Sort=A","Days=T","Fill=B")</f>
        <v/>
      </c>
      <c r="KX4" s="4">
        <f>BDH(KX$1,KY$3:LM$3,$B$8,$B$9,"Dir=V","Dts=S","Sort=A","Days=T","Fill=B")</f>
        <v/>
      </c>
      <c r="LO4" s="4">
        <f>BDH(LO$1,LP$3:MD$3,$B$8,$B$9,"Dir=V","Dts=S","Sort=A","Days=T","Fill=B")</f>
        <v/>
      </c>
      <c r="MF4" s="4">
        <f>BDH(MF$1,MG$3:MU$3,$B$8,$B$9,"Dir=V","Dts=S","Sort=A","Days=T","Fill=B")</f>
        <v/>
      </c>
      <c r="MW4" s="4">
        <f>BDH(MW$1,MX$3:NL$3,$B$8,$B$9,"Dir=V","Dts=S","Sort=A","Days=T","Fill=B")</f>
        <v/>
      </c>
    </row>
    <row r="5">
      <c r="A5" s="2" t="inlineStr">
        <is>
          <t>Unadjusted close then</t>
        </is>
      </c>
      <c r="B5" s="10">
        <f>IF(B2="","",BDH(B2,"PX_LAST",B4,B4,"Days=A","Fill=P","Dts=H","CshAdjNormal=N","CshAdjAbnormal=N","CapChg=N"))</f>
        <v/>
      </c>
    </row>
    <row r="6">
      <c r="A6" s="2" t="inlineStr">
        <is>
          <t>Strike step</t>
        </is>
      </c>
      <c r="B6" s="11">
        <f>IF(ISNUMBER(B5),IF(B5&lt;25,0.5,IF(B5&lt;250,1,5)),"")</f>
        <v/>
      </c>
    </row>
    <row r="7">
      <c r="A7" s="2" t="inlineStr">
        <is>
          <t>ATM strike</t>
        </is>
      </c>
      <c r="B7" s="11">
        <f>IF(ISNUMBER(B5),ROUND(B5/B6,0)*B6,"")</f>
        <v/>
      </c>
    </row>
    <row r="8">
      <c r="A8" s="2" t="inlineStr">
        <is>
          <t>History start</t>
        </is>
      </c>
      <c r="B8" s="8">
        <f>B3-100</f>
        <v/>
      </c>
    </row>
    <row r="9">
      <c r="A9" s="2" t="inlineStr">
        <is>
          <t>History end</t>
        </is>
      </c>
      <c r="B9" s="8">
        <f>B3</f>
        <v/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NL9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2" customWidth="1" min="2" max="2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1" customWidth="1" min="15" max="15"/>
    <col width="11" customWidth="1" min="16" max="16"/>
    <col width="10" customWidth="1" min="17" max="17"/>
    <col width="11" customWidth="1" min="18" max="18"/>
    <col width="13" customWidth="1" min="19" max="19"/>
    <col width="12" customWidth="1" min="21" max="21"/>
    <col width="10" customWidth="1" min="22" max="22"/>
    <col width="10" customWidth="1" min="23" max="23"/>
    <col width="10" customWidth="1" min="24" max="24"/>
    <col width="10" customWidth="1" min="25" max="25"/>
    <col width="11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1" customWidth="1" min="32" max="32"/>
    <col width="11" customWidth="1" min="33" max="33"/>
    <col width="10" customWidth="1" min="34" max="34"/>
    <col width="11" customWidth="1" min="35" max="35"/>
    <col width="13" customWidth="1" min="36" max="36"/>
    <col width="12" customWidth="1" min="38" max="38"/>
    <col width="10" customWidth="1" min="39" max="39"/>
    <col width="10" customWidth="1" min="40" max="40"/>
    <col width="10" customWidth="1" min="41" max="41"/>
    <col width="10" customWidth="1" min="42" max="42"/>
    <col width="11" customWidth="1" min="43" max="43"/>
    <col width="11" customWidth="1" min="44" max="44"/>
    <col width="10" customWidth="1" min="45" max="45"/>
    <col width="10" customWidth="1" min="46" max="46"/>
    <col width="10" customWidth="1" min="47" max="47"/>
    <col width="10" customWidth="1" min="48" max="48"/>
    <col width="11" customWidth="1" min="49" max="49"/>
    <col width="11" customWidth="1" min="50" max="50"/>
    <col width="10" customWidth="1" min="51" max="51"/>
    <col width="11" customWidth="1" min="52" max="52"/>
    <col width="13" customWidth="1" min="53" max="53"/>
    <col width="12" customWidth="1" min="55" max="55"/>
    <col width="10" customWidth="1" min="56" max="56"/>
    <col width="10" customWidth="1" min="57" max="57"/>
    <col width="10" customWidth="1" min="58" max="58"/>
    <col width="10" customWidth="1" min="59" max="59"/>
    <col width="11" customWidth="1" min="60" max="60"/>
    <col width="11" customWidth="1" min="61" max="61"/>
    <col width="10" customWidth="1" min="62" max="62"/>
    <col width="10" customWidth="1" min="63" max="63"/>
    <col width="10" customWidth="1" min="64" max="64"/>
    <col width="10" customWidth="1" min="65" max="65"/>
    <col width="11" customWidth="1" min="66" max="66"/>
    <col width="11" customWidth="1" min="67" max="67"/>
    <col width="10" customWidth="1" min="68" max="68"/>
    <col width="11" customWidth="1" min="69" max="69"/>
    <col width="13" customWidth="1" min="70" max="70"/>
    <col width="12" customWidth="1" min="72" max="72"/>
    <col width="10" customWidth="1" min="73" max="73"/>
    <col width="10" customWidth="1" min="74" max="74"/>
    <col width="10" customWidth="1" min="75" max="75"/>
    <col width="10" customWidth="1" min="76" max="76"/>
    <col width="11" customWidth="1" min="77" max="77"/>
    <col width="11" customWidth="1" min="78" max="78"/>
    <col width="10" customWidth="1" min="79" max="79"/>
    <col width="10" customWidth="1" min="80" max="80"/>
    <col width="10" customWidth="1" min="81" max="81"/>
    <col width="10" customWidth="1" min="82" max="82"/>
    <col width="11" customWidth="1" min="83" max="83"/>
    <col width="11" customWidth="1" min="84" max="84"/>
    <col width="10" customWidth="1" min="85" max="85"/>
    <col width="11" customWidth="1" min="86" max="86"/>
    <col width="13" customWidth="1" min="87" max="87"/>
    <col width="12" customWidth="1" min="89" max="89"/>
    <col width="10" customWidth="1" min="90" max="90"/>
    <col width="10" customWidth="1" min="91" max="91"/>
    <col width="10" customWidth="1" min="92" max="92"/>
    <col width="10" customWidth="1" min="93" max="93"/>
    <col width="11" customWidth="1" min="94" max="94"/>
    <col width="11" customWidth="1" min="95" max="95"/>
    <col width="10" customWidth="1" min="96" max="96"/>
    <col width="10" customWidth="1" min="97" max="97"/>
    <col width="10" customWidth="1" min="98" max="98"/>
    <col width="10" customWidth="1" min="99" max="99"/>
    <col width="11" customWidth="1" min="100" max="100"/>
    <col width="11" customWidth="1" min="101" max="101"/>
    <col width="10" customWidth="1" min="102" max="102"/>
    <col width="11" customWidth="1" min="103" max="103"/>
    <col width="13" customWidth="1" min="104" max="104"/>
    <col width="12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1" customWidth="1" min="111" max="111"/>
    <col width="11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1" customWidth="1" min="117" max="117"/>
    <col width="11" customWidth="1" min="118" max="118"/>
    <col width="10" customWidth="1" min="119" max="119"/>
    <col width="11" customWidth="1" min="120" max="120"/>
    <col width="13" customWidth="1" min="121" max="121"/>
    <col width="12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1" customWidth="1" min="128" max="128"/>
    <col width="11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1" customWidth="1" min="134" max="134"/>
    <col width="11" customWidth="1" min="135" max="135"/>
    <col width="10" customWidth="1" min="136" max="136"/>
    <col width="11" customWidth="1" min="137" max="137"/>
    <col width="13" customWidth="1" min="138" max="138"/>
    <col width="12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1" customWidth="1" min="145" max="145"/>
    <col width="11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1" customWidth="1" min="151" max="151"/>
    <col width="11" customWidth="1" min="152" max="152"/>
    <col width="10" customWidth="1" min="153" max="153"/>
    <col width="11" customWidth="1" min="154" max="154"/>
    <col width="13" customWidth="1" min="155" max="155"/>
    <col width="12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1" customWidth="1" min="162" max="162"/>
    <col width="11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1" customWidth="1" min="168" max="168"/>
    <col width="11" customWidth="1" min="169" max="169"/>
    <col width="10" customWidth="1" min="170" max="170"/>
    <col width="11" customWidth="1" min="171" max="171"/>
    <col width="13" customWidth="1" min="172" max="172"/>
    <col width="12" customWidth="1" min="174" max="174"/>
    <col width="10" customWidth="1" min="175" max="175"/>
    <col width="10" customWidth="1" min="176" max="176"/>
    <col width="10" customWidth="1" min="177" max="177"/>
    <col width="10" customWidth="1" min="178" max="178"/>
    <col width="11" customWidth="1" min="179" max="179"/>
    <col width="11" customWidth="1" min="180" max="180"/>
    <col width="10" customWidth="1" min="181" max="181"/>
    <col width="10" customWidth="1" min="182" max="182"/>
    <col width="10" customWidth="1" min="183" max="183"/>
    <col width="10" customWidth="1" min="184" max="184"/>
    <col width="11" customWidth="1" min="185" max="185"/>
    <col width="11" customWidth="1" min="186" max="186"/>
    <col width="10" customWidth="1" min="187" max="187"/>
    <col width="11" customWidth="1" min="188" max="188"/>
    <col width="13" customWidth="1" min="189" max="189"/>
    <col width="12" customWidth="1" min="191" max="191"/>
    <col width="10" customWidth="1" min="192" max="192"/>
    <col width="10" customWidth="1" min="193" max="193"/>
    <col width="10" customWidth="1" min="194" max="194"/>
    <col width="10" customWidth="1" min="195" max="195"/>
    <col width="11" customWidth="1" min="196" max="196"/>
    <col width="11" customWidth="1" min="197" max="197"/>
    <col width="10" customWidth="1" min="198" max="198"/>
    <col width="10" customWidth="1" min="199" max="199"/>
    <col width="10" customWidth="1" min="200" max="200"/>
    <col width="10" customWidth="1" min="201" max="201"/>
    <col width="11" customWidth="1" min="202" max="202"/>
    <col width="11" customWidth="1" min="203" max="203"/>
    <col width="10" customWidth="1" min="204" max="204"/>
    <col width="11" customWidth="1" min="205" max="205"/>
    <col width="13" customWidth="1" min="206" max="206"/>
    <col width="12" customWidth="1" min="208" max="208"/>
    <col width="10" customWidth="1" min="209" max="209"/>
    <col width="10" customWidth="1" min="210" max="210"/>
    <col width="10" customWidth="1" min="211" max="211"/>
    <col width="10" customWidth="1" min="212" max="212"/>
    <col width="11" customWidth="1" min="213" max="213"/>
    <col width="11" customWidth="1" min="214" max="214"/>
    <col width="10" customWidth="1" min="215" max="215"/>
    <col width="10" customWidth="1" min="216" max="216"/>
    <col width="10" customWidth="1" min="217" max="217"/>
    <col width="10" customWidth="1" min="218" max="218"/>
    <col width="11" customWidth="1" min="219" max="219"/>
    <col width="11" customWidth="1" min="220" max="220"/>
    <col width="10" customWidth="1" min="221" max="221"/>
    <col width="11" customWidth="1" min="222" max="222"/>
    <col width="13" customWidth="1" min="223" max="223"/>
    <col width="12" customWidth="1" min="225" max="225"/>
    <col width="10" customWidth="1" min="226" max="226"/>
    <col width="10" customWidth="1" min="227" max="227"/>
    <col width="10" customWidth="1" min="228" max="228"/>
    <col width="10" customWidth="1" min="229" max="229"/>
    <col width="11" customWidth="1" min="230" max="230"/>
    <col width="11" customWidth="1" min="231" max="231"/>
    <col width="10" customWidth="1" min="232" max="232"/>
    <col width="10" customWidth="1" min="233" max="233"/>
    <col width="10" customWidth="1" min="234" max="234"/>
    <col width="10" customWidth="1" min="235" max="235"/>
    <col width="11" customWidth="1" min="236" max="236"/>
    <col width="11" customWidth="1" min="237" max="237"/>
    <col width="10" customWidth="1" min="238" max="238"/>
    <col width="11" customWidth="1" min="239" max="239"/>
    <col width="13" customWidth="1" min="240" max="240"/>
    <col width="12" customWidth="1" min="242" max="242"/>
    <col width="10" customWidth="1" min="243" max="243"/>
    <col width="10" customWidth="1" min="244" max="244"/>
    <col width="10" customWidth="1" min="245" max="245"/>
    <col width="10" customWidth="1" min="246" max="246"/>
    <col width="11" customWidth="1" min="247" max="247"/>
    <col width="11" customWidth="1" min="248" max="248"/>
    <col width="10" customWidth="1" min="249" max="249"/>
    <col width="10" customWidth="1" min="250" max="250"/>
    <col width="10" customWidth="1" min="251" max="251"/>
    <col width="10" customWidth="1" min="252" max="252"/>
    <col width="11" customWidth="1" min="253" max="253"/>
    <col width="11" customWidth="1" min="254" max="254"/>
    <col width="10" customWidth="1" min="255" max="255"/>
    <col width="11" customWidth="1" min="256" max="256"/>
    <col width="13" customWidth="1" min="257" max="257"/>
    <col width="12" customWidth="1" min="259" max="259"/>
    <col width="10" customWidth="1" min="260" max="260"/>
    <col width="10" customWidth="1" min="261" max="261"/>
    <col width="10" customWidth="1" min="262" max="262"/>
    <col width="10" customWidth="1" min="263" max="263"/>
    <col width="11" customWidth="1" min="264" max="264"/>
    <col width="11" customWidth="1" min="265" max="265"/>
    <col width="10" customWidth="1" min="266" max="266"/>
    <col width="10" customWidth="1" min="267" max="267"/>
    <col width="10" customWidth="1" min="268" max="268"/>
    <col width="10" customWidth="1" min="269" max="269"/>
    <col width="11" customWidth="1" min="270" max="270"/>
    <col width="11" customWidth="1" min="271" max="271"/>
    <col width="10" customWidth="1" min="272" max="272"/>
    <col width="11" customWidth="1" min="273" max="273"/>
    <col width="13" customWidth="1" min="274" max="274"/>
    <col width="12" customWidth="1" min="276" max="276"/>
    <col width="10" customWidth="1" min="277" max="277"/>
    <col width="10" customWidth="1" min="278" max="278"/>
    <col width="10" customWidth="1" min="279" max="279"/>
    <col width="10" customWidth="1" min="280" max="280"/>
    <col width="11" customWidth="1" min="281" max="281"/>
    <col width="11" customWidth="1" min="282" max="282"/>
    <col width="10" customWidth="1" min="283" max="283"/>
    <col width="10" customWidth="1" min="284" max="284"/>
    <col width="10" customWidth="1" min="285" max="285"/>
    <col width="10" customWidth="1" min="286" max="286"/>
    <col width="11" customWidth="1" min="287" max="287"/>
    <col width="11" customWidth="1" min="288" max="288"/>
    <col width="10" customWidth="1" min="289" max="289"/>
    <col width="11" customWidth="1" min="290" max="290"/>
    <col width="13" customWidth="1" min="291" max="291"/>
    <col width="12" customWidth="1" min="293" max="293"/>
    <col width="10" customWidth="1" min="294" max="294"/>
    <col width="10" customWidth="1" min="295" max="295"/>
    <col width="10" customWidth="1" min="296" max="296"/>
    <col width="10" customWidth="1" min="297" max="297"/>
    <col width="11" customWidth="1" min="298" max="298"/>
    <col width="11" customWidth="1" min="299" max="299"/>
    <col width="10" customWidth="1" min="300" max="300"/>
    <col width="10" customWidth="1" min="301" max="301"/>
    <col width="10" customWidth="1" min="302" max="302"/>
    <col width="10" customWidth="1" min="303" max="303"/>
    <col width="11" customWidth="1" min="304" max="304"/>
    <col width="11" customWidth="1" min="305" max="305"/>
    <col width="10" customWidth="1" min="306" max="306"/>
    <col width="11" customWidth="1" min="307" max="307"/>
    <col width="13" customWidth="1" min="308" max="308"/>
    <col width="12" customWidth="1" min="310" max="310"/>
    <col width="10" customWidth="1" min="311" max="311"/>
    <col width="10" customWidth="1" min="312" max="312"/>
    <col width="10" customWidth="1" min="313" max="313"/>
    <col width="10" customWidth="1" min="314" max="314"/>
    <col width="11" customWidth="1" min="315" max="315"/>
    <col width="11" customWidth="1" min="316" max="316"/>
    <col width="10" customWidth="1" min="317" max="317"/>
    <col width="10" customWidth="1" min="318" max="318"/>
    <col width="10" customWidth="1" min="319" max="319"/>
    <col width="10" customWidth="1" min="320" max="320"/>
    <col width="11" customWidth="1" min="321" max="321"/>
    <col width="11" customWidth="1" min="322" max="322"/>
    <col width="10" customWidth="1" min="323" max="323"/>
    <col width="11" customWidth="1" min="324" max="324"/>
    <col width="13" customWidth="1" min="325" max="325"/>
    <col width="12" customWidth="1" min="327" max="327"/>
    <col width="10" customWidth="1" min="328" max="328"/>
    <col width="10" customWidth="1" min="329" max="329"/>
    <col width="10" customWidth="1" min="330" max="330"/>
    <col width="10" customWidth="1" min="331" max="331"/>
    <col width="11" customWidth="1" min="332" max="332"/>
    <col width="11" customWidth="1" min="333" max="333"/>
    <col width="10" customWidth="1" min="334" max="334"/>
    <col width="10" customWidth="1" min="335" max="335"/>
    <col width="10" customWidth="1" min="336" max="336"/>
    <col width="10" customWidth="1" min="337" max="337"/>
    <col width="11" customWidth="1" min="338" max="338"/>
    <col width="11" customWidth="1" min="339" max="339"/>
    <col width="10" customWidth="1" min="340" max="340"/>
    <col width="11" customWidth="1" min="341" max="341"/>
    <col width="13" customWidth="1" min="342" max="342"/>
    <col width="12" customWidth="1" min="344" max="344"/>
    <col width="10" customWidth="1" min="345" max="345"/>
    <col width="10" customWidth="1" min="346" max="346"/>
    <col width="10" customWidth="1" min="347" max="347"/>
    <col width="10" customWidth="1" min="348" max="348"/>
    <col width="11" customWidth="1" min="349" max="349"/>
    <col width="11" customWidth="1" min="350" max="350"/>
    <col width="10" customWidth="1" min="351" max="351"/>
    <col width="10" customWidth="1" min="352" max="352"/>
    <col width="10" customWidth="1" min="353" max="353"/>
    <col width="10" customWidth="1" min="354" max="354"/>
    <col width="11" customWidth="1" min="355" max="355"/>
    <col width="11" customWidth="1" min="356" max="356"/>
    <col width="10" customWidth="1" min="357" max="357"/>
    <col width="11" customWidth="1" min="358" max="358"/>
    <col width="13" customWidth="1" min="359" max="359"/>
    <col width="12" customWidth="1" min="361" max="361"/>
    <col width="10" customWidth="1" min="362" max="362"/>
    <col width="10" customWidth="1" min="363" max="363"/>
    <col width="10" customWidth="1" min="364" max="364"/>
    <col width="10" customWidth="1" min="365" max="365"/>
    <col width="11" customWidth="1" min="366" max="366"/>
    <col width="11" customWidth="1" min="367" max="367"/>
    <col width="10" customWidth="1" min="368" max="368"/>
    <col width="10" customWidth="1" min="369" max="369"/>
    <col width="10" customWidth="1" min="370" max="370"/>
    <col width="10" customWidth="1" min="371" max="371"/>
    <col width="11" customWidth="1" min="372" max="372"/>
    <col width="11" customWidth="1" min="373" max="373"/>
    <col width="10" customWidth="1" min="374" max="374"/>
    <col width="11" customWidth="1" min="375" max="375"/>
    <col width="13" customWidth="1" min="376" max="376"/>
  </cols>
  <sheetData>
    <row r="1">
      <c r="A1" s="2" t="inlineStr">
        <is>
          <t>Month</t>
        </is>
      </c>
      <c r="B1" s="9" t="n">
        <v>9</v>
      </c>
      <c r="D1" s="2">
        <f>IF(ISNUMBER(B$7),"OXY US "&amp;TEXT(B$3,"mm/dd/yy")&amp;" C"&amp;(B$7-5*B$6)&amp;" Equity","")</f>
        <v/>
      </c>
      <c r="U1" s="2">
        <f>IF(ISNUMBER(B$7),"OXY US "&amp;TEXT(B$3,"mm/dd/yy")&amp;" P"&amp;(B$7-5*B$6)&amp;" Equity","")</f>
        <v/>
      </c>
      <c r="AL1" s="2">
        <f>IF(ISNUMBER(B$7),"OXY US "&amp;TEXT(B$3,"mm/dd/yy")&amp;" C"&amp;(B$7-4*B$6)&amp;" Equity","")</f>
        <v/>
      </c>
      <c r="BC1" s="2">
        <f>IF(ISNUMBER(B$7),"OXY US "&amp;TEXT(B$3,"mm/dd/yy")&amp;" P"&amp;(B$7-4*B$6)&amp;" Equity","")</f>
        <v/>
      </c>
      <c r="BT1" s="2">
        <f>IF(ISNUMBER(B$7),"OXY US "&amp;TEXT(B$3,"mm/dd/yy")&amp;" C"&amp;(B$7-3*B$6)&amp;" Equity","")</f>
        <v/>
      </c>
      <c r="CK1" s="2">
        <f>IF(ISNUMBER(B$7),"OXY US "&amp;TEXT(B$3,"mm/dd/yy")&amp;" P"&amp;(B$7-3*B$6)&amp;" Equity","")</f>
        <v/>
      </c>
      <c r="DB1" s="2">
        <f>IF(ISNUMBER(B$7),"OXY US "&amp;TEXT(B$3,"mm/dd/yy")&amp;" C"&amp;(B$7-2*B$6)&amp;" Equity","")</f>
        <v/>
      </c>
      <c r="DS1" s="2">
        <f>IF(ISNUMBER(B$7),"OXY US "&amp;TEXT(B$3,"mm/dd/yy")&amp;" P"&amp;(B$7-2*B$6)&amp;" Equity","")</f>
        <v/>
      </c>
      <c r="EJ1" s="2">
        <f>IF(ISNUMBER(B$7),"OXY US "&amp;TEXT(B$3,"mm/dd/yy")&amp;" C"&amp;(B$7-1*B$6)&amp;" Equity","")</f>
        <v/>
      </c>
      <c r="FA1" s="2">
        <f>IF(ISNUMBER(B$7),"OXY US "&amp;TEXT(B$3,"mm/dd/yy")&amp;" P"&amp;(B$7-1*B$6)&amp;" Equity","")</f>
        <v/>
      </c>
      <c r="FR1" s="2">
        <f>IF(ISNUMBER(B$7),"OXY US "&amp;TEXT(B$3,"mm/dd/yy")&amp;" C"&amp;B$7&amp;" Equity","")</f>
        <v/>
      </c>
      <c r="GI1" s="2">
        <f>IF(ISNUMBER(B$7),"OXY US "&amp;TEXT(B$3,"mm/dd/yy")&amp;" P"&amp;B$7&amp;" Equity","")</f>
        <v/>
      </c>
      <c r="GZ1" s="2">
        <f>IF(ISNUMBER(B$7),"OXY US "&amp;TEXT(B$3,"mm/dd/yy")&amp;" C"&amp;(B$7+1*B$6)&amp;" Equity","")</f>
        <v/>
      </c>
      <c r="HQ1" s="2">
        <f>IF(ISNUMBER(B$7),"OXY US "&amp;TEXT(B$3,"mm/dd/yy")&amp;" P"&amp;(B$7+1*B$6)&amp;" Equity","")</f>
        <v/>
      </c>
      <c r="IH1" s="2">
        <f>IF(ISNUMBER(B$7),"OXY US "&amp;TEXT(B$3,"mm/dd/yy")&amp;" C"&amp;(B$7+2*B$6)&amp;" Equity","")</f>
        <v/>
      </c>
      <c r="IY1" s="2">
        <f>IF(ISNUMBER(B$7),"OXY US "&amp;TEXT(B$3,"mm/dd/yy")&amp;" P"&amp;(B$7+2*B$6)&amp;" Equity","")</f>
        <v/>
      </c>
      <c r="JP1" s="2">
        <f>IF(ISNUMBER(B$7),"OXY US "&amp;TEXT(B$3,"mm/dd/yy")&amp;" C"&amp;(B$7+3*B$6)&amp;" Equity","")</f>
        <v/>
      </c>
      <c r="KG1" s="2">
        <f>IF(ISNUMBER(B$7),"OXY US "&amp;TEXT(B$3,"mm/dd/yy")&amp;" P"&amp;(B$7+3*B$6)&amp;" Equity","")</f>
        <v/>
      </c>
      <c r="KX1" s="2">
        <f>IF(ISNUMBER(B$7),"OXY US "&amp;TEXT(B$3,"mm/dd/yy")&amp;" C"&amp;(B$7+4*B$6)&amp;" Equity","")</f>
        <v/>
      </c>
      <c r="LO1" s="2">
        <f>IF(ISNUMBER(B$7),"OXY US "&amp;TEXT(B$3,"mm/dd/yy")&amp;" P"&amp;(B$7+4*B$6)&amp;" Equity","")</f>
        <v/>
      </c>
      <c r="MF1" s="2">
        <f>IF(ISNUMBER(B$7),"OXY US "&amp;TEXT(B$3,"mm/dd/yy")&amp;" C"&amp;(B$7+5*B$6)&amp;" Equity","")</f>
        <v/>
      </c>
      <c r="MW1" s="2">
        <f>IF(ISNUMBER(B$7),"OXY US "&amp;TEXT(B$3,"mm/dd/yy")&amp;" P"&amp;(B$7+5*B$6)&amp;" Equity","")</f>
        <v/>
      </c>
    </row>
    <row r="2">
      <c r="A2" s="2" t="inlineStr">
        <is>
          <t>Underlying</t>
        </is>
      </c>
      <c r="B2" s="4">
        <f>IF(Settings!$B$18="Y","OXY US Equity","")</f>
        <v/>
      </c>
      <c r="D2" s="4" t="inlineStr">
        <is>
          <t>call -5 from ATM</t>
        </is>
      </c>
      <c r="U2" s="4" t="inlineStr">
        <is>
          <t>put -5 from ATM</t>
        </is>
      </c>
      <c r="AL2" s="4" t="inlineStr">
        <is>
          <t>call -4 from ATM</t>
        </is>
      </c>
      <c r="BC2" s="4" t="inlineStr">
        <is>
          <t>put -4 from ATM</t>
        </is>
      </c>
      <c r="BT2" s="4" t="inlineStr">
        <is>
          <t>call -3 from ATM</t>
        </is>
      </c>
      <c r="CK2" s="4" t="inlineStr">
        <is>
          <t>put -3 from ATM</t>
        </is>
      </c>
      <c r="DB2" s="4" t="inlineStr">
        <is>
          <t>call -2 from ATM</t>
        </is>
      </c>
      <c r="DS2" s="4" t="inlineStr">
        <is>
          <t>put -2 from ATM</t>
        </is>
      </c>
      <c r="EJ2" s="4" t="inlineStr">
        <is>
          <t>call -1 from ATM</t>
        </is>
      </c>
      <c r="FA2" s="4" t="inlineStr">
        <is>
          <t>put -1 from ATM</t>
        </is>
      </c>
      <c r="FR2" s="4" t="inlineStr">
        <is>
          <t>call +0 from ATM</t>
        </is>
      </c>
      <c r="GI2" s="4" t="inlineStr">
        <is>
          <t>put +0 from ATM</t>
        </is>
      </c>
      <c r="GZ2" s="4" t="inlineStr">
        <is>
          <t>call +1 from ATM</t>
        </is>
      </c>
      <c r="HQ2" s="4" t="inlineStr">
        <is>
          <t>put +1 from ATM</t>
        </is>
      </c>
      <c r="IH2" s="4" t="inlineStr">
        <is>
          <t>call +2 from ATM</t>
        </is>
      </c>
      <c r="IY2" s="4" t="inlineStr">
        <is>
          <t>put +2 from ATM</t>
        </is>
      </c>
      <c r="JP2" s="4" t="inlineStr">
        <is>
          <t>call +3 from ATM</t>
        </is>
      </c>
      <c r="KG2" s="4" t="inlineStr">
        <is>
          <t>put +3 from ATM</t>
        </is>
      </c>
      <c r="KX2" s="4" t="inlineStr">
        <is>
          <t>call +4 from ATM</t>
        </is>
      </c>
      <c r="LO2" s="4" t="inlineStr">
        <is>
          <t>put +4 from ATM</t>
        </is>
      </c>
      <c r="MF2" s="4" t="inlineStr">
        <is>
          <t>call +5 from ATM</t>
        </is>
      </c>
      <c r="MW2" s="4" t="inlineStr">
        <is>
          <t>put +5 from ATM</t>
        </is>
      </c>
    </row>
    <row r="3">
      <c r="A3" s="2" t="inlineStr">
        <is>
          <t>Expiry (3rd Friday)</t>
        </is>
      </c>
      <c r="B3" s="3">
        <f>DATE(Settings!$E$18,B1,15)+MOD(6-WEEKDAY(DATE(Settings!$E$18,B1,15)),7)</f>
        <v/>
      </c>
      <c r="D3" s="5" t="inlineStr">
        <is>
          <t>Date</t>
        </is>
      </c>
      <c r="E3" s="5" t="inlineStr">
        <is>
          <t>PX_BID</t>
        </is>
      </c>
      <c r="F3" s="5" t="inlineStr">
        <is>
          <t>PX_ASK</t>
        </is>
      </c>
      <c r="G3" s="5" t="inlineStr">
        <is>
          <t>PX_MID</t>
        </is>
      </c>
      <c r="H3" s="5" t="inlineStr">
        <is>
          <t>PX_LAST</t>
        </is>
      </c>
      <c r="I3" s="5" t="inlineStr">
        <is>
          <t>PX_SETTLE</t>
        </is>
      </c>
      <c r="J3" s="5" t="inlineStr">
        <is>
          <t>PX_VOLUME</t>
        </is>
      </c>
      <c r="K3" s="5" t="inlineStr">
        <is>
          <t>OPEN_INT</t>
        </is>
      </c>
      <c r="L3" s="5" t="inlineStr">
        <is>
          <t>IVOL_MID</t>
        </is>
      </c>
      <c r="M3" s="5" t="inlineStr">
        <is>
          <t>IVOL_BID</t>
        </is>
      </c>
      <c r="N3" s="5" t="inlineStr">
        <is>
          <t>IVOL_ASK</t>
        </is>
      </c>
      <c r="O3" s="5" t="inlineStr">
        <is>
          <t>DELTA_MID</t>
        </is>
      </c>
      <c r="P3" s="5" t="inlineStr">
        <is>
          <t>GAMMA_MID</t>
        </is>
      </c>
      <c r="Q3" s="5" t="inlineStr">
        <is>
          <t>VEGA_MID</t>
        </is>
      </c>
      <c r="R3" s="5" t="inlineStr">
        <is>
          <t>THETA_MID</t>
        </is>
      </c>
      <c r="S3" s="5" t="inlineStr">
        <is>
          <t>OPT_UNDL_PX</t>
        </is>
      </c>
      <c r="U3" s="5" t="inlineStr">
        <is>
          <t>Date</t>
        </is>
      </c>
      <c r="V3" s="5" t="inlineStr">
        <is>
          <t>PX_BID</t>
        </is>
      </c>
      <c r="W3" s="5" t="inlineStr">
        <is>
          <t>PX_ASK</t>
        </is>
      </c>
      <c r="X3" s="5" t="inlineStr">
        <is>
          <t>PX_MID</t>
        </is>
      </c>
      <c r="Y3" s="5" t="inlineStr">
        <is>
          <t>PX_LAST</t>
        </is>
      </c>
      <c r="Z3" s="5" t="inlineStr">
        <is>
          <t>PX_SETTLE</t>
        </is>
      </c>
      <c r="AA3" s="5" t="inlineStr">
        <is>
          <t>PX_VOLUME</t>
        </is>
      </c>
      <c r="AB3" s="5" t="inlineStr">
        <is>
          <t>OPEN_INT</t>
        </is>
      </c>
      <c r="AC3" s="5" t="inlineStr">
        <is>
          <t>IVOL_MID</t>
        </is>
      </c>
      <c r="AD3" s="5" t="inlineStr">
        <is>
          <t>IVOL_BID</t>
        </is>
      </c>
      <c r="AE3" s="5" t="inlineStr">
        <is>
          <t>IVOL_ASK</t>
        </is>
      </c>
      <c r="AF3" s="5" t="inlineStr">
        <is>
          <t>DELTA_MID</t>
        </is>
      </c>
      <c r="AG3" s="5" t="inlineStr">
        <is>
          <t>GAMMA_MID</t>
        </is>
      </c>
      <c r="AH3" s="5" t="inlineStr">
        <is>
          <t>VEGA_MID</t>
        </is>
      </c>
      <c r="AI3" s="5" t="inlineStr">
        <is>
          <t>THETA_MID</t>
        </is>
      </c>
      <c r="AJ3" s="5" t="inlineStr">
        <is>
          <t>OPT_UNDL_PX</t>
        </is>
      </c>
      <c r="AL3" s="5" t="inlineStr">
        <is>
          <t>Date</t>
        </is>
      </c>
      <c r="AM3" s="5" t="inlineStr">
        <is>
          <t>PX_BID</t>
        </is>
      </c>
      <c r="AN3" s="5" t="inlineStr">
        <is>
          <t>PX_ASK</t>
        </is>
      </c>
      <c r="AO3" s="5" t="inlineStr">
        <is>
          <t>PX_MID</t>
        </is>
      </c>
      <c r="AP3" s="5" t="inlineStr">
        <is>
          <t>PX_LAST</t>
        </is>
      </c>
      <c r="AQ3" s="5" t="inlineStr">
        <is>
          <t>PX_SETTLE</t>
        </is>
      </c>
      <c r="AR3" s="5" t="inlineStr">
        <is>
          <t>PX_VOLUME</t>
        </is>
      </c>
      <c r="AS3" s="5" t="inlineStr">
        <is>
          <t>OPEN_INT</t>
        </is>
      </c>
      <c r="AT3" s="5" t="inlineStr">
        <is>
          <t>IVOL_MID</t>
        </is>
      </c>
      <c r="AU3" s="5" t="inlineStr">
        <is>
          <t>IVOL_BID</t>
        </is>
      </c>
      <c r="AV3" s="5" t="inlineStr">
        <is>
          <t>IVOL_ASK</t>
        </is>
      </c>
      <c r="AW3" s="5" t="inlineStr">
        <is>
          <t>DELTA_MID</t>
        </is>
      </c>
      <c r="AX3" s="5" t="inlineStr">
        <is>
          <t>GAMMA_MID</t>
        </is>
      </c>
      <c r="AY3" s="5" t="inlineStr">
        <is>
          <t>VEGA_MID</t>
        </is>
      </c>
      <c r="AZ3" s="5" t="inlineStr">
        <is>
          <t>THETA_MID</t>
        </is>
      </c>
      <c r="BA3" s="5" t="inlineStr">
        <is>
          <t>OPT_UNDL_PX</t>
        </is>
      </c>
      <c r="BC3" s="5" t="inlineStr">
        <is>
          <t>Date</t>
        </is>
      </c>
      <c r="BD3" s="5" t="inlineStr">
        <is>
          <t>PX_BID</t>
        </is>
      </c>
      <c r="BE3" s="5" t="inlineStr">
        <is>
          <t>PX_ASK</t>
        </is>
      </c>
      <c r="BF3" s="5" t="inlineStr">
        <is>
          <t>PX_MID</t>
        </is>
      </c>
      <c r="BG3" s="5" t="inlineStr">
        <is>
          <t>PX_LAST</t>
        </is>
      </c>
      <c r="BH3" s="5" t="inlineStr">
        <is>
          <t>PX_SETTLE</t>
        </is>
      </c>
      <c r="BI3" s="5" t="inlineStr">
        <is>
          <t>PX_VOLUME</t>
        </is>
      </c>
      <c r="BJ3" s="5" t="inlineStr">
        <is>
          <t>OPEN_INT</t>
        </is>
      </c>
      <c r="BK3" s="5" t="inlineStr">
        <is>
          <t>IVOL_MID</t>
        </is>
      </c>
      <c r="BL3" s="5" t="inlineStr">
        <is>
          <t>IVOL_BID</t>
        </is>
      </c>
      <c r="BM3" s="5" t="inlineStr">
        <is>
          <t>IVOL_ASK</t>
        </is>
      </c>
      <c r="BN3" s="5" t="inlineStr">
        <is>
          <t>DELTA_MID</t>
        </is>
      </c>
      <c r="BO3" s="5" t="inlineStr">
        <is>
          <t>GAMMA_MID</t>
        </is>
      </c>
      <c r="BP3" s="5" t="inlineStr">
        <is>
          <t>VEGA_MID</t>
        </is>
      </c>
      <c r="BQ3" s="5" t="inlineStr">
        <is>
          <t>THETA_MID</t>
        </is>
      </c>
      <c r="BR3" s="5" t="inlineStr">
        <is>
          <t>OPT_UNDL_PX</t>
        </is>
      </c>
      <c r="BT3" s="5" t="inlineStr">
        <is>
          <t>Date</t>
        </is>
      </c>
      <c r="BU3" s="5" t="inlineStr">
        <is>
          <t>PX_BID</t>
        </is>
      </c>
      <c r="BV3" s="5" t="inlineStr">
        <is>
          <t>PX_ASK</t>
        </is>
      </c>
      <c r="BW3" s="5" t="inlineStr">
        <is>
          <t>PX_MID</t>
        </is>
      </c>
      <c r="BX3" s="5" t="inlineStr">
        <is>
          <t>PX_LAST</t>
        </is>
      </c>
      <c r="BY3" s="5" t="inlineStr">
        <is>
          <t>PX_SETTLE</t>
        </is>
      </c>
      <c r="BZ3" s="5" t="inlineStr">
        <is>
          <t>PX_VOLUME</t>
        </is>
      </c>
      <c r="CA3" s="5" t="inlineStr">
        <is>
          <t>OPEN_INT</t>
        </is>
      </c>
      <c r="CB3" s="5" t="inlineStr">
        <is>
          <t>IVOL_MID</t>
        </is>
      </c>
      <c r="CC3" s="5" t="inlineStr">
        <is>
          <t>IVOL_BID</t>
        </is>
      </c>
      <c r="CD3" s="5" t="inlineStr">
        <is>
          <t>IVOL_ASK</t>
        </is>
      </c>
      <c r="CE3" s="5" t="inlineStr">
        <is>
          <t>DELTA_MID</t>
        </is>
      </c>
      <c r="CF3" s="5" t="inlineStr">
        <is>
          <t>GAMMA_MID</t>
        </is>
      </c>
      <c r="CG3" s="5" t="inlineStr">
        <is>
          <t>VEGA_MID</t>
        </is>
      </c>
      <c r="CH3" s="5" t="inlineStr">
        <is>
          <t>THETA_MID</t>
        </is>
      </c>
      <c r="CI3" s="5" t="inlineStr">
        <is>
          <t>OPT_UNDL_PX</t>
        </is>
      </c>
      <c r="CK3" s="5" t="inlineStr">
        <is>
          <t>Date</t>
        </is>
      </c>
      <c r="CL3" s="5" t="inlineStr">
        <is>
          <t>PX_BID</t>
        </is>
      </c>
      <c r="CM3" s="5" t="inlineStr">
        <is>
          <t>PX_ASK</t>
        </is>
      </c>
      <c r="CN3" s="5" t="inlineStr">
        <is>
          <t>PX_MID</t>
        </is>
      </c>
      <c r="CO3" s="5" t="inlineStr">
        <is>
          <t>PX_LAST</t>
        </is>
      </c>
      <c r="CP3" s="5" t="inlineStr">
        <is>
          <t>PX_SETTLE</t>
        </is>
      </c>
      <c r="CQ3" s="5" t="inlineStr">
        <is>
          <t>PX_VOLUME</t>
        </is>
      </c>
      <c r="CR3" s="5" t="inlineStr">
        <is>
          <t>OPEN_INT</t>
        </is>
      </c>
      <c r="CS3" s="5" t="inlineStr">
        <is>
          <t>IVOL_MID</t>
        </is>
      </c>
      <c r="CT3" s="5" t="inlineStr">
        <is>
          <t>IVOL_BID</t>
        </is>
      </c>
      <c r="CU3" s="5" t="inlineStr">
        <is>
          <t>IVOL_ASK</t>
        </is>
      </c>
      <c r="CV3" s="5" t="inlineStr">
        <is>
          <t>DELTA_MID</t>
        </is>
      </c>
      <c r="CW3" s="5" t="inlineStr">
        <is>
          <t>GAMMA_MID</t>
        </is>
      </c>
      <c r="CX3" s="5" t="inlineStr">
        <is>
          <t>VEGA_MID</t>
        </is>
      </c>
      <c r="CY3" s="5" t="inlineStr">
        <is>
          <t>THETA_MID</t>
        </is>
      </c>
      <c r="CZ3" s="5" t="inlineStr">
        <is>
          <t>OPT_UNDL_PX</t>
        </is>
      </c>
      <c r="DB3" s="5" t="inlineStr">
        <is>
          <t>Date</t>
        </is>
      </c>
      <c r="DC3" s="5" t="inlineStr">
        <is>
          <t>PX_BID</t>
        </is>
      </c>
      <c r="DD3" s="5" t="inlineStr">
        <is>
          <t>PX_ASK</t>
        </is>
      </c>
      <c r="DE3" s="5" t="inlineStr">
        <is>
          <t>PX_MID</t>
        </is>
      </c>
      <c r="DF3" s="5" t="inlineStr">
        <is>
          <t>PX_LAST</t>
        </is>
      </c>
      <c r="DG3" s="5" t="inlineStr">
        <is>
          <t>PX_SETTLE</t>
        </is>
      </c>
      <c r="DH3" s="5" t="inlineStr">
        <is>
          <t>PX_VOLUME</t>
        </is>
      </c>
      <c r="DI3" s="5" t="inlineStr">
        <is>
          <t>OPEN_INT</t>
        </is>
      </c>
      <c r="DJ3" s="5" t="inlineStr">
        <is>
          <t>IVOL_MID</t>
        </is>
      </c>
      <c r="DK3" s="5" t="inlineStr">
        <is>
          <t>IVOL_BID</t>
        </is>
      </c>
      <c r="DL3" s="5" t="inlineStr">
        <is>
          <t>IVOL_ASK</t>
        </is>
      </c>
      <c r="DM3" s="5" t="inlineStr">
        <is>
          <t>DELTA_MID</t>
        </is>
      </c>
      <c r="DN3" s="5" t="inlineStr">
        <is>
          <t>GAMMA_MID</t>
        </is>
      </c>
      <c r="DO3" s="5" t="inlineStr">
        <is>
          <t>VEGA_MID</t>
        </is>
      </c>
      <c r="DP3" s="5" t="inlineStr">
        <is>
          <t>THETA_MID</t>
        </is>
      </c>
      <c r="DQ3" s="5" t="inlineStr">
        <is>
          <t>OPT_UNDL_PX</t>
        </is>
      </c>
      <c r="DS3" s="5" t="inlineStr">
        <is>
          <t>Date</t>
        </is>
      </c>
      <c r="DT3" s="5" t="inlineStr">
        <is>
          <t>PX_BID</t>
        </is>
      </c>
      <c r="DU3" s="5" t="inlineStr">
        <is>
          <t>PX_ASK</t>
        </is>
      </c>
      <c r="DV3" s="5" t="inlineStr">
        <is>
          <t>PX_MID</t>
        </is>
      </c>
      <c r="DW3" s="5" t="inlineStr">
        <is>
          <t>PX_LAST</t>
        </is>
      </c>
      <c r="DX3" s="5" t="inlineStr">
        <is>
          <t>PX_SETTLE</t>
        </is>
      </c>
      <c r="DY3" s="5" t="inlineStr">
        <is>
          <t>PX_VOLUME</t>
        </is>
      </c>
      <c r="DZ3" s="5" t="inlineStr">
        <is>
          <t>OPEN_INT</t>
        </is>
      </c>
      <c r="EA3" s="5" t="inlineStr">
        <is>
          <t>IVOL_MID</t>
        </is>
      </c>
      <c r="EB3" s="5" t="inlineStr">
        <is>
          <t>IVOL_BID</t>
        </is>
      </c>
      <c r="EC3" s="5" t="inlineStr">
        <is>
          <t>IVOL_ASK</t>
        </is>
      </c>
      <c r="ED3" s="5" t="inlineStr">
        <is>
          <t>DELTA_MID</t>
        </is>
      </c>
      <c r="EE3" s="5" t="inlineStr">
        <is>
          <t>GAMMA_MID</t>
        </is>
      </c>
      <c r="EF3" s="5" t="inlineStr">
        <is>
          <t>VEGA_MID</t>
        </is>
      </c>
      <c r="EG3" s="5" t="inlineStr">
        <is>
          <t>THETA_MID</t>
        </is>
      </c>
      <c r="EH3" s="5" t="inlineStr">
        <is>
          <t>OPT_UNDL_PX</t>
        </is>
      </c>
      <c r="EJ3" s="5" t="inlineStr">
        <is>
          <t>Date</t>
        </is>
      </c>
      <c r="EK3" s="5" t="inlineStr">
        <is>
          <t>PX_BID</t>
        </is>
      </c>
      <c r="EL3" s="5" t="inlineStr">
        <is>
          <t>PX_ASK</t>
        </is>
      </c>
      <c r="EM3" s="5" t="inlineStr">
        <is>
          <t>PX_MID</t>
        </is>
      </c>
      <c r="EN3" s="5" t="inlineStr">
        <is>
          <t>PX_LAST</t>
        </is>
      </c>
      <c r="EO3" s="5" t="inlineStr">
        <is>
          <t>PX_SETTLE</t>
        </is>
      </c>
      <c r="EP3" s="5" t="inlineStr">
        <is>
          <t>PX_VOLUME</t>
        </is>
      </c>
      <c r="EQ3" s="5" t="inlineStr">
        <is>
          <t>OPEN_INT</t>
        </is>
      </c>
      <c r="ER3" s="5" t="inlineStr">
        <is>
          <t>IVOL_MID</t>
        </is>
      </c>
      <c r="ES3" s="5" t="inlineStr">
        <is>
          <t>IVOL_BID</t>
        </is>
      </c>
      <c r="ET3" s="5" t="inlineStr">
        <is>
          <t>IVOL_ASK</t>
        </is>
      </c>
      <c r="EU3" s="5" t="inlineStr">
        <is>
          <t>DELTA_MID</t>
        </is>
      </c>
      <c r="EV3" s="5" t="inlineStr">
        <is>
          <t>GAMMA_MID</t>
        </is>
      </c>
      <c r="EW3" s="5" t="inlineStr">
        <is>
          <t>VEGA_MID</t>
        </is>
      </c>
      <c r="EX3" s="5" t="inlineStr">
        <is>
          <t>THETA_MID</t>
        </is>
      </c>
      <c r="EY3" s="5" t="inlineStr">
        <is>
          <t>OPT_UNDL_PX</t>
        </is>
      </c>
      <c r="FA3" s="5" t="inlineStr">
        <is>
          <t>Date</t>
        </is>
      </c>
      <c r="FB3" s="5" t="inlineStr">
        <is>
          <t>PX_BID</t>
        </is>
      </c>
      <c r="FC3" s="5" t="inlineStr">
        <is>
          <t>PX_ASK</t>
        </is>
      </c>
      <c r="FD3" s="5" t="inlineStr">
        <is>
          <t>PX_MID</t>
        </is>
      </c>
      <c r="FE3" s="5" t="inlineStr">
        <is>
          <t>PX_LAST</t>
        </is>
      </c>
      <c r="FF3" s="5" t="inlineStr">
        <is>
          <t>PX_SETTLE</t>
        </is>
      </c>
      <c r="FG3" s="5" t="inlineStr">
        <is>
          <t>PX_VOLUME</t>
        </is>
      </c>
      <c r="FH3" s="5" t="inlineStr">
        <is>
          <t>OPEN_INT</t>
        </is>
      </c>
      <c r="FI3" s="5" t="inlineStr">
        <is>
          <t>IVOL_MID</t>
        </is>
      </c>
      <c r="FJ3" s="5" t="inlineStr">
        <is>
          <t>IVOL_BID</t>
        </is>
      </c>
      <c r="FK3" s="5" t="inlineStr">
        <is>
          <t>IVOL_ASK</t>
        </is>
      </c>
      <c r="FL3" s="5" t="inlineStr">
        <is>
          <t>DELTA_MID</t>
        </is>
      </c>
      <c r="FM3" s="5" t="inlineStr">
        <is>
          <t>GAMMA_MID</t>
        </is>
      </c>
      <c r="FN3" s="5" t="inlineStr">
        <is>
          <t>VEGA_MID</t>
        </is>
      </c>
      <c r="FO3" s="5" t="inlineStr">
        <is>
          <t>THETA_MID</t>
        </is>
      </c>
      <c r="FP3" s="5" t="inlineStr">
        <is>
          <t>OPT_UNDL_PX</t>
        </is>
      </c>
      <c r="FR3" s="5" t="inlineStr">
        <is>
          <t>Date</t>
        </is>
      </c>
      <c r="FS3" s="5" t="inlineStr">
        <is>
          <t>PX_BID</t>
        </is>
      </c>
      <c r="FT3" s="5" t="inlineStr">
        <is>
          <t>PX_ASK</t>
        </is>
      </c>
      <c r="FU3" s="5" t="inlineStr">
        <is>
          <t>PX_MID</t>
        </is>
      </c>
      <c r="FV3" s="5" t="inlineStr">
        <is>
          <t>PX_LAST</t>
        </is>
      </c>
      <c r="FW3" s="5" t="inlineStr">
        <is>
          <t>PX_SETTLE</t>
        </is>
      </c>
      <c r="FX3" s="5" t="inlineStr">
        <is>
          <t>PX_VOLUME</t>
        </is>
      </c>
      <c r="FY3" s="5" t="inlineStr">
        <is>
          <t>OPEN_INT</t>
        </is>
      </c>
      <c r="FZ3" s="5" t="inlineStr">
        <is>
          <t>IVOL_MID</t>
        </is>
      </c>
      <c r="GA3" s="5" t="inlineStr">
        <is>
          <t>IVOL_BID</t>
        </is>
      </c>
      <c r="GB3" s="5" t="inlineStr">
        <is>
          <t>IVOL_ASK</t>
        </is>
      </c>
      <c r="GC3" s="5" t="inlineStr">
        <is>
          <t>DELTA_MID</t>
        </is>
      </c>
      <c r="GD3" s="5" t="inlineStr">
        <is>
          <t>GAMMA_MID</t>
        </is>
      </c>
      <c r="GE3" s="5" t="inlineStr">
        <is>
          <t>VEGA_MID</t>
        </is>
      </c>
      <c r="GF3" s="5" t="inlineStr">
        <is>
          <t>THETA_MID</t>
        </is>
      </c>
      <c r="GG3" s="5" t="inlineStr">
        <is>
          <t>OPT_UNDL_PX</t>
        </is>
      </c>
      <c r="GI3" s="5" t="inlineStr">
        <is>
          <t>Date</t>
        </is>
      </c>
      <c r="GJ3" s="5" t="inlineStr">
        <is>
          <t>PX_BID</t>
        </is>
      </c>
      <c r="GK3" s="5" t="inlineStr">
        <is>
          <t>PX_ASK</t>
        </is>
      </c>
      <c r="GL3" s="5" t="inlineStr">
        <is>
          <t>PX_MID</t>
        </is>
      </c>
      <c r="GM3" s="5" t="inlineStr">
        <is>
          <t>PX_LAST</t>
        </is>
      </c>
      <c r="GN3" s="5" t="inlineStr">
        <is>
          <t>PX_SETTLE</t>
        </is>
      </c>
      <c r="GO3" s="5" t="inlineStr">
        <is>
          <t>PX_VOLUME</t>
        </is>
      </c>
      <c r="GP3" s="5" t="inlineStr">
        <is>
          <t>OPEN_INT</t>
        </is>
      </c>
      <c r="GQ3" s="5" t="inlineStr">
        <is>
          <t>IVOL_MID</t>
        </is>
      </c>
      <c r="GR3" s="5" t="inlineStr">
        <is>
          <t>IVOL_BID</t>
        </is>
      </c>
      <c r="GS3" s="5" t="inlineStr">
        <is>
          <t>IVOL_ASK</t>
        </is>
      </c>
      <c r="GT3" s="5" t="inlineStr">
        <is>
          <t>DELTA_MID</t>
        </is>
      </c>
      <c r="GU3" s="5" t="inlineStr">
        <is>
          <t>GAMMA_MID</t>
        </is>
      </c>
      <c r="GV3" s="5" t="inlineStr">
        <is>
          <t>VEGA_MID</t>
        </is>
      </c>
      <c r="GW3" s="5" t="inlineStr">
        <is>
          <t>THETA_MID</t>
        </is>
      </c>
      <c r="GX3" s="5" t="inlineStr">
        <is>
          <t>OPT_UNDL_PX</t>
        </is>
      </c>
      <c r="GZ3" s="5" t="inlineStr">
        <is>
          <t>Date</t>
        </is>
      </c>
      <c r="HA3" s="5" t="inlineStr">
        <is>
          <t>PX_BID</t>
        </is>
      </c>
      <c r="HB3" s="5" t="inlineStr">
        <is>
          <t>PX_ASK</t>
        </is>
      </c>
      <c r="HC3" s="5" t="inlineStr">
        <is>
          <t>PX_MID</t>
        </is>
      </c>
      <c r="HD3" s="5" t="inlineStr">
        <is>
          <t>PX_LAST</t>
        </is>
      </c>
      <c r="HE3" s="5" t="inlineStr">
        <is>
          <t>PX_SETTLE</t>
        </is>
      </c>
      <c r="HF3" s="5" t="inlineStr">
        <is>
          <t>PX_VOLUME</t>
        </is>
      </c>
      <c r="HG3" s="5" t="inlineStr">
        <is>
          <t>OPEN_INT</t>
        </is>
      </c>
      <c r="HH3" s="5" t="inlineStr">
        <is>
          <t>IVOL_MID</t>
        </is>
      </c>
      <c r="HI3" s="5" t="inlineStr">
        <is>
          <t>IVOL_BID</t>
        </is>
      </c>
      <c r="HJ3" s="5" t="inlineStr">
        <is>
          <t>IVOL_ASK</t>
        </is>
      </c>
      <c r="HK3" s="5" t="inlineStr">
        <is>
          <t>DELTA_MID</t>
        </is>
      </c>
      <c r="HL3" s="5" t="inlineStr">
        <is>
          <t>GAMMA_MID</t>
        </is>
      </c>
      <c r="HM3" s="5" t="inlineStr">
        <is>
          <t>VEGA_MID</t>
        </is>
      </c>
      <c r="HN3" s="5" t="inlineStr">
        <is>
          <t>THETA_MID</t>
        </is>
      </c>
      <c r="HO3" s="5" t="inlineStr">
        <is>
          <t>OPT_UNDL_PX</t>
        </is>
      </c>
      <c r="HQ3" s="5" t="inlineStr">
        <is>
          <t>Date</t>
        </is>
      </c>
      <c r="HR3" s="5" t="inlineStr">
        <is>
          <t>PX_BID</t>
        </is>
      </c>
      <c r="HS3" s="5" t="inlineStr">
        <is>
          <t>PX_ASK</t>
        </is>
      </c>
      <c r="HT3" s="5" t="inlineStr">
        <is>
          <t>PX_MID</t>
        </is>
      </c>
      <c r="HU3" s="5" t="inlineStr">
        <is>
          <t>PX_LAST</t>
        </is>
      </c>
      <c r="HV3" s="5" t="inlineStr">
        <is>
          <t>PX_SETTLE</t>
        </is>
      </c>
      <c r="HW3" s="5" t="inlineStr">
        <is>
          <t>PX_VOLUME</t>
        </is>
      </c>
      <c r="HX3" s="5" t="inlineStr">
        <is>
          <t>OPEN_INT</t>
        </is>
      </c>
      <c r="HY3" s="5" t="inlineStr">
        <is>
          <t>IVOL_MID</t>
        </is>
      </c>
      <c r="HZ3" s="5" t="inlineStr">
        <is>
          <t>IVOL_BID</t>
        </is>
      </c>
      <c r="IA3" s="5" t="inlineStr">
        <is>
          <t>IVOL_ASK</t>
        </is>
      </c>
      <c r="IB3" s="5" t="inlineStr">
        <is>
          <t>DELTA_MID</t>
        </is>
      </c>
      <c r="IC3" s="5" t="inlineStr">
        <is>
          <t>GAMMA_MID</t>
        </is>
      </c>
      <c r="ID3" s="5" t="inlineStr">
        <is>
          <t>VEGA_MID</t>
        </is>
      </c>
      <c r="IE3" s="5" t="inlineStr">
        <is>
          <t>THETA_MID</t>
        </is>
      </c>
      <c r="IF3" s="5" t="inlineStr">
        <is>
          <t>OPT_UNDL_PX</t>
        </is>
      </c>
      <c r="IH3" s="5" t="inlineStr">
        <is>
          <t>Date</t>
        </is>
      </c>
      <c r="II3" s="5" t="inlineStr">
        <is>
          <t>PX_BID</t>
        </is>
      </c>
      <c r="IJ3" s="5" t="inlineStr">
        <is>
          <t>PX_ASK</t>
        </is>
      </c>
      <c r="IK3" s="5" t="inlineStr">
        <is>
          <t>PX_MID</t>
        </is>
      </c>
      <c r="IL3" s="5" t="inlineStr">
        <is>
          <t>PX_LAST</t>
        </is>
      </c>
      <c r="IM3" s="5" t="inlineStr">
        <is>
          <t>PX_SETTLE</t>
        </is>
      </c>
      <c r="IN3" s="5" t="inlineStr">
        <is>
          <t>PX_VOLUME</t>
        </is>
      </c>
      <c r="IO3" s="5" t="inlineStr">
        <is>
          <t>OPEN_INT</t>
        </is>
      </c>
      <c r="IP3" s="5" t="inlineStr">
        <is>
          <t>IVOL_MID</t>
        </is>
      </c>
      <c r="IQ3" s="5" t="inlineStr">
        <is>
          <t>IVOL_BID</t>
        </is>
      </c>
      <c r="IR3" s="5" t="inlineStr">
        <is>
          <t>IVOL_ASK</t>
        </is>
      </c>
      <c r="IS3" s="5" t="inlineStr">
        <is>
          <t>DELTA_MID</t>
        </is>
      </c>
      <c r="IT3" s="5" t="inlineStr">
        <is>
          <t>GAMMA_MID</t>
        </is>
      </c>
      <c r="IU3" s="5" t="inlineStr">
        <is>
          <t>VEGA_MID</t>
        </is>
      </c>
      <c r="IV3" s="5" t="inlineStr">
        <is>
          <t>THETA_MID</t>
        </is>
      </c>
      <c r="IW3" s="5" t="inlineStr">
        <is>
          <t>OPT_UNDL_PX</t>
        </is>
      </c>
      <c r="IY3" s="5" t="inlineStr">
        <is>
          <t>Date</t>
        </is>
      </c>
      <c r="IZ3" s="5" t="inlineStr">
        <is>
          <t>PX_BID</t>
        </is>
      </c>
      <c r="JA3" s="5" t="inlineStr">
        <is>
          <t>PX_ASK</t>
        </is>
      </c>
      <c r="JB3" s="5" t="inlineStr">
        <is>
          <t>PX_MID</t>
        </is>
      </c>
      <c r="JC3" s="5" t="inlineStr">
        <is>
          <t>PX_LAST</t>
        </is>
      </c>
      <c r="JD3" s="5" t="inlineStr">
        <is>
          <t>PX_SETTLE</t>
        </is>
      </c>
      <c r="JE3" s="5" t="inlineStr">
        <is>
          <t>PX_VOLUME</t>
        </is>
      </c>
      <c r="JF3" s="5" t="inlineStr">
        <is>
          <t>OPEN_INT</t>
        </is>
      </c>
      <c r="JG3" s="5" t="inlineStr">
        <is>
          <t>IVOL_MID</t>
        </is>
      </c>
      <c r="JH3" s="5" t="inlineStr">
        <is>
          <t>IVOL_BID</t>
        </is>
      </c>
      <c r="JI3" s="5" t="inlineStr">
        <is>
          <t>IVOL_ASK</t>
        </is>
      </c>
      <c r="JJ3" s="5" t="inlineStr">
        <is>
          <t>DELTA_MID</t>
        </is>
      </c>
      <c r="JK3" s="5" t="inlineStr">
        <is>
          <t>GAMMA_MID</t>
        </is>
      </c>
      <c r="JL3" s="5" t="inlineStr">
        <is>
          <t>VEGA_MID</t>
        </is>
      </c>
      <c r="JM3" s="5" t="inlineStr">
        <is>
          <t>THETA_MID</t>
        </is>
      </c>
      <c r="JN3" s="5" t="inlineStr">
        <is>
          <t>OPT_UNDL_PX</t>
        </is>
      </c>
      <c r="JP3" s="5" t="inlineStr">
        <is>
          <t>Date</t>
        </is>
      </c>
      <c r="JQ3" s="5" t="inlineStr">
        <is>
          <t>PX_BID</t>
        </is>
      </c>
      <c r="JR3" s="5" t="inlineStr">
        <is>
          <t>PX_ASK</t>
        </is>
      </c>
      <c r="JS3" s="5" t="inlineStr">
        <is>
          <t>PX_MID</t>
        </is>
      </c>
      <c r="JT3" s="5" t="inlineStr">
        <is>
          <t>PX_LAST</t>
        </is>
      </c>
      <c r="JU3" s="5" t="inlineStr">
        <is>
          <t>PX_SETTLE</t>
        </is>
      </c>
      <c r="JV3" s="5" t="inlineStr">
        <is>
          <t>PX_VOLUME</t>
        </is>
      </c>
      <c r="JW3" s="5" t="inlineStr">
        <is>
          <t>OPEN_INT</t>
        </is>
      </c>
      <c r="JX3" s="5" t="inlineStr">
        <is>
          <t>IVOL_MID</t>
        </is>
      </c>
      <c r="JY3" s="5" t="inlineStr">
        <is>
          <t>IVOL_BID</t>
        </is>
      </c>
      <c r="JZ3" s="5" t="inlineStr">
        <is>
          <t>IVOL_ASK</t>
        </is>
      </c>
      <c r="KA3" s="5" t="inlineStr">
        <is>
          <t>DELTA_MID</t>
        </is>
      </c>
      <c r="KB3" s="5" t="inlineStr">
        <is>
          <t>GAMMA_MID</t>
        </is>
      </c>
      <c r="KC3" s="5" t="inlineStr">
        <is>
          <t>VEGA_MID</t>
        </is>
      </c>
      <c r="KD3" s="5" t="inlineStr">
        <is>
          <t>THETA_MID</t>
        </is>
      </c>
      <c r="KE3" s="5" t="inlineStr">
        <is>
          <t>OPT_UNDL_PX</t>
        </is>
      </c>
      <c r="KG3" s="5" t="inlineStr">
        <is>
          <t>Date</t>
        </is>
      </c>
      <c r="KH3" s="5" t="inlineStr">
        <is>
          <t>PX_BID</t>
        </is>
      </c>
      <c r="KI3" s="5" t="inlineStr">
        <is>
          <t>PX_ASK</t>
        </is>
      </c>
      <c r="KJ3" s="5" t="inlineStr">
        <is>
          <t>PX_MID</t>
        </is>
      </c>
      <c r="KK3" s="5" t="inlineStr">
        <is>
          <t>PX_LAST</t>
        </is>
      </c>
      <c r="KL3" s="5" t="inlineStr">
        <is>
          <t>PX_SETTLE</t>
        </is>
      </c>
      <c r="KM3" s="5" t="inlineStr">
        <is>
          <t>PX_VOLUME</t>
        </is>
      </c>
      <c r="KN3" s="5" t="inlineStr">
        <is>
          <t>OPEN_INT</t>
        </is>
      </c>
      <c r="KO3" s="5" t="inlineStr">
        <is>
          <t>IVOL_MID</t>
        </is>
      </c>
      <c r="KP3" s="5" t="inlineStr">
        <is>
          <t>IVOL_BID</t>
        </is>
      </c>
      <c r="KQ3" s="5" t="inlineStr">
        <is>
          <t>IVOL_ASK</t>
        </is>
      </c>
      <c r="KR3" s="5" t="inlineStr">
        <is>
          <t>DELTA_MID</t>
        </is>
      </c>
      <c r="KS3" s="5" t="inlineStr">
        <is>
          <t>GAMMA_MID</t>
        </is>
      </c>
      <c r="KT3" s="5" t="inlineStr">
        <is>
          <t>VEGA_MID</t>
        </is>
      </c>
      <c r="KU3" s="5" t="inlineStr">
        <is>
          <t>THETA_MID</t>
        </is>
      </c>
      <c r="KV3" s="5" t="inlineStr">
        <is>
          <t>OPT_UNDL_PX</t>
        </is>
      </c>
      <c r="KX3" s="5" t="inlineStr">
        <is>
          <t>Date</t>
        </is>
      </c>
      <c r="KY3" s="5" t="inlineStr">
        <is>
          <t>PX_BID</t>
        </is>
      </c>
      <c r="KZ3" s="5" t="inlineStr">
        <is>
          <t>PX_ASK</t>
        </is>
      </c>
      <c r="LA3" s="5" t="inlineStr">
        <is>
          <t>PX_MID</t>
        </is>
      </c>
      <c r="LB3" s="5" t="inlineStr">
        <is>
          <t>PX_LAST</t>
        </is>
      </c>
      <c r="LC3" s="5" t="inlineStr">
        <is>
          <t>PX_SETTLE</t>
        </is>
      </c>
      <c r="LD3" s="5" t="inlineStr">
        <is>
          <t>PX_VOLUME</t>
        </is>
      </c>
      <c r="LE3" s="5" t="inlineStr">
        <is>
          <t>OPEN_INT</t>
        </is>
      </c>
      <c r="LF3" s="5" t="inlineStr">
        <is>
          <t>IVOL_MID</t>
        </is>
      </c>
      <c r="LG3" s="5" t="inlineStr">
        <is>
          <t>IVOL_BID</t>
        </is>
      </c>
      <c r="LH3" s="5" t="inlineStr">
        <is>
          <t>IVOL_ASK</t>
        </is>
      </c>
      <c r="LI3" s="5" t="inlineStr">
        <is>
          <t>DELTA_MID</t>
        </is>
      </c>
      <c r="LJ3" s="5" t="inlineStr">
        <is>
          <t>GAMMA_MID</t>
        </is>
      </c>
      <c r="LK3" s="5" t="inlineStr">
        <is>
          <t>VEGA_MID</t>
        </is>
      </c>
      <c r="LL3" s="5" t="inlineStr">
        <is>
          <t>THETA_MID</t>
        </is>
      </c>
      <c r="LM3" s="5" t="inlineStr">
        <is>
          <t>OPT_UNDL_PX</t>
        </is>
      </c>
      <c r="LO3" s="5" t="inlineStr">
        <is>
          <t>Date</t>
        </is>
      </c>
      <c r="LP3" s="5" t="inlineStr">
        <is>
          <t>PX_BID</t>
        </is>
      </c>
      <c r="LQ3" s="5" t="inlineStr">
        <is>
          <t>PX_ASK</t>
        </is>
      </c>
      <c r="LR3" s="5" t="inlineStr">
        <is>
          <t>PX_MID</t>
        </is>
      </c>
      <c r="LS3" s="5" t="inlineStr">
        <is>
          <t>PX_LAST</t>
        </is>
      </c>
      <c r="LT3" s="5" t="inlineStr">
        <is>
          <t>PX_SETTLE</t>
        </is>
      </c>
      <c r="LU3" s="5" t="inlineStr">
        <is>
          <t>PX_VOLUME</t>
        </is>
      </c>
      <c r="LV3" s="5" t="inlineStr">
        <is>
          <t>OPEN_INT</t>
        </is>
      </c>
      <c r="LW3" s="5" t="inlineStr">
        <is>
          <t>IVOL_MID</t>
        </is>
      </c>
      <c r="LX3" s="5" t="inlineStr">
        <is>
          <t>IVOL_BID</t>
        </is>
      </c>
      <c r="LY3" s="5" t="inlineStr">
        <is>
          <t>IVOL_ASK</t>
        </is>
      </c>
      <c r="LZ3" s="5" t="inlineStr">
        <is>
          <t>DELTA_MID</t>
        </is>
      </c>
      <c r="MA3" s="5" t="inlineStr">
        <is>
          <t>GAMMA_MID</t>
        </is>
      </c>
      <c r="MB3" s="5" t="inlineStr">
        <is>
          <t>VEGA_MID</t>
        </is>
      </c>
      <c r="MC3" s="5" t="inlineStr">
        <is>
          <t>THETA_MID</t>
        </is>
      </c>
      <c r="MD3" s="5" t="inlineStr">
        <is>
          <t>OPT_UNDL_PX</t>
        </is>
      </c>
      <c r="MF3" s="5" t="inlineStr">
        <is>
          <t>Date</t>
        </is>
      </c>
      <c r="MG3" s="5" t="inlineStr">
        <is>
          <t>PX_BID</t>
        </is>
      </c>
      <c r="MH3" s="5" t="inlineStr">
        <is>
          <t>PX_ASK</t>
        </is>
      </c>
      <c r="MI3" s="5" t="inlineStr">
        <is>
          <t>PX_MID</t>
        </is>
      </c>
      <c r="MJ3" s="5" t="inlineStr">
        <is>
          <t>PX_LAST</t>
        </is>
      </c>
      <c r="MK3" s="5" t="inlineStr">
        <is>
          <t>PX_SETTLE</t>
        </is>
      </c>
      <c r="ML3" s="5" t="inlineStr">
        <is>
          <t>PX_VOLUME</t>
        </is>
      </c>
      <c r="MM3" s="5" t="inlineStr">
        <is>
          <t>OPEN_INT</t>
        </is>
      </c>
      <c r="MN3" s="5" t="inlineStr">
        <is>
          <t>IVOL_MID</t>
        </is>
      </c>
      <c r="MO3" s="5" t="inlineStr">
        <is>
          <t>IVOL_BID</t>
        </is>
      </c>
      <c r="MP3" s="5" t="inlineStr">
        <is>
          <t>IVOL_ASK</t>
        </is>
      </c>
      <c r="MQ3" s="5" t="inlineStr">
        <is>
          <t>DELTA_MID</t>
        </is>
      </c>
      <c r="MR3" s="5" t="inlineStr">
        <is>
          <t>GAMMA_MID</t>
        </is>
      </c>
      <c r="MS3" s="5" t="inlineStr">
        <is>
          <t>VEGA_MID</t>
        </is>
      </c>
      <c r="MT3" s="5" t="inlineStr">
        <is>
          <t>THETA_MID</t>
        </is>
      </c>
      <c r="MU3" s="5" t="inlineStr">
        <is>
          <t>OPT_UNDL_PX</t>
        </is>
      </c>
      <c r="MW3" s="5" t="inlineStr">
        <is>
          <t>Date</t>
        </is>
      </c>
      <c r="MX3" s="5" t="inlineStr">
        <is>
          <t>PX_BID</t>
        </is>
      </c>
      <c r="MY3" s="5" t="inlineStr">
        <is>
          <t>PX_ASK</t>
        </is>
      </c>
      <c r="MZ3" s="5" t="inlineStr">
        <is>
          <t>PX_MID</t>
        </is>
      </c>
      <c r="NA3" s="5" t="inlineStr">
        <is>
          <t>PX_LAST</t>
        </is>
      </c>
      <c r="NB3" s="5" t="inlineStr">
        <is>
          <t>PX_SETTLE</t>
        </is>
      </c>
      <c r="NC3" s="5" t="inlineStr">
        <is>
          <t>PX_VOLUME</t>
        </is>
      </c>
      <c r="ND3" s="5" t="inlineStr">
        <is>
          <t>OPEN_INT</t>
        </is>
      </c>
      <c r="NE3" s="5" t="inlineStr">
        <is>
          <t>IVOL_MID</t>
        </is>
      </c>
      <c r="NF3" s="5" t="inlineStr">
        <is>
          <t>IVOL_BID</t>
        </is>
      </c>
      <c r="NG3" s="5" t="inlineStr">
        <is>
          <t>IVOL_ASK</t>
        </is>
      </c>
      <c r="NH3" s="5" t="inlineStr">
        <is>
          <t>DELTA_MID</t>
        </is>
      </c>
      <c r="NI3" s="5" t="inlineStr">
        <is>
          <t>GAMMA_MID</t>
        </is>
      </c>
      <c r="NJ3" s="5" t="inlineStr">
        <is>
          <t>VEGA_MID</t>
        </is>
      </c>
      <c r="NK3" s="5" t="inlineStr">
        <is>
          <t>THETA_MID</t>
        </is>
      </c>
      <c r="NL3" s="5" t="inlineStr">
        <is>
          <t>OPT_UNDL_PX</t>
        </is>
      </c>
    </row>
    <row r="4">
      <c r="A4" s="2" t="inlineStr">
        <is>
          <t>Strike reference date</t>
        </is>
      </c>
      <c r="B4" s="8">
        <f>B3-45</f>
        <v/>
      </c>
      <c r="D4" s="4">
        <f>BDH(D$1,E$3:S$3,$B$8,$B$9,"Dir=V","Dts=S","Sort=A","Days=T","Fill=B")</f>
        <v/>
      </c>
      <c r="U4" s="4">
        <f>BDH(U$1,V$3:AJ$3,$B$8,$B$9,"Dir=V","Dts=S","Sort=A","Days=T","Fill=B")</f>
        <v/>
      </c>
      <c r="AL4" s="4">
        <f>BDH(AL$1,AM$3:BA$3,$B$8,$B$9,"Dir=V","Dts=S","Sort=A","Days=T","Fill=B")</f>
        <v/>
      </c>
      <c r="BC4" s="4">
        <f>BDH(BC$1,BD$3:BR$3,$B$8,$B$9,"Dir=V","Dts=S","Sort=A","Days=T","Fill=B")</f>
        <v/>
      </c>
      <c r="BT4" s="4">
        <f>BDH(BT$1,BU$3:CI$3,$B$8,$B$9,"Dir=V","Dts=S","Sort=A","Days=T","Fill=B")</f>
        <v/>
      </c>
      <c r="CK4" s="4">
        <f>BDH(CK$1,CL$3:CZ$3,$B$8,$B$9,"Dir=V","Dts=S","Sort=A","Days=T","Fill=B")</f>
        <v/>
      </c>
      <c r="DB4" s="4">
        <f>BDH(DB$1,DC$3:DQ$3,$B$8,$B$9,"Dir=V","Dts=S","Sort=A","Days=T","Fill=B")</f>
        <v/>
      </c>
      <c r="DS4" s="4">
        <f>BDH(DS$1,DT$3:EH$3,$B$8,$B$9,"Dir=V","Dts=S","Sort=A","Days=T","Fill=B")</f>
        <v/>
      </c>
      <c r="EJ4" s="4">
        <f>BDH(EJ$1,EK$3:EY$3,$B$8,$B$9,"Dir=V","Dts=S","Sort=A","Days=T","Fill=B")</f>
        <v/>
      </c>
      <c r="FA4" s="4">
        <f>BDH(FA$1,FB$3:FP$3,$B$8,$B$9,"Dir=V","Dts=S","Sort=A","Days=T","Fill=B")</f>
        <v/>
      </c>
      <c r="FR4" s="4">
        <f>BDH(FR$1,FS$3:GG$3,$B$8,$B$9,"Dir=V","Dts=S","Sort=A","Days=T","Fill=B")</f>
        <v/>
      </c>
      <c r="GI4" s="4">
        <f>BDH(GI$1,GJ$3:GX$3,$B$8,$B$9,"Dir=V","Dts=S","Sort=A","Days=T","Fill=B")</f>
        <v/>
      </c>
      <c r="GZ4" s="4">
        <f>BDH(GZ$1,HA$3:HO$3,$B$8,$B$9,"Dir=V","Dts=S","Sort=A","Days=T","Fill=B")</f>
        <v/>
      </c>
      <c r="HQ4" s="4">
        <f>BDH(HQ$1,HR$3:IF$3,$B$8,$B$9,"Dir=V","Dts=S","Sort=A","Days=T","Fill=B")</f>
        <v/>
      </c>
      <c r="IH4" s="4">
        <f>BDH(IH$1,II$3:IW$3,$B$8,$B$9,"Dir=V","Dts=S","Sort=A","Days=T","Fill=B")</f>
        <v/>
      </c>
      <c r="IY4" s="4">
        <f>BDH(IY$1,IZ$3:JN$3,$B$8,$B$9,"Dir=V","Dts=S","Sort=A","Days=T","Fill=B")</f>
        <v/>
      </c>
      <c r="JP4" s="4">
        <f>BDH(JP$1,JQ$3:KE$3,$B$8,$B$9,"Dir=V","Dts=S","Sort=A","Days=T","Fill=B")</f>
        <v/>
      </c>
      <c r="KG4" s="4">
        <f>BDH(KG$1,KH$3:KV$3,$B$8,$B$9,"Dir=V","Dts=S","Sort=A","Days=T","Fill=B")</f>
        <v/>
      </c>
      <c r="KX4" s="4">
        <f>BDH(KX$1,KY$3:LM$3,$B$8,$B$9,"Dir=V","Dts=S","Sort=A","Days=T","Fill=B")</f>
        <v/>
      </c>
      <c r="LO4" s="4">
        <f>BDH(LO$1,LP$3:MD$3,$B$8,$B$9,"Dir=V","Dts=S","Sort=A","Days=T","Fill=B")</f>
        <v/>
      </c>
      <c r="MF4" s="4">
        <f>BDH(MF$1,MG$3:MU$3,$B$8,$B$9,"Dir=V","Dts=S","Sort=A","Days=T","Fill=B")</f>
        <v/>
      </c>
      <c r="MW4" s="4">
        <f>BDH(MW$1,MX$3:NL$3,$B$8,$B$9,"Dir=V","Dts=S","Sort=A","Days=T","Fill=B")</f>
        <v/>
      </c>
    </row>
    <row r="5">
      <c r="A5" s="2" t="inlineStr">
        <is>
          <t>Unadjusted close then</t>
        </is>
      </c>
      <c r="B5" s="10">
        <f>IF(B2="","",BDH(B2,"PX_LAST",B4,B4,"Days=A","Fill=P","Dts=H","CshAdjNormal=N","CshAdjAbnormal=N","CapChg=N"))</f>
        <v/>
      </c>
    </row>
    <row r="6">
      <c r="A6" s="2" t="inlineStr">
        <is>
          <t>Strike step</t>
        </is>
      </c>
      <c r="B6" s="11">
        <f>IF(ISNUMBER(B5),IF(B5&lt;25,0.5,IF(B5&lt;250,1,5)),"")</f>
        <v/>
      </c>
    </row>
    <row r="7">
      <c r="A7" s="2" t="inlineStr">
        <is>
          <t>ATM strike</t>
        </is>
      </c>
      <c r="B7" s="11">
        <f>IF(ISNUMBER(B5),ROUND(B5/B6,0)*B6,"")</f>
        <v/>
      </c>
    </row>
    <row r="8">
      <c r="A8" s="2" t="inlineStr">
        <is>
          <t>History start</t>
        </is>
      </c>
      <c r="B8" s="8">
        <f>B3-100</f>
        <v/>
      </c>
    </row>
    <row r="9">
      <c r="A9" s="2" t="inlineStr">
        <is>
          <t>History end</t>
        </is>
      </c>
      <c r="B9" s="8">
        <f>B3</f>
        <v/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NL9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2" customWidth="1" min="2" max="2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1" customWidth="1" min="15" max="15"/>
    <col width="11" customWidth="1" min="16" max="16"/>
    <col width="10" customWidth="1" min="17" max="17"/>
    <col width="11" customWidth="1" min="18" max="18"/>
    <col width="13" customWidth="1" min="19" max="19"/>
    <col width="12" customWidth="1" min="21" max="21"/>
    <col width="10" customWidth="1" min="22" max="22"/>
    <col width="10" customWidth="1" min="23" max="23"/>
    <col width="10" customWidth="1" min="24" max="24"/>
    <col width="10" customWidth="1" min="25" max="25"/>
    <col width="11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1" customWidth="1" min="32" max="32"/>
    <col width="11" customWidth="1" min="33" max="33"/>
    <col width="10" customWidth="1" min="34" max="34"/>
    <col width="11" customWidth="1" min="35" max="35"/>
    <col width="13" customWidth="1" min="36" max="36"/>
    <col width="12" customWidth="1" min="38" max="38"/>
    <col width="10" customWidth="1" min="39" max="39"/>
    <col width="10" customWidth="1" min="40" max="40"/>
    <col width="10" customWidth="1" min="41" max="41"/>
    <col width="10" customWidth="1" min="42" max="42"/>
    <col width="11" customWidth="1" min="43" max="43"/>
    <col width="11" customWidth="1" min="44" max="44"/>
    <col width="10" customWidth="1" min="45" max="45"/>
    <col width="10" customWidth="1" min="46" max="46"/>
    <col width="10" customWidth="1" min="47" max="47"/>
    <col width="10" customWidth="1" min="48" max="48"/>
    <col width="11" customWidth="1" min="49" max="49"/>
    <col width="11" customWidth="1" min="50" max="50"/>
    <col width="10" customWidth="1" min="51" max="51"/>
    <col width="11" customWidth="1" min="52" max="52"/>
    <col width="13" customWidth="1" min="53" max="53"/>
    <col width="12" customWidth="1" min="55" max="55"/>
    <col width="10" customWidth="1" min="56" max="56"/>
    <col width="10" customWidth="1" min="57" max="57"/>
    <col width="10" customWidth="1" min="58" max="58"/>
    <col width="10" customWidth="1" min="59" max="59"/>
    <col width="11" customWidth="1" min="60" max="60"/>
    <col width="11" customWidth="1" min="61" max="61"/>
    <col width="10" customWidth="1" min="62" max="62"/>
    <col width="10" customWidth="1" min="63" max="63"/>
    <col width="10" customWidth="1" min="64" max="64"/>
    <col width="10" customWidth="1" min="65" max="65"/>
    <col width="11" customWidth="1" min="66" max="66"/>
    <col width="11" customWidth="1" min="67" max="67"/>
    <col width="10" customWidth="1" min="68" max="68"/>
    <col width="11" customWidth="1" min="69" max="69"/>
    <col width="13" customWidth="1" min="70" max="70"/>
    <col width="12" customWidth="1" min="72" max="72"/>
    <col width="10" customWidth="1" min="73" max="73"/>
    <col width="10" customWidth="1" min="74" max="74"/>
    <col width="10" customWidth="1" min="75" max="75"/>
    <col width="10" customWidth="1" min="76" max="76"/>
    <col width="11" customWidth="1" min="77" max="77"/>
    <col width="11" customWidth="1" min="78" max="78"/>
    <col width="10" customWidth="1" min="79" max="79"/>
    <col width="10" customWidth="1" min="80" max="80"/>
    <col width="10" customWidth="1" min="81" max="81"/>
    <col width="10" customWidth="1" min="82" max="82"/>
    <col width="11" customWidth="1" min="83" max="83"/>
    <col width="11" customWidth="1" min="84" max="84"/>
    <col width="10" customWidth="1" min="85" max="85"/>
    <col width="11" customWidth="1" min="86" max="86"/>
    <col width="13" customWidth="1" min="87" max="87"/>
    <col width="12" customWidth="1" min="89" max="89"/>
    <col width="10" customWidth="1" min="90" max="90"/>
    <col width="10" customWidth="1" min="91" max="91"/>
    <col width="10" customWidth="1" min="92" max="92"/>
    <col width="10" customWidth="1" min="93" max="93"/>
    <col width="11" customWidth="1" min="94" max="94"/>
    <col width="11" customWidth="1" min="95" max="95"/>
    <col width="10" customWidth="1" min="96" max="96"/>
    <col width="10" customWidth="1" min="97" max="97"/>
    <col width="10" customWidth="1" min="98" max="98"/>
    <col width="10" customWidth="1" min="99" max="99"/>
    <col width="11" customWidth="1" min="100" max="100"/>
    <col width="11" customWidth="1" min="101" max="101"/>
    <col width="10" customWidth="1" min="102" max="102"/>
    <col width="11" customWidth="1" min="103" max="103"/>
    <col width="13" customWidth="1" min="104" max="104"/>
    <col width="12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1" customWidth="1" min="111" max="111"/>
    <col width="11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1" customWidth="1" min="117" max="117"/>
    <col width="11" customWidth="1" min="118" max="118"/>
    <col width="10" customWidth="1" min="119" max="119"/>
    <col width="11" customWidth="1" min="120" max="120"/>
    <col width="13" customWidth="1" min="121" max="121"/>
    <col width="12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1" customWidth="1" min="128" max="128"/>
    <col width="11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1" customWidth="1" min="134" max="134"/>
    <col width="11" customWidth="1" min="135" max="135"/>
    <col width="10" customWidth="1" min="136" max="136"/>
    <col width="11" customWidth="1" min="137" max="137"/>
    <col width="13" customWidth="1" min="138" max="138"/>
    <col width="12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1" customWidth="1" min="145" max="145"/>
    <col width="11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1" customWidth="1" min="151" max="151"/>
    <col width="11" customWidth="1" min="152" max="152"/>
    <col width="10" customWidth="1" min="153" max="153"/>
    <col width="11" customWidth="1" min="154" max="154"/>
    <col width="13" customWidth="1" min="155" max="155"/>
    <col width="12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1" customWidth="1" min="162" max="162"/>
    <col width="11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1" customWidth="1" min="168" max="168"/>
    <col width="11" customWidth="1" min="169" max="169"/>
    <col width="10" customWidth="1" min="170" max="170"/>
    <col width="11" customWidth="1" min="171" max="171"/>
    <col width="13" customWidth="1" min="172" max="172"/>
    <col width="12" customWidth="1" min="174" max="174"/>
    <col width="10" customWidth="1" min="175" max="175"/>
    <col width="10" customWidth="1" min="176" max="176"/>
    <col width="10" customWidth="1" min="177" max="177"/>
    <col width="10" customWidth="1" min="178" max="178"/>
    <col width="11" customWidth="1" min="179" max="179"/>
    <col width="11" customWidth="1" min="180" max="180"/>
    <col width="10" customWidth="1" min="181" max="181"/>
    <col width="10" customWidth="1" min="182" max="182"/>
    <col width="10" customWidth="1" min="183" max="183"/>
    <col width="10" customWidth="1" min="184" max="184"/>
    <col width="11" customWidth="1" min="185" max="185"/>
    <col width="11" customWidth="1" min="186" max="186"/>
    <col width="10" customWidth="1" min="187" max="187"/>
    <col width="11" customWidth="1" min="188" max="188"/>
    <col width="13" customWidth="1" min="189" max="189"/>
    <col width="12" customWidth="1" min="191" max="191"/>
    <col width="10" customWidth="1" min="192" max="192"/>
    <col width="10" customWidth="1" min="193" max="193"/>
    <col width="10" customWidth="1" min="194" max="194"/>
    <col width="10" customWidth="1" min="195" max="195"/>
    <col width="11" customWidth="1" min="196" max="196"/>
    <col width="11" customWidth="1" min="197" max="197"/>
    <col width="10" customWidth="1" min="198" max="198"/>
    <col width="10" customWidth="1" min="199" max="199"/>
    <col width="10" customWidth="1" min="200" max="200"/>
    <col width="10" customWidth="1" min="201" max="201"/>
    <col width="11" customWidth="1" min="202" max="202"/>
    <col width="11" customWidth="1" min="203" max="203"/>
    <col width="10" customWidth="1" min="204" max="204"/>
    <col width="11" customWidth="1" min="205" max="205"/>
    <col width="13" customWidth="1" min="206" max="206"/>
    <col width="12" customWidth="1" min="208" max="208"/>
    <col width="10" customWidth="1" min="209" max="209"/>
    <col width="10" customWidth="1" min="210" max="210"/>
    <col width="10" customWidth="1" min="211" max="211"/>
    <col width="10" customWidth="1" min="212" max="212"/>
    <col width="11" customWidth="1" min="213" max="213"/>
    <col width="11" customWidth="1" min="214" max="214"/>
    <col width="10" customWidth="1" min="215" max="215"/>
    <col width="10" customWidth="1" min="216" max="216"/>
    <col width="10" customWidth="1" min="217" max="217"/>
    <col width="10" customWidth="1" min="218" max="218"/>
    <col width="11" customWidth="1" min="219" max="219"/>
    <col width="11" customWidth="1" min="220" max="220"/>
    <col width="10" customWidth="1" min="221" max="221"/>
    <col width="11" customWidth="1" min="222" max="222"/>
    <col width="13" customWidth="1" min="223" max="223"/>
    <col width="12" customWidth="1" min="225" max="225"/>
    <col width="10" customWidth="1" min="226" max="226"/>
    <col width="10" customWidth="1" min="227" max="227"/>
    <col width="10" customWidth="1" min="228" max="228"/>
    <col width="10" customWidth="1" min="229" max="229"/>
    <col width="11" customWidth="1" min="230" max="230"/>
    <col width="11" customWidth="1" min="231" max="231"/>
    <col width="10" customWidth="1" min="232" max="232"/>
    <col width="10" customWidth="1" min="233" max="233"/>
    <col width="10" customWidth="1" min="234" max="234"/>
    <col width="10" customWidth="1" min="235" max="235"/>
    <col width="11" customWidth="1" min="236" max="236"/>
    <col width="11" customWidth="1" min="237" max="237"/>
    <col width="10" customWidth="1" min="238" max="238"/>
    <col width="11" customWidth="1" min="239" max="239"/>
    <col width="13" customWidth="1" min="240" max="240"/>
    <col width="12" customWidth="1" min="242" max="242"/>
    <col width="10" customWidth="1" min="243" max="243"/>
    <col width="10" customWidth="1" min="244" max="244"/>
    <col width="10" customWidth="1" min="245" max="245"/>
    <col width="10" customWidth="1" min="246" max="246"/>
    <col width="11" customWidth="1" min="247" max="247"/>
    <col width="11" customWidth="1" min="248" max="248"/>
    <col width="10" customWidth="1" min="249" max="249"/>
    <col width="10" customWidth="1" min="250" max="250"/>
    <col width="10" customWidth="1" min="251" max="251"/>
    <col width="10" customWidth="1" min="252" max="252"/>
    <col width="11" customWidth="1" min="253" max="253"/>
    <col width="11" customWidth="1" min="254" max="254"/>
    <col width="10" customWidth="1" min="255" max="255"/>
    <col width="11" customWidth="1" min="256" max="256"/>
    <col width="13" customWidth="1" min="257" max="257"/>
    <col width="12" customWidth="1" min="259" max="259"/>
    <col width="10" customWidth="1" min="260" max="260"/>
    <col width="10" customWidth="1" min="261" max="261"/>
    <col width="10" customWidth="1" min="262" max="262"/>
    <col width="10" customWidth="1" min="263" max="263"/>
    <col width="11" customWidth="1" min="264" max="264"/>
    <col width="11" customWidth="1" min="265" max="265"/>
    <col width="10" customWidth="1" min="266" max="266"/>
    <col width="10" customWidth="1" min="267" max="267"/>
    <col width="10" customWidth="1" min="268" max="268"/>
    <col width="10" customWidth="1" min="269" max="269"/>
    <col width="11" customWidth="1" min="270" max="270"/>
    <col width="11" customWidth="1" min="271" max="271"/>
    <col width="10" customWidth="1" min="272" max="272"/>
    <col width="11" customWidth="1" min="273" max="273"/>
    <col width="13" customWidth="1" min="274" max="274"/>
    <col width="12" customWidth="1" min="276" max="276"/>
    <col width="10" customWidth="1" min="277" max="277"/>
    <col width="10" customWidth="1" min="278" max="278"/>
    <col width="10" customWidth="1" min="279" max="279"/>
    <col width="10" customWidth="1" min="280" max="280"/>
    <col width="11" customWidth="1" min="281" max="281"/>
    <col width="11" customWidth="1" min="282" max="282"/>
    <col width="10" customWidth="1" min="283" max="283"/>
    <col width="10" customWidth="1" min="284" max="284"/>
    <col width="10" customWidth="1" min="285" max="285"/>
    <col width="10" customWidth="1" min="286" max="286"/>
    <col width="11" customWidth="1" min="287" max="287"/>
    <col width="11" customWidth="1" min="288" max="288"/>
    <col width="10" customWidth="1" min="289" max="289"/>
    <col width="11" customWidth="1" min="290" max="290"/>
    <col width="13" customWidth="1" min="291" max="291"/>
    <col width="12" customWidth="1" min="293" max="293"/>
    <col width="10" customWidth="1" min="294" max="294"/>
    <col width="10" customWidth="1" min="295" max="295"/>
    <col width="10" customWidth="1" min="296" max="296"/>
    <col width="10" customWidth="1" min="297" max="297"/>
    <col width="11" customWidth="1" min="298" max="298"/>
    <col width="11" customWidth="1" min="299" max="299"/>
    <col width="10" customWidth="1" min="300" max="300"/>
    <col width="10" customWidth="1" min="301" max="301"/>
    <col width="10" customWidth="1" min="302" max="302"/>
    <col width="10" customWidth="1" min="303" max="303"/>
    <col width="11" customWidth="1" min="304" max="304"/>
    <col width="11" customWidth="1" min="305" max="305"/>
    <col width="10" customWidth="1" min="306" max="306"/>
    <col width="11" customWidth="1" min="307" max="307"/>
    <col width="13" customWidth="1" min="308" max="308"/>
    <col width="12" customWidth="1" min="310" max="310"/>
    <col width="10" customWidth="1" min="311" max="311"/>
    <col width="10" customWidth="1" min="312" max="312"/>
    <col width="10" customWidth="1" min="313" max="313"/>
    <col width="10" customWidth="1" min="314" max="314"/>
    <col width="11" customWidth="1" min="315" max="315"/>
    <col width="11" customWidth="1" min="316" max="316"/>
    <col width="10" customWidth="1" min="317" max="317"/>
    <col width="10" customWidth="1" min="318" max="318"/>
    <col width="10" customWidth="1" min="319" max="319"/>
    <col width="10" customWidth="1" min="320" max="320"/>
    <col width="11" customWidth="1" min="321" max="321"/>
    <col width="11" customWidth="1" min="322" max="322"/>
    <col width="10" customWidth="1" min="323" max="323"/>
    <col width="11" customWidth="1" min="324" max="324"/>
    <col width="13" customWidth="1" min="325" max="325"/>
    <col width="12" customWidth="1" min="327" max="327"/>
    <col width="10" customWidth="1" min="328" max="328"/>
    <col width="10" customWidth="1" min="329" max="329"/>
    <col width="10" customWidth="1" min="330" max="330"/>
    <col width="10" customWidth="1" min="331" max="331"/>
    <col width="11" customWidth="1" min="332" max="332"/>
    <col width="11" customWidth="1" min="333" max="333"/>
    <col width="10" customWidth="1" min="334" max="334"/>
    <col width="10" customWidth="1" min="335" max="335"/>
    <col width="10" customWidth="1" min="336" max="336"/>
    <col width="10" customWidth="1" min="337" max="337"/>
    <col width="11" customWidth="1" min="338" max="338"/>
    <col width="11" customWidth="1" min="339" max="339"/>
    <col width="10" customWidth="1" min="340" max="340"/>
    <col width="11" customWidth="1" min="341" max="341"/>
    <col width="13" customWidth="1" min="342" max="342"/>
    <col width="12" customWidth="1" min="344" max="344"/>
    <col width="10" customWidth="1" min="345" max="345"/>
    <col width="10" customWidth="1" min="346" max="346"/>
    <col width="10" customWidth="1" min="347" max="347"/>
    <col width="10" customWidth="1" min="348" max="348"/>
    <col width="11" customWidth="1" min="349" max="349"/>
    <col width="11" customWidth="1" min="350" max="350"/>
    <col width="10" customWidth="1" min="351" max="351"/>
    <col width="10" customWidth="1" min="352" max="352"/>
    <col width="10" customWidth="1" min="353" max="353"/>
    <col width="10" customWidth="1" min="354" max="354"/>
    <col width="11" customWidth="1" min="355" max="355"/>
    <col width="11" customWidth="1" min="356" max="356"/>
    <col width="10" customWidth="1" min="357" max="357"/>
    <col width="11" customWidth="1" min="358" max="358"/>
    <col width="13" customWidth="1" min="359" max="359"/>
    <col width="12" customWidth="1" min="361" max="361"/>
    <col width="10" customWidth="1" min="362" max="362"/>
    <col width="10" customWidth="1" min="363" max="363"/>
    <col width="10" customWidth="1" min="364" max="364"/>
    <col width="10" customWidth="1" min="365" max="365"/>
    <col width="11" customWidth="1" min="366" max="366"/>
    <col width="11" customWidth="1" min="367" max="367"/>
    <col width="10" customWidth="1" min="368" max="368"/>
    <col width="10" customWidth="1" min="369" max="369"/>
    <col width="10" customWidth="1" min="370" max="370"/>
    <col width="10" customWidth="1" min="371" max="371"/>
    <col width="11" customWidth="1" min="372" max="372"/>
    <col width="11" customWidth="1" min="373" max="373"/>
    <col width="10" customWidth="1" min="374" max="374"/>
    <col width="11" customWidth="1" min="375" max="375"/>
    <col width="13" customWidth="1" min="376" max="376"/>
  </cols>
  <sheetData>
    <row r="1">
      <c r="A1" s="2" t="inlineStr">
        <is>
          <t>Month</t>
        </is>
      </c>
      <c r="B1" s="9" t="n">
        <v>10</v>
      </c>
      <c r="D1" s="2">
        <f>IF(ISNUMBER(B$7),"OXY US "&amp;TEXT(B$3,"mm/dd/yy")&amp;" C"&amp;(B$7-5*B$6)&amp;" Equity","")</f>
        <v/>
      </c>
      <c r="U1" s="2">
        <f>IF(ISNUMBER(B$7),"OXY US "&amp;TEXT(B$3,"mm/dd/yy")&amp;" P"&amp;(B$7-5*B$6)&amp;" Equity","")</f>
        <v/>
      </c>
      <c r="AL1" s="2">
        <f>IF(ISNUMBER(B$7),"OXY US "&amp;TEXT(B$3,"mm/dd/yy")&amp;" C"&amp;(B$7-4*B$6)&amp;" Equity","")</f>
        <v/>
      </c>
      <c r="BC1" s="2">
        <f>IF(ISNUMBER(B$7),"OXY US "&amp;TEXT(B$3,"mm/dd/yy")&amp;" P"&amp;(B$7-4*B$6)&amp;" Equity","")</f>
        <v/>
      </c>
      <c r="BT1" s="2">
        <f>IF(ISNUMBER(B$7),"OXY US "&amp;TEXT(B$3,"mm/dd/yy")&amp;" C"&amp;(B$7-3*B$6)&amp;" Equity","")</f>
        <v/>
      </c>
      <c r="CK1" s="2">
        <f>IF(ISNUMBER(B$7),"OXY US "&amp;TEXT(B$3,"mm/dd/yy")&amp;" P"&amp;(B$7-3*B$6)&amp;" Equity","")</f>
        <v/>
      </c>
      <c r="DB1" s="2">
        <f>IF(ISNUMBER(B$7),"OXY US "&amp;TEXT(B$3,"mm/dd/yy")&amp;" C"&amp;(B$7-2*B$6)&amp;" Equity","")</f>
        <v/>
      </c>
      <c r="DS1" s="2">
        <f>IF(ISNUMBER(B$7),"OXY US "&amp;TEXT(B$3,"mm/dd/yy")&amp;" P"&amp;(B$7-2*B$6)&amp;" Equity","")</f>
        <v/>
      </c>
      <c r="EJ1" s="2">
        <f>IF(ISNUMBER(B$7),"OXY US "&amp;TEXT(B$3,"mm/dd/yy")&amp;" C"&amp;(B$7-1*B$6)&amp;" Equity","")</f>
        <v/>
      </c>
      <c r="FA1" s="2">
        <f>IF(ISNUMBER(B$7),"OXY US "&amp;TEXT(B$3,"mm/dd/yy")&amp;" P"&amp;(B$7-1*B$6)&amp;" Equity","")</f>
        <v/>
      </c>
      <c r="FR1" s="2">
        <f>IF(ISNUMBER(B$7),"OXY US "&amp;TEXT(B$3,"mm/dd/yy")&amp;" C"&amp;B$7&amp;" Equity","")</f>
        <v/>
      </c>
      <c r="GI1" s="2">
        <f>IF(ISNUMBER(B$7),"OXY US "&amp;TEXT(B$3,"mm/dd/yy")&amp;" P"&amp;B$7&amp;" Equity","")</f>
        <v/>
      </c>
      <c r="GZ1" s="2">
        <f>IF(ISNUMBER(B$7),"OXY US "&amp;TEXT(B$3,"mm/dd/yy")&amp;" C"&amp;(B$7+1*B$6)&amp;" Equity","")</f>
        <v/>
      </c>
      <c r="HQ1" s="2">
        <f>IF(ISNUMBER(B$7),"OXY US "&amp;TEXT(B$3,"mm/dd/yy")&amp;" P"&amp;(B$7+1*B$6)&amp;" Equity","")</f>
        <v/>
      </c>
      <c r="IH1" s="2">
        <f>IF(ISNUMBER(B$7),"OXY US "&amp;TEXT(B$3,"mm/dd/yy")&amp;" C"&amp;(B$7+2*B$6)&amp;" Equity","")</f>
        <v/>
      </c>
      <c r="IY1" s="2">
        <f>IF(ISNUMBER(B$7),"OXY US "&amp;TEXT(B$3,"mm/dd/yy")&amp;" P"&amp;(B$7+2*B$6)&amp;" Equity","")</f>
        <v/>
      </c>
      <c r="JP1" s="2">
        <f>IF(ISNUMBER(B$7),"OXY US "&amp;TEXT(B$3,"mm/dd/yy")&amp;" C"&amp;(B$7+3*B$6)&amp;" Equity","")</f>
        <v/>
      </c>
      <c r="KG1" s="2">
        <f>IF(ISNUMBER(B$7),"OXY US "&amp;TEXT(B$3,"mm/dd/yy")&amp;" P"&amp;(B$7+3*B$6)&amp;" Equity","")</f>
        <v/>
      </c>
      <c r="KX1" s="2">
        <f>IF(ISNUMBER(B$7),"OXY US "&amp;TEXT(B$3,"mm/dd/yy")&amp;" C"&amp;(B$7+4*B$6)&amp;" Equity","")</f>
        <v/>
      </c>
      <c r="LO1" s="2">
        <f>IF(ISNUMBER(B$7),"OXY US "&amp;TEXT(B$3,"mm/dd/yy")&amp;" P"&amp;(B$7+4*B$6)&amp;" Equity","")</f>
        <v/>
      </c>
      <c r="MF1" s="2">
        <f>IF(ISNUMBER(B$7),"OXY US "&amp;TEXT(B$3,"mm/dd/yy")&amp;" C"&amp;(B$7+5*B$6)&amp;" Equity","")</f>
        <v/>
      </c>
      <c r="MW1" s="2">
        <f>IF(ISNUMBER(B$7),"OXY US "&amp;TEXT(B$3,"mm/dd/yy")&amp;" P"&amp;(B$7+5*B$6)&amp;" Equity","")</f>
        <v/>
      </c>
    </row>
    <row r="2">
      <c r="A2" s="2" t="inlineStr">
        <is>
          <t>Underlying</t>
        </is>
      </c>
      <c r="B2" s="4">
        <f>IF(Settings!$B$18="Y","OXY US Equity","")</f>
        <v/>
      </c>
      <c r="D2" s="4" t="inlineStr">
        <is>
          <t>call -5 from ATM</t>
        </is>
      </c>
      <c r="U2" s="4" t="inlineStr">
        <is>
          <t>put -5 from ATM</t>
        </is>
      </c>
      <c r="AL2" s="4" t="inlineStr">
        <is>
          <t>call -4 from ATM</t>
        </is>
      </c>
      <c r="BC2" s="4" t="inlineStr">
        <is>
          <t>put -4 from ATM</t>
        </is>
      </c>
      <c r="BT2" s="4" t="inlineStr">
        <is>
          <t>call -3 from ATM</t>
        </is>
      </c>
      <c r="CK2" s="4" t="inlineStr">
        <is>
          <t>put -3 from ATM</t>
        </is>
      </c>
      <c r="DB2" s="4" t="inlineStr">
        <is>
          <t>call -2 from ATM</t>
        </is>
      </c>
      <c r="DS2" s="4" t="inlineStr">
        <is>
          <t>put -2 from ATM</t>
        </is>
      </c>
      <c r="EJ2" s="4" t="inlineStr">
        <is>
          <t>call -1 from ATM</t>
        </is>
      </c>
      <c r="FA2" s="4" t="inlineStr">
        <is>
          <t>put -1 from ATM</t>
        </is>
      </c>
      <c r="FR2" s="4" t="inlineStr">
        <is>
          <t>call +0 from ATM</t>
        </is>
      </c>
      <c r="GI2" s="4" t="inlineStr">
        <is>
          <t>put +0 from ATM</t>
        </is>
      </c>
      <c r="GZ2" s="4" t="inlineStr">
        <is>
          <t>call +1 from ATM</t>
        </is>
      </c>
      <c r="HQ2" s="4" t="inlineStr">
        <is>
          <t>put +1 from ATM</t>
        </is>
      </c>
      <c r="IH2" s="4" t="inlineStr">
        <is>
          <t>call +2 from ATM</t>
        </is>
      </c>
      <c r="IY2" s="4" t="inlineStr">
        <is>
          <t>put +2 from ATM</t>
        </is>
      </c>
      <c r="JP2" s="4" t="inlineStr">
        <is>
          <t>call +3 from ATM</t>
        </is>
      </c>
      <c r="KG2" s="4" t="inlineStr">
        <is>
          <t>put +3 from ATM</t>
        </is>
      </c>
      <c r="KX2" s="4" t="inlineStr">
        <is>
          <t>call +4 from ATM</t>
        </is>
      </c>
      <c r="LO2" s="4" t="inlineStr">
        <is>
          <t>put +4 from ATM</t>
        </is>
      </c>
      <c r="MF2" s="4" t="inlineStr">
        <is>
          <t>call +5 from ATM</t>
        </is>
      </c>
      <c r="MW2" s="4" t="inlineStr">
        <is>
          <t>put +5 from ATM</t>
        </is>
      </c>
    </row>
    <row r="3">
      <c r="A3" s="2" t="inlineStr">
        <is>
          <t>Expiry (3rd Friday)</t>
        </is>
      </c>
      <c r="B3" s="3">
        <f>DATE(Settings!$E$18,B1,15)+MOD(6-WEEKDAY(DATE(Settings!$E$18,B1,15)),7)</f>
        <v/>
      </c>
      <c r="D3" s="5" t="inlineStr">
        <is>
          <t>Date</t>
        </is>
      </c>
      <c r="E3" s="5" t="inlineStr">
        <is>
          <t>PX_BID</t>
        </is>
      </c>
      <c r="F3" s="5" t="inlineStr">
        <is>
          <t>PX_ASK</t>
        </is>
      </c>
      <c r="G3" s="5" t="inlineStr">
        <is>
          <t>PX_MID</t>
        </is>
      </c>
      <c r="H3" s="5" t="inlineStr">
        <is>
          <t>PX_LAST</t>
        </is>
      </c>
      <c r="I3" s="5" t="inlineStr">
        <is>
          <t>PX_SETTLE</t>
        </is>
      </c>
      <c r="J3" s="5" t="inlineStr">
        <is>
          <t>PX_VOLUME</t>
        </is>
      </c>
      <c r="K3" s="5" t="inlineStr">
        <is>
          <t>OPEN_INT</t>
        </is>
      </c>
      <c r="L3" s="5" t="inlineStr">
        <is>
          <t>IVOL_MID</t>
        </is>
      </c>
      <c r="M3" s="5" t="inlineStr">
        <is>
          <t>IVOL_BID</t>
        </is>
      </c>
      <c r="N3" s="5" t="inlineStr">
        <is>
          <t>IVOL_ASK</t>
        </is>
      </c>
      <c r="O3" s="5" t="inlineStr">
        <is>
          <t>DELTA_MID</t>
        </is>
      </c>
      <c r="P3" s="5" t="inlineStr">
        <is>
          <t>GAMMA_MID</t>
        </is>
      </c>
      <c r="Q3" s="5" t="inlineStr">
        <is>
          <t>VEGA_MID</t>
        </is>
      </c>
      <c r="R3" s="5" t="inlineStr">
        <is>
          <t>THETA_MID</t>
        </is>
      </c>
      <c r="S3" s="5" t="inlineStr">
        <is>
          <t>OPT_UNDL_PX</t>
        </is>
      </c>
      <c r="U3" s="5" t="inlineStr">
        <is>
          <t>Date</t>
        </is>
      </c>
      <c r="V3" s="5" t="inlineStr">
        <is>
          <t>PX_BID</t>
        </is>
      </c>
      <c r="W3" s="5" t="inlineStr">
        <is>
          <t>PX_ASK</t>
        </is>
      </c>
      <c r="X3" s="5" t="inlineStr">
        <is>
          <t>PX_MID</t>
        </is>
      </c>
      <c r="Y3" s="5" t="inlineStr">
        <is>
          <t>PX_LAST</t>
        </is>
      </c>
      <c r="Z3" s="5" t="inlineStr">
        <is>
          <t>PX_SETTLE</t>
        </is>
      </c>
      <c r="AA3" s="5" t="inlineStr">
        <is>
          <t>PX_VOLUME</t>
        </is>
      </c>
      <c r="AB3" s="5" t="inlineStr">
        <is>
          <t>OPEN_INT</t>
        </is>
      </c>
      <c r="AC3" s="5" t="inlineStr">
        <is>
          <t>IVOL_MID</t>
        </is>
      </c>
      <c r="AD3" s="5" t="inlineStr">
        <is>
          <t>IVOL_BID</t>
        </is>
      </c>
      <c r="AE3" s="5" t="inlineStr">
        <is>
          <t>IVOL_ASK</t>
        </is>
      </c>
      <c r="AF3" s="5" t="inlineStr">
        <is>
          <t>DELTA_MID</t>
        </is>
      </c>
      <c r="AG3" s="5" t="inlineStr">
        <is>
          <t>GAMMA_MID</t>
        </is>
      </c>
      <c r="AH3" s="5" t="inlineStr">
        <is>
          <t>VEGA_MID</t>
        </is>
      </c>
      <c r="AI3" s="5" t="inlineStr">
        <is>
          <t>THETA_MID</t>
        </is>
      </c>
      <c r="AJ3" s="5" t="inlineStr">
        <is>
          <t>OPT_UNDL_PX</t>
        </is>
      </c>
      <c r="AL3" s="5" t="inlineStr">
        <is>
          <t>Date</t>
        </is>
      </c>
      <c r="AM3" s="5" t="inlineStr">
        <is>
          <t>PX_BID</t>
        </is>
      </c>
      <c r="AN3" s="5" t="inlineStr">
        <is>
          <t>PX_ASK</t>
        </is>
      </c>
      <c r="AO3" s="5" t="inlineStr">
        <is>
          <t>PX_MID</t>
        </is>
      </c>
      <c r="AP3" s="5" t="inlineStr">
        <is>
          <t>PX_LAST</t>
        </is>
      </c>
      <c r="AQ3" s="5" t="inlineStr">
        <is>
          <t>PX_SETTLE</t>
        </is>
      </c>
      <c r="AR3" s="5" t="inlineStr">
        <is>
          <t>PX_VOLUME</t>
        </is>
      </c>
      <c r="AS3" s="5" t="inlineStr">
        <is>
          <t>OPEN_INT</t>
        </is>
      </c>
      <c r="AT3" s="5" t="inlineStr">
        <is>
          <t>IVOL_MID</t>
        </is>
      </c>
      <c r="AU3" s="5" t="inlineStr">
        <is>
          <t>IVOL_BID</t>
        </is>
      </c>
      <c r="AV3" s="5" t="inlineStr">
        <is>
          <t>IVOL_ASK</t>
        </is>
      </c>
      <c r="AW3" s="5" t="inlineStr">
        <is>
          <t>DELTA_MID</t>
        </is>
      </c>
      <c r="AX3" s="5" t="inlineStr">
        <is>
          <t>GAMMA_MID</t>
        </is>
      </c>
      <c r="AY3" s="5" t="inlineStr">
        <is>
          <t>VEGA_MID</t>
        </is>
      </c>
      <c r="AZ3" s="5" t="inlineStr">
        <is>
          <t>THETA_MID</t>
        </is>
      </c>
      <c r="BA3" s="5" t="inlineStr">
        <is>
          <t>OPT_UNDL_PX</t>
        </is>
      </c>
      <c r="BC3" s="5" t="inlineStr">
        <is>
          <t>Date</t>
        </is>
      </c>
      <c r="BD3" s="5" t="inlineStr">
        <is>
          <t>PX_BID</t>
        </is>
      </c>
      <c r="BE3" s="5" t="inlineStr">
        <is>
          <t>PX_ASK</t>
        </is>
      </c>
      <c r="BF3" s="5" t="inlineStr">
        <is>
          <t>PX_MID</t>
        </is>
      </c>
      <c r="BG3" s="5" t="inlineStr">
        <is>
          <t>PX_LAST</t>
        </is>
      </c>
      <c r="BH3" s="5" t="inlineStr">
        <is>
          <t>PX_SETTLE</t>
        </is>
      </c>
      <c r="BI3" s="5" t="inlineStr">
        <is>
          <t>PX_VOLUME</t>
        </is>
      </c>
      <c r="BJ3" s="5" t="inlineStr">
        <is>
          <t>OPEN_INT</t>
        </is>
      </c>
      <c r="BK3" s="5" t="inlineStr">
        <is>
          <t>IVOL_MID</t>
        </is>
      </c>
      <c r="BL3" s="5" t="inlineStr">
        <is>
          <t>IVOL_BID</t>
        </is>
      </c>
      <c r="BM3" s="5" t="inlineStr">
        <is>
          <t>IVOL_ASK</t>
        </is>
      </c>
      <c r="BN3" s="5" t="inlineStr">
        <is>
          <t>DELTA_MID</t>
        </is>
      </c>
      <c r="BO3" s="5" t="inlineStr">
        <is>
          <t>GAMMA_MID</t>
        </is>
      </c>
      <c r="BP3" s="5" t="inlineStr">
        <is>
          <t>VEGA_MID</t>
        </is>
      </c>
      <c r="BQ3" s="5" t="inlineStr">
        <is>
          <t>THETA_MID</t>
        </is>
      </c>
      <c r="BR3" s="5" t="inlineStr">
        <is>
          <t>OPT_UNDL_PX</t>
        </is>
      </c>
      <c r="BT3" s="5" t="inlineStr">
        <is>
          <t>Date</t>
        </is>
      </c>
      <c r="BU3" s="5" t="inlineStr">
        <is>
          <t>PX_BID</t>
        </is>
      </c>
      <c r="BV3" s="5" t="inlineStr">
        <is>
          <t>PX_ASK</t>
        </is>
      </c>
      <c r="BW3" s="5" t="inlineStr">
        <is>
          <t>PX_MID</t>
        </is>
      </c>
      <c r="BX3" s="5" t="inlineStr">
        <is>
          <t>PX_LAST</t>
        </is>
      </c>
      <c r="BY3" s="5" t="inlineStr">
        <is>
          <t>PX_SETTLE</t>
        </is>
      </c>
      <c r="BZ3" s="5" t="inlineStr">
        <is>
          <t>PX_VOLUME</t>
        </is>
      </c>
      <c r="CA3" s="5" t="inlineStr">
        <is>
          <t>OPEN_INT</t>
        </is>
      </c>
      <c r="CB3" s="5" t="inlineStr">
        <is>
          <t>IVOL_MID</t>
        </is>
      </c>
      <c r="CC3" s="5" t="inlineStr">
        <is>
          <t>IVOL_BID</t>
        </is>
      </c>
      <c r="CD3" s="5" t="inlineStr">
        <is>
          <t>IVOL_ASK</t>
        </is>
      </c>
      <c r="CE3" s="5" t="inlineStr">
        <is>
          <t>DELTA_MID</t>
        </is>
      </c>
      <c r="CF3" s="5" t="inlineStr">
        <is>
          <t>GAMMA_MID</t>
        </is>
      </c>
      <c r="CG3" s="5" t="inlineStr">
        <is>
          <t>VEGA_MID</t>
        </is>
      </c>
      <c r="CH3" s="5" t="inlineStr">
        <is>
          <t>THETA_MID</t>
        </is>
      </c>
      <c r="CI3" s="5" t="inlineStr">
        <is>
          <t>OPT_UNDL_PX</t>
        </is>
      </c>
      <c r="CK3" s="5" t="inlineStr">
        <is>
          <t>Date</t>
        </is>
      </c>
      <c r="CL3" s="5" t="inlineStr">
        <is>
          <t>PX_BID</t>
        </is>
      </c>
      <c r="CM3" s="5" t="inlineStr">
        <is>
          <t>PX_ASK</t>
        </is>
      </c>
      <c r="CN3" s="5" t="inlineStr">
        <is>
          <t>PX_MID</t>
        </is>
      </c>
      <c r="CO3" s="5" t="inlineStr">
        <is>
          <t>PX_LAST</t>
        </is>
      </c>
      <c r="CP3" s="5" t="inlineStr">
        <is>
          <t>PX_SETTLE</t>
        </is>
      </c>
      <c r="CQ3" s="5" t="inlineStr">
        <is>
          <t>PX_VOLUME</t>
        </is>
      </c>
      <c r="CR3" s="5" t="inlineStr">
        <is>
          <t>OPEN_INT</t>
        </is>
      </c>
      <c r="CS3" s="5" t="inlineStr">
        <is>
          <t>IVOL_MID</t>
        </is>
      </c>
      <c r="CT3" s="5" t="inlineStr">
        <is>
          <t>IVOL_BID</t>
        </is>
      </c>
      <c r="CU3" s="5" t="inlineStr">
        <is>
          <t>IVOL_ASK</t>
        </is>
      </c>
      <c r="CV3" s="5" t="inlineStr">
        <is>
          <t>DELTA_MID</t>
        </is>
      </c>
      <c r="CW3" s="5" t="inlineStr">
        <is>
          <t>GAMMA_MID</t>
        </is>
      </c>
      <c r="CX3" s="5" t="inlineStr">
        <is>
          <t>VEGA_MID</t>
        </is>
      </c>
      <c r="CY3" s="5" t="inlineStr">
        <is>
          <t>THETA_MID</t>
        </is>
      </c>
      <c r="CZ3" s="5" t="inlineStr">
        <is>
          <t>OPT_UNDL_PX</t>
        </is>
      </c>
      <c r="DB3" s="5" t="inlineStr">
        <is>
          <t>Date</t>
        </is>
      </c>
      <c r="DC3" s="5" t="inlineStr">
        <is>
          <t>PX_BID</t>
        </is>
      </c>
      <c r="DD3" s="5" t="inlineStr">
        <is>
          <t>PX_ASK</t>
        </is>
      </c>
      <c r="DE3" s="5" t="inlineStr">
        <is>
          <t>PX_MID</t>
        </is>
      </c>
      <c r="DF3" s="5" t="inlineStr">
        <is>
          <t>PX_LAST</t>
        </is>
      </c>
      <c r="DG3" s="5" t="inlineStr">
        <is>
          <t>PX_SETTLE</t>
        </is>
      </c>
      <c r="DH3" s="5" t="inlineStr">
        <is>
          <t>PX_VOLUME</t>
        </is>
      </c>
      <c r="DI3" s="5" t="inlineStr">
        <is>
          <t>OPEN_INT</t>
        </is>
      </c>
      <c r="DJ3" s="5" t="inlineStr">
        <is>
          <t>IVOL_MID</t>
        </is>
      </c>
      <c r="DK3" s="5" t="inlineStr">
        <is>
          <t>IVOL_BID</t>
        </is>
      </c>
      <c r="DL3" s="5" t="inlineStr">
        <is>
          <t>IVOL_ASK</t>
        </is>
      </c>
      <c r="DM3" s="5" t="inlineStr">
        <is>
          <t>DELTA_MID</t>
        </is>
      </c>
      <c r="DN3" s="5" t="inlineStr">
        <is>
          <t>GAMMA_MID</t>
        </is>
      </c>
      <c r="DO3" s="5" t="inlineStr">
        <is>
          <t>VEGA_MID</t>
        </is>
      </c>
      <c r="DP3" s="5" t="inlineStr">
        <is>
          <t>THETA_MID</t>
        </is>
      </c>
      <c r="DQ3" s="5" t="inlineStr">
        <is>
          <t>OPT_UNDL_PX</t>
        </is>
      </c>
      <c r="DS3" s="5" t="inlineStr">
        <is>
          <t>Date</t>
        </is>
      </c>
      <c r="DT3" s="5" t="inlineStr">
        <is>
          <t>PX_BID</t>
        </is>
      </c>
      <c r="DU3" s="5" t="inlineStr">
        <is>
          <t>PX_ASK</t>
        </is>
      </c>
      <c r="DV3" s="5" t="inlineStr">
        <is>
          <t>PX_MID</t>
        </is>
      </c>
      <c r="DW3" s="5" t="inlineStr">
        <is>
          <t>PX_LAST</t>
        </is>
      </c>
      <c r="DX3" s="5" t="inlineStr">
        <is>
          <t>PX_SETTLE</t>
        </is>
      </c>
      <c r="DY3" s="5" t="inlineStr">
        <is>
          <t>PX_VOLUME</t>
        </is>
      </c>
      <c r="DZ3" s="5" t="inlineStr">
        <is>
          <t>OPEN_INT</t>
        </is>
      </c>
      <c r="EA3" s="5" t="inlineStr">
        <is>
          <t>IVOL_MID</t>
        </is>
      </c>
      <c r="EB3" s="5" t="inlineStr">
        <is>
          <t>IVOL_BID</t>
        </is>
      </c>
      <c r="EC3" s="5" t="inlineStr">
        <is>
          <t>IVOL_ASK</t>
        </is>
      </c>
      <c r="ED3" s="5" t="inlineStr">
        <is>
          <t>DELTA_MID</t>
        </is>
      </c>
      <c r="EE3" s="5" t="inlineStr">
        <is>
          <t>GAMMA_MID</t>
        </is>
      </c>
      <c r="EF3" s="5" t="inlineStr">
        <is>
          <t>VEGA_MID</t>
        </is>
      </c>
      <c r="EG3" s="5" t="inlineStr">
        <is>
          <t>THETA_MID</t>
        </is>
      </c>
      <c r="EH3" s="5" t="inlineStr">
        <is>
          <t>OPT_UNDL_PX</t>
        </is>
      </c>
      <c r="EJ3" s="5" t="inlineStr">
        <is>
          <t>Date</t>
        </is>
      </c>
      <c r="EK3" s="5" t="inlineStr">
        <is>
          <t>PX_BID</t>
        </is>
      </c>
      <c r="EL3" s="5" t="inlineStr">
        <is>
          <t>PX_ASK</t>
        </is>
      </c>
      <c r="EM3" s="5" t="inlineStr">
        <is>
          <t>PX_MID</t>
        </is>
      </c>
      <c r="EN3" s="5" t="inlineStr">
        <is>
          <t>PX_LAST</t>
        </is>
      </c>
      <c r="EO3" s="5" t="inlineStr">
        <is>
          <t>PX_SETTLE</t>
        </is>
      </c>
      <c r="EP3" s="5" t="inlineStr">
        <is>
          <t>PX_VOLUME</t>
        </is>
      </c>
      <c r="EQ3" s="5" t="inlineStr">
        <is>
          <t>OPEN_INT</t>
        </is>
      </c>
      <c r="ER3" s="5" t="inlineStr">
        <is>
          <t>IVOL_MID</t>
        </is>
      </c>
      <c r="ES3" s="5" t="inlineStr">
        <is>
          <t>IVOL_BID</t>
        </is>
      </c>
      <c r="ET3" s="5" t="inlineStr">
        <is>
          <t>IVOL_ASK</t>
        </is>
      </c>
      <c r="EU3" s="5" t="inlineStr">
        <is>
          <t>DELTA_MID</t>
        </is>
      </c>
      <c r="EV3" s="5" t="inlineStr">
        <is>
          <t>GAMMA_MID</t>
        </is>
      </c>
      <c r="EW3" s="5" t="inlineStr">
        <is>
          <t>VEGA_MID</t>
        </is>
      </c>
      <c r="EX3" s="5" t="inlineStr">
        <is>
          <t>THETA_MID</t>
        </is>
      </c>
      <c r="EY3" s="5" t="inlineStr">
        <is>
          <t>OPT_UNDL_PX</t>
        </is>
      </c>
      <c r="FA3" s="5" t="inlineStr">
        <is>
          <t>Date</t>
        </is>
      </c>
      <c r="FB3" s="5" t="inlineStr">
        <is>
          <t>PX_BID</t>
        </is>
      </c>
      <c r="FC3" s="5" t="inlineStr">
        <is>
          <t>PX_ASK</t>
        </is>
      </c>
      <c r="FD3" s="5" t="inlineStr">
        <is>
          <t>PX_MID</t>
        </is>
      </c>
      <c r="FE3" s="5" t="inlineStr">
        <is>
          <t>PX_LAST</t>
        </is>
      </c>
      <c r="FF3" s="5" t="inlineStr">
        <is>
          <t>PX_SETTLE</t>
        </is>
      </c>
      <c r="FG3" s="5" t="inlineStr">
        <is>
          <t>PX_VOLUME</t>
        </is>
      </c>
      <c r="FH3" s="5" t="inlineStr">
        <is>
          <t>OPEN_INT</t>
        </is>
      </c>
      <c r="FI3" s="5" t="inlineStr">
        <is>
          <t>IVOL_MID</t>
        </is>
      </c>
      <c r="FJ3" s="5" t="inlineStr">
        <is>
          <t>IVOL_BID</t>
        </is>
      </c>
      <c r="FK3" s="5" t="inlineStr">
        <is>
          <t>IVOL_ASK</t>
        </is>
      </c>
      <c r="FL3" s="5" t="inlineStr">
        <is>
          <t>DELTA_MID</t>
        </is>
      </c>
      <c r="FM3" s="5" t="inlineStr">
        <is>
          <t>GAMMA_MID</t>
        </is>
      </c>
      <c r="FN3" s="5" t="inlineStr">
        <is>
          <t>VEGA_MID</t>
        </is>
      </c>
      <c r="FO3" s="5" t="inlineStr">
        <is>
          <t>THETA_MID</t>
        </is>
      </c>
      <c r="FP3" s="5" t="inlineStr">
        <is>
          <t>OPT_UNDL_PX</t>
        </is>
      </c>
      <c r="FR3" s="5" t="inlineStr">
        <is>
          <t>Date</t>
        </is>
      </c>
      <c r="FS3" s="5" t="inlineStr">
        <is>
          <t>PX_BID</t>
        </is>
      </c>
      <c r="FT3" s="5" t="inlineStr">
        <is>
          <t>PX_ASK</t>
        </is>
      </c>
      <c r="FU3" s="5" t="inlineStr">
        <is>
          <t>PX_MID</t>
        </is>
      </c>
      <c r="FV3" s="5" t="inlineStr">
        <is>
          <t>PX_LAST</t>
        </is>
      </c>
      <c r="FW3" s="5" t="inlineStr">
        <is>
          <t>PX_SETTLE</t>
        </is>
      </c>
      <c r="FX3" s="5" t="inlineStr">
        <is>
          <t>PX_VOLUME</t>
        </is>
      </c>
      <c r="FY3" s="5" t="inlineStr">
        <is>
          <t>OPEN_INT</t>
        </is>
      </c>
      <c r="FZ3" s="5" t="inlineStr">
        <is>
          <t>IVOL_MID</t>
        </is>
      </c>
      <c r="GA3" s="5" t="inlineStr">
        <is>
          <t>IVOL_BID</t>
        </is>
      </c>
      <c r="GB3" s="5" t="inlineStr">
        <is>
          <t>IVOL_ASK</t>
        </is>
      </c>
      <c r="GC3" s="5" t="inlineStr">
        <is>
          <t>DELTA_MID</t>
        </is>
      </c>
      <c r="GD3" s="5" t="inlineStr">
        <is>
          <t>GAMMA_MID</t>
        </is>
      </c>
      <c r="GE3" s="5" t="inlineStr">
        <is>
          <t>VEGA_MID</t>
        </is>
      </c>
      <c r="GF3" s="5" t="inlineStr">
        <is>
          <t>THETA_MID</t>
        </is>
      </c>
      <c r="GG3" s="5" t="inlineStr">
        <is>
          <t>OPT_UNDL_PX</t>
        </is>
      </c>
      <c r="GI3" s="5" t="inlineStr">
        <is>
          <t>Date</t>
        </is>
      </c>
      <c r="GJ3" s="5" t="inlineStr">
        <is>
          <t>PX_BID</t>
        </is>
      </c>
      <c r="GK3" s="5" t="inlineStr">
        <is>
          <t>PX_ASK</t>
        </is>
      </c>
      <c r="GL3" s="5" t="inlineStr">
        <is>
          <t>PX_MID</t>
        </is>
      </c>
      <c r="GM3" s="5" t="inlineStr">
        <is>
          <t>PX_LAST</t>
        </is>
      </c>
      <c r="GN3" s="5" t="inlineStr">
        <is>
          <t>PX_SETTLE</t>
        </is>
      </c>
      <c r="GO3" s="5" t="inlineStr">
        <is>
          <t>PX_VOLUME</t>
        </is>
      </c>
      <c r="GP3" s="5" t="inlineStr">
        <is>
          <t>OPEN_INT</t>
        </is>
      </c>
      <c r="GQ3" s="5" t="inlineStr">
        <is>
          <t>IVOL_MID</t>
        </is>
      </c>
      <c r="GR3" s="5" t="inlineStr">
        <is>
          <t>IVOL_BID</t>
        </is>
      </c>
      <c r="GS3" s="5" t="inlineStr">
        <is>
          <t>IVOL_ASK</t>
        </is>
      </c>
      <c r="GT3" s="5" t="inlineStr">
        <is>
          <t>DELTA_MID</t>
        </is>
      </c>
      <c r="GU3" s="5" t="inlineStr">
        <is>
          <t>GAMMA_MID</t>
        </is>
      </c>
      <c r="GV3" s="5" t="inlineStr">
        <is>
          <t>VEGA_MID</t>
        </is>
      </c>
      <c r="GW3" s="5" t="inlineStr">
        <is>
          <t>THETA_MID</t>
        </is>
      </c>
      <c r="GX3" s="5" t="inlineStr">
        <is>
          <t>OPT_UNDL_PX</t>
        </is>
      </c>
      <c r="GZ3" s="5" t="inlineStr">
        <is>
          <t>Date</t>
        </is>
      </c>
      <c r="HA3" s="5" t="inlineStr">
        <is>
          <t>PX_BID</t>
        </is>
      </c>
      <c r="HB3" s="5" t="inlineStr">
        <is>
          <t>PX_ASK</t>
        </is>
      </c>
      <c r="HC3" s="5" t="inlineStr">
        <is>
          <t>PX_MID</t>
        </is>
      </c>
      <c r="HD3" s="5" t="inlineStr">
        <is>
          <t>PX_LAST</t>
        </is>
      </c>
      <c r="HE3" s="5" t="inlineStr">
        <is>
          <t>PX_SETTLE</t>
        </is>
      </c>
      <c r="HF3" s="5" t="inlineStr">
        <is>
          <t>PX_VOLUME</t>
        </is>
      </c>
      <c r="HG3" s="5" t="inlineStr">
        <is>
          <t>OPEN_INT</t>
        </is>
      </c>
      <c r="HH3" s="5" t="inlineStr">
        <is>
          <t>IVOL_MID</t>
        </is>
      </c>
      <c r="HI3" s="5" t="inlineStr">
        <is>
          <t>IVOL_BID</t>
        </is>
      </c>
      <c r="HJ3" s="5" t="inlineStr">
        <is>
          <t>IVOL_ASK</t>
        </is>
      </c>
      <c r="HK3" s="5" t="inlineStr">
        <is>
          <t>DELTA_MID</t>
        </is>
      </c>
      <c r="HL3" s="5" t="inlineStr">
        <is>
          <t>GAMMA_MID</t>
        </is>
      </c>
      <c r="HM3" s="5" t="inlineStr">
        <is>
          <t>VEGA_MID</t>
        </is>
      </c>
      <c r="HN3" s="5" t="inlineStr">
        <is>
          <t>THETA_MID</t>
        </is>
      </c>
      <c r="HO3" s="5" t="inlineStr">
        <is>
          <t>OPT_UNDL_PX</t>
        </is>
      </c>
      <c r="HQ3" s="5" t="inlineStr">
        <is>
          <t>Date</t>
        </is>
      </c>
      <c r="HR3" s="5" t="inlineStr">
        <is>
          <t>PX_BID</t>
        </is>
      </c>
      <c r="HS3" s="5" t="inlineStr">
        <is>
          <t>PX_ASK</t>
        </is>
      </c>
      <c r="HT3" s="5" t="inlineStr">
        <is>
          <t>PX_MID</t>
        </is>
      </c>
      <c r="HU3" s="5" t="inlineStr">
        <is>
          <t>PX_LAST</t>
        </is>
      </c>
      <c r="HV3" s="5" t="inlineStr">
        <is>
          <t>PX_SETTLE</t>
        </is>
      </c>
      <c r="HW3" s="5" t="inlineStr">
        <is>
          <t>PX_VOLUME</t>
        </is>
      </c>
      <c r="HX3" s="5" t="inlineStr">
        <is>
          <t>OPEN_INT</t>
        </is>
      </c>
      <c r="HY3" s="5" t="inlineStr">
        <is>
          <t>IVOL_MID</t>
        </is>
      </c>
      <c r="HZ3" s="5" t="inlineStr">
        <is>
          <t>IVOL_BID</t>
        </is>
      </c>
      <c r="IA3" s="5" t="inlineStr">
        <is>
          <t>IVOL_ASK</t>
        </is>
      </c>
      <c r="IB3" s="5" t="inlineStr">
        <is>
          <t>DELTA_MID</t>
        </is>
      </c>
      <c r="IC3" s="5" t="inlineStr">
        <is>
          <t>GAMMA_MID</t>
        </is>
      </c>
      <c r="ID3" s="5" t="inlineStr">
        <is>
          <t>VEGA_MID</t>
        </is>
      </c>
      <c r="IE3" s="5" t="inlineStr">
        <is>
          <t>THETA_MID</t>
        </is>
      </c>
      <c r="IF3" s="5" t="inlineStr">
        <is>
          <t>OPT_UNDL_PX</t>
        </is>
      </c>
      <c r="IH3" s="5" t="inlineStr">
        <is>
          <t>Date</t>
        </is>
      </c>
      <c r="II3" s="5" t="inlineStr">
        <is>
          <t>PX_BID</t>
        </is>
      </c>
      <c r="IJ3" s="5" t="inlineStr">
        <is>
          <t>PX_ASK</t>
        </is>
      </c>
      <c r="IK3" s="5" t="inlineStr">
        <is>
          <t>PX_MID</t>
        </is>
      </c>
      <c r="IL3" s="5" t="inlineStr">
        <is>
          <t>PX_LAST</t>
        </is>
      </c>
      <c r="IM3" s="5" t="inlineStr">
        <is>
          <t>PX_SETTLE</t>
        </is>
      </c>
      <c r="IN3" s="5" t="inlineStr">
        <is>
          <t>PX_VOLUME</t>
        </is>
      </c>
      <c r="IO3" s="5" t="inlineStr">
        <is>
          <t>OPEN_INT</t>
        </is>
      </c>
      <c r="IP3" s="5" t="inlineStr">
        <is>
          <t>IVOL_MID</t>
        </is>
      </c>
      <c r="IQ3" s="5" t="inlineStr">
        <is>
          <t>IVOL_BID</t>
        </is>
      </c>
      <c r="IR3" s="5" t="inlineStr">
        <is>
          <t>IVOL_ASK</t>
        </is>
      </c>
      <c r="IS3" s="5" t="inlineStr">
        <is>
          <t>DELTA_MID</t>
        </is>
      </c>
      <c r="IT3" s="5" t="inlineStr">
        <is>
          <t>GAMMA_MID</t>
        </is>
      </c>
      <c r="IU3" s="5" t="inlineStr">
        <is>
          <t>VEGA_MID</t>
        </is>
      </c>
      <c r="IV3" s="5" t="inlineStr">
        <is>
          <t>THETA_MID</t>
        </is>
      </c>
      <c r="IW3" s="5" t="inlineStr">
        <is>
          <t>OPT_UNDL_PX</t>
        </is>
      </c>
      <c r="IY3" s="5" t="inlineStr">
        <is>
          <t>Date</t>
        </is>
      </c>
      <c r="IZ3" s="5" t="inlineStr">
        <is>
          <t>PX_BID</t>
        </is>
      </c>
      <c r="JA3" s="5" t="inlineStr">
        <is>
          <t>PX_ASK</t>
        </is>
      </c>
      <c r="JB3" s="5" t="inlineStr">
        <is>
          <t>PX_MID</t>
        </is>
      </c>
      <c r="JC3" s="5" t="inlineStr">
        <is>
          <t>PX_LAST</t>
        </is>
      </c>
      <c r="JD3" s="5" t="inlineStr">
        <is>
          <t>PX_SETTLE</t>
        </is>
      </c>
      <c r="JE3" s="5" t="inlineStr">
        <is>
          <t>PX_VOLUME</t>
        </is>
      </c>
      <c r="JF3" s="5" t="inlineStr">
        <is>
          <t>OPEN_INT</t>
        </is>
      </c>
      <c r="JG3" s="5" t="inlineStr">
        <is>
          <t>IVOL_MID</t>
        </is>
      </c>
      <c r="JH3" s="5" t="inlineStr">
        <is>
          <t>IVOL_BID</t>
        </is>
      </c>
      <c r="JI3" s="5" t="inlineStr">
        <is>
          <t>IVOL_ASK</t>
        </is>
      </c>
      <c r="JJ3" s="5" t="inlineStr">
        <is>
          <t>DELTA_MID</t>
        </is>
      </c>
      <c r="JK3" s="5" t="inlineStr">
        <is>
          <t>GAMMA_MID</t>
        </is>
      </c>
      <c r="JL3" s="5" t="inlineStr">
        <is>
          <t>VEGA_MID</t>
        </is>
      </c>
      <c r="JM3" s="5" t="inlineStr">
        <is>
          <t>THETA_MID</t>
        </is>
      </c>
      <c r="JN3" s="5" t="inlineStr">
        <is>
          <t>OPT_UNDL_PX</t>
        </is>
      </c>
      <c r="JP3" s="5" t="inlineStr">
        <is>
          <t>Date</t>
        </is>
      </c>
      <c r="JQ3" s="5" t="inlineStr">
        <is>
          <t>PX_BID</t>
        </is>
      </c>
      <c r="JR3" s="5" t="inlineStr">
        <is>
          <t>PX_ASK</t>
        </is>
      </c>
      <c r="JS3" s="5" t="inlineStr">
        <is>
          <t>PX_MID</t>
        </is>
      </c>
      <c r="JT3" s="5" t="inlineStr">
        <is>
          <t>PX_LAST</t>
        </is>
      </c>
      <c r="JU3" s="5" t="inlineStr">
        <is>
          <t>PX_SETTLE</t>
        </is>
      </c>
      <c r="JV3" s="5" t="inlineStr">
        <is>
          <t>PX_VOLUME</t>
        </is>
      </c>
      <c r="JW3" s="5" t="inlineStr">
        <is>
          <t>OPEN_INT</t>
        </is>
      </c>
      <c r="JX3" s="5" t="inlineStr">
        <is>
          <t>IVOL_MID</t>
        </is>
      </c>
      <c r="JY3" s="5" t="inlineStr">
        <is>
          <t>IVOL_BID</t>
        </is>
      </c>
      <c r="JZ3" s="5" t="inlineStr">
        <is>
          <t>IVOL_ASK</t>
        </is>
      </c>
      <c r="KA3" s="5" t="inlineStr">
        <is>
          <t>DELTA_MID</t>
        </is>
      </c>
      <c r="KB3" s="5" t="inlineStr">
        <is>
          <t>GAMMA_MID</t>
        </is>
      </c>
      <c r="KC3" s="5" t="inlineStr">
        <is>
          <t>VEGA_MID</t>
        </is>
      </c>
      <c r="KD3" s="5" t="inlineStr">
        <is>
          <t>THETA_MID</t>
        </is>
      </c>
      <c r="KE3" s="5" t="inlineStr">
        <is>
          <t>OPT_UNDL_PX</t>
        </is>
      </c>
      <c r="KG3" s="5" t="inlineStr">
        <is>
          <t>Date</t>
        </is>
      </c>
      <c r="KH3" s="5" t="inlineStr">
        <is>
          <t>PX_BID</t>
        </is>
      </c>
      <c r="KI3" s="5" t="inlineStr">
        <is>
          <t>PX_ASK</t>
        </is>
      </c>
      <c r="KJ3" s="5" t="inlineStr">
        <is>
          <t>PX_MID</t>
        </is>
      </c>
      <c r="KK3" s="5" t="inlineStr">
        <is>
          <t>PX_LAST</t>
        </is>
      </c>
      <c r="KL3" s="5" t="inlineStr">
        <is>
          <t>PX_SETTLE</t>
        </is>
      </c>
      <c r="KM3" s="5" t="inlineStr">
        <is>
          <t>PX_VOLUME</t>
        </is>
      </c>
      <c r="KN3" s="5" t="inlineStr">
        <is>
          <t>OPEN_INT</t>
        </is>
      </c>
      <c r="KO3" s="5" t="inlineStr">
        <is>
          <t>IVOL_MID</t>
        </is>
      </c>
      <c r="KP3" s="5" t="inlineStr">
        <is>
          <t>IVOL_BID</t>
        </is>
      </c>
      <c r="KQ3" s="5" t="inlineStr">
        <is>
          <t>IVOL_ASK</t>
        </is>
      </c>
      <c r="KR3" s="5" t="inlineStr">
        <is>
          <t>DELTA_MID</t>
        </is>
      </c>
      <c r="KS3" s="5" t="inlineStr">
        <is>
          <t>GAMMA_MID</t>
        </is>
      </c>
      <c r="KT3" s="5" t="inlineStr">
        <is>
          <t>VEGA_MID</t>
        </is>
      </c>
      <c r="KU3" s="5" t="inlineStr">
        <is>
          <t>THETA_MID</t>
        </is>
      </c>
      <c r="KV3" s="5" t="inlineStr">
        <is>
          <t>OPT_UNDL_PX</t>
        </is>
      </c>
      <c r="KX3" s="5" t="inlineStr">
        <is>
          <t>Date</t>
        </is>
      </c>
      <c r="KY3" s="5" t="inlineStr">
        <is>
          <t>PX_BID</t>
        </is>
      </c>
      <c r="KZ3" s="5" t="inlineStr">
        <is>
          <t>PX_ASK</t>
        </is>
      </c>
      <c r="LA3" s="5" t="inlineStr">
        <is>
          <t>PX_MID</t>
        </is>
      </c>
      <c r="LB3" s="5" t="inlineStr">
        <is>
          <t>PX_LAST</t>
        </is>
      </c>
      <c r="LC3" s="5" t="inlineStr">
        <is>
          <t>PX_SETTLE</t>
        </is>
      </c>
      <c r="LD3" s="5" t="inlineStr">
        <is>
          <t>PX_VOLUME</t>
        </is>
      </c>
      <c r="LE3" s="5" t="inlineStr">
        <is>
          <t>OPEN_INT</t>
        </is>
      </c>
      <c r="LF3" s="5" t="inlineStr">
        <is>
          <t>IVOL_MID</t>
        </is>
      </c>
      <c r="LG3" s="5" t="inlineStr">
        <is>
          <t>IVOL_BID</t>
        </is>
      </c>
      <c r="LH3" s="5" t="inlineStr">
        <is>
          <t>IVOL_ASK</t>
        </is>
      </c>
      <c r="LI3" s="5" t="inlineStr">
        <is>
          <t>DELTA_MID</t>
        </is>
      </c>
      <c r="LJ3" s="5" t="inlineStr">
        <is>
          <t>GAMMA_MID</t>
        </is>
      </c>
      <c r="LK3" s="5" t="inlineStr">
        <is>
          <t>VEGA_MID</t>
        </is>
      </c>
      <c r="LL3" s="5" t="inlineStr">
        <is>
          <t>THETA_MID</t>
        </is>
      </c>
      <c r="LM3" s="5" t="inlineStr">
        <is>
          <t>OPT_UNDL_PX</t>
        </is>
      </c>
      <c r="LO3" s="5" t="inlineStr">
        <is>
          <t>Date</t>
        </is>
      </c>
      <c r="LP3" s="5" t="inlineStr">
        <is>
          <t>PX_BID</t>
        </is>
      </c>
      <c r="LQ3" s="5" t="inlineStr">
        <is>
          <t>PX_ASK</t>
        </is>
      </c>
      <c r="LR3" s="5" t="inlineStr">
        <is>
          <t>PX_MID</t>
        </is>
      </c>
      <c r="LS3" s="5" t="inlineStr">
        <is>
          <t>PX_LAST</t>
        </is>
      </c>
      <c r="LT3" s="5" t="inlineStr">
        <is>
          <t>PX_SETTLE</t>
        </is>
      </c>
      <c r="LU3" s="5" t="inlineStr">
        <is>
          <t>PX_VOLUME</t>
        </is>
      </c>
      <c r="LV3" s="5" t="inlineStr">
        <is>
          <t>OPEN_INT</t>
        </is>
      </c>
      <c r="LW3" s="5" t="inlineStr">
        <is>
          <t>IVOL_MID</t>
        </is>
      </c>
      <c r="LX3" s="5" t="inlineStr">
        <is>
          <t>IVOL_BID</t>
        </is>
      </c>
      <c r="LY3" s="5" t="inlineStr">
        <is>
          <t>IVOL_ASK</t>
        </is>
      </c>
      <c r="LZ3" s="5" t="inlineStr">
        <is>
          <t>DELTA_MID</t>
        </is>
      </c>
      <c r="MA3" s="5" t="inlineStr">
        <is>
          <t>GAMMA_MID</t>
        </is>
      </c>
      <c r="MB3" s="5" t="inlineStr">
        <is>
          <t>VEGA_MID</t>
        </is>
      </c>
      <c r="MC3" s="5" t="inlineStr">
        <is>
          <t>THETA_MID</t>
        </is>
      </c>
      <c r="MD3" s="5" t="inlineStr">
        <is>
          <t>OPT_UNDL_PX</t>
        </is>
      </c>
      <c r="MF3" s="5" t="inlineStr">
        <is>
          <t>Date</t>
        </is>
      </c>
      <c r="MG3" s="5" t="inlineStr">
        <is>
          <t>PX_BID</t>
        </is>
      </c>
      <c r="MH3" s="5" t="inlineStr">
        <is>
          <t>PX_ASK</t>
        </is>
      </c>
      <c r="MI3" s="5" t="inlineStr">
        <is>
          <t>PX_MID</t>
        </is>
      </c>
      <c r="MJ3" s="5" t="inlineStr">
        <is>
          <t>PX_LAST</t>
        </is>
      </c>
      <c r="MK3" s="5" t="inlineStr">
        <is>
          <t>PX_SETTLE</t>
        </is>
      </c>
      <c r="ML3" s="5" t="inlineStr">
        <is>
          <t>PX_VOLUME</t>
        </is>
      </c>
      <c r="MM3" s="5" t="inlineStr">
        <is>
          <t>OPEN_INT</t>
        </is>
      </c>
      <c r="MN3" s="5" t="inlineStr">
        <is>
          <t>IVOL_MID</t>
        </is>
      </c>
      <c r="MO3" s="5" t="inlineStr">
        <is>
          <t>IVOL_BID</t>
        </is>
      </c>
      <c r="MP3" s="5" t="inlineStr">
        <is>
          <t>IVOL_ASK</t>
        </is>
      </c>
      <c r="MQ3" s="5" t="inlineStr">
        <is>
          <t>DELTA_MID</t>
        </is>
      </c>
      <c r="MR3" s="5" t="inlineStr">
        <is>
          <t>GAMMA_MID</t>
        </is>
      </c>
      <c r="MS3" s="5" t="inlineStr">
        <is>
          <t>VEGA_MID</t>
        </is>
      </c>
      <c r="MT3" s="5" t="inlineStr">
        <is>
          <t>THETA_MID</t>
        </is>
      </c>
      <c r="MU3" s="5" t="inlineStr">
        <is>
          <t>OPT_UNDL_PX</t>
        </is>
      </c>
      <c r="MW3" s="5" t="inlineStr">
        <is>
          <t>Date</t>
        </is>
      </c>
      <c r="MX3" s="5" t="inlineStr">
        <is>
          <t>PX_BID</t>
        </is>
      </c>
      <c r="MY3" s="5" t="inlineStr">
        <is>
          <t>PX_ASK</t>
        </is>
      </c>
      <c r="MZ3" s="5" t="inlineStr">
        <is>
          <t>PX_MID</t>
        </is>
      </c>
      <c r="NA3" s="5" t="inlineStr">
        <is>
          <t>PX_LAST</t>
        </is>
      </c>
      <c r="NB3" s="5" t="inlineStr">
        <is>
          <t>PX_SETTLE</t>
        </is>
      </c>
      <c r="NC3" s="5" t="inlineStr">
        <is>
          <t>PX_VOLUME</t>
        </is>
      </c>
      <c r="ND3" s="5" t="inlineStr">
        <is>
          <t>OPEN_INT</t>
        </is>
      </c>
      <c r="NE3" s="5" t="inlineStr">
        <is>
          <t>IVOL_MID</t>
        </is>
      </c>
      <c r="NF3" s="5" t="inlineStr">
        <is>
          <t>IVOL_BID</t>
        </is>
      </c>
      <c r="NG3" s="5" t="inlineStr">
        <is>
          <t>IVOL_ASK</t>
        </is>
      </c>
      <c r="NH3" s="5" t="inlineStr">
        <is>
          <t>DELTA_MID</t>
        </is>
      </c>
      <c r="NI3" s="5" t="inlineStr">
        <is>
          <t>GAMMA_MID</t>
        </is>
      </c>
      <c r="NJ3" s="5" t="inlineStr">
        <is>
          <t>VEGA_MID</t>
        </is>
      </c>
      <c r="NK3" s="5" t="inlineStr">
        <is>
          <t>THETA_MID</t>
        </is>
      </c>
      <c r="NL3" s="5" t="inlineStr">
        <is>
          <t>OPT_UNDL_PX</t>
        </is>
      </c>
    </row>
    <row r="4">
      <c r="A4" s="2" t="inlineStr">
        <is>
          <t>Strike reference date</t>
        </is>
      </c>
      <c r="B4" s="8">
        <f>B3-45</f>
        <v/>
      </c>
      <c r="D4" s="4">
        <f>BDH(D$1,E$3:S$3,$B$8,$B$9,"Dir=V","Dts=S","Sort=A","Days=T","Fill=B")</f>
        <v/>
      </c>
      <c r="U4" s="4">
        <f>BDH(U$1,V$3:AJ$3,$B$8,$B$9,"Dir=V","Dts=S","Sort=A","Days=T","Fill=B")</f>
        <v/>
      </c>
      <c r="AL4" s="4">
        <f>BDH(AL$1,AM$3:BA$3,$B$8,$B$9,"Dir=V","Dts=S","Sort=A","Days=T","Fill=B")</f>
        <v/>
      </c>
      <c r="BC4" s="4">
        <f>BDH(BC$1,BD$3:BR$3,$B$8,$B$9,"Dir=V","Dts=S","Sort=A","Days=T","Fill=B")</f>
        <v/>
      </c>
      <c r="BT4" s="4">
        <f>BDH(BT$1,BU$3:CI$3,$B$8,$B$9,"Dir=V","Dts=S","Sort=A","Days=T","Fill=B")</f>
        <v/>
      </c>
      <c r="CK4" s="4">
        <f>BDH(CK$1,CL$3:CZ$3,$B$8,$B$9,"Dir=V","Dts=S","Sort=A","Days=T","Fill=B")</f>
        <v/>
      </c>
      <c r="DB4" s="4">
        <f>BDH(DB$1,DC$3:DQ$3,$B$8,$B$9,"Dir=V","Dts=S","Sort=A","Days=T","Fill=B")</f>
        <v/>
      </c>
      <c r="DS4" s="4">
        <f>BDH(DS$1,DT$3:EH$3,$B$8,$B$9,"Dir=V","Dts=S","Sort=A","Days=T","Fill=B")</f>
        <v/>
      </c>
      <c r="EJ4" s="4">
        <f>BDH(EJ$1,EK$3:EY$3,$B$8,$B$9,"Dir=V","Dts=S","Sort=A","Days=T","Fill=B")</f>
        <v/>
      </c>
      <c r="FA4" s="4">
        <f>BDH(FA$1,FB$3:FP$3,$B$8,$B$9,"Dir=V","Dts=S","Sort=A","Days=T","Fill=B")</f>
        <v/>
      </c>
      <c r="FR4" s="4">
        <f>BDH(FR$1,FS$3:GG$3,$B$8,$B$9,"Dir=V","Dts=S","Sort=A","Days=T","Fill=B")</f>
        <v/>
      </c>
      <c r="GI4" s="4">
        <f>BDH(GI$1,GJ$3:GX$3,$B$8,$B$9,"Dir=V","Dts=S","Sort=A","Days=T","Fill=B")</f>
        <v/>
      </c>
      <c r="GZ4" s="4">
        <f>BDH(GZ$1,HA$3:HO$3,$B$8,$B$9,"Dir=V","Dts=S","Sort=A","Days=T","Fill=B")</f>
        <v/>
      </c>
      <c r="HQ4" s="4">
        <f>BDH(HQ$1,HR$3:IF$3,$B$8,$B$9,"Dir=V","Dts=S","Sort=A","Days=T","Fill=B")</f>
        <v/>
      </c>
      <c r="IH4" s="4">
        <f>BDH(IH$1,II$3:IW$3,$B$8,$B$9,"Dir=V","Dts=S","Sort=A","Days=T","Fill=B")</f>
        <v/>
      </c>
      <c r="IY4" s="4">
        <f>BDH(IY$1,IZ$3:JN$3,$B$8,$B$9,"Dir=V","Dts=S","Sort=A","Days=T","Fill=B")</f>
        <v/>
      </c>
      <c r="JP4" s="4">
        <f>BDH(JP$1,JQ$3:KE$3,$B$8,$B$9,"Dir=V","Dts=S","Sort=A","Days=T","Fill=B")</f>
        <v/>
      </c>
      <c r="KG4" s="4">
        <f>BDH(KG$1,KH$3:KV$3,$B$8,$B$9,"Dir=V","Dts=S","Sort=A","Days=T","Fill=B")</f>
        <v/>
      </c>
      <c r="KX4" s="4">
        <f>BDH(KX$1,KY$3:LM$3,$B$8,$B$9,"Dir=V","Dts=S","Sort=A","Days=T","Fill=B")</f>
        <v/>
      </c>
      <c r="LO4" s="4">
        <f>BDH(LO$1,LP$3:MD$3,$B$8,$B$9,"Dir=V","Dts=S","Sort=A","Days=T","Fill=B")</f>
        <v/>
      </c>
      <c r="MF4" s="4">
        <f>BDH(MF$1,MG$3:MU$3,$B$8,$B$9,"Dir=V","Dts=S","Sort=A","Days=T","Fill=B")</f>
        <v/>
      </c>
      <c r="MW4" s="4">
        <f>BDH(MW$1,MX$3:NL$3,$B$8,$B$9,"Dir=V","Dts=S","Sort=A","Days=T","Fill=B")</f>
        <v/>
      </c>
    </row>
    <row r="5">
      <c r="A5" s="2" t="inlineStr">
        <is>
          <t>Unadjusted close then</t>
        </is>
      </c>
      <c r="B5" s="10">
        <f>IF(B2="","",BDH(B2,"PX_LAST",B4,B4,"Days=A","Fill=P","Dts=H","CshAdjNormal=N","CshAdjAbnormal=N","CapChg=N"))</f>
        <v/>
      </c>
    </row>
    <row r="6">
      <c r="A6" s="2" t="inlineStr">
        <is>
          <t>Strike step</t>
        </is>
      </c>
      <c r="B6" s="11">
        <f>IF(ISNUMBER(B5),IF(B5&lt;25,0.5,IF(B5&lt;250,1,5)),"")</f>
        <v/>
      </c>
    </row>
    <row r="7">
      <c r="A7" s="2" t="inlineStr">
        <is>
          <t>ATM strike</t>
        </is>
      </c>
      <c r="B7" s="11">
        <f>IF(ISNUMBER(B5),ROUND(B5/B6,0)*B6,"")</f>
        <v/>
      </c>
    </row>
    <row r="8">
      <c r="A8" s="2" t="inlineStr">
        <is>
          <t>History start</t>
        </is>
      </c>
      <c r="B8" s="8">
        <f>B3-100</f>
        <v/>
      </c>
    </row>
    <row r="9">
      <c r="A9" s="2" t="inlineStr">
        <is>
          <t>History end</t>
        </is>
      </c>
      <c r="B9" s="8">
        <f>B3</f>
        <v/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NL9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2" customWidth="1" min="2" max="2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1" customWidth="1" min="15" max="15"/>
    <col width="11" customWidth="1" min="16" max="16"/>
    <col width="10" customWidth="1" min="17" max="17"/>
    <col width="11" customWidth="1" min="18" max="18"/>
    <col width="13" customWidth="1" min="19" max="19"/>
    <col width="12" customWidth="1" min="21" max="21"/>
    <col width="10" customWidth="1" min="22" max="22"/>
    <col width="10" customWidth="1" min="23" max="23"/>
    <col width="10" customWidth="1" min="24" max="24"/>
    <col width="10" customWidth="1" min="25" max="25"/>
    <col width="11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1" customWidth="1" min="32" max="32"/>
    <col width="11" customWidth="1" min="33" max="33"/>
    <col width="10" customWidth="1" min="34" max="34"/>
    <col width="11" customWidth="1" min="35" max="35"/>
    <col width="13" customWidth="1" min="36" max="36"/>
    <col width="12" customWidth="1" min="38" max="38"/>
    <col width="10" customWidth="1" min="39" max="39"/>
    <col width="10" customWidth="1" min="40" max="40"/>
    <col width="10" customWidth="1" min="41" max="41"/>
    <col width="10" customWidth="1" min="42" max="42"/>
    <col width="11" customWidth="1" min="43" max="43"/>
    <col width="11" customWidth="1" min="44" max="44"/>
    <col width="10" customWidth="1" min="45" max="45"/>
    <col width="10" customWidth="1" min="46" max="46"/>
    <col width="10" customWidth="1" min="47" max="47"/>
    <col width="10" customWidth="1" min="48" max="48"/>
    <col width="11" customWidth="1" min="49" max="49"/>
    <col width="11" customWidth="1" min="50" max="50"/>
    <col width="10" customWidth="1" min="51" max="51"/>
    <col width="11" customWidth="1" min="52" max="52"/>
    <col width="13" customWidth="1" min="53" max="53"/>
    <col width="12" customWidth="1" min="55" max="55"/>
    <col width="10" customWidth="1" min="56" max="56"/>
    <col width="10" customWidth="1" min="57" max="57"/>
    <col width="10" customWidth="1" min="58" max="58"/>
    <col width="10" customWidth="1" min="59" max="59"/>
    <col width="11" customWidth="1" min="60" max="60"/>
    <col width="11" customWidth="1" min="61" max="61"/>
    <col width="10" customWidth="1" min="62" max="62"/>
    <col width="10" customWidth="1" min="63" max="63"/>
    <col width="10" customWidth="1" min="64" max="64"/>
    <col width="10" customWidth="1" min="65" max="65"/>
    <col width="11" customWidth="1" min="66" max="66"/>
    <col width="11" customWidth="1" min="67" max="67"/>
    <col width="10" customWidth="1" min="68" max="68"/>
    <col width="11" customWidth="1" min="69" max="69"/>
    <col width="13" customWidth="1" min="70" max="70"/>
    <col width="12" customWidth="1" min="72" max="72"/>
    <col width="10" customWidth="1" min="73" max="73"/>
    <col width="10" customWidth="1" min="74" max="74"/>
    <col width="10" customWidth="1" min="75" max="75"/>
    <col width="10" customWidth="1" min="76" max="76"/>
    <col width="11" customWidth="1" min="77" max="77"/>
    <col width="11" customWidth="1" min="78" max="78"/>
    <col width="10" customWidth="1" min="79" max="79"/>
    <col width="10" customWidth="1" min="80" max="80"/>
    <col width="10" customWidth="1" min="81" max="81"/>
    <col width="10" customWidth="1" min="82" max="82"/>
    <col width="11" customWidth="1" min="83" max="83"/>
    <col width="11" customWidth="1" min="84" max="84"/>
    <col width="10" customWidth="1" min="85" max="85"/>
    <col width="11" customWidth="1" min="86" max="86"/>
    <col width="13" customWidth="1" min="87" max="87"/>
    <col width="12" customWidth="1" min="89" max="89"/>
    <col width="10" customWidth="1" min="90" max="90"/>
    <col width="10" customWidth="1" min="91" max="91"/>
    <col width="10" customWidth="1" min="92" max="92"/>
    <col width="10" customWidth="1" min="93" max="93"/>
    <col width="11" customWidth="1" min="94" max="94"/>
    <col width="11" customWidth="1" min="95" max="95"/>
    <col width="10" customWidth="1" min="96" max="96"/>
    <col width="10" customWidth="1" min="97" max="97"/>
    <col width="10" customWidth="1" min="98" max="98"/>
    <col width="10" customWidth="1" min="99" max="99"/>
    <col width="11" customWidth="1" min="100" max="100"/>
    <col width="11" customWidth="1" min="101" max="101"/>
    <col width="10" customWidth="1" min="102" max="102"/>
    <col width="11" customWidth="1" min="103" max="103"/>
    <col width="13" customWidth="1" min="104" max="104"/>
    <col width="12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1" customWidth="1" min="111" max="111"/>
    <col width="11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1" customWidth="1" min="117" max="117"/>
    <col width="11" customWidth="1" min="118" max="118"/>
    <col width="10" customWidth="1" min="119" max="119"/>
    <col width="11" customWidth="1" min="120" max="120"/>
    <col width="13" customWidth="1" min="121" max="121"/>
    <col width="12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1" customWidth="1" min="128" max="128"/>
    <col width="11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1" customWidth="1" min="134" max="134"/>
    <col width="11" customWidth="1" min="135" max="135"/>
    <col width="10" customWidth="1" min="136" max="136"/>
    <col width="11" customWidth="1" min="137" max="137"/>
    <col width="13" customWidth="1" min="138" max="138"/>
    <col width="12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1" customWidth="1" min="145" max="145"/>
    <col width="11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1" customWidth="1" min="151" max="151"/>
    <col width="11" customWidth="1" min="152" max="152"/>
    <col width="10" customWidth="1" min="153" max="153"/>
    <col width="11" customWidth="1" min="154" max="154"/>
    <col width="13" customWidth="1" min="155" max="155"/>
    <col width="12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1" customWidth="1" min="162" max="162"/>
    <col width="11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1" customWidth="1" min="168" max="168"/>
    <col width="11" customWidth="1" min="169" max="169"/>
    <col width="10" customWidth="1" min="170" max="170"/>
    <col width="11" customWidth="1" min="171" max="171"/>
    <col width="13" customWidth="1" min="172" max="172"/>
    <col width="12" customWidth="1" min="174" max="174"/>
    <col width="10" customWidth="1" min="175" max="175"/>
    <col width="10" customWidth="1" min="176" max="176"/>
    <col width="10" customWidth="1" min="177" max="177"/>
    <col width="10" customWidth="1" min="178" max="178"/>
    <col width="11" customWidth="1" min="179" max="179"/>
    <col width="11" customWidth="1" min="180" max="180"/>
    <col width="10" customWidth="1" min="181" max="181"/>
    <col width="10" customWidth="1" min="182" max="182"/>
    <col width="10" customWidth="1" min="183" max="183"/>
    <col width="10" customWidth="1" min="184" max="184"/>
    <col width="11" customWidth="1" min="185" max="185"/>
    <col width="11" customWidth="1" min="186" max="186"/>
    <col width="10" customWidth="1" min="187" max="187"/>
    <col width="11" customWidth="1" min="188" max="188"/>
    <col width="13" customWidth="1" min="189" max="189"/>
    <col width="12" customWidth="1" min="191" max="191"/>
    <col width="10" customWidth="1" min="192" max="192"/>
    <col width="10" customWidth="1" min="193" max="193"/>
    <col width="10" customWidth="1" min="194" max="194"/>
    <col width="10" customWidth="1" min="195" max="195"/>
    <col width="11" customWidth="1" min="196" max="196"/>
    <col width="11" customWidth="1" min="197" max="197"/>
    <col width="10" customWidth="1" min="198" max="198"/>
    <col width="10" customWidth="1" min="199" max="199"/>
    <col width="10" customWidth="1" min="200" max="200"/>
    <col width="10" customWidth="1" min="201" max="201"/>
    <col width="11" customWidth="1" min="202" max="202"/>
    <col width="11" customWidth="1" min="203" max="203"/>
    <col width="10" customWidth="1" min="204" max="204"/>
    <col width="11" customWidth="1" min="205" max="205"/>
    <col width="13" customWidth="1" min="206" max="206"/>
    <col width="12" customWidth="1" min="208" max="208"/>
    <col width="10" customWidth="1" min="209" max="209"/>
    <col width="10" customWidth="1" min="210" max="210"/>
    <col width="10" customWidth="1" min="211" max="211"/>
    <col width="10" customWidth="1" min="212" max="212"/>
    <col width="11" customWidth="1" min="213" max="213"/>
    <col width="11" customWidth="1" min="214" max="214"/>
    <col width="10" customWidth="1" min="215" max="215"/>
    <col width="10" customWidth="1" min="216" max="216"/>
    <col width="10" customWidth="1" min="217" max="217"/>
    <col width="10" customWidth="1" min="218" max="218"/>
    <col width="11" customWidth="1" min="219" max="219"/>
    <col width="11" customWidth="1" min="220" max="220"/>
    <col width="10" customWidth="1" min="221" max="221"/>
    <col width="11" customWidth="1" min="222" max="222"/>
    <col width="13" customWidth="1" min="223" max="223"/>
    <col width="12" customWidth="1" min="225" max="225"/>
    <col width="10" customWidth="1" min="226" max="226"/>
    <col width="10" customWidth="1" min="227" max="227"/>
    <col width="10" customWidth="1" min="228" max="228"/>
    <col width="10" customWidth="1" min="229" max="229"/>
    <col width="11" customWidth="1" min="230" max="230"/>
    <col width="11" customWidth="1" min="231" max="231"/>
    <col width="10" customWidth="1" min="232" max="232"/>
    <col width="10" customWidth="1" min="233" max="233"/>
    <col width="10" customWidth="1" min="234" max="234"/>
    <col width="10" customWidth="1" min="235" max="235"/>
    <col width="11" customWidth="1" min="236" max="236"/>
    <col width="11" customWidth="1" min="237" max="237"/>
    <col width="10" customWidth="1" min="238" max="238"/>
    <col width="11" customWidth="1" min="239" max="239"/>
    <col width="13" customWidth="1" min="240" max="240"/>
    <col width="12" customWidth="1" min="242" max="242"/>
    <col width="10" customWidth="1" min="243" max="243"/>
    <col width="10" customWidth="1" min="244" max="244"/>
    <col width="10" customWidth="1" min="245" max="245"/>
    <col width="10" customWidth="1" min="246" max="246"/>
    <col width="11" customWidth="1" min="247" max="247"/>
    <col width="11" customWidth="1" min="248" max="248"/>
    <col width="10" customWidth="1" min="249" max="249"/>
    <col width="10" customWidth="1" min="250" max="250"/>
    <col width="10" customWidth="1" min="251" max="251"/>
    <col width="10" customWidth="1" min="252" max="252"/>
    <col width="11" customWidth="1" min="253" max="253"/>
    <col width="11" customWidth="1" min="254" max="254"/>
    <col width="10" customWidth="1" min="255" max="255"/>
    <col width="11" customWidth="1" min="256" max="256"/>
    <col width="13" customWidth="1" min="257" max="257"/>
    <col width="12" customWidth="1" min="259" max="259"/>
    <col width="10" customWidth="1" min="260" max="260"/>
    <col width="10" customWidth="1" min="261" max="261"/>
    <col width="10" customWidth="1" min="262" max="262"/>
    <col width="10" customWidth="1" min="263" max="263"/>
    <col width="11" customWidth="1" min="264" max="264"/>
    <col width="11" customWidth="1" min="265" max="265"/>
    <col width="10" customWidth="1" min="266" max="266"/>
    <col width="10" customWidth="1" min="267" max="267"/>
    <col width="10" customWidth="1" min="268" max="268"/>
    <col width="10" customWidth="1" min="269" max="269"/>
    <col width="11" customWidth="1" min="270" max="270"/>
    <col width="11" customWidth="1" min="271" max="271"/>
    <col width="10" customWidth="1" min="272" max="272"/>
    <col width="11" customWidth="1" min="273" max="273"/>
    <col width="13" customWidth="1" min="274" max="274"/>
    <col width="12" customWidth="1" min="276" max="276"/>
    <col width="10" customWidth="1" min="277" max="277"/>
    <col width="10" customWidth="1" min="278" max="278"/>
    <col width="10" customWidth="1" min="279" max="279"/>
    <col width="10" customWidth="1" min="280" max="280"/>
    <col width="11" customWidth="1" min="281" max="281"/>
    <col width="11" customWidth="1" min="282" max="282"/>
    <col width="10" customWidth="1" min="283" max="283"/>
    <col width="10" customWidth="1" min="284" max="284"/>
    <col width="10" customWidth="1" min="285" max="285"/>
    <col width="10" customWidth="1" min="286" max="286"/>
    <col width="11" customWidth="1" min="287" max="287"/>
    <col width="11" customWidth="1" min="288" max="288"/>
    <col width="10" customWidth="1" min="289" max="289"/>
    <col width="11" customWidth="1" min="290" max="290"/>
    <col width="13" customWidth="1" min="291" max="291"/>
    <col width="12" customWidth="1" min="293" max="293"/>
    <col width="10" customWidth="1" min="294" max="294"/>
    <col width="10" customWidth="1" min="295" max="295"/>
    <col width="10" customWidth="1" min="296" max="296"/>
    <col width="10" customWidth="1" min="297" max="297"/>
    <col width="11" customWidth="1" min="298" max="298"/>
    <col width="11" customWidth="1" min="299" max="299"/>
    <col width="10" customWidth="1" min="300" max="300"/>
    <col width="10" customWidth="1" min="301" max="301"/>
    <col width="10" customWidth="1" min="302" max="302"/>
    <col width="10" customWidth="1" min="303" max="303"/>
    <col width="11" customWidth="1" min="304" max="304"/>
    <col width="11" customWidth="1" min="305" max="305"/>
    <col width="10" customWidth="1" min="306" max="306"/>
    <col width="11" customWidth="1" min="307" max="307"/>
    <col width="13" customWidth="1" min="308" max="308"/>
    <col width="12" customWidth="1" min="310" max="310"/>
    <col width="10" customWidth="1" min="311" max="311"/>
    <col width="10" customWidth="1" min="312" max="312"/>
    <col width="10" customWidth="1" min="313" max="313"/>
    <col width="10" customWidth="1" min="314" max="314"/>
    <col width="11" customWidth="1" min="315" max="315"/>
    <col width="11" customWidth="1" min="316" max="316"/>
    <col width="10" customWidth="1" min="317" max="317"/>
    <col width="10" customWidth="1" min="318" max="318"/>
    <col width="10" customWidth="1" min="319" max="319"/>
    <col width="10" customWidth="1" min="320" max="320"/>
    <col width="11" customWidth="1" min="321" max="321"/>
    <col width="11" customWidth="1" min="322" max="322"/>
    <col width="10" customWidth="1" min="323" max="323"/>
    <col width="11" customWidth="1" min="324" max="324"/>
    <col width="13" customWidth="1" min="325" max="325"/>
    <col width="12" customWidth="1" min="327" max="327"/>
    <col width="10" customWidth="1" min="328" max="328"/>
    <col width="10" customWidth="1" min="329" max="329"/>
    <col width="10" customWidth="1" min="330" max="330"/>
    <col width="10" customWidth="1" min="331" max="331"/>
    <col width="11" customWidth="1" min="332" max="332"/>
    <col width="11" customWidth="1" min="333" max="333"/>
    <col width="10" customWidth="1" min="334" max="334"/>
    <col width="10" customWidth="1" min="335" max="335"/>
    <col width="10" customWidth="1" min="336" max="336"/>
    <col width="10" customWidth="1" min="337" max="337"/>
    <col width="11" customWidth="1" min="338" max="338"/>
    <col width="11" customWidth="1" min="339" max="339"/>
    <col width="10" customWidth="1" min="340" max="340"/>
    <col width="11" customWidth="1" min="341" max="341"/>
    <col width="13" customWidth="1" min="342" max="342"/>
    <col width="12" customWidth="1" min="344" max="344"/>
    <col width="10" customWidth="1" min="345" max="345"/>
    <col width="10" customWidth="1" min="346" max="346"/>
    <col width="10" customWidth="1" min="347" max="347"/>
    <col width="10" customWidth="1" min="348" max="348"/>
    <col width="11" customWidth="1" min="349" max="349"/>
    <col width="11" customWidth="1" min="350" max="350"/>
    <col width="10" customWidth="1" min="351" max="351"/>
    <col width="10" customWidth="1" min="352" max="352"/>
    <col width="10" customWidth="1" min="353" max="353"/>
    <col width="10" customWidth="1" min="354" max="354"/>
    <col width="11" customWidth="1" min="355" max="355"/>
    <col width="11" customWidth="1" min="356" max="356"/>
    <col width="10" customWidth="1" min="357" max="357"/>
    <col width="11" customWidth="1" min="358" max="358"/>
    <col width="13" customWidth="1" min="359" max="359"/>
    <col width="12" customWidth="1" min="361" max="361"/>
    <col width="10" customWidth="1" min="362" max="362"/>
    <col width="10" customWidth="1" min="363" max="363"/>
    <col width="10" customWidth="1" min="364" max="364"/>
    <col width="10" customWidth="1" min="365" max="365"/>
    <col width="11" customWidth="1" min="366" max="366"/>
    <col width="11" customWidth="1" min="367" max="367"/>
    <col width="10" customWidth="1" min="368" max="368"/>
    <col width="10" customWidth="1" min="369" max="369"/>
    <col width="10" customWidth="1" min="370" max="370"/>
    <col width="10" customWidth="1" min="371" max="371"/>
    <col width="11" customWidth="1" min="372" max="372"/>
    <col width="11" customWidth="1" min="373" max="373"/>
    <col width="10" customWidth="1" min="374" max="374"/>
    <col width="11" customWidth="1" min="375" max="375"/>
    <col width="13" customWidth="1" min="376" max="376"/>
  </cols>
  <sheetData>
    <row r="1">
      <c r="A1" s="2" t="inlineStr">
        <is>
          <t>Month</t>
        </is>
      </c>
      <c r="B1" s="9" t="n">
        <v>11</v>
      </c>
      <c r="D1" s="2">
        <f>IF(ISNUMBER(B$7),"OXY US "&amp;TEXT(B$3,"mm/dd/yy")&amp;" C"&amp;(B$7-5*B$6)&amp;" Equity","")</f>
        <v/>
      </c>
      <c r="U1" s="2">
        <f>IF(ISNUMBER(B$7),"OXY US "&amp;TEXT(B$3,"mm/dd/yy")&amp;" P"&amp;(B$7-5*B$6)&amp;" Equity","")</f>
        <v/>
      </c>
      <c r="AL1" s="2">
        <f>IF(ISNUMBER(B$7),"OXY US "&amp;TEXT(B$3,"mm/dd/yy")&amp;" C"&amp;(B$7-4*B$6)&amp;" Equity","")</f>
        <v/>
      </c>
      <c r="BC1" s="2">
        <f>IF(ISNUMBER(B$7),"OXY US "&amp;TEXT(B$3,"mm/dd/yy")&amp;" P"&amp;(B$7-4*B$6)&amp;" Equity","")</f>
        <v/>
      </c>
      <c r="BT1" s="2">
        <f>IF(ISNUMBER(B$7),"OXY US "&amp;TEXT(B$3,"mm/dd/yy")&amp;" C"&amp;(B$7-3*B$6)&amp;" Equity","")</f>
        <v/>
      </c>
      <c r="CK1" s="2">
        <f>IF(ISNUMBER(B$7),"OXY US "&amp;TEXT(B$3,"mm/dd/yy")&amp;" P"&amp;(B$7-3*B$6)&amp;" Equity","")</f>
        <v/>
      </c>
      <c r="DB1" s="2">
        <f>IF(ISNUMBER(B$7),"OXY US "&amp;TEXT(B$3,"mm/dd/yy")&amp;" C"&amp;(B$7-2*B$6)&amp;" Equity","")</f>
        <v/>
      </c>
      <c r="DS1" s="2">
        <f>IF(ISNUMBER(B$7),"OXY US "&amp;TEXT(B$3,"mm/dd/yy")&amp;" P"&amp;(B$7-2*B$6)&amp;" Equity","")</f>
        <v/>
      </c>
      <c r="EJ1" s="2">
        <f>IF(ISNUMBER(B$7),"OXY US "&amp;TEXT(B$3,"mm/dd/yy")&amp;" C"&amp;(B$7-1*B$6)&amp;" Equity","")</f>
        <v/>
      </c>
      <c r="FA1" s="2">
        <f>IF(ISNUMBER(B$7),"OXY US "&amp;TEXT(B$3,"mm/dd/yy")&amp;" P"&amp;(B$7-1*B$6)&amp;" Equity","")</f>
        <v/>
      </c>
      <c r="FR1" s="2">
        <f>IF(ISNUMBER(B$7),"OXY US "&amp;TEXT(B$3,"mm/dd/yy")&amp;" C"&amp;B$7&amp;" Equity","")</f>
        <v/>
      </c>
      <c r="GI1" s="2">
        <f>IF(ISNUMBER(B$7),"OXY US "&amp;TEXT(B$3,"mm/dd/yy")&amp;" P"&amp;B$7&amp;" Equity","")</f>
        <v/>
      </c>
      <c r="GZ1" s="2">
        <f>IF(ISNUMBER(B$7),"OXY US "&amp;TEXT(B$3,"mm/dd/yy")&amp;" C"&amp;(B$7+1*B$6)&amp;" Equity","")</f>
        <v/>
      </c>
      <c r="HQ1" s="2">
        <f>IF(ISNUMBER(B$7),"OXY US "&amp;TEXT(B$3,"mm/dd/yy")&amp;" P"&amp;(B$7+1*B$6)&amp;" Equity","")</f>
        <v/>
      </c>
      <c r="IH1" s="2">
        <f>IF(ISNUMBER(B$7),"OXY US "&amp;TEXT(B$3,"mm/dd/yy")&amp;" C"&amp;(B$7+2*B$6)&amp;" Equity","")</f>
        <v/>
      </c>
      <c r="IY1" s="2">
        <f>IF(ISNUMBER(B$7),"OXY US "&amp;TEXT(B$3,"mm/dd/yy")&amp;" P"&amp;(B$7+2*B$6)&amp;" Equity","")</f>
        <v/>
      </c>
      <c r="JP1" s="2">
        <f>IF(ISNUMBER(B$7),"OXY US "&amp;TEXT(B$3,"mm/dd/yy")&amp;" C"&amp;(B$7+3*B$6)&amp;" Equity","")</f>
        <v/>
      </c>
      <c r="KG1" s="2">
        <f>IF(ISNUMBER(B$7),"OXY US "&amp;TEXT(B$3,"mm/dd/yy")&amp;" P"&amp;(B$7+3*B$6)&amp;" Equity","")</f>
        <v/>
      </c>
      <c r="KX1" s="2">
        <f>IF(ISNUMBER(B$7),"OXY US "&amp;TEXT(B$3,"mm/dd/yy")&amp;" C"&amp;(B$7+4*B$6)&amp;" Equity","")</f>
        <v/>
      </c>
      <c r="LO1" s="2">
        <f>IF(ISNUMBER(B$7),"OXY US "&amp;TEXT(B$3,"mm/dd/yy")&amp;" P"&amp;(B$7+4*B$6)&amp;" Equity","")</f>
        <v/>
      </c>
      <c r="MF1" s="2">
        <f>IF(ISNUMBER(B$7),"OXY US "&amp;TEXT(B$3,"mm/dd/yy")&amp;" C"&amp;(B$7+5*B$6)&amp;" Equity","")</f>
        <v/>
      </c>
      <c r="MW1" s="2">
        <f>IF(ISNUMBER(B$7),"OXY US "&amp;TEXT(B$3,"mm/dd/yy")&amp;" P"&amp;(B$7+5*B$6)&amp;" Equity","")</f>
        <v/>
      </c>
    </row>
    <row r="2">
      <c r="A2" s="2" t="inlineStr">
        <is>
          <t>Underlying</t>
        </is>
      </c>
      <c r="B2" s="4">
        <f>IF(Settings!$B$18="Y","OXY US Equity","")</f>
        <v/>
      </c>
      <c r="D2" s="4" t="inlineStr">
        <is>
          <t>call -5 from ATM</t>
        </is>
      </c>
      <c r="U2" s="4" t="inlineStr">
        <is>
          <t>put -5 from ATM</t>
        </is>
      </c>
      <c r="AL2" s="4" t="inlineStr">
        <is>
          <t>call -4 from ATM</t>
        </is>
      </c>
      <c r="BC2" s="4" t="inlineStr">
        <is>
          <t>put -4 from ATM</t>
        </is>
      </c>
      <c r="BT2" s="4" t="inlineStr">
        <is>
          <t>call -3 from ATM</t>
        </is>
      </c>
      <c r="CK2" s="4" t="inlineStr">
        <is>
          <t>put -3 from ATM</t>
        </is>
      </c>
      <c r="DB2" s="4" t="inlineStr">
        <is>
          <t>call -2 from ATM</t>
        </is>
      </c>
      <c r="DS2" s="4" t="inlineStr">
        <is>
          <t>put -2 from ATM</t>
        </is>
      </c>
      <c r="EJ2" s="4" t="inlineStr">
        <is>
          <t>call -1 from ATM</t>
        </is>
      </c>
      <c r="FA2" s="4" t="inlineStr">
        <is>
          <t>put -1 from ATM</t>
        </is>
      </c>
      <c r="FR2" s="4" t="inlineStr">
        <is>
          <t>call +0 from ATM</t>
        </is>
      </c>
      <c r="GI2" s="4" t="inlineStr">
        <is>
          <t>put +0 from ATM</t>
        </is>
      </c>
      <c r="GZ2" s="4" t="inlineStr">
        <is>
          <t>call +1 from ATM</t>
        </is>
      </c>
      <c r="HQ2" s="4" t="inlineStr">
        <is>
          <t>put +1 from ATM</t>
        </is>
      </c>
      <c r="IH2" s="4" t="inlineStr">
        <is>
          <t>call +2 from ATM</t>
        </is>
      </c>
      <c r="IY2" s="4" t="inlineStr">
        <is>
          <t>put +2 from ATM</t>
        </is>
      </c>
      <c r="JP2" s="4" t="inlineStr">
        <is>
          <t>call +3 from ATM</t>
        </is>
      </c>
      <c r="KG2" s="4" t="inlineStr">
        <is>
          <t>put +3 from ATM</t>
        </is>
      </c>
      <c r="KX2" s="4" t="inlineStr">
        <is>
          <t>call +4 from ATM</t>
        </is>
      </c>
      <c r="LO2" s="4" t="inlineStr">
        <is>
          <t>put +4 from ATM</t>
        </is>
      </c>
      <c r="MF2" s="4" t="inlineStr">
        <is>
          <t>call +5 from ATM</t>
        </is>
      </c>
      <c r="MW2" s="4" t="inlineStr">
        <is>
          <t>put +5 from ATM</t>
        </is>
      </c>
    </row>
    <row r="3">
      <c r="A3" s="2" t="inlineStr">
        <is>
          <t>Expiry (3rd Friday)</t>
        </is>
      </c>
      <c r="B3" s="3">
        <f>DATE(Settings!$E$18,B1,15)+MOD(6-WEEKDAY(DATE(Settings!$E$18,B1,15)),7)</f>
        <v/>
      </c>
      <c r="D3" s="5" t="inlineStr">
        <is>
          <t>Date</t>
        </is>
      </c>
      <c r="E3" s="5" t="inlineStr">
        <is>
          <t>PX_BID</t>
        </is>
      </c>
      <c r="F3" s="5" t="inlineStr">
        <is>
          <t>PX_ASK</t>
        </is>
      </c>
      <c r="G3" s="5" t="inlineStr">
        <is>
          <t>PX_MID</t>
        </is>
      </c>
      <c r="H3" s="5" t="inlineStr">
        <is>
          <t>PX_LAST</t>
        </is>
      </c>
      <c r="I3" s="5" t="inlineStr">
        <is>
          <t>PX_SETTLE</t>
        </is>
      </c>
      <c r="J3" s="5" t="inlineStr">
        <is>
          <t>PX_VOLUME</t>
        </is>
      </c>
      <c r="K3" s="5" t="inlineStr">
        <is>
          <t>OPEN_INT</t>
        </is>
      </c>
      <c r="L3" s="5" t="inlineStr">
        <is>
          <t>IVOL_MID</t>
        </is>
      </c>
      <c r="M3" s="5" t="inlineStr">
        <is>
          <t>IVOL_BID</t>
        </is>
      </c>
      <c r="N3" s="5" t="inlineStr">
        <is>
          <t>IVOL_ASK</t>
        </is>
      </c>
      <c r="O3" s="5" t="inlineStr">
        <is>
          <t>DELTA_MID</t>
        </is>
      </c>
      <c r="P3" s="5" t="inlineStr">
        <is>
          <t>GAMMA_MID</t>
        </is>
      </c>
      <c r="Q3" s="5" t="inlineStr">
        <is>
          <t>VEGA_MID</t>
        </is>
      </c>
      <c r="R3" s="5" t="inlineStr">
        <is>
          <t>THETA_MID</t>
        </is>
      </c>
      <c r="S3" s="5" t="inlineStr">
        <is>
          <t>OPT_UNDL_PX</t>
        </is>
      </c>
      <c r="U3" s="5" t="inlineStr">
        <is>
          <t>Date</t>
        </is>
      </c>
      <c r="V3" s="5" t="inlineStr">
        <is>
          <t>PX_BID</t>
        </is>
      </c>
      <c r="W3" s="5" t="inlineStr">
        <is>
          <t>PX_ASK</t>
        </is>
      </c>
      <c r="X3" s="5" t="inlineStr">
        <is>
          <t>PX_MID</t>
        </is>
      </c>
      <c r="Y3" s="5" t="inlineStr">
        <is>
          <t>PX_LAST</t>
        </is>
      </c>
      <c r="Z3" s="5" t="inlineStr">
        <is>
          <t>PX_SETTLE</t>
        </is>
      </c>
      <c r="AA3" s="5" t="inlineStr">
        <is>
          <t>PX_VOLUME</t>
        </is>
      </c>
      <c r="AB3" s="5" t="inlineStr">
        <is>
          <t>OPEN_INT</t>
        </is>
      </c>
      <c r="AC3" s="5" t="inlineStr">
        <is>
          <t>IVOL_MID</t>
        </is>
      </c>
      <c r="AD3" s="5" t="inlineStr">
        <is>
          <t>IVOL_BID</t>
        </is>
      </c>
      <c r="AE3" s="5" t="inlineStr">
        <is>
          <t>IVOL_ASK</t>
        </is>
      </c>
      <c r="AF3" s="5" t="inlineStr">
        <is>
          <t>DELTA_MID</t>
        </is>
      </c>
      <c r="AG3" s="5" t="inlineStr">
        <is>
          <t>GAMMA_MID</t>
        </is>
      </c>
      <c r="AH3" s="5" t="inlineStr">
        <is>
          <t>VEGA_MID</t>
        </is>
      </c>
      <c r="AI3" s="5" t="inlineStr">
        <is>
          <t>THETA_MID</t>
        </is>
      </c>
      <c r="AJ3" s="5" t="inlineStr">
        <is>
          <t>OPT_UNDL_PX</t>
        </is>
      </c>
      <c r="AL3" s="5" t="inlineStr">
        <is>
          <t>Date</t>
        </is>
      </c>
      <c r="AM3" s="5" t="inlineStr">
        <is>
          <t>PX_BID</t>
        </is>
      </c>
      <c r="AN3" s="5" t="inlineStr">
        <is>
          <t>PX_ASK</t>
        </is>
      </c>
      <c r="AO3" s="5" t="inlineStr">
        <is>
          <t>PX_MID</t>
        </is>
      </c>
      <c r="AP3" s="5" t="inlineStr">
        <is>
          <t>PX_LAST</t>
        </is>
      </c>
      <c r="AQ3" s="5" t="inlineStr">
        <is>
          <t>PX_SETTLE</t>
        </is>
      </c>
      <c r="AR3" s="5" t="inlineStr">
        <is>
          <t>PX_VOLUME</t>
        </is>
      </c>
      <c r="AS3" s="5" t="inlineStr">
        <is>
          <t>OPEN_INT</t>
        </is>
      </c>
      <c r="AT3" s="5" t="inlineStr">
        <is>
          <t>IVOL_MID</t>
        </is>
      </c>
      <c r="AU3" s="5" t="inlineStr">
        <is>
          <t>IVOL_BID</t>
        </is>
      </c>
      <c r="AV3" s="5" t="inlineStr">
        <is>
          <t>IVOL_ASK</t>
        </is>
      </c>
      <c r="AW3" s="5" t="inlineStr">
        <is>
          <t>DELTA_MID</t>
        </is>
      </c>
      <c r="AX3" s="5" t="inlineStr">
        <is>
          <t>GAMMA_MID</t>
        </is>
      </c>
      <c r="AY3" s="5" t="inlineStr">
        <is>
          <t>VEGA_MID</t>
        </is>
      </c>
      <c r="AZ3" s="5" t="inlineStr">
        <is>
          <t>THETA_MID</t>
        </is>
      </c>
      <c r="BA3" s="5" t="inlineStr">
        <is>
          <t>OPT_UNDL_PX</t>
        </is>
      </c>
      <c r="BC3" s="5" t="inlineStr">
        <is>
          <t>Date</t>
        </is>
      </c>
      <c r="BD3" s="5" t="inlineStr">
        <is>
          <t>PX_BID</t>
        </is>
      </c>
      <c r="BE3" s="5" t="inlineStr">
        <is>
          <t>PX_ASK</t>
        </is>
      </c>
      <c r="BF3" s="5" t="inlineStr">
        <is>
          <t>PX_MID</t>
        </is>
      </c>
      <c r="BG3" s="5" t="inlineStr">
        <is>
          <t>PX_LAST</t>
        </is>
      </c>
      <c r="BH3" s="5" t="inlineStr">
        <is>
          <t>PX_SETTLE</t>
        </is>
      </c>
      <c r="BI3" s="5" t="inlineStr">
        <is>
          <t>PX_VOLUME</t>
        </is>
      </c>
      <c r="BJ3" s="5" t="inlineStr">
        <is>
          <t>OPEN_INT</t>
        </is>
      </c>
      <c r="BK3" s="5" t="inlineStr">
        <is>
          <t>IVOL_MID</t>
        </is>
      </c>
      <c r="BL3" s="5" t="inlineStr">
        <is>
          <t>IVOL_BID</t>
        </is>
      </c>
      <c r="BM3" s="5" t="inlineStr">
        <is>
          <t>IVOL_ASK</t>
        </is>
      </c>
      <c r="BN3" s="5" t="inlineStr">
        <is>
          <t>DELTA_MID</t>
        </is>
      </c>
      <c r="BO3" s="5" t="inlineStr">
        <is>
          <t>GAMMA_MID</t>
        </is>
      </c>
      <c r="BP3" s="5" t="inlineStr">
        <is>
          <t>VEGA_MID</t>
        </is>
      </c>
      <c r="BQ3" s="5" t="inlineStr">
        <is>
          <t>THETA_MID</t>
        </is>
      </c>
      <c r="BR3" s="5" t="inlineStr">
        <is>
          <t>OPT_UNDL_PX</t>
        </is>
      </c>
      <c r="BT3" s="5" t="inlineStr">
        <is>
          <t>Date</t>
        </is>
      </c>
      <c r="BU3" s="5" t="inlineStr">
        <is>
          <t>PX_BID</t>
        </is>
      </c>
      <c r="BV3" s="5" t="inlineStr">
        <is>
          <t>PX_ASK</t>
        </is>
      </c>
      <c r="BW3" s="5" t="inlineStr">
        <is>
          <t>PX_MID</t>
        </is>
      </c>
      <c r="BX3" s="5" t="inlineStr">
        <is>
          <t>PX_LAST</t>
        </is>
      </c>
      <c r="BY3" s="5" t="inlineStr">
        <is>
          <t>PX_SETTLE</t>
        </is>
      </c>
      <c r="BZ3" s="5" t="inlineStr">
        <is>
          <t>PX_VOLUME</t>
        </is>
      </c>
      <c r="CA3" s="5" t="inlineStr">
        <is>
          <t>OPEN_INT</t>
        </is>
      </c>
      <c r="CB3" s="5" t="inlineStr">
        <is>
          <t>IVOL_MID</t>
        </is>
      </c>
      <c r="CC3" s="5" t="inlineStr">
        <is>
          <t>IVOL_BID</t>
        </is>
      </c>
      <c r="CD3" s="5" t="inlineStr">
        <is>
          <t>IVOL_ASK</t>
        </is>
      </c>
      <c r="CE3" s="5" t="inlineStr">
        <is>
          <t>DELTA_MID</t>
        </is>
      </c>
      <c r="CF3" s="5" t="inlineStr">
        <is>
          <t>GAMMA_MID</t>
        </is>
      </c>
      <c r="CG3" s="5" t="inlineStr">
        <is>
          <t>VEGA_MID</t>
        </is>
      </c>
      <c r="CH3" s="5" t="inlineStr">
        <is>
          <t>THETA_MID</t>
        </is>
      </c>
      <c r="CI3" s="5" t="inlineStr">
        <is>
          <t>OPT_UNDL_PX</t>
        </is>
      </c>
      <c r="CK3" s="5" t="inlineStr">
        <is>
          <t>Date</t>
        </is>
      </c>
      <c r="CL3" s="5" t="inlineStr">
        <is>
          <t>PX_BID</t>
        </is>
      </c>
      <c r="CM3" s="5" t="inlineStr">
        <is>
          <t>PX_ASK</t>
        </is>
      </c>
      <c r="CN3" s="5" t="inlineStr">
        <is>
          <t>PX_MID</t>
        </is>
      </c>
      <c r="CO3" s="5" t="inlineStr">
        <is>
          <t>PX_LAST</t>
        </is>
      </c>
      <c r="CP3" s="5" t="inlineStr">
        <is>
          <t>PX_SETTLE</t>
        </is>
      </c>
      <c r="CQ3" s="5" t="inlineStr">
        <is>
          <t>PX_VOLUME</t>
        </is>
      </c>
      <c r="CR3" s="5" t="inlineStr">
        <is>
          <t>OPEN_INT</t>
        </is>
      </c>
      <c r="CS3" s="5" t="inlineStr">
        <is>
          <t>IVOL_MID</t>
        </is>
      </c>
      <c r="CT3" s="5" t="inlineStr">
        <is>
          <t>IVOL_BID</t>
        </is>
      </c>
      <c r="CU3" s="5" t="inlineStr">
        <is>
          <t>IVOL_ASK</t>
        </is>
      </c>
      <c r="CV3" s="5" t="inlineStr">
        <is>
          <t>DELTA_MID</t>
        </is>
      </c>
      <c r="CW3" s="5" t="inlineStr">
        <is>
          <t>GAMMA_MID</t>
        </is>
      </c>
      <c r="CX3" s="5" t="inlineStr">
        <is>
          <t>VEGA_MID</t>
        </is>
      </c>
      <c r="CY3" s="5" t="inlineStr">
        <is>
          <t>THETA_MID</t>
        </is>
      </c>
      <c r="CZ3" s="5" t="inlineStr">
        <is>
          <t>OPT_UNDL_PX</t>
        </is>
      </c>
      <c r="DB3" s="5" t="inlineStr">
        <is>
          <t>Date</t>
        </is>
      </c>
      <c r="DC3" s="5" t="inlineStr">
        <is>
          <t>PX_BID</t>
        </is>
      </c>
      <c r="DD3" s="5" t="inlineStr">
        <is>
          <t>PX_ASK</t>
        </is>
      </c>
      <c r="DE3" s="5" t="inlineStr">
        <is>
          <t>PX_MID</t>
        </is>
      </c>
      <c r="DF3" s="5" t="inlineStr">
        <is>
          <t>PX_LAST</t>
        </is>
      </c>
      <c r="DG3" s="5" t="inlineStr">
        <is>
          <t>PX_SETTLE</t>
        </is>
      </c>
      <c r="DH3" s="5" t="inlineStr">
        <is>
          <t>PX_VOLUME</t>
        </is>
      </c>
      <c r="DI3" s="5" t="inlineStr">
        <is>
          <t>OPEN_INT</t>
        </is>
      </c>
      <c r="DJ3" s="5" t="inlineStr">
        <is>
          <t>IVOL_MID</t>
        </is>
      </c>
      <c r="DK3" s="5" t="inlineStr">
        <is>
          <t>IVOL_BID</t>
        </is>
      </c>
      <c r="DL3" s="5" t="inlineStr">
        <is>
          <t>IVOL_ASK</t>
        </is>
      </c>
      <c r="DM3" s="5" t="inlineStr">
        <is>
          <t>DELTA_MID</t>
        </is>
      </c>
      <c r="DN3" s="5" t="inlineStr">
        <is>
          <t>GAMMA_MID</t>
        </is>
      </c>
      <c r="DO3" s="5" t="inlineStr">
        <is>
          <t>VEGA_MID</t>
        </is>
      </c>
      <c r="DP3" s="5" t="inlineStr">
        <is>
          <t>THETA_MID</t>
        </is>
      </c>
      <c r="DQ3" s="5" t="inlineStr">
        <is>
          <t>OPT_UNDL_PX</t>
        </is>
      </c>
      <c r="DS3" s="5" t="inlineStr">
        <is>
          <t>Date</t>
        </is>
      </c>
      <c r="DT3" s="5" t="inlineStr">
        <is>
          <t>PX_BID</t>
        </is>
      </c>
      <c r="DU3" s="5" t="inlineStr">
        <is>
          <t>PX_ASK</t>
        </is>
      </c>
      <c r="DV3" s="5" t="inlineStr">
        <is>
          <t>PX_MID</t>
        </is>
      </c>
      <c r="DW3" s="5" t="inlineStr">
        <is>
          <t>PX_LAST</t>
        </is>
      </c>
      <c r="DX3" s="5" t="inlineStr">
        <is>
          <t>PX_SETTLE</t>
        </is>
      </c>
      <c r="DY3" s="5" t="inlineStr">
        <is>
          <t>PX_VOLUME</t>
        </is>
      </c>
      <c r="DZ3" s="5" t="inlineStr">
        <is>
          <t>OPEN_INT</t>
        </is>
      </c>
      <c r="EA3" s="5" t="inlineStr">
        <is>
          <t>IVOL_MID</t>
        </is>
      </c>
      <c r="EB3" s="5" t="inlineStr">
        <is>
          <t>IVOL_BID</t>
        </is>
      </c>
      <c r="EC3" s="5" t="inlineStr">
        <is>
          <t>IVOL_ASK</t>
        </is>
      </c>
      <c r="ED3" s="5" t="inlineStr">
        <is>
          <t>DELTA_MID</t>
        </is>
      </c>
      <c r="EE3" s="5" t="inlineStr">
        <is>
          <t>GAMMA_MID</t>
        </is>
      </c>
      <c r="EF3" s="5" t="inlineStr">
        <is>
          <t>VEGA_MID</t>
        </is>
      </c>
      <c r="EG3" s="5" t="inlineStr">
        <is>
          <t>THETA_MID</t>
        </is>
      </c>
      <c r="EH3" s="5" t="inlineStr">
        <is>
          <t>OPT_UNDL_PX</t>
        </is>
      </c>
      <c r="EJ3" s="5" t="inlineStr">
        <is>
          <t>Date</t>
        </is>
      </c>
      <c r="EK3" s="5" t="inlineStr">
        <is>
          <t>PX_BID</t>
        </is>
      </c>
      <c r="EL3" s="5" t="inlineStr">
        <is>
          <t>PX_ASK</t>
        </is>
      </c>
      <c r="EM3" s="5" t="inlineStr">
        <is>
          <t>PX_MID</t>
        </is>
      </c>
      <c r="EN3" s="5" t="inlineStr">
        <is>
          <t>PX_LAST</t>
        </is>
      </c>
      <c r="EO3" s="5" t="inlineStr">
        <is>
          <t>PX_SETTLE</t>
        </is>
      </c>
      <c r="EP3" s="5" t="inlineStr">
        <is>
          <t>PX_VOLUME</t>
        </is>
      </c>
      <c r="EQ3" s="5" t="inlineStr">
        <is>
          <t>OPEN_INT</t>
        </is>
      </c>
      <c r="ER3" s="5" t="inlineStr">
        <is>
          <t>IVOL_MID</t>
        </is>
      </c>
      <c r="ES3" s="5" t="inlineStr">
        <is>
          <t>IVOL_BID</t>
        </is>
      </c>
      <c r="ET3" s="5" t="inlineStr">
        <is>
          <t>IVOL_ASK</t>
        </is>
      </c>
      <c r="EU3" s="5" t="inlineStr">
        <is>
          <t>DELTA_MID</t>
        </is>
      </c>
      <c r="EV3" s="5" t="inlineStr">
        <is>
          <t>GAMMA_MID</t>
        </is>
      </c>
      <c r="EW3" s="5" t="inlineStr">
        <is>
          <t>VEGA_MID</t>
        </is>
      </c>
      <c r="EX3" s="5" t="inlineStr">
        <is>
          <t>THETA_MID</t>
        </is>
      </c>
      <c r="EY3" s="5" t="inlineStr">
        <is>
          <t>OPT_UNDL_PX</t>
        </is>
      </c>
      <c r="FA3" s="5" t="inlineStr">
        <is>
          <t>Date</t>
        </is>
      </c>
      <c r="FB3" s="5" t="inlineStr">
        <is>
          <t>PX_BID</t>
        </is>
      </c>
      <c r="FC3" s="5" t="inlineStr">
        <is>
          <t>PX_ASK</t>
        </is>
      </c>
      <c r="FD3" s="5" t="inlineStr">
        <is>
          <t>PX_MID</t>
        </is>
      </c>
      <c r="FE3" s="5" t="inlineStr">
        <is>
          <t>PX_LAST</t>
        </is>
      </c>
      <c r="FF3" s="5" t="inlineStr">
        <is>
          <t>PX_SETTLE</t>
        </is>
      </c>
      <c r="FG3" s="5" t="inlineStr">
        <is>
          <t>PX_VOLUME</t>
        </is>
      </c>
      <c r="FH3" s="5" t="inlineStr">
        <is>
          <t>OPEN_INT</t>
        </is>
      </c>
      <c r="FI3" s="5" t="inlineStr">
        <is>
          <t>IVOL_MID</t>
        </is>
      </c>
      <c r="FJ3" s="5" t="inlineStr">
        <is>
          <t>IVOL_BID</t>
        </is>
      </c>
      <c r="FK3" s="5" t="inlineStr">
        <is>
          <t>IVOL_ASK</t>
        </is>
      </c>
      <c r="FL3" s="5" t="inlineStr">
        <is>
          <t>DELTA_MID</t>
        </is>
      </c>
      <c r="FM3" s="5" t="inlineStr">
        <is>
          <t>GAMMA_MID</t>
        </is>
      </c>
      <c r="FN3" s="5" t="inlineStr">
        <is>
          <t>VEGA_MID</t>
        </is>
      </c>
      <c r="FO3" s="5" t="inlineStr">
        <is>
          <t>THETA_MID</t>
        </is>
      </c>
      <c r="FP3" s="5" t="inlineStr">
        <is>
          <t>OPT_UNDL_PX</t>
        </is>
      </c>
      <c r="FR3" s="5" t="inlineStr">
        <is>
          <t>Date</t>
        </is>
      </c>
      <c r="FS3" s="5" t="inlineStr">
        <is>
          <t>PX_BID</t>
        </is>
      </c>
      <c r="FT3" s="5" t="inlineStr">
        <is>
          <t>PX_ASK</t>
        </is>
      </c>
      <c r="FU3" s="5" t="inlineStr">
        <is>
          <t>PX_MID</t>
        </is>
      </c>
      <c r="FV3" s="5" t="inlineStr">
        <is>
          <t>PX_LAST</t>
        </is>
      </c>
      <c r="FW3" s="5" t="inlineStr">
        <is>
          <t>PX_SETTLE</t>
        </is>
      </c>
      <c r="FX3" s="5" t="inlineStr">
        <is>
          <t>PX_VOLUME</t>
        </is>
      </c>
      <c r="FY3" s="5" t="inlineStr">
        <is>
          <t>OPEN_INT</t>
        </is>
      </c>
      <c r="FZ3" s="5" t="inlineStr">
        <is>
          <t>IVOL_MID</t>
        </is>
      </c>
      <c r="GA3" s="5" t="inlineStr">
        <is>
          <t>IVOL_BID</t>
        </is>
      </c>
      <c r="GB3" s="5" t="inlineStr">
        <is>
          <t>IVOL_ASK</t>
        </is>
      </c>
      <c r="GC3" s="5" t="inlineStr">
        <is>
          <t>DELTA_MID</t>
        </is>
      </c>
      <c r="GD3" s="5" t="inlineStr">
        <is>
          <t>GAMMA_MID</t>
        </is>
      </c>
      <c r="GE3" s="5" t="inlineStr">
        <is>
          <t>VEGA_MID</t>
        </is>
      </c>
      <c r="GF3" s="5" t="inlineStr">
        <is>
          <t>THETA_MID</t>
        </is>
      </c>
      <c r="GG3" s="5" t="inlineStr">
        <is>
          <t>OPT_UNDL_PX</t>
        </is>
      </c>
      <c r="GI3" s="5" t="inlineStr">
        <is>
          <t>Date</t>
        </is>
      </c>
      <c r="GJ3" s="5" t="inlineStr">
        <is>
          <t>PX_BID</t>
        </is>
      </c>
      <c r="GK3" s="5" t="inlineStr">
        <is>
          <t>PX_ASK</t>
        </is>
      </c>
      <c r="GL3" s="5" t="inlineStr">
        <is>
          <t>PX_MID</t>
        </is>
      </c>
      <c r="GM3" s="5" t="inlineStr">
        <is>
          <t>PX_LAST</t>
        </is>
      </c>
      <c r="GN3" s="5" t="inlineStr">
        <is>
          <t>PX_SETTLE</t>
        </is>
      </c>
      <c r="GO3" s="5" t="inlineStr">
        <is>
          <t>PX_VOLUME</t>
        </is>
      </c>
      <c r="GP3" s="5" t="inlineStr">
        <is>
          <t>OPEN_INT</t>
        </is>
      </c>
      <c r="GQ3" s="5" t="inlineStr">
        <is>
          <t>IVOL_MID</t>
        </is>
      </c>
      <c r="GR3" s="5" t="inlineStr">
        <is>
          <t>IVOL_BID</t>
        </is>
      </c>
      <c r="GS3" s="5" t="inlineStr">
        <is>
          <t>IVOL_ASK</t>
        </is>
      </c>
      <c r="GT3" s="5" t="inlineStr">
        <is>
          <t>DELTA_MID</t>
        </is>
      </c>
      <c r="GU3" s="5" t="inlineStr">
        <is>
          <t>GAMMA_MID</t>
        </is>
      </c>
      <c r="GV3" s="5" t="inlineStr">
        <is>
          <t>VEGA_MID</t>
        </is>
      </c>
      <c r="GW3" s="5" t="inlineStr">
        <is>
          <t>THETA_MID</t>
        </is>
      </c>
      <c r="GX3" s="5" t="inlineStr">
        <is>
          <t>OPT_UNDL_PX</t>
        </is>
      </c>
      <c r="GZ3" s="5" t="inlineStr">
        <is>
          <t>Date</t>
        </is>
      </c>
      <c r="HA3" s="5" t="inlineStr">
        <is>
          <t>PX_BID</t>
        </is>
      </c>
      <c r="HB3" s="5" t="inlineStr">
        <is>
          <t>PX_ASK</t>
        </is>
      </c>
      <c r="HC3" s="5" t="inlineStr">
        <is>
          <t>PX_MID</t>
        </is>
      </c>
      <c r="HD3" s="5" t="inlineStr">
        <is>
          <t>PX_LAST</t>
        </is>
      </c>
      <c r="HE3" s="5" t="inlineStr">
        <is>
          <t>PX_SETTLE</t>
        </is>
      </c>
      <c r="HF3" s="5" t="inlineStr">
        <is>
          <t>PX_VOLUME</t>
        </is>
      </c>
      <c r="HG3" s="5" t="inlineStr">
        <is>
          <t>OPEN_INT</t>
        </is>
      </c>
      <c r="HH3" s="5" t="inlineStr">
        <is>
          <t>IVOL_MID</t>
        </is>
      </c>
      <c r="HI3" s="5" t="inlineStr">
        <is>
          <t>IVOL_BID</t>
        </is>
      </c>
      <c r="HJ3" s="5" t="inlineStr">
        <is>
          <t>IVOL_ASK</t>
        </is>
      </c>
      <c r="HK3" s="5" t="inlineStr">
        <is>
          <t>DELTA_MID</t>
        </is>
      </c>
      <c r="HL3" s="5" t="inlineStr">
        <is>
          <t>GAMMA_MID</t>
        </is>
      </c>
      <c r="HM3" s="5" t="inlineStr">
        <is>
          <t>VEGA_MID</t>
        </is>
      </c>
      <c r="HN3" s="5" t="inlineStr">
        <is>
          <t>THETA_MID</t>
        </is>
      </c>
      <c r="HO3" s="5" t="inlineStr">
        <is>
          <t>OPT_UNDL_PX</t>
        </is>
      </c>
      <c r="HQ3" s="5" t="inlineStr">
        <is>
          <t>Date</t>
        </is>
      </c>
      <c r="HR3" s="5" t="inlineStr">
        <is>
          <t>PX_BID</t>
        </is>
      </c>
      <c r="HS3" s="5" t="inlineStr">
        <is>
          <t>PX_ASK</t>
        </is>
      </c>
      <c r="HT3" s="5" t="inlineStr">
        <is>
          <t>PX_MID</t>
        </is>
      </c>
      <c r="HU3" s="5" t="inlineStr">
        <is>
          <t>PX_LAST</t>
        </is>
      </c>
      <c r="HV3" s="5" t="inlineStr">
        <is>
          <t>PX_SETTLE</t>
        </is>
      </c>
      <c r="HW3" s="5" t="inlineStr">
        <is>
          <t>PX_VOLUME</t>
        </is>
      </c>
      <c r="HX3" s="5" t="inlineStr">
        <is>
          <t>OPEN_INT</t>
        </is>
      </c>
      <c r="HY3" s="5" t="inlineStr">
        <is>
          <t>IVOL_MID</t>
        </is>
      </c>
      <c r="HZ3" s="5" t="inlineStr">
        <is>
          <t>IVOL_BID</t>
        </is>
      </c>
      <c r="IA3" s="5" t="inlineStr">
        <is>
          <t>IVOL_ASK</t>
        </is>
      </c>
      <c r="IB3" s="5" t="inlineStr">
        <is>
          <t>DELTA_MID</t>
        </is>
      </c>
      <c r="IC3" s="5" t="inlineStr">
        <is>
          <t>GAMMA_MID</t>
        </is>
      </c>
      <c r="ID3" s="5" t="inlineStr">
        <is>
          <t>VEGA_MID</t>
        </is>
      </c>
      <c r="IE3" s="5" t="inlineStr">
        <is>
          <t>THETA_MID</t>
        </is>
      </c>
      <c r="IF3" s="5" t="inlineStr">
        <is>
          <t>OPT_UNDL_PX</t>
        </is>
      </c>
      <c r="IH3" s="5" t="inlineStr">
        <is>
          <t>Date</t>
        </is>
      </c>
      <c r="II3" s="5" t="inlineStr">
        <is>
          <t>PX_BID</t>
        </is>
      </c>
      <c r="IJ3" s="5" t="inlineStr">
        <is>
          <t>PX_ASK</t>
        </is>
      </c>
      <c r="IK3" s="5" t="inlineStr">
        <is>
          <t>PX_MID</t>
        </is>
      </c>
      <c r="IL3" s="5" t="inlineStr">
        <is>
          <t>PX_LAST</t>
        </is>
      </c>
      <c r="IM3" s="5" t="inlineStr">
        <is>
          <t>PX_SETTLE</t>
        </is>
      </c>
      <c r="IN3" s="5" t="inlineStr">
        <is>
          <t>PX_VOLUME</t>
        </is>
      </c>
      <c r="IO3" s="5" t="inlineStr">
        <is>
          <t>OPEN_INT</t>
        </is>
      </c>
      <c r="IP3" s="5" t="inlineStr">
        <is>
          <t>IVOL_MID</t>
        </is>
      </c>
      <c r="IQ3" s="5" t="inlineStr">
        <is>
          <t>IVOL_BID</t>
        </is>
      </c>
      <c r="IR3" s="5" t="inlineStr">
        <is>
          <t>IVOL_ASK</t>
        </is>
      </c>
      <c r="IS3" s="5" t="inlineStr">
        <is>
          <t>DELTA_MID</t>
        </is>
      </c>
      <c r="IT3" s="5" t="inlineStr">
        <is>
          <t>GAMMA_MID</t>
        </is>
      </c>
      <c r="IU3" s="5" t="inlineStr">
        <is>
          <t>VEGA_MID</t>
        </is>
      </c>
      <c r="IV3" s="5" t="inlineStr">
        <is>
          <t>THETA_MID</t>
        </is>
      </c>
      <c r="IW3" s="5" t="inlineStr">
        <is>
          <t>OPT_UNDL_PX</t>
        </is>
      </c>
      <c r="IY3" s="5" t="inlineStr">
        <is>
          <t>Date</t>
        </is>
      </c>
      <c r="IZ3" s="5" t="inlineStr">
        <is>
          <t>PX_BID</t>
        </is>
      </c>
      <c r="JA3" s="5" t="inlineStr">
        <is>
          <t>PX_ASK</t>
        </is>
      </c>
      <c r="JB3" s="5" t="inlineStr">
        <is>
          <t>PX_MID</t>
        </is>
      </c>
      <c r="JC3" s="5" t="inlineStr">
        <is>
          <t>PX_LAST</t>
        </is>
      </c>
      <c r="JD3" s="5" t="inlineStr">
        <is>
          <t>PX_SETTLE</t>
        </is>
      </c>
      <c r="JE3" s="5" t="inlineStr">
        <is>
          <t>PX_VOLUME</t>
        </is>
      </c>
      <c r="JF3" s="5" t="inlineStr">
        <is>
          <t>OPEN_INT</t>
        </is>
      </c>
      <c r="JG3" s="5" t="inlineStr">
        <is>
          <t>IVOL_MID</t>
        </is>
      </c>
      <c r="JH3" s="5" t="inlineStr">
        <is>
          <t>IVOL_BID</t>
        </is>
      </c>
      <c r="JI3" s="5" t="inlineStr">
        <is>
          <t>IVOL_ASK</t>
        </is>
      </c>
      <c r="JJ3" s="5" t="inlineStr">
        <is>
          <t>DELTA_MID</t>
        </is>
      </c>
      <c r="JK3" s="5" t="inlineStr">
        <is>
          <t>GAMMA_MID</t>
        </is>
      </c>
      <c r="JL3" s="5" t="inlineStr">
        <is>
          <t>VEGA_MID</t>
        </is>
      </c>
      <c r="JM3" s="5" t="inlineStr">
        <is>
          <t>THETA_MID</t>
        </is>
      </c>
      <c r="JN3" s="5" t="inlineStr">
        <is>
          <t>OPT_UNDL_PX</t>
        </is>
      </c>
      <c r="JP3" s="5" t="inlineStr">
        <is>
          <t>Date</t>
        </is>
      </c>
      <c r="JQ3" s="5" t="inlineStr">
        <is>
          <t>PX_BID</t>
        </is>
      </c>
      <c r="JR3" s="5" t="inlineStr">
        <is>
          <t>PX_ASK</t>
        </is>
      </c>
      <c r="JS3" s="5" t="inlineStr">
        <is>
          <t>PX_MID</t>
        </is>
      </c>
      <c r="JT3" s="5" t="inlineStr">
        <is>
          <t>PX_LAST</t>
        </is>
      </c>
      <c r="JU3" s="5" t="inlineStr">
        <is>
          <t>PX_SETTLE</t>
        </is>
      </c>
      <c r="JV3" s="5" t="inlineStr">
        <is>
          <t>PX_VOLUME</t>
        </is>
      </c>
      <c r="JW3" s="5" t="inlineStr">
        <is>
          <t>OPEN_INT</t>
        </is>
      </c>
      <c r="JX3" s="5" t="inlineStr">
        <is>
          <t>IVOL_MID</t>
        </is>
      </c>
      <c r="JY3" s="5" t="inlineStr">
        <is>
          <t>IVOL_BID</t>
        </is>
      </c>
      <c r="JZ3" s="5" t="inlineStr">
        <is>
          <t>IVOL_ASK</t>
        </is>
      </c>
      <c r="KA3" s="5" t="inlineStr">
        <is>
          <t>DELTA_MID</t>
        </is>
      </c>
      <c r="KB3" s="5" t="inlineStr">
        <is>
          <t>GAMMA_MID</t>
        </is>
      </c>
      <c r="KC3" s="5" t="inlineStr">
        <is>
          <t>VEGA_MID</t>
        </is>
      </c>
      <c r="KD3" s="5" t="inlineStr">
        <is>
          <t>THETA_MID</t>
        </is>
      </c>
      <c r="KE3" s="5" t="inlineStr">
        <is>
          <t>OPT_UNDL_PX</t>
        </is>
      </c>
      <c r="KG3" s="5" t="inlineStr">
        <is>
          <t>Date</t>
        </is>
      </c>
      <c r="KH3" s="5" t="inlineStr">
        <is>
          <t>PX_BID</t>
        </is>
      </c>
      <c r="KI3" s="5" t="inlineStr">
        <is>
          <t>PX_ASK</t>
        </is>
      </c>
      <c r="KJ3" s="5" t="inlineStr">
        <is>
          <t>PX_MID</t>
        </is>
      </c>
      <c r="KK3" s="5" t="inlineStr">
        <is>
          <t>PX_LAST</t>
        </is>
      </c>
      <c r="KL3" s="5" t="inlineStr">
        <is>
          <t>PX_SETTLE</t>
        </is>
      </c>
      <c r="KM3" s="5" t="inlineStr">
        <is>
          <t>PX_VOLUME</t>
        </is>
      </c>
      <c r="KN3" s="5" t="inlineStr">
        <is>
          <t>OPEN_INT</t>
        </is>
      </c>
      <c r="KO3" s="5" t="inlineStr">
        <is>
          <t>IVOL_MID</t>
        </is>
      </c>
      <c r="KP3" s="5" t="inlineStr">
        <is>
          <t>IVOL_BID</t>
        </is>
      </c>
      <c r="KQ3" s="5" t="inlineStr">
        <is>
          <t>IVOL_ASK</t>
        </is>
      </c>
      <c r="KR3" s="5" t="inlineStr">
        <is>
          <t>DELTA_MID</t>
        </is>
      </c>
      <c r="KS3" s="5" t="inlineStr">
        <is>
          <t>GAMMA_MID</t>
        </is>
      </c>
      <c r="KT3" s="5" t="inlineStr">
        <is>
          <t>VEGA_MID</t>
        </is>
      </c>
      <c r="KU3" s="5" t="inlineStr">
        <is>
          <t>THETA_MID</t>
        </is>
      </c>
      <c r="KV3" s="5" t="inlineStr">
        <is>
          <t>OPT_UNDL_PX</t>
        </is>
      </c>
      <c r="KX3" s="5" t="inlineStr">
        <is>
          <t>Date</t>
        </is>
      </c>
      <c r="KY3" s="5" t="inlineStr">
        <is>
          <t>PX_BID</t>
        </is>
      </c>
      <c r="KZ3" s="5" t="inlineStr">
        <is>
          <t>PX_ASK</t>
        </is>
      </c>
      <c r="LA3" s="5" t="inlineStr">
        <is>
          <t>PX_MID</t>
        </is>
      </c>
      <c r="LB3" s="5" t="inlineStr">
        <is>
          <t>PX_LAST</t>
        </is>
      </c>
      <c r="LC3" s="5" t="inlineStr">
        <is>
          <t>PX_SETTLE</t>
        </is>
      </c>
      <c r="LD3" s="5" t="inlineStr">
        <is>
          <t>PX_VOLUME</t>
        </is>
      </c>
      <c r="LE3" s="5" t="inlineStr">
        <is>
          <t>OPEN_INT</t>
        </is>
      </c>
      <c r="LF3" s="5" t="inlineStr">
        <is>
          <t>IVOL_MID</t>
        </is>
      </c>
      <c r="LG3" s="5" t="inlineStr">
        <is>
          <t>IVOL_BID</t>
        </is>
      </c>
      <c r="LH3" s="5" t="inlineStr">
        <is>
          <t>IVOL_ASK</t>
        </is>
      </c>
      <c r="LI3" s="5" t="inlineStr">
        <is>
          <t>DELTA_MID</t>
        </is>
      </c>
      <c r="LJ3" s="5" t="inlineStr">
        <is>
          <t>GAMMA_MID</t>
        </is>
      </c>
      <c r="LK3" s="5" t="inlineStr">
        <is>
          <t>VEGA_MID</t>
        </is>
      </c>
      <c r="LL3" s="5" t="inlineStr">
        <is>
          <t>THETA_MID</t>
        </is>
      </c>
      <c r="LM3" s="5" t="inlineStr">
        <is>
          <t>OPT_UNDL_PX</t>
        </is>
      </c>
      <c r="LO3" s="5" t="inlineStr">
        <is>
          <t>Date</t>
        </is>
      </c>
      <c r="LP3" s="5" t="inlineStr">
        <is>
          <t>PX_BID</t>
        </is>
      </c>
      <c r="LQ3" s="5" t="inlineStr">
        <is>
          <t>PX_ASK</t>
        </is>
      </c>
      <c r="LR3" s="5" t="inlineStr">
        <is>
          <t>PX_MID</t>
        </is>
      </c>
      <c r="LS3" s="5" t="inlineStr">
        <is>
          <t>PX_LAST</t>
        </is>
      </c>
      <c r="LT3" s="5" t="inlineStr">
        <is>
          <t>PX_SETTLE</t>
        </is>
      </c>
      <c r="LU3" s="5" t="inlineStr">
        <is>
          <t>PX_VOLUME</t>
        </is>
      </c>
      <c r="LV3" s="5" t="inlineStr">
        <is>
          <t>OPEN_INT</t>
        </is>
      </c>
      <c r="LW3" s="5" t="inlineStr">
        <is>
          <t>IVOL_MID</t>
        </is>
      </c>
      <c r="LX3" s="5" t="inlineStr">
        <is>
          <t>IVOL_BID</t>
        </is>
      </c>
      <c r="LY3" s="5" t="inlineStr">
        <is>
          <t>IVOL_ASK</t>
        </is>
      </c>
      <c r="LZ3" s="5" t="inlineStr">
        <is>
          <t>DELTA_MID</t>
        </is>
      </c>
      <c r="MA3" s="5" t="inlineStr">
        <is>
          <t>GAMMA_MID</t>
        </is>
      </c>
      <c r="MB3" s="5" t="inlineStr">
        <is>
          <t>VEGA_MID</t>
        </is>
      </c>
      <c r="MC3" s="5" t="inlineStr">
        <is>
          <t>THETA_MID</t>
        </is>
      </c>
      <c r="MD3" s="5" t="inlineStr">
        <is>
          <t>OPT_UNDL_PX</t>
        </is>
      </c>
      <c r="MF3" s="5" t="inlineStr">
        <is>
          <t>Date</t>
        </is>
      </c>
      <c r="MG3" s="5" t="inlineStr">
        <is>
          <t>PX_BID</t>
        </is>
      </c>
      <c r="MH3" s="5" t="inlineStr">
        <is>
          <t>PX_ASK</t>
        </is>
      </c>
      <c r="MI3" s="5" t="inlineStr">
        <is>
          <t>PX_MID</t>
        </is>
      </c>
      <c r="MJ3" s="5" t="inlineStr">
        <is>
          <t>PX_LAST</t>
        </is>
      </c>
      <c r="MK3" s="5" t="inlineStr">
        <is>
          <t>PX_SETTLE</t>
        </is>
      </c>
      <c r="ML3" s="5" t="inlineStr">
        <is>
          <t>PX_VOLUME</t>
        </is>
      </c>
      <c r="MM3" s="5" t="inlineStr">
        <is>
          <t>OPEN_INT</t>
        </is>
      </c>
      <c r="MN3" s="5" t="inlineStr">
        <is>
          <t>IVOL_MID</t>
        </is>
      </c>
      <c r="MO3" s="5" t="inlineStr">
        <is>
          <t>IVOL_BID</t>
        </is>
      </c>
      <c r="MP3" s="5" t="inlineStr">
        <is>
          <t>IVOL_ASK</t>
        </is>
      </c>
      <c r="MQ3" s="5" t="inlineStr">
        <is>
          <t>DELTA_MID</t>
        </is>
      </c>
      <c r="MR3" s="5" t="inlineStr">
        <is>
          <t>GAMMA_MID</t>
        </is>
      </c>
      <c r="MS3" s="5" t="inlineStr">
        <is>
          <t>VEGA_MID</t>
        </is>
      </c>
      <c r="MT3" s="5" t="inlineStr">
        <is>
          <t>THETA_MID</t>
        </is>
      </c>
      <c r="MU3" s="5" t="inlineStr">
        <is>
          <t>OPT_UNDL_PX</t>
        </is>
      </c>
      <c r="MW3" s="5" t="inlineStr">
        <is>
          <t>Date</t>
        </is>
      </c>
      <c r="MX3" s="5" t="inlineStr">
        <is>
          <t>PX_BID</t>
        </is>
      </c>
      <c r="MY3" s="5" t="inlineStr">
        <is>
          <t>PX_ASK</t>
        </is>
      </c>
      <c r="MZ3" s="5" t="inlineStr">
        <is>
          <t>PX_MID</t>
        </is>
      </c>
      <c r="NA3" s="5" t="inlineStr">
        <is>
          <t>PX_LAST</t>
        </is>
      </c>
      <c r="NB3" s="5" t="inlineStr">
        <is>
          <t>PX_SETTLE</t>
        </is>
      </c>
      <c r="NC3" s="5" t="inlineStr">
        <is>
          <t>PX_VOLUME</t>
        </is>
      </c>
      <c r="ND3" s="5" t="inlineStr">
        <is>
          <t>OPEN_INT</t>
        </is>
      </c>
      <c r="NE3" s="5" t="inlineStr">
        <is>
          <t>IVOL_MID</t>
        </is>
      </c>
      <c r="NF3" s="5" t="inlineStr">
        <is>
          <t>IVOL_BID</t>
        </is>
      </c>
      <c r="NG3" s="5" t="inlineStr">
        <is>
          <t>IVOL_ASK</t>
        </is>
      </c>
      <c r="NH3" s="5" t="inlineStr">
        <is>
          <t>DELTA_MID</t>
        </is>
      </c>
      <c r="NI3" s="5" t="inlineStr">
        <is>
          <t>GAMMA_MID</t>
        </is>
      </c>
      <c r="NJ3" s="5" t="inlineStr">
        <is>
          <t>VEGA_MID</t>
        </is>
      </c>
      <c r="NK3" s="5" t="inlineStr">
        <is>
          <t>THETA_MID</t>
        </is>
      </c>
      <c r="NL3" s="5" t="inlineStr">
        <is>
          <t>OPT_UNDL_PX</t>
        </is>
      </c>
    </row>
    <row r="4">
      <c r="A4" s="2" t="inlineStr">
        <is>
          <t>Strike reference date</t>
        </is>
      </c>
      <c r="B4" s="8">
        <f>B3-45</f>
        <v/>
      </c>
      <c r="D4" s="4">
        <f>BDH(D$1,E$3:S$3,$B$8,$B$9,"Dir=V","Dts=S","Sort=A","Days=T","Fill=B")</f>
        <v/>
      </c>
      <c r="U4" s="4">
        <f>BDH(U$1,V$3:AJ$3,$B$8,$B$9,"Dir=V","Dts=S","Sort=A","Days=T","Fill=B")</f>
        <v/>
      </c>
      <c r="AL4" s="4">
        <f>BDH(AL$1,AM$3:BA$3,$B$8,$B$9,"Dir=V","Dts=S","Sort=A","Days=T","Fill=B")</f>
        <v/>
      </c>
      <c r="BC4" s="4">
        <f>BDH(BC$1,BD$3:BR$3,$B$8,$B$9,"Dir=V","Dts=S","Sort=A","Days=T","Fill=B")</f>
        <v/>
      </c>
      <c r="BT4" s="4">
        <f>BDH(BT$1,BU$3:CI$3,$B$8,$B$9,"Dir=V","Dts=S","Sort=A","Days=T","Fill=B")</f>
        <v/>
      </c>
      <c r="CK4" s="4">
        <f>BDH(CK$1,CL$3:CZ$3,$B$8,$B$9,"Dir=V","Dts=S","Sort=A","Days=T","Fill=B")</f>
        <v/>
      </c>
      <c r="DB4" s="4">
        <f>BDH(DB$1,DC$3:DQ$3,$B$8,$B$9,"Dir=V","Dts=S","Sort=A","Days=T","Fill=B")</f>
        <v/>
      </c>
      <c r="DS4" s="4">
        <f>BDH(DS$1,DT$3:EH$3,$B$8,$B$9,"Dir=V","Dts=S","Sort=A","Days=T","Fill=B")</f>
        <v/>
      </c>
      <c r="EJ4" s="4">
        <f>BDH(EJ$1,EK$3:EY$3,$B$8,$B$9,"Dir=V","Dts=S","Sort=A","Days=T","Fill=B")</f>
        <v/>
      </c>
      <c r="FA4" s="4">
        <f>BDH(FA$1,FB$3:FP$3,$B$8,$B$9,"Dir=V","Dts=S","Sort=A","Days=T","Fill=B")</f>
        <v/>
      </c>
      <c r="FR4" s="4">
        <f>BDH(FR$1,FS$3:GG$3,$B$8,$B$9,"Dir=V","Dts=S","Sort=A","Days=T","Fill=B")</f>
        <v/>
      </c>
      <c r="GI4" s="4">
        <f>BDH(GI$1,GJ$3:GX$3,$B$8,$B$9,"Dir=V","Dts=S","Sort=A","Days=T","Fill=B")</f>
        <v/>
      </c>
      <c r="GZ4" s="4">
        <f>BDH(GZ$1,HA$3:HO$3,$B$8,$B$9,"Dir=V","Dts=S","Sort=A","Days=T","Fill=B")</f>
        <v/>
      </c>
      <c r="HQ4" s="4">
        <f>BDH(HQ$1,HR$3:IF$3,$B$8,$B$9,"Dir=V","Dts=S","Sort=A","Days=T","Fill=B")</f>
        <v/>
      </c>
      <c r="IH4" s="4">
        <f>BDH(IH$1,II$3:IW$3,$B$8,$B$9,"Dir=V","Dts=S","Sort=A","Days=T","Fill=B")</f>
        <v/>
      </c>
      <c r="IY4" s="4">
        <f>BDH(IY$1,IZ$3:JN$3,$B$8,$B$9,"Dir=V","Dts=S","Sort=A","Days=T","Fill=B")</f>
        <v/>
      </c>
      <c r="JP4" s="4">
        <f>BDH(JP$1,JQ$3:KE$3,$B$8,$B$9,"Dir=V","Dts=S","Sort=A","Days=T","Fill=B")</f>
        <v/>
      </c>
      <c r="KG4" s="4">
        <f>BDH(KG$1,KH$3:KV$3,$B$8,$B$9,"Dir=V","Dts=S","Sort=A","Days=T","Fill=B")</f>
        <v/>
      </c>
      <c r="KX4" s="4">
        <f>BDH(KX$1,KY$3:LM$3,$B$8,$B$9,"Dir=V","Dts=S","Sort=A","Days=T","Fill=B")</f>
        <v/>
      </c>
      <c r="LO4" s="4">
        <f>BDH(LO$1,LP$3:MD$3,$B$8,$B$9,"Dir=V","Dts=S","Sort=A","Days=T","Fill=B")</f>
        <v/>
      </c>
      <c r="MF4" s="4">
        <f>BDH(MF$1,MG$3:MU$3,$B$8,$B$9,"Dir=V","Dts=S","Sort=A","Days=T","Fill=B")</f>
        <v/>
      </c>
      <c r="MW4" s="4">
        <f>BDH(MW$1,MX$3:NL$3,$B$8,$B$9,"Dir=V","Dts=S","Sort=A","Days=T","Fill=B")</f>
        <v/>
      </c>
    </row>
    <row r="5">
      <c r="A5" s="2" t="inlineStr">
        <is>
          <t>Unadjusted close then</t>
        </is>
      </c>
      <c r="B5" s="10">
        <f>IF(B2="","",BDH(B2,"PX_LAST",B4,B4,"Days=A","Fill=P","Dts=H","CshAdjNormal=N","CshAdjAbnormal=N","CapChg=N"))</f>
        <v/>
      </c>
    </row>
    <row r="6">
      <c r="A6" s="2" t="inlineStr">
        <is>
          <t>Strike step</t>
        </is>
      </c>
      <c r="B6" s="11">
        <f>IF(ISNUMBER(B5),IF(B5&lt;25,0.5,IF(B5&lt;250,1,5)),"")</f>
        <v/>
      </c>
    </row>
    <row r="7">
      <c r="A7" s="2" t="inlineStr">
        <is>
          <t>ATM strike</t>
        </is>
      </c>
      <c r="B7" s="11">
        <f>IF(ISNUMBER(B5),ROUND(B5/B6,0)*B6,"")</f>
        <v/>
      </c>
    </row>
    <row r="8">
      <c r="A8" s="2" t="inlineStr">
        <is>
          <t>History start</t>
        </is>
      </c>
      <c r="B8" s="8">
        <f>B3-100</f>
        <v/>
      </c>
    </row>
    <row r="9">
      <c r="A9" s="2" t="inlineStr">
        <is>
          <t>History end</t>
        </is>
      </c>
      <c r="B9" s="8">
        <f>B3</f>
        <v/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NL9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2" customWidth="1" min="2" max="2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1" customWidth="1" min="15" max="15"/>
    <col width="11" customWidth="1" min="16" max="16"/>
    <col width="10" customWidth="1" min="17" max="17"/>
    <col width="11" customWidth="1" min="18" max="18"/>
    <col width="13" customWidth="1" min="19" max="19"/>
    <col width="12" customWidth="1" min="21" max="21"/>
    <col width="10" customWidth="1" min="22" max="22"/>
    <col width="10" customWidth="1" min="23" max="23"/>
    <col width="10" customWidth="1" min="24" max="24"/>
    <col width="10" customWidth="1" min="25" max="25"/>
    <col width="11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1" customWidth="1" min="32" max="32"/>
    <col width="11" customWidth="1" min="33" max="33"/>
    <col width="10" customWidth="1" min="34" max="34"/>
    <col width="11" customWidth="1" min="35" max="35"/>
    <col width="13" customWidth="1" min="36" max="36"/>
    <col width="12" customWidth="1" min="38" max="38"/>
    <col width="10" customWidth="1" min="39" max="39"/>
    <col width="10" customWidth="1" min="40" max="40"/>
    <col width="10" customWidth="1" min="41" max="41"/>
    <col width="10" customWidth="1" min="42" max="42"/>
    <col width="11" customWidth="1" min="43" max="43"/>
    <col width="11" customWidth="1" min="44" max="44"/>
    <col width="10" customWidth="1" min="45" max="45"/>
    <col width="10" customWidth="1" min="46" max="46"/>
    <col width="10" customWidth="1" min="47" max="47"/>
    <col width="10" customWidth="1" min="48" max="48"/>
    <col width="11" customWidth="1" min="49" max="49"/>
    <col width="11" customWidth="1" min="50" max="50"/>
    <col width="10" customWidth="1" min="51" max="51"/>
    <col width="11" customWidth="1" min="52" max="52"/>
    <col width="13" customWidth="1" min="53" max="53"/>
    <col width="12" customWidth="1" min="55" max="55"/>
    <col width="10" customWidth="1" min="56" max="56"/>
    <col width="10" customWidth="1" min="57" max="57"/>
    <col width="10" customWidth="1" min="58" max="58"/>
    <col width="10" customWidth="1" min="59" max="59"/>
    <col width="11" customWidth="1" min="60" max="60"/>
    <col width="11" customWidth="1" min="61" max="61"/>
    <col width="10" customWidth="1" min="62" max="62"/>
    <col width="10" customWidth="1" min="63" max="63"/>
    <col width="10" customWidth="1" min="64" max="64"/>
    <col width="10" customWidth="1" min="65" max="65"/>
    <col width="11" customWidth="1" min="66" max="66"/>
    <col width="11" customWidth="1" min="67" max="67"/>
    <col width="10" customWidth="1" min="68" max="68"/>
    <col width="11" customWidth="1" min="69" max="69"/>
    <col width="13" customWidth="1" min="70" max="70"/>
    <col width="12" customWidth="1" min="72" max="72"/>
    <col width="10" customWidth="1" min="73" max="73"/>
    <col width="10" customWidth="1" min="74" max="74"/>
    <col width="10" customWidth="1" min="75" max="75"/>
    <col width="10" customWidth="1" min="76" max="76"/>
    <col width="11" customWidth="1" min="77" max="77"/>
    <col width="11" customWidth="1" min="78" max="78"/>
    <col width="10" customWidth="1" min="79" max="79"/>
    <col width="10" customWidth="1" min="80" max="80"/>
    <col width="10" customWidth="1" min="81" max="81"/>
    <col width="10" customWidth="1" min="82" max="82"/>
    <col width="11" customWidth="1" min="83" max="83"/>
    <col width="11" customWidth="1" min="84" max="84"/>
    <col width="10" customWidth="1" min="85" max="85"/>
    <col width="11" customWidth="1" min="86" max="86"/>
    <col width="13" customWidth="1" min="87" max="87"/>
    <col width="12" customWidth="1" min="89" max="89"/>
    <col width="10" customWidth="1" min="90" max="90"/>
    <col width="10" customWidth="1" min="91" max="91"/>
    <col width="10" customWidth="1" min="92" max="92"/>
    <col width="10" customWidth="1" min="93" max="93"/>
    <col width="11" customWidth="1" min="94" max="94"/>
    <col width="11" customWidth="1" min="95" max="95"/>
    <col width="10" customWidth="1" min="96" max="96"/>
    <col width="10" customWidth="1" min="97" max="97"/>
    <col width="10" customWidth="1" min="98" max="98"/>
    <col width="10" customWidth="1" min="99" max="99"/>
    <col width="11" customWidth="1" min="100" max="100"/>
    <col width="11" customWidth="1" min="101" max="101"/>
    <col width="10" customWidth="1" min="102" max="102"/>
    <col width="11" customWidth="1" min="103" max="103"/>
    <col width="13" customWidth="1" min="104" max="104"/>
    <col width="12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1" customWidth="1" min="111" max="111"/>
    <col width="11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1" customWidth="1" min="117" max="117"/>
    <col width="11" customWidth="1" min="118" max="118"/>
    <col width="10" customWidth="1" min="119" max="119"/>
    <col width="11" customWidth="1" min="120" max="120"/>
    <col width="13" customWidth="1" min="121" max="121"/>
    <col width="12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1" customWidth="1" min="128" max="128"/>
    <col width="11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1" customWidth="1" min="134" max="134"/>
    <col width="11" customWidth="1" min="135" max="135"/>
    <col width="10" customWidth="1" min="136" max="136"/>
    <col width="11" customWidth="1" min="137" max="137"/>
    <col width="13" customWidth="1" min="138" max="138"/>
    <col width="12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1" customWidth="1" min="145" max="145"/>
    <col width="11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1" customWidth="1" min="151" max="151"/>
    <col width="11" customWidth="1" min="152" max="152"/>
    <col width="10" customWidth="1" min="153" max="153"/>
    <col width="11" customWidth="1" min="154" max="154"/>
    <col width="13" customWidth="1" min="155" max="155"/>
    <col width="12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1" customWidth="1" min="162" max="162"/>
    <col width="11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1" customWidth="1" min="168" max="168"/>
    <col width="11" customWidth="1" min="169" max="169"/>
    <col width="10" customWidth="1" min="170" max="170"/>
    <col width="11" customWidth="1" min="171" max="171"/>
    <col width="13" customWidth="1" min="172" max="172"/>
    <col width="12" customWidth="1" min="174" max="174"/>
    <col width="10" customWidth="1" min="175" max="175"/>
    <col width="10" customWidth="1" min="176" max="176"/>
    <col width="10" customWidth="1" min="177" max="177"/>
    <col width="10" customWidth="1" min="178" max="178"/>
    <col width="11" customWidth="1" min="179" max="179"/>
    <col width="11" customWidth="1" min="180" max="180"/>
    <col width="10" customWidth="1" min="181" max="181"/>
    <col width="10" customWidth="1" min="182" max="182"/>
    <col width="10" customWidth="1" min="183" max="183"/>
    <col width="10" customWidth="1" min="184" max="184"/>
    <col width="11" customWidth="1" min="185" max="185"/>
    <col width="11" customWidth="1" min="186" max="186"/>
    <col width="10" customWidth="1" min="187" max="187"/>
    <col width="11" customWidth="1" min="188" max="188"/>
    <col width="13" customWidth="1" min="189" max="189"/>
    <col width="12" customWidth="1" min="191" max="191"/>
    <col width="10" customWidth="1" min="192" max="192"/>
    <col width="10" customWidth="1" min="193" max="193"/>
    <col width="10" customWidth="1" min="194" max="194"/>
    <col width="10" customWidth="1" min="195" max="195"/>
    <col width="11" customWidth="1" min="196" max="196"/>
    <col width="11" customWidth="1" min="197" max="197"/>
    <col width="10" customWidth="1" min="198" max="198"/>
    <col width="10" customWidth="1" min="199" max="199"/>
    <col width="10" customWidth="1" min="200" max="200"/>
    <col width="10" customWidth="1" min="201" max="201"/>
    <col width="11" customWidth="1" min="202" max="202"/>
    <col width="11" customWidth="1" min="203" max="203"/>
    <col width="10" customWidth="1" min="204" max="204"/>
    <col width="11" customWidth="1" min="205" max="205"/>
    <col width="13" customWidth="1" min="206" max="206"/>
    <col width="12" customWidth="1" min="208" max="208"/>
    <col width="10" customWidth="1" min="209" max="209"/>
    <col width="10" customWidth="1" min="210" max="210"/>
    <col width="10" customWidth="1" min="211" max="211"/>
    <col width="10" customWidth="1" min="212" max="212"/>
    <col width="11" customWidth="1" min="213" max="213"/>
    <col width="11" customWidth="1" min="214" max="214"/>
    <col width="10" customWidth="1" min="215" max="215"/>
    <col width="10" customWidth="1" min="216" max="216"/>
    <col width="10" customWidth="1" min="217" max="217"/>
    <col width="10" customWidth="1" min="218" max="218"/>
    <col width="11" customWidth="1" min="219" max="219"/>
    <col width="11" customWidth="1" min="220" max="220"/>
    <col width="10" customWidth="1" min="221" max="221"/>
    <col width="11" customWidth="1" min="222" max="222"/>
    <col width="13" customWidth="1" min="223" max="223"/>
    <col width="12" customWidth="1" min="225" max="225"/>
    <col width="10" customWidth="1" min="226" max="226"/>
    <col width="10" customWidth="1" min="227" max="227"/>
    <col width="10" customWidth="1" min="228" max="228"/>
    <col width="10" customWidth="1" min="229" max="229"/>
    <col width="11" customWidth="1" min="230" max="230"/>
    <col width="11" customWidth="1" min="231" max="231"/>
    <col width="10" customWidth="1" min="232" max="232"/>
    <col width="10" customWidth="1" min="233" max="233"/>
    <col width="10" customWidth="1" min="234" max="234"/>
    <col width="10" customWidth="1" min="235" max="235"/>
    <col width="11" customWidth="1" min="236" max="236"/>
    <col width="11" customWidth="1" min="237" max="237"/>
    <col width="10" customWidth="1" min="238" max="238"/>
    <col width="11" customWidth="1" min="239" max="239"/>
    <col width="13" customWidth="1" min="240" max="240"/>
    <col width="12" customWidth="1" min="242" max="242"/>
    <col width="10" customWidth="1" min="243" max="243"/>
    <col width="10" customWidth="1" min="244" max="244"/>
    <col width="10" customWidth="1" min="245" max="245"/>
    <col width="10" customWidth="1" min="246" max="246"/>
    <col width="11" customWidth="1" min="247" max="247"/>
    <col width="11" customWidth="1" min="248" max="248"/>
    <col width="10" customWidth="1" min="249" max="249"/>
    <col width="10" customWidth="1" min="250" max="250"/>
    <col width="10" customWidth="1" min="251" max="251"/>
    <col width="10" customWidth="1" min="252" max="252"/>
    <col width="11" customWidth="1" min="253" max="253"/>
    <col width="11" customWidth="1" min="254" max="254"/>
    <col width="10" customWidth="1" min="255" max="255"/>
    <col width="11" customWidth="1" min="256" max="256"/>
    <col width="13" customWidth="1" min="257" max="257"/>
    <col width="12" customWidth="1" min="259" max="259"/>
    <col width="10" customWidth="1" min="260" max="260"/>
    <col width="10" customWidth="1" min="261" max="261"/>
    <col width="10" customWidth="1" min="262" max="262"/>
    <col width="10" customWidth="1" min="263" max="263"/>
    <col width="11" customWidth="1" min="264" max="264"/>
    <col width="11" customWidth="1" min="265" max="265"/>
    <col width="10" customWidth="1" min="266" max="266"/>
    <col width="10" customWidth="1" min="267" max="267"/>
    <col width="10" customWidth="1" min="268" max="268"/>
    <col width="10" customWidth="1" min="269" max="269"/>
    <col width="11" customWidth="1" min="270" max="270"/>
    <col width="11" customWidth="1" min="271" max="271"/>
    <col width="10" customWidth="1" min="272" max="272"/>
    <col width="11" customWidth="1" min="273" max="273"/>
    <col width="13" customWidth="1" min="274" max="274"/>
    <col width="12" customWidth="1" min="276" max="276"/>
    <col width="10" customWidth="1" min="277" max="277"/>
    <col width="10" customWidth="1" min="278" max="278"/>
    <col width="10" customWidth="1" min="279" max="279"/>
    <col width="10" customWidth="1" min="280" max="280"/>
    <col width="11" customWidth="1" min="281" max="281"/>
    <col width="11" customWidth="1" min="282" max="282"/>
    <col width="10" customWidth="1" min="283" max="283"/>
    <col width="10" customWidth="1" min="284" max="284"/>
    <col width="10" customWidth="1" min="285" max="285"/>
    <col width="10" customWidth="1" min="286" max="286"/>
    <col width="11" customWidth="1" min="287" max="287"/>
    <col width="11" customWidth="1" min="288" max="288"/>
    <col width="10" customWidth="1" min="289" max="289"/>
    <col width="11" customWidth="1" min="290" max="290"/>
    <col width="13" customWidth="1" min="291" max="291"/>
    <col width="12" customWidth="1" min="293" max="293"/>
    <col width="10" customWidth="1" min="294" max="294"/>
    <col width="10" customWidth="1" min="295" max="295"/>
    <col width="10" customWidth="1" min="296" max="296"/>
    <col width="10" customWidth="1" min="297" max="297"/>
    <col width="11" customWidth="1" min="298" max="298"/>
    <col width="11" customWidth="1" min="299" max="299"/>
    <col width="10" customWidth="1" min="300" max="300"/>
    <col width="10" customWidth="1" min="301" max="301"/>
    <col width="10" customWidth="1" min="302" max="302"/>
    <col width="10" customWidth="1" min="303" max="303"/>
    <col width="11" customWidth="1" min="304" max="304"/>
    <col width="11" customWidth="1" min="305" max="305"/>
    <col width="10" customWidth="1" min="306" max="306"/>
    <col width="11" customWidth="1" min="307" max="307"/>
    <col width="13" customWidth="1" min="308" max="308"/>
    <col width="12" customWidth="1" min="310" max="310"/>
    <col width="10" customWidth="1" min="311" max="311"/>
    <col width="10" customWidth="1" min="312" max="312"/>
    <col width="10" customWidth="1" min="313" max="313"/>
    <col width="10" customWidth="1" min="314" max="314"/>
    <col width="11" customWidth="1" min="315" max="315"/>
    <col width="11" customWidth="1" min="316" max="316"/>
    <col width="10" customWidth="1" min="317" max="317"/>
    <col width="10" customWidth="1" min="318" max="318"/>
    <col width="10" customWidth="1" min="319" max="319"/>
    <col width="10" customWidth="1" min="320" max="320"/>
    <col width="11" customWidth="1" min="321" max="321"/>
    <col width="11" customWidth="1" min="322" max="322"/>
    <col width="10" customWidth="1" min="323" max="323"/>
    <col width="11" customWidth="1" min="324" max="324"/>
    <col width="13" customWidth="1" min="325" max="325"/>
    <col width="12" customWidth="1" min="327" max="327"/>
    <col width="10" customWidth="1" min="328" max="328"/>
    <col width="10" customWidth="1" min="329" max="329"/>
    <col width="10" customWidth="1" min="330" max="330"/>
    <col width="10" customWidth="1" min="331" max="331"/>
    <col width="11" customWidth="1" min="332" max="332"/>
    <col width="11" customWidth="1" min="333" max="333"/>
    <col width="10" customWidth="1" min="334" max="334"/>
    <col width="10" customWidth="1" min="335" max="335"/>
    <col width="10" customWidth="1" min="336" max="336"/>
    <col width="10" customWidth="1" min="337" max="337"/>
    <col width="11" customWidth="1" min="338" max="338"/>
    <col width="11" customWidth="1" min="339" max="339"/>
    <col width="10" customWidth="1" min="340" max="340"/>
    <col width="11" customWidth="1" min="341" max="341"/>
    <col width="13" customWidth="1" min="342" max="342"/>
    <col width="12" customWidth="1" min="344" max="344"/>
    <col width="10" customWidth="1" min="345" max="345"/>
    <col width="10" customWidth="1" min="346" max="346"/>
    <col width="10" customWidth="1" min="347" max="347"/>
    <col width="10" customWidth="1" min="348" max="348"/>
    <col width="11" customWidth="1" min="349" max="349"/>
    <col width="11" customWidth="1" min="350" max="350"/>
    <col width="10" customWidth="1" min="351" max="351"/>
    <col width="10" customWidth="1" min="352" max="352"/>
    <col width="10" customWidth="1" min="353" max="353"/>
    <col width="10" customWidth="1" min="354" max="354"/>
    <col width="11" customWidth="1" min="355" max="355"/>
    <col width="11" customWidth="1" min="356" max="356"/>
    <col width="10" customWidth="1" min="357" max="357"/>
    <col width="11" customWidth="1" min="358" max="358"/>
    <col width="13" customWidth="1" min="359" max="359"/>
    <col width="12" customWidth="1" min="361" max="361"/>
    <col width="10" customWidth="1" min="362" max="362"/>
    <col width="10" customWidth="1" min="363" max="363"/>
    <col width="10" customWidth="1" min="364" max="364"/>
    <col width="10" customWidth="1" min="365" max="365"/>
    <col width="11" customWidth="1" min="366" max="366"/>
    <col width="11" customWidth="1" min="367" max="367"/>
    <col width="10" customWidth="1" min="368" max="368"/>
    <col width="10" customWidth="1" min="369" max="369"/>
    <col width="10" customWidth="1" min="370" max="370"/>
    <col width="10" customWidth="1" min="371" max="371"/>
    <col width="11" customWidth="1" min="372" max="372"/>
    <col width="11" customWidth="1" min="373" max="373"/>
    <col width="10" customWidth="1" min="374" max="374"/>
    <col width="11" customWidth="1" min="375" max="375"/>
    <col width="13" customWidth="1" min="376" max="376"/>
  </cols>
  <sheetData>
    <row r="1">
      <c r="A1" s="2" t="inlineStr">
        <is>
          <t>Month</t>
        </is>
      </c>
      <c r="B1" s="9" t="n">
        <v>12</v>
      </c>
      <c r="D1" s="2">
        <f>IF(ISNUMBER(B$7),"OXY US "&amp;TEXT(B$3,"mm/dd/yy")&amp;" C"&amp;(B$7-5*B$6)&amp;" Equity","")</f>
        <v/>
      </c>
      <c r="U1" s="2">
        <f>IF(ISNUMBER(B$7),"OXY US "&amp;TEXT(B$3,"mm/dd/yy")&amp;" P"&amp;(B$7-5*B$6)&amp;" Equity","")</f>
        <v/>
      </c>
      <c r="AL1" s="2">
        <f>IF(ISNUMBER(B$7),"OXY US "&amp;TEXT(B$3,"mm/dd/yy")&amp;" C"&amp;(B$7-4*B$6)&amp;" Equity","")</f>
        <v/>
      </c>
      <c r="BC1" s="2">
        <f>IF(ISNUMBER(B$7),"OXY US "&amp;TEXT(B$3,"mm/dd/yy")&amp;" P"&amp;(B$7-4*B$6)&amp;" Equity","")</f>
        <v/>
      </c>
      <c r="BT1" s="2">
        <f>IF(ISNUMBER(B$7),"OXY US "&amp;TEXT(B$3,"mm/dd/yy")&amp;" C"&amp;(B$7-3*B$6)&amp;" Equity","")</f>
        <v/>
      </c>
      <c r="CK1" s="2">
        <f>IF(ISNUMBER(B$7),"OXY US "&amp;TEXT(B$3,"mm/dd/yy")&amp;" P"&amp;(B$7-3*B$6)&amp;" Equity","")</f>
        <v/>
      </c>
      <c r="DB1" s="2">
        <f>IF(ISNUMBER(B$7),"OXY US "&amp;TEXT(B$3,"mm/dd/yy")&amp;" C"&amp;(B$7-2*B$6)&amp;" Equity","")</f>
        <v/>
      </c>
      <c r="DS1" s="2">
        <f>IF(ISNUMBER(B$7),"OXY US "&amp;TEXT(B$3,"mm/dd/yy")&amp;" P"&amp;(B$7-2*B$6)&amp;" Equity","")</f>
        <v/>
      </c>
      <c r="EJ1" s="2">
        <f>IF(ISNUMBER(B$7),"OXY US "&amp;TEXT(B$3,"mm/dd/yy")&amp;" C"&amp;(B$7-1*B$6)&amp;" Equity","")</f>
        <v/>
      </c>
      <c r="FA1" s="2">
        <f>IF(ISNUMBER(B$7),"OXY US "&amp;TEXT(B$3,"mm/dd/yy")&amp;" P"&amp;(B$7-1*B$6)&amp;" Equity","")</f>
        <v/>
      </c>
      <c r="FR1" s="2">
        <f>IF(ISNUMBER(B$7),"OXY US "&amp;TEXT(B$3,"mm/dd/yy")&amp;" C"&amp;B$7&amp;" Equity","")</f>
        <v/>
      </c>
      <c r="GI1" s="2">
        <f>IF(ISNUMBER(B$7),"OXY US "&amp;TEXT(B$3,"mm/dd/yy")&amp;" P"&amp;B$7&amp;" Equity","")</f>
        <v/>
      </c>
      <c r="GZ1" s="2">
        <f>IF(ISNUMBER(B$7),"OXY US "&amp;TEXT(B$3,"mm/dd/yy")&amp;" C"&amp;(B$7+1*B$6)&amp;" Equity","")</f>
        <v/>
      </c>
      <c r="HQ1" s="2">
        <f>IF(ISNUMBER(B$7),"OXY US "&amp;TEXT(B$3,"mm/dd/yy")&amp;" P"&amp;(B$7+1*B$6)&amp;" Equity","")</f>
        <v/>
      </c>
      <c r="IH1" s="2">
        <f>IF(ISNUMBER(B$7),"OXY US "&amp;TEXT(B$3,"mm/dd/yy")&amp;" C"&amp;(B$7+2*B$6)&amp;" Equity","")</f>
        <v/>
      </c>
      <c r="IY1" s="2">
        <f>IF(ISNUMBER(B$7),"OXY US "&amp;TEXT(B$3,"mm/dd/yy")&amp;" P"&amp;(B$7+2*B$6)&amp;" Equity","")</f>
        <v/>
      </c>
      <c r="JP1" s="2">
        <f>IF(ISNUMBER(B$7),"OXY US "&amp;TEXT(B$3,"mm/dd/yy")&amp;" C"&amp;(B$7+3*B$6)&amp;" Equity","")</f>
        <v/>
      </c>
      <c r="KG1" s="2">
        <f>IF(ISNUMBER(B$7),"OXY US "&amp;TEXT(B$3,"mm/dd/yy")&amp;" P"&amp;(B$7+3*B$6)&amp;" Equity","")</f>
        <v/>
      </c>
      <c r="KX1" s="2">
        <f>IF(ISNUMBER(B$7),"OXY US "&amp;TEXT(B$3,"mm/dd/yy")&amp;" C"&amp;(B$7+4*B$6)&amp;" Equity","")</f>
        <v/>
      </c>
      <c r="LO1" s="2">
        <f>IF(ISNUMBER(B$7),"OXY US "&amp;TEXT(B$3,"mm/dd/yy")&amp;" P"&amp;(B$7+4*B$6)&amp;" Equity","")</f>
        <v/>
      </c>
      <c r="MF1" s="2">
        <f>IF(ISNUMBER(B$7),"OXY US "&amp;TEXT(B$3,"mm/dd/yy")&amp;" C"&amp;(B$7+5*B$6)&amp;" Equity","")</f>
        <v/>
      </c>
      <c r="MW1" s="2">
        <f>IF(ISNUMBER(B$7),"OXY US "&amp;TEXT(B$3,"mm/dd/yy")&amp;" P"&amp;(B$7+5*B$6)&amp;" Equity","")</f>
        <v/>
      </c>
    </row>
    <row r="2">
      <c r="A2" s="2" t="inlineStr">
        <is>
          <t>Underlying</t>
        </is>
      </c>
      <c r="B2" s="4">
        <f>IF(Settings!$B$18="Y","OXY US Equity","")</f>
        <v/>
      </c>
      <c r="D2" s="4" t="inlineStr">
        <is>
          <t>call -5 from ATM</t>
        </is>
      </c>
      <c r="U2" s="4" t="inlineStr">
        <is>
          <t>put -5 from ATM</t>
        </is>
      </c>
      <c r="AL2" s="4" t="inlineStr">
        <is>
          <t>call -4 from ATM</t>
        </is>
      </c>
      <c r="BC2" s="4" t="inlineStr">
        <is>
          <t>put -4 from ATM</t>
        </is>
      </c>
      <c r="BT2" s="4" t="inlineStr">
        <is>
          <t>call -3 from ATM</t>
        </is>
      </c>
      <c r="CK2" s="4" t="inlineStr">
        <is>
          <t>put -3 from ATM</t>
        </is>
      </c>
      <c r="DB2" s="4" t="inlineStr">
        <is>
          <t>call -2 from ATM</t>
        </is>
      </c>
      <c r="DS2" s="4" t="inlineStr">
        <is>
          <t>put -2 from ATM</t>
        </is>
      </c>
      <c r="EJ2" s="4" t="inlineStr">
        <is>
          <t>call -1 from ATM</t>
        </is>
      </c>
      <c r="FA2" s="4" t="inlineStr">
        <is>
          <t>put -1 from ATM</t>
        </is>
      </c>
      <c r="FR2" s="4" t="inlineStr">
        <is>
          <t>call +0 from ATM</t>
        </is>
      </c>
      <c r="GI2" s="4" t="inlineStr">
        <is>
          <t>put +0 from ATM</t>
        </is>
      </c>
      <c r="GZ2" s="4" t="inlineStr">
        <is>
          <t>call +1 from ATM</t>
        </is>
      </c>
      <c r="HQ2" s="4" t="inlineStr">
        <is>
          <t>put +1 from ATM</t>
        </is>
      </c>
      <c r="IH2" s="4" t="inlineStr">
        <is>
          <t>call +2 from ATM</t>
        </is>
      </c>
      <c r="IY2" s="4" t="inlineStr">
        <is>
          <t>put +2 from ATM</t>
        </is>
      </c>
      <c r="JP2" s="4" t="inlineStr">
        <is>
          <t>call +3 from ATM</t>
        </is>
      </c>
      <c r="KG2" s="4" t="inlineStr">
        <is>
          <t>put +3 from ATM</t>
        </is>
      </c>
      <c r="KX2" s="4" t="inlineStr">
        <is>
          <t>call +4 from ATM</t>
        </is>
      </c>
      <c r="LO2" s="4" t="inlineStr">
        <is>
          <t>put +4 from ATM</t>
        </is>
      </c>
      <c r="MF2" s="4" t="inlineStr">
        <is>
          <t>call +5 from ATM</t>
        </is>
      </c>
      <c r="MW2" s="4" t="inlineStr">
        <is>
          <t>put +5 from ATM</t>
        </is>
      </c>
    </row>
    <row r="3">
      <c r="A3" s="2" t="inlineStr">
        <is>
          <t>Expiry (3rd Friday)</t>
        </is>
      </c>
      <c r="B3" s="3">
        <f>DATE(Settings!$E$18,B1,15)+MOD(6-WEEKDAY(DATE(Settings!$E$18,B1,15)),7)</f>
        <v/>
      </c>
      <c r="D3" s="5" t="inlineStr">
        <is>
          <t>Date</t>
        </is>
      </c>
      <c r="E3" s="5" t="inlineStr">
        <is>
          <t>PX_BID</t>
        </is>
      </c>
      <c r="F3" s="5" t="inlineStr">
        <is>
          <t>PX_ASK</t>
        </is>
      </c>
      <c r="G3" s="5" t="inlineStr">
        <is>
          <t>PX_MID</t>
        </is>
      </c>
      <c r="H3" s="5" t="inlineStr">
        <is>
          <t>PX_LAST</t>
        </is>
      </c>
      <c r="I3" s="5" t="inlineStr">
        <is>
          <t>PX_SETTLE</t>
        </is>
      </c>
      <c r="J3" s="5" t="inlineStr">
        <is>
          <t>PX_VOLUME</t>
        </is>
      </c>
      <c r="K3" s="5" t="inlineStr">
        <is>
          <t>OPEN_INT</t>
        </is>
      </c>
      <c r="L3" s="5" t="inlineStr">
        <is>
          <t>IVOL_MID</t>
        </is>
      </c>
      <c r="M3" s="5" t="inlineStr">
        <is>
          <t>IVOL_BID</t>
        </is>
      </c>
      <c r="N3" s="5" t="inlineStr">
        <is>
          <t>IVOL_ASK</t>
        </is>
      </c>
      <c r="O3" s="5" t="inlineStr">
        <is>
          <t>DELTA_MID</t>
        </is>
      </c>
      <c r="P3" s="5" t="inlineStr">
        <is>
          <t>GAMMA_MID</t>
        </is>
      </c>
      <c r="Q3" s="5" t="inlineStr">
        <is>
          <t>VEGA_MID</t>
        </is>
      </c>
      <c r="R3" s="5" t="inlineStr">
        <is>
          <t>THETA_MID</t>
        </is>
      </c>
      <c r="S3" s="5" t="inlineStr">
        <is>
          <t>OPT_UNDL_PX</t>
        </is>
      </c>
      <c r="U3" s="5" t="inlineStr">
        <is>
          <t>Date</t>
        </is>
      </c>
      <c r="V3" s="5" t="inlineStr">
        <is>
          <t>PX_BID</t>
        </is>
      </c>
      <c r="W3" s="5" t="inlineStr">
        <is>
          <t>PX_ASK</t>
        </is>
      </c>
      <c r="X3" s="5" t="inlineStr">
        <is>
          <t>PX_MID</t>
        </is>
      </c>
      <c r="Y3" s="5" t="inlineStr">
        <is>
          <t>PX_LAST</t>
        </is>
      </c>
      <c r="Z3" s="5" t="inlineStr">
        <is>
          <t>PX_SETTLE</t>
        </is>
      </c>
      <c r="AA3" s="5" t="inlineStr">
        <is>
          <t>PX_VOLUME</t>
        </is>
      </c>
      <c r="AB3" s="5" t="inlineStr">
        <is>
          <t>OPEN_INT</t>
        </is>
      </c>
      <c r="AC3" s="5" t="inlineStr">
        <is>
          <t>IVOL_MID</t>
        </is>
      </c>
      <c r="AD3" s="5" t="inlineStr">
        <is>
          <t>IVOL_BID</t>
        </is>
      </c>
      <c r="AE3" s="5" t="inlineStr">
        <is>
          <t>IVOL_ASK</t>
        </is>
      </c>
      <c r="AF3" s="5" t="inlineStr">
        <is>
          <t>DELTA_MID</t>
        </is>
      </c>
      <c r="AG3" s="5" t="inlineStr">
        <is>
          <t>GAMMA_MID</t>
        </is>
      </c>
      <c r="AH3" s="5" t="inlineStr">
        <is>
          <t>VEGA_MID</t>
        </is>
      </c>
      <c r="AI3" s="5" t="inlineStr">
        <is>
          <t>THETA_MID</t>
        </is>
      </c>
      <c r="AJ3" s="5" t="inlineStr">
        <is>
          <t>OPT_UNDL_PX</t>
        </is>
      </c>
      <c r="AL3" s="5" t="inlineStr">
        <is>
          <t>Date</t>
        </is>
      </c>
      <c r="AM3" s="5" t="inlineStr">
        <is>
          <t>PX_BID</t>
        </is>
      </c>
      <c r="AN3" s="5" t="inlineStr">
        <is>
          <t>PX_ASK</t>
        </is>
      </c>
      <c r="AO3" s="5" t="inlineStr">
        <is>
          <t>PX_MID</t>
        </is>
      </c>
      <c r="AP3" s="5" t="inlineStr">
        <is>
          <t>PX_LAST</t>
        </is>
      </c>
      <c r="AQ3" s="5" t="inlineStr">
        <is>
          <t>PX_SETTLE</t>
        </is>
      </c>
      <c r="AR3" s="5" t="inlineStr">
        <is>
          <t>PX_VOLUME</t>
        </is>
      </c>
      <c r="AS3" s="5" t="inlineStr">
        <is>
          <t>OPEN_INT</t>
        </is>
      </c>
      <c r="AT3" s="5" t="inlineStr">
        <is>
          <t>IVOL_MID</t>
        </is>
      </c>
      <c r="AU3" s="5" t="inlineStr">
        <is>
          <t>IVOL_BID</t>
        </is>
      </c>
      <c r="AV3" s="5" t="inlineStr">
        <is>
          <t>IVOL_ASK</t>
        </is>
      </c>
      <c r="AW3" s="5" t="inlineStr">
        <is>
          <t>DELTA_MID</t>
        </is>
      </c>
      <c r="AX3" s="5" t="inlineStr">
        <is>
          <t>GAMMA_MID</t>
        </is>
      </c>
      <c r="AY3" s="5" t="inlineStr">
        <is>
          <t>VEGA_MID</t>
        </is>
      </c>
      <c r="AZ3" s="5" t="inlineStr">
        <is>
          <t>THETA_MID</t>
        </is>
      </c>
      <c r="BA3" s="5" t="inlineStr">
        <is>
          <t>OPT_UNDL_PX</t>
        </is>
      </c>
      <c r="BC3" s="5" t="inlineStr">
        <is>
          <t>Date</t>
        </is>
      </c>
      <c r="BD3" s="5" t="inlineStr">
        <is>
          <t>PX_BID</t>
        </is>
      </c>
      <c r="BE3" s="5" t="inlineStr">
        <is>
          <t>PX_ASK</t>
        </is>
      </c>
      <c r="BF3" s="5" t="inlineStr">
        <is>
          <t>PX_MID</t>
        </is>
      </c>
      <c r="BG3" s="5" t="inlineStr">
        <is>
          <t>PX_LAST</t>
        </is>
      </c>
      <c r="BH3" s="5" t="inlineStr">
        <is>
          <t>PX_SETTLE</t>
        </is>
      </c>
      <c r="BI3" s="5" t="inlineStr">
        <is>
          <t>PX_VOLUME</t>
        </is>
      </c>
      <c r="BJ3" s="5" t="inlineStr">
        <is>
          <t>OPEN_INT</t>
        </is>
      </c>
      <c r="BK3" s="5" t="inlineStr">
        <is>
          <t>IVOL_MID</t>
        </is>
      </c>
      <c r="BL3" s="5" t="inlineStr">
        <is>
          <t>IVOL_BID</t>
        </is>
      </c>
      <c r="BM3" s="5" t="inlineStr">
        <is>
          <t>IVOL_ASK</t>
        </is>
      </c>
      <c r="BN3" s="5" t="inlineStr">
        <is>
          <t>DELTA_MID</t>
        </is>
      </c>
      <c r="BO3" s="5" t="inlineStr">
        <is>
          <t>GAMMA_MID</t>
        </is>
      </c>
      <c r="BP3" s="5" t="inlineStr">
        <is>
          <t>VEGA_MID</t>
        </is>
      </c>
      <c r="BQ3" s="5" t="inlineStr">
        <is>
          <t>THETA_MID</t>
        </is>
      </c>
      <c r="BR3" s="5" t="inlineStr">
        <is>
          <t>OPT_UNDL_PX</t>
        </is>
      </c>
      <c r="BT3" s="5" t="inlineStr">
        <is>
          <t>Date</t>
        </is>
      </c>
      <c r="BU3" s="5" t="inlineStr">
        <is>
          <t>PX_BID</t>
        </is>
      </c>
      <c r="BV3" s="5" t="inlineStr">
        <is>
          <t>PX_ASK</t>
        </is>
      </c>
      <c r="BW3" s="5" t="inlineStr">
        <is>
          <t>PX_MID</t>
        </is>
      </c>
      <c r="BX3" s="5" t="inlineStr">
        <is>
          <t>PX_LAST</t>
        </is>
      </c>
      <c r="BY3" s="5" t="inlineStr">
        <is>
          <t>PX_SETTLE</t>
        </is>
      </c>
      <c r="BZ3" s="5" t="inlineStr">
        <is>
          <t>PX_VOLUME</t>
        </is>
      </c>
      <c r="CA3" s="5" t="inlineStr">
        <is>
          <t>OPEN_INT</t>
        </is>
      </c>
      <c r="CB3" s="5" t="inlineStr">
        <is>
          <t>IVOL_MID</t>
        </is>
      </c>
      <c r="CC3" s="5" t="inlineStr">
        <is>
          <t>IVOL_BID</t>
        </is>
      </c>
      <c r="CD3" s="5" t="inlineStr">
        <is>
          <t>IVOL_ASK</t>
        </is>
      </c>
      <c r="CE3" s="5" t="inlineStr">
        <is>
          <t>DELTA_MID</t>
        </is>
      </c>
      <c r="CF3" s="5" t="inlineStr">
        <is>
          <t>GAMMA_MID</t>
        </is>
      </c>
      <c r="CG3" s="5" t="inlineStr">
        <is>
          <t>VEGA_MID</t>
        </is>
      </c>
      <c r="CH3" s="5" t="inlineStr">
        <is>
          <t>THETA_MID</t>
        </is>
      </c>
      <c r="CI3" s="5" t="inlineStr">
        <is>
          <t>OPT_UNDL_PX</t>
        </is>
      </c>
      <c r="CK3" s="5" t="inlineStr">
        <is>
          <t>Date</t>
        </is>
      </c>
      <c r="CL3" s="5" t="inlineStr">
        <is>
          <t>PX_BID</t>
        </is>
      </c>
      <c r="CM3" s="5" t="inlineStr">
        <is>
          <t>PX_ASK</t>
        </is>
      </c>
      <c r="CN3" s="5" t="inlineStr">
        <is>
          <t>PX_MID</t>
        </is>
      </c>
      <c r="CO3" s="5" t="inlineStr">
        <is>
          <t>PX_LAST</t>
        </is>
      </c>
      <c r="CP3" s="5" t="inlineStr">
        <is>
          <t>PX_SETTLE</t>
        </is>
      </c>
      <c r="CQ3" s="5" t="inlineStr">
        <is>
          <t>PX_VOLUME</t>
        </is>
      </c>
      <c r="CR3" s="5" t="inlineStr">
        <is>
          <t>OPEN_INT</t>
        </is>
      </c>
      <c r="CS3" s="5" t="inlineStr">
        <is>
          <t>IVOL_MID</t>
        </is>
      </c>
      <c r="CT3" s="5" t="inlineStr">
        <is>
          <t>IVOL_BID</t>
        </is>
      </c>
      <c r="CU3" s="5" t="inlineStr">
        <is>
          <t>IVOL_ASK</t>
        </is>
      </c>
      <c r="CV3" s="5" t="inlineStr">
        <is>
          <t>DELTA_MID</t>
        </is>
      </c>
      <c r="CW3" s="5" t="inlineStr">
        <is>
          <t>GAMMA_MID</t>
        </is>
      </c>
      <c r="CX3" s="5" t="inlineStr">
        <is>
          <t>VEGA_MID</t>
        </is>
      </c>
      <c r="CY3" s="5" t="inlineStr">
        <is>
          <t>THETA_MID</t>
        </is>
      </c>
      <c r="CZ3" s="5" t="inlineStr">
        <is>
          <t>OPT_UNDL_PX</t>
        </is>
      </c>
      <c r="DB3" s="5" t="inlineStr">
        <is>
          <t>Date</t>
        </is>
      </c>
      <c r="DC3" s="5" t="inlineStr">
        <is>
          <t>PX_BID</t>
        </is>
      </c>
      <c r="DD3" s="5" t="inlineStr">
        <is>
          <t>PX_ASK</t>
        </is>
      </c>
      <c r="DE3" s="5" t="inlineStr">
        <is>
          <t>PX_MID</t>
        </is>
      </c>
      <c r="DF3" s="5" t="inlineStr">
        <is>
          <t>PX_LAST</t>
        </is>
      </c>
      <c r="DG3" s="5" t="inlineStr">
        <is>
          <t>PX_SETTLE</t>
        </is>
      </c>
      <c r="DH3" s="5" t="inlineStr">
        <is>
          <t>PX_VOLUME</t>
        </is>
      </c>
      <c r="DI3" s="5" t="inlineStr">
        <is>
          <t>OPEN_INT</t>
        </is>
      </c>
      <c r="DJ3" s="5" t="inlineStr">
        <is>
          <t>IVOL_MID</t>
        </is>
      </c>
      <c r="DK3" s="5" t="inlineStr">
        <is>
          <t>IVOL_BID</t>
        </is>
      </c>
      <c r="DL3" s="5" t="inlineStr">
        <is>
          <t>IVOL_ASK</t>
        </is>
      </c>
      <c r="DM3" s="5" t="inlineStr">
        <is>
          <t>DELTA_MID</t>
        </is>
      </c>
      <c r="DN3" s="5" t="inlineStr">
        <is>
          <t>GAMMA_MID</t>
        </is>
      </c>
      <c r="DO3" s="5" t="inlineStr">
        <is>
          <t>VEGA_MID</t>
        </is>
      </c>
      <c r="DP3" s="5" t="inlineStr">
        <is>
          <t>THETA_MID</t>
        </is>
      </c>
      <c r="DQ3" s="5" t="inlineStr">
        <is>
          <t>OPT_UNDL_PX</t>
        </is>
      </c>
      <c r="DS3" s="5" t="inlineStr">
        <is>
          <t>Date</t>
        </is>
      </c>
      <c r="DT3" s="5" t="inlineStr">
        <is>
          <t>PX_BID</t>
        </is>
      </c>
      <c r="DU3" s="5" t="inlineStr">
        <is>
          <t>PX_ASK</t>
        </is>
      </c>
      <c r="DV3" s="5" t="inlineStr">
        <is>
          <t>PX_MID</t>
        </is>
      </c>
      <c r="DW3" s="5" t="inlineStr">
        <is>
          <t>PX_LAST</t>
        </is>
      </c>
      <c r="DX3" s="5" t="inlineStr">
        <is>
          <t>PX_SETTLE</t>
        </is>
      </c>
      <c r="DY3" s="5" t="inlineStr">
        <is>
          <t>PX_VOLUME</t>
        </is>
      </c>
      <c r="DZ3" s="5" t="inlineStr">
        <is>
          <t>OPEN_INT</t>
        </is>
      </c>
      <c r="EA3" s="5" t="inlineStr">
        <is>
          <t>IVOL_MID</t>
        </is>
      </c>
      <c r="EB3" s="5" t="inlineStr">
        <is>
          <t>IVOL_BID</t>
        </is>
      </c>
      <c r="EC3" s="5" t="inlineStr">
        <is>
          <t>IVOL_ASK</t>
        </is>
      </c>
      <c r="ED3" s="5" t="inlineStr">
        <is>
          <t>DELTA_MID</t>
        </is>
      </c>
      <c r="EE3" s="5" t="inlineStr">
        <is>
          <t>GAMMA_MID</t>
        </is>
      </c>
      <c r="EF3" s="5" t="inlineStr">
        <is>
          <t>VEGA_MID</t>
        </is>
      </c>
      <c r="EG3" s="5" t="inlineStr">
        <is>
          <t>THETA_MID</t>
        </is>
      </c>
      <c r="EH3" s="5" t="inlineStr">
        <is>
          <t>OPT_UNDL_PX</t>
        </is>
      </c>
      <c r="EJ3" s="5" t="inlineStr">
        <is>
          <t>Date</t>
        </is>
      </c>
      <c r="EK3" s="5" t="inlineStr">
        <is>
          <t>PX_BID</t>
        </is>
      </c>
      <c r="EL3" s="5" t="inlineStr">
        <is>
          <t>PX_ASK</t>
        </is>
      </c>
      <c r="EM3" s="5" t="inlineStr">
        <is>
          <t>PX_MID</t>
        </is>
      </c>
      <c r="EN3" s="5" t="inlineStr">
        <is>
          <t>PX_LAST</t>
        </is>
      </c>
      <c r="EO3" s="5" t="inlineStr">
        <is>
          <t>PX_SETTLE</t>
        </is>
      </c>
      <c r="EP3" s="5" t="inlineStr">
        <is>
          <t>PX_VOLUME</t>
        </is>
      </c>
      <c r="EQ3" s="5" t="inlineStr">
        <is>
          <t>OPEN_INT</t>
        </is>
      </c>
      <c r="ER3" s="5" t="inlineStr">
        <is>
          <t>IVOL_MID</t>
        </is>
      </c>
      <c r="ES3" s="5" t="inlineStr">
        <is>
          <t>IVOL_BID</t>
        </is>
      </c>
      <c r="ET3" s="5" t="inlineStr">
        <is>
          <t>IVOL_ASK</t>
        </is>
      </c>
      <c r="EU3" s="5" t="inlineStr">
        <is>
          <t>DELTA_MID</t>
        </is>
      </c>
      <c r="EV3" s="5" t="inlineStr">
        <is>
          <t>GAMMA_MID</t>
        </is>
      </c>
      <c r="EW3" s="5" t="inlineStr">
        <is>
          <t>VEGA_MID</t>
        </is>
      </c>
      <c r="EX3" s="5" t="inlineStr">
        <is>
          <t>THETA_MID</t>
        </is>
      </c>
      <c r="EY3" s="5" t="inlineStr">
        <is>
          <t>OPT_UNDL_PX</t>
        </is>
      </c>
      <c r="FA3" s="5" t="inlineStr">
        <is>
          <t>Date</t>
        </is>
      </c>
      <c r="FB3" s="5" t="inlineStr">
        <is>
          <t>PX_BID</t>
        </is>
      </c>
      <c r="FC3" s="5" t="inlineStr">
        <is>
          <t>PX_ASK</t>
        </is>
      </c>
      <c r="FD3" s="5" t="inlineStr">
        <is>
          <t>PX_MID</t>
        </is>
      </c>
      <c r="FE3" s="5" t="inlineStr">
        <is>
          <t>PX_LAST</t>
        </is>
      </c>
      <c r="FF3" s="5" t="inlineStr">
        <is>
          <t>PX_SETTLE</t>
        </is>
      </c>
      <c r="FG3" s="5" t="inlineStr">
        <is>
          <t>PX_VOLUME</t>
        </is>
      </c>
      <c r="FH3" s="5" t="inlineStr">
        <is>
          <t>OPEN_INT</t>
        </is>
      </c>
      <c r="FI3" s="5" t="inlineStr">
        <is>
          <t>IVOL_MID</t>
        </is>
      </c>
      <c r="FJ3" s="5" t="inlineStr">
        <is>
          <t>IVOL_BID</t>
        </is>
      </c>
      <c r="FK3" s="5" t="inlineStr">
        <is>
          <t>IVOL_ASK</t>
        </is>
      </c>
      <c r="FL3" s="5" t="inlineStr">
        <is>
          <t>DELTA_MID</t>
        </is>
      </c>
      <c r="FM3" s="5" t="inlineStr">
        <is>
          <t>GAMMA_MID</t>
        </is>
      </c>
      <c r="FN3" s="5" t="inlineStr">
        <is>
          <t>VEGA_MID</t>
        </is>
      </c>
      <c r="FO3" s="5" t="inlineStr">
        <is>
          <t>THETA_MID</t>
        </is>
      </c>
      <c r="FP3" s="5" t="inlineStr">
        <is>
          <t>OPT_UNDL_PX</t>
        </is>
      </c>
      <c r="FR3" s="5" t="inlineStr">
        <is>
          <t>Date</t>
        </is>
      </c>
      <c r="FS3" s="5" t="inlineStr">
        <is>
          <t>PX_BID</t>
        </is>
      </c>
      <c r="FT3" s="5" t="inlineStr">
        <is>
          <t>PX_ASK</t>
        </is>
      </c>
      <c r="FU3" s="5" t="inlineStr">
        <is>
          <t>PX_MID</t>
        </is>
      </c>
      <c r="FV3" s="5" t="inlineStr">
        <is>
          <t>PX_LAST</t>
        </is>
      </c>
      <c r="FW3" s="5" t="inlineStr">
        <is>
          <t>PX_SETTLE</t>
        </is>
      </c>
      <c r="FX3" s="5" t="inlineStr">
        <is>
          <t>PX_VOLUME</t>
        </is>
      </c>
      <c r="FY3" s="5" t="inlineStr">
        <is>
          <t>OPEN_INT</t>
        </is>
      </c>
      <c r="FZ3" s="5" t="inlineStr">
        <is>
          <t>IVOL_MID</t>
        </is>
      </c>
      <c r="GA3" s="5" t="inlineStr">
        <is>
          <t>IVOL_BID</t>
        </is>
      </c>
      <c r="GB3" s="5" t="inlineStr">
        <is>
          <t>IVOL_ASK</t>
        </is>
      </c>
      <c r="GC3" s="5" t="inlineStr">
        <is>
          <t>DELTA_MID</t>
        </is>
      </c>
      <c r="GD3" s="5" t="inlineStr">
        <is>
          <t>GAMMA_MID</t>
        </is>
      </c>
      <c r="GE3" s="5" t="inlineStr">
        <is>
          <t>VEGA_MID</t>
        </is>
      </c>
      <c r="GF3" s="5" t="inlineStr">
        <is>
          <t>THETA_MID</t>
        </is>
      </c>
      <c r="GG3" s="5" t="inlineStr">
        <is>
          <t>OPT_UNDL_PX</t>
        </is>
      </c>
      <c r="GI3" s="5" t="inlineStr">
        <is>
          <t>Date</t>
        </is>
      </c>
      <c r="GJ3" s="5" t="inlineStr">
        <is>
          <t>PX_BID</t>
        </is>
      </c>
      <c r="GK3" s="5" t="inlineStr">
        <is>
          <t>PX_ASK</t>
        </is>
      </c>
      <c r="GL3" s="5" t="inlineStr">
        <is>
          <t>PX_MID</t>
        </is>
      </c>
      <c r="GM3" s="5" t="inlineStr">
        <is>
          <t>PX_LAST</t>
        </is>
      </c>
      <c r="GN3" s="5" t="inlineStr">
        <is>
          <t>PX_SETTLE</t>
        </is>
      </c>
      <c r="GO3" s="5" t="inlineStr">
        <is>
          <t>PX_VOLUME</t>
        </is>
      </c>
      <c r="GP3" s="5" t="inlineStr">
        <is>
          <t>OPEN_INT</t>
        </is>
      </c>
      <c r="GQ3" s="5" t="inlineStr">
        <is>
          <t>IVOL_MID</t>
        </is>
      </c>
      <c r="GR3" s="5" t="inlineStr">
        <is>
          <t>IVOL_BID</t>
        </is>
      </c>
      <c r="GS3" s="5" t="inlineStr">
        <is>
          <t>IVOL_ASK</t>
        </is>
      </c>
      <c r="GT3" s="5" t="inlineStr">
        <is>
          <t>DELTA_MID</t>
        </is>
      </c>
      <c r="GU3" s="5" t="inlineStr">
        <is>
          <t>GAMMA_MID</t>
        </is>
      </c>
      <c r="GV3" s="5" t="inlineStr">
        <is>
          <t>VEGA_MID</t>
        </is>
      </c>
      <c r="GW3" s="5" t="inlineStr">
        <is>
          <t>THETA_MID</t>
        </is>
      </c>
      <c r="GX3" s="5" t="inlineStr">
        <is>
          <t>OPT_UNDL_PX</t>
        </is>
      </c>
      <c r="GZ3" s="5" t="inlineStr">
        <is>
          <t>Date</t>
        </is>
      </c>
      <c r="HA3" s="5" t="inlineStr">
        <is>
          <t>PX_BID</t>
        </is>
      </c>
      <c r="HB3" s="5" t="inlineStr">
        <is>
          <t>PX_ASK</t>
        </is>
      </c>
      <c r="HC3" s="5" t="inlineStr">
        <is>
          <t>PX_MID</t>
        </is>
      </c>
      <c r="HD3" s="5" t="inlineStr">
        <is>
          <t>PX_LAST</t>
        </is>
      </c>
      <c r="HE3" s="5" t="inlineStr">
        <is>
          <t>PX_SETTLE</t>
        </is>
      </c>
      <c r="HF3" s="5" t="inlineStr">
        <is>
          <t>PX_VOLUME</t>
        </is>
      </c>
      <c r="HG3" s="5" t="inlineStr">
        <is>
          <t>OPEN_INT</t>
        </is>
      </c>
      <c r="HH3" s="5" t="inlineStr">
        <is>
          <t>IVOL_MID</t>
        </is>
      </c>
      <c r="HI3" s="5" t="inlineStr">
        <is>
          <t>IVOL_BID</t>
        </is>
      </c>
      <c r="HJ3" s="5" t="inlineStr">
        <is>
          <t>IVOL_ASK</t>
        </is>
      </c>
      <c r="HK3" s="5" t="inlineStr">
        <is>
          <t>DELTA_MID</t>
        </is>
      </c>
      <c r="HL3" s="5" t="inlineStr">
        <is>
          <t>GAMMA_MID</t>
        </is>
      </c>
      <c r="HM3" s="5" t="inlineStr">
        <is>
          <t>VEGA_MID</t>
        </is>
      </c>
      <c r="HN3" s="5" t="inlineStr">
        <is>
          <t>THETA_MID</t>
        </is>
      </c>
      <c r="HO3" s="5" t="inlineStr">
        <is>
          <t>OPT_UNDL_PX</t>
        </is>
      </c>
      <c r="HQ3" s="5" t="inlineStr">
        <is>
          <t>Date</t>
        </is>
      </c>
      <c r="HR3" s="5" t="inlineStr">
        <is>
          <t>PX_BID</t>
        </is>
      </c>
      <c r="HS3" s="5" t="inlineStr">
        <is>
          <t>PX_ASK</t>
        </is>
      </c>
      <c r="HT3" s="5" t="inlineStr">
        <is>
          <t>PX_MID</t>
        </is>
      </c>
      <c r="HU3" s="5" t="inlineStr">
        <is>
          <t>PX_LAST</t>
        </is>
      </c>
      <c r="HV3" s="5" t="inlineStr">
        <is>
          <t>PX_SETTLE</t>
        </is>
      </c>
      <c r="HW3" s="5" t="inlineStr">
        <is>
          <t>PX_VOLUME</t>
        </is>
      </c>
      <c r="HX3" s="5" t="inlineStr">
        <is>
          <t>OPEN_INT</t>
        </is>
      </c>
      <c r="HY3" s="5" t="inlineStr">
        <is>
          <t>IVOL_MID</t>
        </is>
      </c>
      <c r="HZ3" s="5" t="inlineStr">
        <is>
          <t>IVOL_BID</t>
        </is>
      </c>
      <c r="IA3" s="5" t="inlineStr">
        <is>
          <t>IVOL_ASK</t>
        </is>
      </c>
      <c r="IB3" s="5" t="inlineStr">
        <is>
          <t>DELTA_MID</t>
        </is>
      </c>
      <c r="IC3" s="5" t="inlineStr">
        <is>
          <t>GAMMA_MID</t>
        </is>
      </c>
      <c r="ID3" s="5" t="inlineStr">
        <is>
          <t>VEGA_MID</t>
        </is>
      </c>
      <c r="IE3" s="5" t="inlineStr">
        <is>
          <t>THETA_MID</t>
        </is>
      </c>
      <c r="IF3" s="5" t="inlineStr">
        <is>
          <t>OPT_UNDL_PX</t>
        </is>
      </c>
      <c r="IH3" s="5" t="inlineStr">
        <is>
          <t>Date</t>
        </is>
      </c>
      <c r="II3" s="5" t="inlineStr">
        <is>
          <t>PX_BID</t>
        </is>
      </c>
      <c r="IJ3" s="5" t="inlineStr">
        <is>
          <t>PX_ASK</t>
        </is>
      </c>
      <c r="IK3" s="5" t="inlineStr">
        <is>
          <t>PX_MID</t>
        </is>
      </c>
      <c r="IL3" s="5" t="inlineStr">
        <is>
          <t>PX_LAST</t>
        </is>
      </c>
      <c r="IM3" s="5" t="inlineStr">
        <is>
          <t>PX_SETTLE</t>
        </is>
      </c>
      <c r="IN3" s="5" t="inlineStr">
        <is>
          <t>PX_VOLUME</t>
        </is>
      </c>
      <c r="IO3" s="5" t="inlineStr">
        <is>
          <t>OPEN_INT</t>
        </is>
      </c>
      <c r="IP3" s="5" t="inlineStr">
        <is>
          <t>IVOL_MID</t>
        </is>
      </c>
      <c r="IQ3" s="5" t="inlineStr">
        <is>
          <t>IVOL_BID</t>
        </is>
      </c>
      <c r="IR3" s="5" t="inlineStr">
        <is>
          <t>IVOL_ASK</t>
        </is>
      </c>
      <c r="IS3" s="5" t="inlineStr">
        <is>
          <t>DELTA_MID</t>
        </is>
      </c>
      <c r="IT3" s="5" t="inlineStr">
        <is>
          <t>GAMMA_MID</t>
        </is>
      </c>
      <c r="IU3" s="5" t="inlineStr">
        <is>
          <t>VEGA_MID</t>
        </is>
      </c>
      <c r="IV3" s="5" t="inlineStr">
        <is>
          <t>THETA_MID</t>
        </is>
      </c>
      <c r="IW3" s="5" t="inlineStr">
        <is>
          <t>OPT_UNDL_PX</t>
        </is>
      </c>
      <c r="IY3" s="5" t="inlineStr">
        <is>
          <t>Date</t>
        </is>
      </c>
      <c r="IZ3" s="5" t="inlineStr">
        <is>
          <t>PX_BID</t>
        </is>
      </c>
      <c r="JA3" s="5" t="inlineStr">
        <is>
          <t>PX_ASK</t>
        </is>
      </c>
      <c r="JB3" s="5" t="inlineStr">
        <is>
          <t>PX_MID</t>
        </is>
      </c>
      <c r="JC3" s="5" t="inlineStr">
        <is>
          <t>PX_LAST</t>
        </is>
      </c>
      <c r="JD3" s="5" t="inlineStr">
        <is>
          <t>PX_SETTLE</t>
        </is>
      </c>
      <c r="JE3" s="5" t="inlineStr">
        <is>
          <t>PX_VOLUME</t>
        </is>
      </c>
      <c r="JF3" s="5" t="inlineStr">
        <is>
          <t>OPEN_INT</t>
        </is>
      </c>
      <c r="JG3" s="5" t="inlineStr">
        <is>
          <t>IVOL_MID</t>
        </is>
      </c>
      <c r="JH3" s="5" t="inlineStr">
        <is>
          <t>IVOL_BID</t>
        </is>
      </c>
      <c r="JI3" s="5" t="inlineStr">
        <is>
          <t>IVOL_ASK</t>
        </is>
      </c>
      <c r="JJ3" s="5" t="inlineStr">
        <is>
          <t>DELTA_MID</t>
        </is>
      </c>
      <c r="JK3" s="5" t="inlineStr">
        <is>
          <t>GAMMA_MID</t>
        </is>
      </c>
      <c r="JL3" s="5" t="inlineStr">
        <is>
          <t>VEGA_MID</t>
        </is>
      </c>
      <c r="JM3" s="5" t="inlineStr">
        <is>
          <t>THETA_MID</t>
        </is>
      </c>
      <c r="JN3" s="5" t="inlineStr">
        <is>
          <t>OPT_UNDL_PX</t>
        </is>
      </c>
      <c r="JP3" s="5" t="inlineStr">
        <is>
          <t>Date</t>
        </is>
      </c>
      <c r="JQ3" s="5" t="inlineStr">
        <is>
          <t>PX_BID</t>
        </is>
      </c>
      <c r="JR3" s="5" t="inlineStr">
        <is>
          <t>PX_ASK</t>
        </is>
      </c>
      <c r="JS3" s="5" t="inlineStr">
        <is>
          <t>PX_MID</t>
        </is>
      </c>
      <c r="JT3" s="5" t="inlineStr">
        <is>
          <t>PX_LAST</t>
        </is>
      </c>
      <c r="JU3" s="5" t="inlineStr">
        <is>
          <t>PX_SETTLE</t>
        </is>
      </c>
      <c r="JV3" s="5" t="inlineStr">
        <is>
          <t>PX_VOLUME</t>
        </is>
      </c>
      <c r="JW3" s="5" t="inlineStr">
        <is>
          <t>OPEN_INT</t>
        </is>
      </c>
      <c r="JX3" s="5" t="inlineStr">
        <is>
          <t>IVOL_MID</t>
        </is>
      </c>
      <c r="JY3" s="5" t="inlineStr">
        <is>
          <t>IVOL_BID</t>
        </is>
      </c>
      <c r="JZ3" s="5" t="inlineStr">
        <is>
          <t>IVOL_ASK</t>
        </is>
      </c>
      <c r="KA3" s="5" t="inlineStr">
        <is>
          <t>DELTA_MID</t>
        </is>
      </c>
      <c r="KB3" s="5" t="inlineStr">
        <is>
          <t>GAMMA_MID</t>
        </is>
      </c>
      <c r="KC3" s="5" t="inlineStr">
        <is>
          <t>VEGA_MID</t>
        </is>
      </c>
      <c r="KD3" s="5" t="inlineStr">
        <is>
          <t>THETA_MID</t>
        </is>
      </c>
      <c r="KE3" s="5" t="inlineStr">
        <is>
          <t>OPT_UNDL_PX</t>
        </is>
      </c>
      <c r="KG3" s="5" t="inlineStr">
        <is>
          <t>Date</t>
        </is>
      </c>
      <c r="KH3" s="5" t="inlineStr">
        <is>
          <t>PX_BID</t>
        </is>
      </c>
      <c r="KI3" s="5" t="inlineStr">
        <is>
          <t>PX_ASK</t>
        </is>
      </c>
      <c r="KJ3" s="5" t="inlineStr">
        <is>
          <t>PX_MID</t>
        </is>
      </c>
      <c r="KK3" s="5" t="inlineStr">
        <is>
          <t>PX_LAST</t>
        </is>
      </c>
      <c r="KL3" s="5" t="inlineStr">
        <is>
          <t>PX_SETTLE</t>
        </is>
      </c>
      <c r="KM3" s="5" t="inlineStr">
        <is>
          <t>PX_VOLUME</t>
        </is>
      </c>
      <c r="KN3" s="5" t="inlineStr">
        <is>
          <t>OPEN_INT</t>
        </is>
      </c>
      <c r="KO3" s="5" t="inlineStr">
        <is>
          <t>IVOL_MID</t>
        </is>
      </c>
      <c r="KP3" s="5" t="inlineStr">
        <is>
          <t>IVOL_BID</t>
        </is>
      </c>
      <c r="KQ3" s="5" t="inlineStr">
        <is>
          <t>IVOL_ASK</t>
        </is>
      </c>
      <c r="KR3" s="5" t="inlineStr">
        <is>
          <t>DELTA_MID</t>
        </is>
      </c>
      <c r="KS3" s="5" t="inlineStr">
        <is>
          <t>GAMMA_MID</t>
        </is>
      </c>
      <c r="KT3" s="5" t="inlineStr">
        <is>
          <t>VEGA_MID</t>
        </is>
      </c>
      <c r="KU3" s="5" t="inlineStr">
        <is>
          <t>THETA_MID</t>
        </is>
      </c>
      <c r="KV3" s="5" t="inlineStr">
        <is>
          <t>OPT_UNDL_PX</t>
        </is>
      </c>
      <c r="KX3" s="5" t="inlineStr">
        <is>
          <t>Date</t>
        </is>
      </c>
      <c r="KY3" s="5" t="inlineStr">
        <is>
          <t>PX_BID</t>
        </is>
      </c>
      <c r="KZ3" s="5" t="inlineStr">
        <is>
          <t>PX_ASK</t>
        </is>
      </c>
      <c r="LA3" s="5" t="inlineStr">
        <is>
          <t>PX_MID</t>
        </is>
      </c>
      <c r="LB3" s="5" t="inlineStr">
        <is>
          <t>PX_LAST</t>
        </is>
      </c>
      <c r="LC3" s="5" t="inlineStr">
        <is>
          <t>PX_SETTLE</t>
        </is>
      </c>
      <c r="LD3" s="5" t="inlineStr">
        <is>
          <t>PX_VOLUME</t>
        </is>
      </c>
      <c r="LE3" s="5" t="inlineStr">
        <is>
          <t>OPEN_INT</t>
        </is>
      </c>
      <c r="LF3" s="5" t="inlineStr">
        <is>
          <t>IVOL_MID</t>
        </is>
      </c>
      <c r="LG3" s="5" t="inlineStr">
        <is>
          <t>IVOL_BID</t>
        </is>
      </c>
      <c r="LH3" s="5" t="inlineStr">
        <is>
          <t>IVOL_ASK</t>
        </is>
      </c>
      <c r="LI3" s="5" t="inlineStr">
        <is>
          <t>DELTA_MID</t>
        </is>
      </c>
      <c r="LJ3" s="5" t="inlineStr">
        <is>
          <t>GAMMA_MID</t>
        </is>
      </c>
      <c r="LK3" s="5" t="inlineStr">
        <is>
          <t>VEGA_MID</t>
        </is>
      </c>
      <c r="LL3" s="5" t="inlineStr">
        <is>
          <t>THETA_MID</t>
        </is>
      </c>
      <c r="LM3" s="5" t="inlineStr">
        <is>
          <t>OPT_UNDL_PX</t>
        </is>
      </c>
      <c r="LO3" s="5" t="inlineStr">
        <is>
          <t>Date</t>
        </is>
      </c>
      <c r="LP3" s="5" t="inlineStr">
        <is>
          <t>PX_BID</t>
        </is>
      </c>
      <c r="LQ3" s="5" t="inlineStr">
        <is>
          <t>PX_ASK</t>
        </is>
      </c>
      <c r="LR3" s="5" t="inlineStr">
        <is>
          <t>PX_MID</t>
        </is>
      </c>
      <c r="LS3" s="5" t="inlineStr">
        <is>
          <t>PX_LAST</t>
        </is>
      </c>
      <c r="LT3" s="5" t="inlineStr">
        <is>
          <t>PX_SETTLE</t>
        </is>
      </c>
      <c r="LU3" s="5" t="inlineStr">
        <is>
          <t>PX_VOLUME</t>
        </is>
      </c>
      <c r="LV3" s="5" t="inlineStr">
        <is>
          <t>OPEN_INT</t>
        </is>
      </c>
      <c r="LW3" s="5" t="inlineStr">
        <is>
          <t>IVOL_MID</t>
        </is>
      </c>
      <c r="LX3" s="5" t="inlineStr">
        <is>
          <t>IVOL_BID</t>
        </is>
      </c>
      <c r="LY3" s="5" t="inlineStr">
        <is>
          <t>IVOL_ASK</t>
        </is>
      </c>
      <c r="LZ3" s="5" t="inlineStr">
        <is>
          <t>DELTA_MID</t>
        </is>
      </c>
      <c r="MA3" s="5" t="inlineStr">
        <is>
          <t>GAMMA_MID</t>
        </is>
      </c>
      <c r="MB3" s="5" t="inlineStr">
        <is>
          <t>VEGA_MID</t>
        </is>
      </c>
      <c r="MC3" s="5" t="inlineStr">
        <is>
          <t>THETA_MID</t>
        </is>
      </c>
      <c r="MD3" s="5" t="inlineStr">
        <is>
          <t>OPT_UNDL_PX</t>
        </is>
      </c>
      <c r="MF3" s="5" t="inlineStr">
        <is>
          <t>Date</t>
        </is>
      </c>
      <c r="MG3" s="5" t="inlineStr">
        <is>
          <t>PX_BID</t>
        </is>
      </c>
      <c r="MH3" s="5" t="inlineStr">
        <is>
          <t>PX_ASK</t>
        </is>
      </c>
      <c r="MI3" s="5" t="inlineStr">
        <is>
          <t>PX_MID</t>
        </is>
      </c>
      <c r="MJ3" s="5" t="inlineStr">
        <is>
          <t>PX_LAST</t>
        </is>
      </c>
      <c r="MK3" s="5" t="inlineStr">
        <is>
          <t>PX_SETTLE</t>
        </is>
      </c>
      <c r="ML3" s="5" t="inlineStr">
        <is>
          <t>PX_VOLUME</t>
        </is>
      </c>
      <c r="MM3" s="5" t="inlineStr">
        <is>
          <t>OPEN_INT</t>
        </is>
      </c>
      <c r="MN3" s="5" t="inlineStr">
        <is>
          <t>IVOL_MID</t>
        </is>
      </c>
      <c r="MO3" s="5" t="inlineStr">
        <is>
          <t>IVOL_BID</t>
        </is>
      </c>
      <c r="MP3" s="5" t="inlineStr">
        <is>
          <t>IVOL_ASK</t>
        </is>
      </c>
      <c r="MQ3" s="5" t="inlineStr">
        <is>
          <t>DELTA_MID</t>
        </is>
      </c>
      <c r="MR3" s="5" t="inlineStr">
        <is>
          <t>GAMMA_MID</t>
        </is>
      </c>
      <c r="MS3" s="5" t="inlineStr">
        <is>
          <t>VEGA_MID</t>
        </is>
      </c>
      <c r="MT3" s="5" t="inlineStr">
        <is>
          <t>THETA_MID</t>
        </is>
      </c>
      <c r="MU3" s="5" t="inlineStr">
        <is>
          <t>OPT_UNDL_PX</t>
        </is>
      </c>
      <c r="MW3" s="5" t="inlineStr">
        <is>
          <t>Date</t>
        </is>
      </c>
      <c r="MX3" s="5" t="inlineStr">
        <is>
          <t>PX_BID</t>
        </is>
      </c>
      <c r="MY3" s="5" t="inlineStr">
        <is>
          <t>PX_ASK</t>
        </is>
      </c>
      <c r="MZ3" s="5" t="inlineStr">
        <is>
          <t>PX_MID</t>
        </is>
      </c>
      <c r="NA3" s="5" t="inlineStr">
        <is>
          <t>PX_LAST</t>
        </is>
      </c>
      <c r="NB3" s="5" t="inlineStr">
        <is>
          <t>PX_SETTLE</t>
        </is>
      </c>
      <c r="NC3" s="5" t="inlineStr">
        <is>
          <t>PX_VOLUME</t>
        </is>
      </c>
      <c r="ND3" s="5" t="inlineStr">
        <is>
          <t>OPEN_INT</t>
        </is>
      </c>
      <c r="NE3" s="5" t="inlineStr">
        <is>
          <t>IVOL_MID</t>
        </is>
      </c>
      <c r="NF3" s="5" t="inlineStr">
        <is>
          <t>IVOL_BID</t>
        </is>
      </c>
      <c r="NG3" s="5" t="inlineStr">
        <is>
          <t>IVOL_ASK</t>
        </is>
      </c>
      <c r="NH3" s="5" t="inlineStr">
        <is>
          <t>DELTA_MID</t>
        </is>
      </c>
      <c r="NI3" s="5" t="inlineStr">
        <is>
          <t>GAMMA_MID</t>
        </is>
      </c>
      <c r="NJ3" s="5" t="inlineStr">
        <is>
          <t>VEGA_MID</t>
        </is>
      </c>
      <c r="NK3" s="5" t="inlineStr">
        <is>
          <t>THETA_MID</t>
        </is>
      </c>
      <c r="NL3" s="5" t="inlineStr">
        <is>
          <t>OPT_UNDL_PX</t>
        </is>
      </c>
    </row>
    <row r="4">
      <c r="A4" s="2" t="inlineStr">
        <is>
          <t>Strike reference date</t>
        </is>
      </c>
      <c r="B4" s="8">
        <f>B3-45</f>
        <v/>
      </c>
      <c r="D4" s="4">
        <f>BDH(D$1,E$3:S$3,$B$8,$B$9,"Dir=V","Dts=S","Sort=A","Days=T","Fill=B")</f>
        <v/>
      </c>
      <c r="U4" s="4">
        <f>BDH(U$1,V$3:AJ$3,$B$8,$B$9,"Dir=V","Dts=S","Sort=A","Days=T","Fill=B")</f>
        <v/>
      </c>
      <c r="AL4" s="4">
        <f>BDH(AL$1,AM$3:BA$3,$B$8,$B$9,"Dir=V","Dts=S","Sort=A","Days=T","Fill=B")</f>
        <v/>
      </c>
      <c r="BC4" s="4">
        <f>BDH(BC$1,BD$3:BR$3,$B$8,$B$9,"Dir=V","Dts=S","Sort=A","Days=T","Fill=B")</f>
        <v/>
      </c>
      <c r="BT4" s="4">
        <f>BDH(BT$1,BU$3:CI$3,$B$8,$B$9,"Dir=V","Dts=S","Sort=A","Days=T","Fill=B")</f>
        <v/>
      </c>
      <c r="CK4" s="4">
        <f>BDH(CK$1,CL$3:CZ$3,$B$8,$B$9,"Dir=V","Dts=S","Sort=A","Days=T","Fill=B")</f>
        <v/>
      </c>
      <c r="DB4" s="4">
        <f>BDH(DB$1,DC$3:DQ$3,$B$8,$B$9,"Dir=V","Dts=S","Sort=A","Days=T","Fill=B")</f>
        <v/>
      </c>
      <c r="DS4" s="4">
        <f>BDH(DS$1,DT$3:EH$3,$B$8,$B$9,"Dir=V","Dts=S","Sort=A","Days=T","Fill=B")</f>
        <v/>
      </c>
      <c r="EJ4" s="4">
        <f>BDH(EJ$1,EK$3:EY$3,$B$8,$B$9,"Dir=V","Dts=S","Sort=A","Days=T","Fill=B")</f>
        <v/>
      </c>
      <c r="FA4" s="4">
        <f>BDH(FA$1,FB$3:FP$3,$B$8,$B$9,"Dir=V","Dts=S","Sort=A","Days=T","Fill=B")</f>
        <v/>
      </c>
      <c r="FR4" s="4">
        <f>BDH(FR$1,FS$3:GG$3,$B$8,$B$9,"Dir=V","Dts=S","Sort=A","Days=T","Fill=B")</f>
        <v/>
      </c>
      <c r="GI4" s="4">
        <f>BDH(GI$1,GJ$3:GX$3,$B$8,$B$9,"Dir=V","Dts=S","Sort=A","Days=T","Fill=B")</f>
        <v/>
      </c>
      <c r="GZ4" s="4">
        <f>BDH(GZ$1,HA$3:HO$3,$B$8,$B$9,"Dir=V","Dts=S","Sort=A","Days=T","Fill=B")</f>
        <v/>
      </c>
      <c r="HQ4" s="4">
        <f>BDH(HQ$1,HR$3:IF$3,$B$8,$B$9,"Dir=V","Dts=S","Sort=A","Days=T","Fill=B")</f>
        <v/>
      </c>
      <c r="IH4" s="4">
        <f>BDH(IH$1,II$3:IW$3,$B$8,$B$9,"Dir=V","Dts=S","Sort=A","Days=T","Fill=B")</f>
        <v/>
      </c>
      <c r="IY4" s="4">
        <f>BDH(IY$1,IZ$3:JN$3,$B$8,$B$9,"Dir=V","Dts=S","Sort=A","Days=T","Fill=B")</f>
        <v/>
      </c>
      <c r="JP4" s="4">
        <f>BDH(JP$1,JQ$3:KE$3,$B$8,$B$9,"Dir=V","Dts=S","Sort=A","Days=T","Fill=B")</f>
        <v/>
      </c>
      <c r="KG4" s="4">
        <f>BDH(KG$1,KH$3:KV$3,$B$8,$B$9,"Dir=V","Dts=S","Sort=A","Days=T","Fill=B")</f>
        <v/>
      </c>
      <c r="KX4" s="4">
        <f>BDH(KX$1,KY$3:LM$3,$B$8,$B$9,"Dir=V","Dts=S","Sort=A","Days=T","Fill=B")</f>
        <v/>
      </c>
      <c r="LO4" s="4">
        <f>BDH(LO$1,LP$3:MD$3,$B$8,$B$9,"Dir=V","Dts=S","Sort=A","Days=T","Fill=B")</f>
        <v/>
      </c>
      <c r="MF4" s="4">
        <f>BDH(MF$1,MG$3:MU$3,$B$8,$B$9,"Dir=V","Dts=S","Sort=A","Days=T","Fill=B")</f>
        <v/>
      </c>
      <c r="MW4" s="4">
        <f>BDH(MW$1,MX$3:NL$3,$B$8,$B$9,"Dir=V","Dts=S","Sort=A","Days=T","Fill=B")</f>
        <v/>
      </c>
    </row>
    <row r="5">
      <c r="A5" s="2" t="inlineStr">
        <is>
          <t>Unadjusted close then</t>
        </is>
      </c>
      <c r="B5" s="10">
        <f>IF(B2="","",BDH(B2,"PX_LAST",B4,B4,"Days=A","Fill=P","Dts=H","CshAdjNormal=N","CshAdjAbnormal=N","CapChg=N"))</f>
        <v/>
      </c>
    </row>
    <row r="6">
      <c r="A6" s="2" t="inlineStr">
        <is>
          <t>Strike step</t>
        </is>
      </c>
      <c r="B6" s="11">
        <f>IF(ISNUMBER(B5),IF(B5&lt;25,0.5,IF(B5&lt;250,1,5)),"")</f>
        <v/>
      </c>
    </row>
    <row r="7">
      <c r="A7" s="2" t="inlineStr">
        <is>
          <t>ATM strike</t>
        </is>
      </c>
      <c r="B7" s="11">
        <f>IF(ISNUMBER(B5),ROUND(B5/B6,0)*B6,"")</f>
        <v/>
      </c>
    </row>
    <row r="8">
      <c r="A8" s="2" t="inlineStr">
        <is>
          <t>History start</t>
        </is>
      </c>
      <c r="B8" s="8">
        <f>B3-100</f>
        <v/>
      </c>
    </row>
    <row r="9">
      <c r="A9" s="2" t="inlineStr">
        <is>
          <t>History end</t>
        </is>
      </c>
      <c r="B9" s="8">
        <f>B3</f>
        <v/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NL9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2" customWidth="1" min="2" max="2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1" customWidth="1" min="15" max="15"/>
    <col width="11" customWidth="1" min="16" max="16"/>
    <col width="10" customWidth="1" min="17" max="17"/>
    <col width="11" customWidth="1" min="18" max="18"/>
    <col width="13" customWidth="1" min="19" max="19"/>
    <col width="12" customWidth="1" min="21" max="21"/>
    <col width="10" customWidth="1" min="22" max="22"/>
    <col width="10" customWidth="1" min="23" max="23"/>
    <col width="10" customWidth="1" min="24" max="24"/>
    <col width="10" customWidth="1" min="25" max="25"/>
    <col width="11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1" customWidth="1" min="32" max="32"/>
    <col width="11" customWidth="1" min="33" max="33"/>
    <col width="10" customWidth="1" min="34" max="34"/>
    <col width="11" customWidth="1" min="35" max="35"/>
    <col width="13" customWidth="1" min="36" max="36"/>
    <col width="12" customWidth="1" min="38" max="38"/>
    <col width="10" customWidth="1" min="39" max="39"/>
    <col width="10" customWidth="1" min="40" max="40"/>
    <col width="10" customWidth="1" min="41" max="41"/>
    <col width="10" customWidth="1" min="42" max="42"/>
    <col width="11" customWidth="1" min="43" max="43"/>
    <col width="11" customWidth="1" min="44" max="44"/>
    <col width="10" customWidth="1" min="45" max="45"/>
    <col width="10" customWidth="1" min="46" max="46"/>
    <col width="10" customWidth="1" min="47" max="47"/>
    <col width="10" customWidth="1" min="48" max="48"/>
    <col width="11" customWidth="1" min="49" max="49"/>
    <col width="11" customWidth="1" min="50" max="50"/>
    <col width="10" customWidth="1" min="51" max="51"/>
    <col width="11" customWidth="1" min="52" max="52"/>
    <col width="13" customWidth="1" min="53" max="53"/>
    <col width="12" customWidth="1" min="55" max="55"/>
    <col width="10" customWidth="1" min="56" max="56"/>
    <col width="10" customWidth="1" min="57" max="57"/>
    <col width="10" customWidth="1" min="58" max="58"/>
    <col width="10" customWidth="1" min="59" max="59"/>
    <col width="11" customWidth="1" min="60" max="60"/>
    <col width="11" customWidth="1" min="61" max="61"/>
    <col width="10" customWidth="1" min="62" max="62"/>
    <col width="10" customWidth="1" min="63" max="63"/>
    <col width="10" customWidth="1" min="64" max="64"/>
    <col width="10" customWidth="1" min="65" max="65"/>
    <col width="11" customWidth="1" min="66" max="66"/>
    <col width="11" customWidth="1" min="67" max="67"/>
    <col width="10" customWidth="1" min="68" max="68"/>
    <col width="11" customWidth="1" min="69" max="69"/>
    <col width="13" customWidth="1" min="70" max="70"/>
    <col width="12" customWidth="1" min="72" max="72"/>
    <col width="10" customWidth="1" min="73" max="73"/>
    <col width="10" customWidth="1" min="74" max="74"/>
    <col width="10" customWidth="1" min="75" max="75"/>
    <col width="10" customWidth="1" min="76" max="76"/>
    <col width="11" customWidth="1" min="77" max="77"/>
    <col width="11" customWidth="1" min="78" max="78"/>
    <col width="10" customWidth="1" min="79" max="79"/>
    <col width="10" customWidth="1" min="80" max="80"/>
    <col width="10" customWidth="1" min="81" max="81"/>
    <col width="10" customWidth="1" min="82" max="82"/>
    <col width="11" customWidth="1" min="83" max="83"/>
    <col width="11" customWidth="1" min="84" max="84"/>
    <col width="10" customWidth="1" min="85" max="85"/>
    <col width="11" customWidth="1" min="86" max="86"/>
    <col width="13" customWidth="1" min="87" max="87"/>
    <col width="12" customWidth="1" min="89" max="89"/>
    <col width="10" customWidth="1" min="90" max="90"/>
    <col width="10" customWidth="1" min="91" max="91"/>
    <col width="10" customWidth="1" min="92" max="92"/>
    <col width="10" customWidth="1" min="93" max="93"/>
    <col width="11" customWidth="1" min="94" max="94"/>
    <col width="11" customWidth="1" min="95" max="95"/>
    <col width="10" customWidth="1" min="96" max="96"/>
    <col width="10" customWidth="1" min="97" max="97"/>
    <col width="10" customWidth="1" min="98" max="98"/>
    <col width="10" customWidth="1" min="99" max="99"/>
    <col width="11" customWidth="1" min="100" max="100"/>
    <col width="11" customWidth="1" min="101" max="101"/>
    <col width="10" customWidth="1" min="102" max="102"/>
    <col width="11" customWidth="1" min="103" max="103"/>
    <col width="13" customWidth="1" min="104" max="104"/>
    <col width="12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1" customWidth="1" min="111" max="111"/>
    <col width="11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1" customWidth="1" min="117" max="117"/>
    <col width="11" customWidth="1" min="118" max="118"/>
    <col width="10" customWidth="1" min="119" max="119"/>
    <col width="11" customWidth="1" min="120" max="120"/>
    <col width="13" customWidth="1" min="121" max="121"/>
    <col width="12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1" customWidth="1" min="128" max="128"/>
    <col width="11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1" customWidth="1" min="134" max="134"/>
    <col width="11" customWidth="1" min="135" max="135"/>
    <col width="10" customWidth="1" min="136" max="136"/>
    <col width="11" customWidth="1" min="137" max="137"/>
    <col width="13" customWidth="1" min="138" max="138"/>
    <col width="12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1" customWidth="1" min="145" max="145"/>
    <col width="11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1" customWidth="1" min="151" max="151"/>
    <col width="11" customWidth="1" min="152" max="152"/>
    <col width="10" customWidth="1" min="153" max="153"/>
    <col width="11" customWidth="1" min="154" max="154"/>
    <col width="13" customWidth="1" min="155" max="155"/>
    <col width="12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1" customWidth="1" min="162" max="162"/>
    <col width="11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1" customWidth="1" min="168" max="168"/>
    <col width="11" customWidth="1" min="169" max="169"/>
    <col width="10" customWidth="1" min="170" max="170"/>
    <col width="11" customWidth="1" min="171" max="171"/>
    <col width="13" customWidth="1" min="172" max="172"/>
    <col width="12" customWidth="1" min="174" max="174"/>
    <col width="10" customWidth="1" min="175" max="175"/>
    <col width="10" customWidth="1" min="176" max="176"/>
    <col width="10" customWidth="1" min="177" max="177"/>
    <col width="10" customWidth="1" min="178" max="178"/>
    <col width="11" customWidth="1" min="179" max="179"/>
    <col width="11" customWidth="1" min="180" max="180"/>
    <col width="10" customWidth="1" min="181" max="181"/>
    <col width="10" customWidth="1" min="182" max="182"/>
    <col width="10" customWidth="1" min="183" max="183"/>
    <col width="10" customWidth="1" min="184" max="184"/>
    <col width="11" customWidth="1" min="185" max="185"/>
    <col width="11" customWidth="1" min="186" max="186"/>
    <col width="10" customWidth="1" min="187" max="187"/>
    <col width="11" customWidth="1" min="188" max="188"/>
    <col width="13" customWidth="1" min="189" max="189"/>
    <col width="12" customWidth="1" min="191" max="191"/>
    <col width="10" customWidth="1" min="192" max="192"/>
    <col width="10" customWidth="1" min="193" max="193"/>
    <col width="10" customWidth="1" min="194" max="194"/>
    <col width="10" customWidth="1" min="195" max="195"/>
    <col width="11" customWidth="1" min="196" max="196"/>
    <col width="11" customWidth="1" min="197" max="197"/>
    <col width="10" customWidth="1" min="198" max="198"/>
    <col width="10" customWidth="1" min="199" max="199"/>
    <col width="10" customWidth="1" min="200" max="200"/>
    <col width="10" customWidth="1" min="201" max="201"/>
    <col width="11" customWidth="1" min="202" max="202"/>
    <col width="11" customWidth="1" min="203" max="203"/>
    <col width="10" customWidth="1" min="204" max="204"/>
    <col width="11" customWidth="1" min="205" max="205"/>
    <col width="13" customWidth="1" min="206" max="206"/>
    <col width="12" customWidth="1" min="208" max="208"/>
    <col width="10" customWidth="1" min="209" max="209"/>
    <col width="10" customWidth="1" min="210" max="210"/>
    <col width="10" customWidth="1" min="211" max="211"/>
    <col width="10" customWidth="1" min="212" max="212"/>
    <col width="11" customWidth="1" min="213" max="213"/>
    <col width="11" customWidth="1" min="214" max="214"/>
    <col width="10" customWidth="1" min="215" max="215"/>
    <col width="10" customWidth="1" min="216" max="216"/>
    <col width="10" customWidth="1" min="217" max="217"/>
    <col width="10" customWidth="1" min="218" max="218"/>
    <col width="11" customWidth="1" min="219" max="219"/>
    <col width="11" customWidth="1" min="220" max="220"/>
    <col width="10" customWidth="1" min="221" max="221"/>
    <col width="11" customWidth="1" min="222" max="222"/>
    <col width="13" customWidth="1" min="223" max="223"/>
    <col width="12" customWidth="1" min="225" max="225"/>
    <col width="10" customWidth="1" min="226" max="226"/>
    <col width="10" customWidth="1" min="227" max="227"/>
    <col width="10" customWidth="1" min="228" max="228"/>
    <col width="10" customWidth="1" min="229" max="229"/>
    <col width="11" customWidth="1" min="230" max="230"/>
    <col width="11" customWidth="1" min="231" max="231"/>
    <col width="10" customWidth="1" min="232" max="232"/>
    <col width="10" customWidth="1" min="233" max="233"/>
    <col width="10" customWidth="1" min="234" max="234"/>
    <col width="10" customWidth="1" min="235" max="235"/>
    <col width="11" customWidth="1" min="236" max="236"/>
    <col width="11" customWidth="1" min="237" max="237"/>
    <col width="10" customWidth="1" min="238" max="238"/>
    <col width="11" customWidth="1" min="239" max="239"/>
    <col width="13" customWidth="1" min="240" max="240"/>
    <col width="12" customWidth="1" min="242" max="242"/>
    <col width="10" customWidth="1" min="243" max="243"/>
    <col width="10" customWidth="1" min="244" max="244"/>
    <col width="10" customWidth="1" min="245" max="245"/>
    <col width="10" customWidth="1" min="246" max="246"/>
    <col width="11" customWidth="1" min="247" max="247"/>
    <col width="11" customWidth="1" min="248" max="248"/>
    <col width="10" customWidth="1" min="249" max="249"/>
    <col width="10" customWidth="1" min="250" max="250"/>
    <col width="10" customWidth="1" min="251" max="251"/>
    <col width="10" customWidth="1" min="252" max="252"/>
    <col width="11" customWidth="1" min="253" max="253"/>
    <col width="11" customWidth="1" min="254" max="254"/>
    <col width="10" customWidth="1" min="255" max="255"/>
    <col width="11" customWidth="1" min="256" max="256"/>
    <col width="13" customWidth="1" min="257" max="257"/>
    <col width="12" customWidth="1" min="259" max="259"/>
    <col width="10" customWidth="1" min="260" max="260"/>
    <col width="10" customWidth="1" min="261" max="261"/>
    <col width="10" customWidth="1" min="262" max="262"/>
    <col width="10" customWidth="1" min="263" max="263"/>
    <col width="11" customWidth="1" min="264" max="264"/>
    <col width="11" customWidth="1" min="265" max="265"/>
    <col width="10" customWidth="1" min="266" max="266"/>
    <col width="10" customWidth="1" min="267" max="267"/>
    <col width="10" customWidth="1" min="268" max="268"/>
    <col width="10" customWidth="1" min="269" max="269"/>
    <col width="11" customWidth="1" min="270" max="270"/>
    <col width="11" customWidth="1" min="271" max="271"/>
    <col width="10" customWidth="1" min="272" max="272"/>
    <col width="11" customWidth="1" min="273" max="273"/>
    <col width="13" customWidth="1" min="274" max="274"/>
    <col width="12" customWidth="1" min="276" max="276"/>
    <col width="10" customWidth="1" min="277" max="277"/>
    <col width="10" customWidth="1" min="278" max="278"/>
    <col width="10" customWidth="1" min="279" max="279"/>
    <col width="10" customWidth="1" min="280" max="280"/>
    <col width="11" customWidth="1" min="281" max="281"/>
    <col width="11" customWidth="1" min="282" max="282"/>
    <col width="10" customWidth="1" min="283" max="283"/>
    <col width="10" customWidth="1" min="284" max="284"/>
    <col width="10" customWidth="1" min="285" max="285"/>
    <col width="10" customWidth="1" min="286" max="286"/>
    <col width="11" customWidth="1" min="287" max="287"/>
    <col width="11" customWidth="1" min="288" max="288"/>
    <col width="10" customWidth="1" min="289" max="289"/>
    <col width="11" customWidth="1" min="290" max="290"/>
    <col width="13" customWidth="1" min="291" max="291"/>
    <col width="12" customWidth="1" min="293" max="293"/>
    <col width="10" customWidth="1" min="294" max="294"/>
    <col width="10" customWidth="1" min="295" max="295"/>
    <col width="10" customWidth="1" min="296" max="296"/>
    <col width="10" customWidth="1" min="297" max="297"/>
    <col width="11" customWidth="1" min="298" max="298"/>
    <col width="11" customWidth="1" min="299" max="299"/>
    <col width="10" customWidth="1" min="300" max="300"/>
    <col width="10" customWidth="1" min="301" max="301"/>
    <col width="10" customWidth="1" min="302" max="302"/>
    <col width="10" customWidth="1" min="303" max="303"/>
    <col width="11" customWidth="1" min="304" max="304"/>
    <col width="11" customWidth="1" min="305" max="305"/>
    <col width="10" customWidth="1" min="306" max="306"/>
    <col width="11" customWidth="1" min="307" max="307"/>
    <col width="13" customWidth="1" min="308" max="308"/>
    <col width="12" customWidth="1" min="310" max="310"/>
    <col width="10" customWidth="1" min="311" max="311"/>
    <col width="10" customWidth="1" min="312" max="312"/>
    <col width="10" customWidth="1" min="313" max="313"/>
    <col width="10" customWidth="1" min="314" max="314"/>
    <col width="11" customWidth="1" min="315" max="315"/>
    <col width="11" customWidth="1" min="316" max="316"/>
    <col width="10" customWidth="1" min="317" max="317"/>
    <col width="10" customWidth="1" min="318" max="318"/>
    <col width="10" customWidth="1" min="319" max="319"/>
    <col width="10" customWidth="1" min="320" max="320"/>
    <col width="11" customWidth="1" min="321" max="321"/>
    <col width="11" customWidth="1" min="322" max="322"/>
    <col width="10" customWidth="1" min="323" max="323"/>
    <col width="11" customWidth="1" min="324" max="324"/>
    <col width="13" customWidth="1" min="325" max="325"/>
    <col width="12" customWidth="1" min="327" max="327"/>
    <col width="10" customWidth="1" min="328" max="328"/>
    <col width="10" customWidth="1" min="329" max="329"/>
    <col width="10" customWidth="1" min="330" max="330"/>
    <col width="10" customWidth="1" min="331" max="331"/>
    <col width="11" customWidth="1" min="332" max="332"/>
    <col width="11" customWidth="1" min="333" max="333"/>
    <col width="10" customWidth="1" min="334" max="334"/>
    <col width="10" customWidth="1" min="335" max="335"/>
    <col width="10" customWidth="1" min="336" max="336"/>
    <col width="10" customWidth="1" min="337" max="337"/>
    <col width="11" customWidth="1" min="338" max="338"/>
    <col width="11" customWidth="1" min="339" max="339"/>
    <col width="10" customWidth="1" min="340" max="340"/>
    <col width="11" customWidth="1" min="341" max="341"/>
    <col width="13" customWidth="1" min="342" max="342"/>
    <col width="12" customWidth="1" min="344" max="344"/>
    <col width="10" customWidth="1" min="345" max="345"/>
    <col width="10" customWidth="1" min="346" max="346"/>
    <col width="10" customWidth="1" min="347" max="347"/>
    <col width="10" customWidth="1" min="348" max="348"/>
    <col width="11" customWidth="1" min="349" max="349"/>
    <col width="11" customWidth="1" min="350" max="350"/>
    <col width="10" customWidth="1" min="351" max="351"/>
    <col width="10" customWidth="1" min="352" max="352"/>
    <col width="10" customWidth="1" min="353" max="353"/>
    <col width="10" customWidth="1" min="354" max="354"/>
    <col width="11" customWidth="1" min="355" max="355"/>
    <col width="11" customWidth="1" min="356" max="356"/>
    <col width="10" customWidth="1" min="357" max="357"/>
    <col width="11" customWidth="1" min="358" max="358"/>
    <col width="13" customWidth="1" min="359" max="359"/>
    <col width="12" customWidth="1" min="361" max="361"/>
    <col width="10" customWidth="1" min="362" max="362"/>
    <col width="10" customWidth="1" min="363" max="363"/>
    <col width="10" customWidth="1" min="364" max="364"/>
    <col width="10" customWidth="1" min="365" max="365"/>
    <col width="11" customWidth="1" min="366" max="366"/>
    <col width="11" customWidth="1" min="367" max="367"/>
    <col width="10" customWidth="1" min="368" max="368"/>
    <col width="10" customWidth="1" min="369" max="369"/>
    <col width="10" customWidth="1" min="370" max="370"/>
    <col width="10" customWidth="1" min="371" max="371"/>
    <col width="11" customWidth="1" min="372" max="372"/>
    <col width="11" customWidth="1" min="373" max="373"/>
    <col width="10" customWidth="1" min="374" max="374"/>
    <col width="11" customWidth="1" min="375" max="375"/>
    <col width="13" customWidth="1" min="376" max="376"/>
  </cols>
  <sheetData>
    <row r="1">
      <c r="A1" s="2" t="inlineStr">
        <is>
          <t>Month</t>
        </is>
      </c>
      <c r="B1" s="9" t="n">
        <v>1</v>
      </c>
      <c r="D1" s="2">
        <f>IF(ISNUMBER(B$7),"DAL US "&amp;TEXT(B$3,"mm/dd/yy")&amp;" C"&amp;(B$7-5*B$6)&amp;" Equity","")</f>
        <v/>
      </c>
      <c r="U1" s="2">
        <f>IF(ISNUMBER(B$7),"DAL US "&amp;TEXT(B$3,"mm/dd/yy")&amp;" P"&amp;(B$7-5*B$6)&amp;" Equity","")</f>
        <v/>
      </c>
      <c r="AL1" s="2">
        <f>IF(ISNUMBER(B$7),"DAL US "&amp;TEXT(B$3,"mm/dd/yy")&amp;" C"&amp;(B$7-4*B$6)&amp;" Equity","")</f>
        <v/>
      </c>
      <c r="BC1" s="2">
        <f>IF(ISNUMBER(B$7),"DAL US "&amp;TEXT(B$3,"mm/dd/yy")&amp;" P"&amp;(B$7-4*B$6)&amp;" Equity","")</f>
        <v/>
      </c>
      <c r="BT1" s="2">
        <f>IF(ISNUMBER(B$7),"DAL US "&amp;TEXT(B$3,"mm/dd/yy")&amp;" C"&amp;(B$7-3*B$6)&amp;" Equity","")</f>
        <v/>
      </c>
      <c r="CK1" s="2">
        <f>IF(ISNUMBER(B$7),"DAL US "&amp;TEXT(B$3,"mm/dd/yy")&amp;" P"&amp;(B$7-3*B$6)&amp;" Equity","")</f>
        <v/>
      </c>
      <c r="DB1" s="2">
        <f>IF(ISNUMBER(B$7),"DAL US "&amp;TEXT(B$3,"mm/dd/yy")&amp;" C"&amp;(B$7-2*B$6)&amp;" Equity","")</f>
        <v/>
      </c>
      <c r="DS1" s="2">
        <f>IF(ISNUMBER(B$7),"DAL US "&amp;TEXT(B$3,"mm/dd/yy")&amp;" P"&amp;(B$7-2*B$6)&amp;" Equity","")</f>
        <v/>
      </c>
      <c r="EJ1" s="2">
        <f>IF(ISNUMBER(B$7),"DAL US "&amp;TEXT(B$3,"mm/dd/yy")&amp;" C"&amp;(B$7-1*B$6)&amp;" Equity","")</f>
        <v/>
      </c>
      <c r="FA1" s="2">
        <f>IF(ISNUMBER(B$7),"DAL US "&amp;TEXT(B$3,"mm/dd/yy")&amp;" P"&amp;(B$7-1*B$6)&amp;" Equity","")</f>
        <v/>
      </c>
      <c r="FR1" s="2">
        <f>IF(ISNUMBER(B$7),"DAL US "&amp;TEXT(B$3,"mm/dd/yy")&amp;" C"&amp;B$7&amp;" Equity","")</f>
        <v/>
      </c>
      <c r="GI1" s="2">
        <f>IF(ISNUMBER(B$7),"DAL US "&amp;TEXT(B$3,"mm/dd/yy")&amp;" P"&amp;B$7&amp;" Equity","")</f>
        <v/>
      </c>
      <c r="GZ1" s="2">
        <f>IF(ISNUMBER(B$7),"DAL US "&amp;TEXT(B$3,"mm/dd/yy")&amp;" C"&amp;(B$7+1*B$6)&amp;" Equity","")</f>
        <v/>
      </c>
      <c r="HQ1" s="2">
        <f>IF(ISNUMBER(B$7),"DAL US "&amp;TEXT(B$3,"mm/dd/yy")&amp;" P"&amp;(B$7+1*B$6)&amp;" Equity","")</f>
        <v/>
      </c>
      <c r="IH1" s="2">
        <f>IF(ISNUMBER(B$7),"DAL US "&amp;TEXT(B$3,"mm/dd/yy")&amp;" C"&amp;(B$7+2*B$6)&amp;" Equity","")</f>
        <v/>
      </c>
      <c r="IY1" s="2">
        <f>IF(ISNUMBER(B$7),"DAL US "&amp;TEXT(B$3,"mm/dd/yy")&amp;" P"&amp;(B$7+2*B$6)&amp;" Equity","")</f>
        <v/>
      </c>
      <c r="JP1" s="2">
        <f>IF(ISNUMBER(B$7),"DAL US "&amp;TEXT(B$3,"mm/dd/yy")&amp;" C"&amp;(B$7+3*B$6)&amp;" Equity","")</f>
        <v/>
      </c>
      <c r="KG1" s="2">
        <f>IF(ISNUMBER(B$7),"DAL US "&amp;TEXT(B$3,"mm/dd/yy")&amp;" P"&amp;(B$7+3*B$6)&amp;" Equity","")</f>
        <v/>
      </c>
      <c r="KX1" s="2">
        <f>IF(ISNUMBER(B$7),"DAL US "&amp;TEXT(B$3,"mm/dd/yy")&amp;" C"&amp;(B$7+4*B$6)&amp;" Equity","")</f>
        <v/>
      </c>
      <c r="LO1" s="2">
        <f>IF(ISNUMBER(B$7),"DAL US "&amp;TEXT(B$3,"mm/dd/yy")&amp;" P"&amp;(B$7+4*B$6)&amp;" Equity","")</f>
        <v/>
      </c>
      <c r="MF1" s="2">
        <f>IF(ISNUMBER(B$7),"DAL US "&amp;TEXT(B$3,"mm/dd/yy")&amp;" C"&amp;(B$7+5*B$6)&amp;" Equity","")</f>
        <v/>
      </c>
      <c r="MW1" s="2">
        <f>IF(ISNUMBER(B$7),"DAL US "&amp;TEXT(B$3,"mm/dd/yy")&amp;" P"&amp;(B$7+5*B$6)&amp;" Equity","")</f>
        <v/>
      </c>
    </row>
    <row r="2">
      <c r="A2" s="2" t="inlineStr">
        <is>
          <t>Underlying</t>
        </is>
      </c>
      <c r="B2" s="4">
        <f>IF(Settings!$B$19="Y","DAL US Equity","")</f>
        <v/>
      </c>
      <c r="D2" s="4" t="inlineStr">
        <is>
          <t>call -5 from ATM</t>
        </is>
      </c>
      <c r="U2" s="4" t="inlineStr">
        <is>
          <t>put -5 from ATM</t>
        </is>
      </c>
      <c r="AL2" s="4" t="inlineStr">
        <is>
          <t>call -4 from ATM</t>
        </is>
      </c>
      <c r="BC2" s="4" t="inlineStr">
        <is>
          <t>put -4 from ATM</t>
        </is>
      </c>
      <c r="BT2" s="4" t="inlineStr">
        <is>
          <t>call -3 from ATM</t>
        </is>
      </c>
      <c r="CK2" s="4" t="inlineStr">
        <is>
          <t>put -3 from ATM</t>
        </is>
      </c>
      <c r="DB2" s="4" t="inlineStr">
        <is>
          <t>call -2 from ATM</t>
        </is>
      </c>
      <c r="DS2" s="4" t="inlineStr">
        <is>
          <t>put -2 from ATM</t>
        </is>
      </c>
      <c r="EJ2" s="4" t="inlineStr">
        <is>
          <t>call -1 from ATM</t>
        </is>
      </c>
      <c r="FA2" s="4" t="inlineStr">
        <is>
          <t>put -1 from ATM</t>
        </is>
      </c>
      <c r="FR2" s="4" t="inlineStr">
        <is>
          <t>call +0 from ATM</t>
        </is>
      </c>
      <c r="GI2" s="4" t="inlineStr">
        <is>
          <t>put +0 from ATM</t>
        </is>
      </c>
      <c r="GZ2" s="4" t="inlineStr">
        <is>
          <t>call +1 from ATM</t>
        </is>
      </c>
      <c r="HQ2" s="4" t="inlineStr">
        <is>
          <t>put +1 from ATM</t>
        </is>
      </c>
      <c r="IH2" s="4" t="inlineStr">
        <is>
          <t>call +2 from ATM</t>
        </is>
      </c>
      <c r="IY2" s="4" t="inlineStr">
        <is>
          <t>put +2 from ATM</t>
        </is>
      </c>
      <c r="JP2" s="4" t="inlineStr">
        <is>
          <t>call +3 from ATM</t>
        </is>
      </c>
      <c r="KG2" s="4" t="inlineStr">
        <is>
          <t>put +3 from ATM</t>
        </is>
      </c>
      <c r="KX2" s="4" t="inlineStr">
        <is>
          <t>call +4 from ATM</t>
        </is>
      </c>
      <c r="LO2" s="4" t="inlineStr">
        <is>
          <t>put +4 from ATM</t>
        </is>
      </c>
      <c r="MF2" s="4" t="inlineStr">
        <is>
          <t>call +5 from ATM</t>
        </is>
      </c>
      <c r="MW2" s="4" t="inlineStr">
        <is>
          <t>put +5 from ATM</t>
        </is>
      </c>
    </row>
    <row r="3">
      <c r="A3" s="2" t="inlineStr">
        <is>
          <t>Expiry (3rd Friday)</t>
        </is>
      </c>
      <c r="B3" s="3">
        <f>DATE(Settings!$E$19,B1,15)+MOD(6-WEEKDAY(DATE(Settings!$E$19,B1,15)),7)</f>
        <v/>
      </c>
      <c r="D3" s="5" t="inlineStr">
        <is>
          <t>Date</t>
        </is>
      </c>
      <c r="E3" s="5" t="inlineStr">
        <is>
          <t>PX_BID</t>
        </is>
      </c>
      <c r="F3" s="5" t="inlineStr">
        <is>
          <t>PX_ASK</t>
        </is>
      </c>
      <c r="G3" s="5" t="inlineStr">
        <is>
          <t>PX_MID</t>
        </is>
      </c>
      <c r="H3" s="5" t="inlineStr">
        <is>
          <t>PX_LAST</t>
        </is>
      </c>
      <c r="I3" s="5" t="inlineStr">
        <is>
          <t>PX_SETTLE</t>
        </is>
      </c>
      <c r="J3" s="5" t="inlineStr">
        <is>
          <t>PX_VOLUME</t>
        </is>
      </c>
      <c r="K3" s="5" t="inlineStr">
        <is>
          <t>OPEN_INT</t>
        </is>
      </c>
      <c r="L3" s="5" t="inlineStr">
        <is>
          <t>IVOL_MID</t>
        </is>
      </c>
      <c r="M3" s="5" t="inlineStr">
        <is>
          <t>IVOL_BID</t>
        </is>
      </c>
      <c r="N3" s="5" t="inlineStr">
        <is>
          <t>IVOL_ASK</t>
        </is>
      </c>
      <c r="O3" s="5" t="inlineStr">
        <is>
          <t>DELTA_MID</t>
        </is>
      </c>
      <c r="P3" s="5" t="inlineStr">
        <is>
          <t>GAMMA_MID</t>
        </is>
      </c>
      <c r="Q3" s="5" t="inlineStr">
        <is>
          <t>VEGA_MID</t>
        </is>
      </c>
      <c r="R3" s="5" t="inlineStr">
        <is>
          <t>THETA_MID</t>
        </is>
      </c>
      <c r="S3" s="5" t="inlineStr">
        <is>
          <t>OPT_UNDL_PX</t>
        </is>
      </c>
      <c r="U3" s="5" t="inlineStr">
        <is>
          <t>Date</t>
        </is>
      </c>
      <c r="V3" s="5" t="inlineStr">
        <is>
          <t>PX_BID</t>
        </is>
      </c>
      <c r="W3" s="5" t="inlineStr">
        <is>
          <t>PX_ASK</t>
        </is>
      </c>
      <c r="X3" s="5" t="inlineStr">
        <is>
          <t>PX_MID</t>
        </is>
      </c>
      <c r="Y3" s="5" t="inlineStr">
        <is>
          <t>PX_LAST</t>
        </is>
      </c>
      <c r="Z3" s="5" t="inlineStr">
        <is>
          <t>PX_SETTLE</t>
        </is>
      </c>
      <c r="AA3" s="5" t="inlineStr">
        <is>
          <t>PX_VOLUME</t>
        </is>
      </c>
      <c r="AB3" s="5" t="inlineStr">
        <is>
          <t>OPEN_INT</t>
        </is>
      </c>
      <c r="AC3" s="5" t="inlineStr">
        <is>
          <t>IVOL_MID</t>
        </is>
      </c>
      <c r="AD3" s="5" t="inlineStr">
        <is>
          <t>IVOL_BID</t>
        </is>
      </c>
      <c r="AE3" s="5" t="inlineStr">
        <is>
          <t>IVOL_ASK</t>
        </is>
      </c>
      <c r="AF3" s="5" t="inlineStr">
        <is>
          <t>DELTA_MID</t>
        </is>
      </c>
      <c r="AG3" s="5" t="inlineStr">
        <is>
          <t>GAMMA_MID</t>
        </is>
      </c>
      <c r="AH3" s="5" t="inlineStr">
        <is>
          <t>VEGA_MID</t>
        </is>
      </c>
      <c r="AI3" s="5" t="inlineStr">
        <is>
          <t>THETA_MID</t>
        </is>
      </c>
      <c r="AJ3" s="5" t="inlineStr">
        <is>
          <t>OPT_UNDL_PX</t>
        </is>
      </c>
      <c r="AL3" s="5" t="inlineStr">
        <is>
          <t>Date</t>
        </is>
      </c>
      <c r="AM3" s="5" t="inlineStr">
        <is>
          <t>PX_BID</t>
        </is>
      </c>
      <c r="AN3" s="5" t="inlineStr">
        <is>
          <t>PX_ASK</t>
        </is>
      </c>
      <c r="AO3" s="5" t="inlineStr">
        <is>
          <t>PX_MID</t>
        </is>
      </c>
      <c r="AP3" s="5" t="inlineStr">
        <is>
          <t>PX_LAST</t>
        </is>
      </c>
      <c r="AQ3" s="5" t="inlineStr">
        <is>
          <t>PX_SETTLE</t>
        </is>
      </c>
      <c r="AR3" s="5" t="inlineStr">
        <is>
          <t>PX_VOLUME</t>
        </is>
      </c>
      <c r="AS3" s="5" t="inlineStr">
        <is>
          <t>OPEN_INT</t>
        </is>
      </c>
      <c r="AT3" s="5" t="inlineStr">
        <is>
          <t>IVOL_MID</t>
        </is>
      </c>
      <c r="AU3" s="5" t="inlineStr">
        <is>
          <t>IVOL_BID</t>
        </is>
      </c>
      <c r="AV3" s="5" t="inlineStr">
        <is>
          <t>IVOL_ASK</t>
        </is>
      </c>
      <c r="AW3" s="5" t="inlineStr">
        <is>
          <t>DELTA_MID</t>
        </is>
      </c>
      <c r="AX3" s="5" t="inlineStr">
        <is>
          <t>GAMMA_MID</t>
        </is>
      </c>
      <c r="AY3" s="5" t="inlineStr">
        <is>
          <t>VEGA_MID</t>
        </is>
      </c>
      <c r="AZ3" s="5" t="inlineStr">
        <is>
          <t>THETA_MID</t>
        </is>
      </c>
      <c r="BA3" s="5" t="inlineStr">
        <is>
          <t>OPT_UNDL_PX</t>
        </is>
      </c>
      <c r="BC3" s="5" t="inlineStr">
        <is>
          <t>Date</t>
        </is>
      </c>
      <c r="BD3" s="5" t="inlineStr">
        <is>
          <t>PX_BID</t>
        </is>
      </c>
      <c r="BE3" s="5" t="inlineStr">
        <is>
          <t>PX_ASK</t>
        </is>
      </c>
      <c r="BF3" s="5" t="inlineStr">
        <is>
          <t>PX_MID</t>
        </is>
      </c>
      <c r="BG3" s="5" t="inlineStr">
        <is>
          <t>PX_LAST</t>
        </is>
      </c>
      <c r="BH3" s="5" t="inlineStr">
        <is>
          <t>PX_SETTLE</t>
        </is>
      </c>
      <c r="BI3" s="5" t="inlineStr">
        <is>
          <t>PX_VOLUME</t>
        </is>
      </c>
      <c r="BJ3" s="5" t="inlineStr">
        <is>
          <t>OPEN_INT</t>
        </is>
      </c>
      <c r="BK3" s="5" t="inlineStr">
        <is>
          <t>IVOL_MID</t>
        </is>
      </c>
      <c r="BL3" s="5" t="inlineStr">
        <is>
          <t>IVOL_BID</t>
        </is>
      </c>
      <c r="BM3" s="5" t="inlineStr">
        <is>
          <t>IVOL_ASK</t>
        </is>
      </c>
      <c r="BN3" s="5" t="inlineStr">
        <is>
          <t>DELTA_MID</t>
        </is>
      </c>
      <c r="BO3" s="5" t="inlineStr">
        <is>
          <t>GAMMA_MID</t>
        </is>
      </c>
      <c r="BP3" s="5" t="inlineStr">
        <is>
          <t>VEGA_MID</t>
        </is>
      </c>
      <c r="BQ3" s="5" t="inlineStr">
        <is>
          <t>THETA_MID</t>
        </is>
      </c>
      <c r="BR3" s="5" t="inlineStr">
        <is>
          <t>OPT_UNDL_PX</t>
        </is>
      </c>
      <c r="BT3" s="5" t="inlineStr">
        <is>
          <t>Date</t>
        </is>
      </c>
      <c r="BU3" s="5" t="inlineStr">
        <is>
          <t>PX_BID</t>
        </is>
      </c>
      <c r="BV3" s="5" t="inlineStr">
        <is>
          <t>PX_ASK</t>
        </is>
      </c>
      <c r="BW3" s="5" t="inlineStr">
        <is>
          <t>PX_MID</t>
        </is>
      </c>
      <c r="BX3" s="5" t="inlineStr">
        <is>
          <t>PX_LAST</t>
        </is>
      </c>
      <c r="BY3" s="5" t="inlineStr">
        <is>
          <t>PX_SETTLE</t>
        </is>
      </c>
      <c r="BZ3" s="5" t="inlineStr">
        <is>
          <t>PX_VOLUME</t>
        </is>
      </c>
      <c r="CA3" s="5" t="inlineStr">
        <is>
          <t>OPEN_INT</t>
        </is>
      </c>
      <c r="CB3" s="5" t="inlineStr">
        <is>
          <t>IVOL_MID</t>
        </is>
      </c>
      <c r="CC3" s="5" t="inlineStr">
        <is>
          <t>IVOL_BID</t>
        </is>
      </c>
      <c r="CD3" s="5" t="inlineStr">
        <is>
          <t>IVOL_ASK</t>
        </is>
      </c>
      <c r="CE3" s="5" t="inlineStr">
        <is>
          <t>DELTA_MID</t>
        </is>
      </c>
      <c r="CF3" s="5" t="inlineStr">
        <is>
          <t>GAMMA_MID</t>
        </is>
      </c>
      <c r="CG3" s="5" t="inlineStr">
        <is>
          <t>VEGA_MID</t>
        </is>
      </c>
      <c r="CH3" s="5" t="inlineStr">
        <is>
          <t>THETA_MID</t>
        </is>
      </c>
      <c r="CI3" s="5" t="inlineStr">
        <is>
          <t>OPT_UNDL_PX</t>
        </is>
      </c>
      <c r="CK3" s="5" t="inlineStr">
        <is>
          <t>Date</t>
        </is>
      </c>
      <c r="CL3" s="5" t="inlineStr">
        <is>
          <t>PX_BID</t>
        </is>
      </c>
      <c r="CM3" s="5" t="inlineStr">
        <is>
          <t>PX_ASK</t>
        </is>
      </c>
      <c r="CN3" s="5" t="inlineStr">
        <is>
          <t>PX_MID</t>
        </is>
      </c>
      <c r="CO3" s="5" t="inlineStr">
        <is>
          <t>PX_LAST</t>
        </is>
      </c>
      <c r="CP3" s="5" t="inlineStr">
        <is>
          <t>PX_SETTLE</t>
        </is>
      </c>
      <c r="CQ3" s="5" t="inlineStr">
        <is>
          <t>PX_VOLUME</t>
        </is>
      </c>
      <c r="CR3" s="5" t="inlineStr">
        <is>
          <t>OPEN_INT</t>
        </is>
      </c>
      <c r="CS3" s="5" t="inlineStr">
        <is>
          <t>IVOL_MID</t>
        </is>
      </c>
      <c r="CT3" s="5" t="inlineStr">
        <is>
          <t>IVOL_BID</t>
        </is>
      </c>
      <c r="CU3" s="5" t="inlineStr">
        <is>
          <t>IVOL_ASK</t>
        </is>
      </c>
      <c r="CV3" s="5" t="inlineStr">
        <is>
          <t>DELTA_MID</t>
        </is>
      </c>
      <c r="CW3" s="5" t="inlineStr">
        <is>
          <t>GAMMA_MID</t>
        </is>
      </c>
      <c r="CX3" s="5" t="inlineStr">
        <is>
          <t>VEGA_MID</t>
        </is>
      </c>
      <c r="CY3" s="5" t="inlineStr">
        <is>
          <t>THETA_MID</t>
        </is>
      </c>
      <c r="CZ3" s="5" t="inlineStr">
        <is>
          <t>OPT_UNDL_PX</t>
        </is>
      </c>
      <c r="DB3" s="5" t="inlineStr">
        <is>
          <t>Date</t>
        </is>
      </c>
      <c r="DC3" s="5" t="inlineStr">
        <is>
          <t>PX_BID</t>
        </is>
      </c>
      <c r="DD3" s="5" t="inlineStr">
        <is>
          <t>PX_ASK</t>
        </is>
      </c>
      <c r="DE3" s="5" t="inlineStr">
        <is>
          <t>PX_MID</t>
        </is>
      </c>
      <c r="DF3" s="5" t="inlineStr">
        <is>
          <t>PX_LAST</t>
        </is>
      </c>
      <c r="DG3" s="5" t="inlineStr">
        <is>
          <t>PX_SETTLE</t>
        </is>
      </c>
      <c r="DH3" s="5" t="inlineStr">
        <is>
          <t>PX_VOLUME</t>
        </is>
      </c>
      <c r="DI3" s="5" t="inlineStr">
        <is>
          <t>OPEN_INT</t>
        </is>
      </c>
      <c r="DJ3" s="5" t="inlineStr">
        <is>
          <t>IVOL_MID</t>
        </is>
      </c>
      <c r="DK3" s="5" t="inlineStr">
        <is>
          <t>IVOL_BID</t>
        </is>
      </c>
      <c r="DL3" s="5" t="inlineStr">
        <is>
          <t>IVOL_ASK</t>
        </is>
      </c>
      <c r="DM3" s="5" t="inlineStr">
        <is>
          <t>DELTA_MID</t>
        </is>
      </c>
      <c r="DN3" s="5" t="inlineStr">
        <is>
          <t>GAMMA_MID</t>
        </is>
      </c>
      <c r="DO3" s="5" t="inlineStr">
        <is>
          <t>VEGA_MID</t>
        </is>
      </c>
      <c r="DP3" s="5" t="inlineStr">
        <is>
          <t>THETA_MID</t>
        </is>
      </c>
      <c r="DQ3" s="5" t="inlineStr">
        <is>
          <t>OPT_UNDL_PX</t>
        </is>
      </c>
      <c r="DS3" s="5" t="inlineStr">
        <is>
          <t>Date</t>
        </is>
      </c>
      <c r="DT3" s="5" t="inlineStr">
        <is>
          <t>PX_BID</t>
        </is>
      </c>
      <c r="DU3" s="5" t="inlineStr">
        <is>
          <t>PX_ASK</t>
        </is>
      </c>
      <c r="DV3" s="5" t="inlineStr">
        <is>
          <t>PX_MID</t>
        </is>
      </c>
      <c r="DW3" s="5" t="inlineStr">
        <is>
          <t>PX_LAST</t>
        </is>
      </c>
      <c r="DX3" s="5" t="inlineStr">
        <is>
          <t>PX_SETTLE</t>
        </is>
      </c>
      <c r="DY3" s="5" t="inlineStr">
        <is>
          <t>PX_VOLUME</t>
        </is>
      </c>
      <c r="DZ3" s="5" t="inlineStr">
        <is>
          <t>OPEN_INT</t>
        </is>
      </c>
      <c r="EA3" s="5" t="inlineStr">
        <is>
          <t>IVOL_MID</t>
        </is>
      </c>
      <c r="EB3" s="5" t="inlineStr">
        <is>
          <t>IVOL_BID</t>
        </is>
      </c>
      <c r="EC3" s="5" t="inlineStr">
        <is>
          <t>IVOL_ASK</t>
        </is>
      </c>
      <c r="ED3" s="5" t="inlineStr">
        <is>
          <t>DELTA_MID</t>
        </is>
      </c>
      <c r="EE3" s="5" t="inlineStr">
        <is>
          <t>GAMMA_MID</t>
        </is>
      </c>
      <c r="EF3" s="5" t="inlineStr">
        <is>
          <t>VEGA_MID</t>
        </is>
      </c>
      <c r="EG3" s="5" t="inlineStr">
        <is>
          <t>THETA_MID</t>
        </is>
      </c>
      <c r="EH3" s="5" t="inlineStr">
        <is>
          <t>OPT_UNDL_PX</t>
        </is>
      </c>
      <c r="EJ3" s="5" t="inlineStr">
        <is>
          <t>Date</t>
        </is>
      </c>
      <c r="EK3" s="5" t="inlineStr">
        <is>
          <t>PX_BID</t>
        </is>
      </c>
      <c r="EL3" s="5" t="inlineStr">
        <is>
          <t>PX_ASK</t>
        </is>
      </c>
      <c r="EM3" s="5" t="inlineStr">
        <is>
          <t>PX_MID</t>
        </is>
      </c>
      <c r="EN3" s="5" t="inlineStr">
        <is>
          <t>PX_LAST</t>
        </is>
      </c>
      <c r="EO3" s="5" t="inlineStr">
        <is>
          <t>PX_SETTLE</t>
        </is>
      </c>
      <c r="EP3" s="5" t="inlineStr">
        <is>
          <t>PX_VOLUME</t>
        </is>
      </c>
      <c r="EQ3" s="5" t="inlineStr">
        <is>
          <t>OPEN_INT</t>
        </is>
      </c>
      <c r="ER3" s="5" t="inlineStr">
        <is>
          <t>IVOL_MID</t>
        </is>
      </c>
      <c r="ES3" s="5" t="inlineStr">
        <is>
          <t>IVOL_BID</t>
        </is>
      </c>
      <c r="ET3" s="5" t="inlineStr">
        <is>
          <t>IVOL_ASK</t>
        </is>
      </c>
      <c r="EU3" s="5" t="inlineStr">
        <is>
          <t>DELTA_MID</t>
        </is>
      </c>
      <c r="EV3" s="5" t="inlineStr">
        <is>
          <t>GAMMA_MID</t>
        </is>
      </c>
      <c r="EW3" s="5" t="inlineStr">
        <is>
          <t>VEGA_MID</t>
        </is>
      </c>
      <c r="EX3" s="5" t="inlineStr">
        <is>
          <t>THETA_MID</t>
        </is>
      </c>
      <c r="EY3" s="5" t="inlineStr">
        <is>
          <t>OPT_UNDL_PX</t>
        </is>
      </c>
      <c r="FA3" s="5" t="inlineStr">
        <is>
          <t>Date</t>
        </is>
      </c>
      <c r="FB3" s="5" t="inlineStr">
        <is>
          <t>PX_BID</t>
        </is>
      </c>
      <c r="FC3" s="5" t="inlineStr">
        <is>
          <t>PX_ASK</t>
        </is>
      </c>
      <c r="FD3" s="5" t="inlineStr">
        <is>
          <t>PX_MID</t>
        </is>
      </c>
      <c r="FE3" s="5" t="inlineStr">
        <is>
          <t>PX_LAST</t>
        </is>
      </c>
      <c r="FF3" s="5" t="inlineStr">
        <is>
          <t>PX_SETTLE</t>
        </is>
      </c>
      <c r="FG3" s="5" t="inlineStr">
        <is>
          <t>PX_VOLUME</t>
        </is>
      </c>
      <c r="FH3" s="5" t="inlineStr">
        <is>
          <t>OPEN_INT</t>
        </is>
      </c>
      <c r="FI3" s="5" t="inlineStr">
        <is>
          <t>IVOL_MID</t>
        </is>
      </c>
      <c r="FJ3" s="5" t="inlineStr">
        <is>
          <t>IVOL_BID</t>
        </is>
      </c>
      <c r="FK3" s="5" t="inlineStr">
        <is>
          <t>IVOL_ASK</t>
        </is>
      </c>
      <c r="FL3" s="5" t="inlineStr">
        <is>
          <t>DELTA_MID</t>
        </is>
      </c>
      <c r="FM3" s="5" t="inlineStr">
        <is>
          <t>GAMMA_MID</t>
        </is>
      </c>
      <c r="FN3" s="5" t="inlineStr">
        <is>
          <t>VEGA_MID</t>
        </is>
      </c>
      <c r="FO3" s="5" t="inlineStr">
        <is>
          <t>THETA_MID</t>
        </is>
      </c>
      <c r="FP3" s="5" t="inlineStr">
        <is>
          <t>OPT_UNDL_PX</t>
        </is>
      </c>
      <c r="FR3" s="5" t="inlineStr">
        <is>
          <t>Date</t>
        </is>
      </c>
      <c r="FS3" s="5" t="inlineStr">
        <is>
          <t>PX_BID</t>
        </is>
      </c>
      <c r="FT3" s="5" t="inlineStr">
        <is>
          <t>PX_ASK</t>
        </is>
      </c>
      <c r="FU3" s="5" t="inlineStr">
        <is>
          <t>PX_MID</t>
        </is>
      </c>
      <c r="FV3" s="5" t="inlineStr">
        <is>
          <t>PX_LAST</t>
        </is>
      </c>
      <c r="FW3" s="5" t="inlineStr">
        <is>
          <t>PX_SETTLE</t>
        </is>
      </c>
      <c r="FX3" s="5" t="inlineStr">
        <is>
          <t>PX_VOLUME</t>
        </is>
      </c>
      <c r="FY3" s="5" t="inlineStr">
        <is>
          <t>OPEN_INT</t>
        </is>
      </c>
      <c r="FZ3" s="5" t="inlineStr">
        <is>
          <t>IVOL_MID</t>
        </is>
      </c>
      <c r="GA3" s="5" t="inlineStr">
        <is>
          <t>IVOL_BID</t>
        </is>
      </c>
      <c r="GB3" s="5" t="inlineStr">
        <is>
          <t>IVOL_ASK</t>
        </is>
      </c>
      <c r="GC3" s="5" t="inlineStr">
        <is>
          <t>DELTA_MID</t>
        </is>
      </c>
      <c r="GD3" s="5" t="inlineStr">
        <is>
          <t>GAMMA_MID</t>
        </is>
      </c>
      <c r="GE3" s="5" t="inlineStr">
        <is>
          <t>VEGA_MID</t>
        </is>
      </c>
      <c r="GF3" s="5" t="inlineStr">
        <is>
          <t>THETA_MID</t>
        </is>
      </c>
      <c r="GG3" s="5" t="inlineStr">
        <is>
          <t>OPT_UNDL_PX</t>
        </is>
      </c>
      <c r="GI3" s="5" t="inlineStr">
        <is>
          <t>Date</t>
        </is>
      </c>
      <c r="GJ3" s="5" t="inlineStr">
        <is>
          <t>PX_BID</t>
        </is>
      </c>
      <c r="GK3" s="5" t="inlineStr">
        <is>
          <t>PX_ASK</t>
        </is>
      </c>
      <c r="GL3" s="5" t="inlineStr">
        <is>
          <t>PX_MID</t>
        </is>
      </c>
      <c r="GM3" s="5" t="inlineStr">
        <is>
          <t>PX_LAST</t>
        </is>
      </c>
      <c r="GN3" s="5" t="inlineStr">
        <is>
          <t>PX_SETTLE</t>
        </is>
      </c>
      <c r="GO3" s="5" t="inlineStr">
        <is>
          <t>PX_VOLUME</t>
        </is>
      </c>
      <c r="GP3" s="5" t="inlineStr">
        <is>
          <t>OPEN_INT</t>
        </is>
      </c>
      <c r="GQ3" s="5" t="inlineStr">
        <is>
          <t>IVOL_MID</t>
        </is>
      </c>
      <c r="GR3" s="5" t="inlineStr">
        <is>
          <t>IVOL_BID</t>
        </is>
      </c>
      <c r="GS3" s="5" t="inlineStr">
        <is>
          <t>IVOL_ASK</t>
        </is>
      </c>
      <c r="GT3" s="5" t="inlineStr">
        <is>
          <t>DELTA_MID</t>
        </is>
      </c>
      <c r="GU3" s="5" t="inlineStr">
        <is>
          <t>GAMMA_MID</t>
        </is>
      </c>
      <c r="GV3" s="5" t="inlineStr">
        <is>
          <t>VEGA_MID</t>
        </is>
      </c>
      <c r="GW3" s="5" t="inlineStr">
        <is>
          <t>THETA_MID</t>
        </is>
      </c>
      <c r="GX3" s="5" t="inlineStr">
        <is>
          <t>OPT_UNDL_PX</t>
        </is>
      </c>
      <c r="GZ3" s="5" t="inlineStr">
        <is>
          <t>Date</t>
        </is>
      </c>
      <c r="HA3" s="5" t="inlineStr">
        <is>
          <t>PX_BID</t>
        </is>
      </c>
      <c r="HB3" s="5" t="inlineStr">
        <is>
          <t>PX_ASK</t>
        </is>
      </c>
      <c r="HC3" s="5" t="inlineStr">
        <is>
          <t>PX_MID</t>
        </is>
      </c>
      <c r="HD3" s="5" t="inlineStr">
        <is>
          <t>PX_LAST</t>
        </is>
      </c>
      <c r="HE3" s="5" t="inlineStr">
        <is>
          <t>PX_SETTLE</t>
        </is>
      </c>
      <c r="HF3" s="5" t="inlineStr">
        <is>
          <t>PX_VOLUME</t>
        </is>
      </c>
      <c r="HG3" s="5" t="inlineStr">
        <is>
          <t>OPEN_INT</t>
        </is>
      </c>
      <c r="HH3" s="5" t="inlineStr">
        <is>
          <t>IVOL_MID</t>
        </is>
      </c>
      <c r="HI3" s="5" t="inlineStr">
        <is>
          <t>IVOL_BID</t>
        </is>
      </c>
      <c r="HJ3" s="5" t="inlineStr">
        <is>
          <t>IVOL_ASK</t>
        </is>
      </c>
      <c r="HK3" s="5" t="inlineStr">
        <is>
          <t>DELTA_MID</t>
        </is>
      </c>
      <c r="HL3" s="5" t="inlineStr">
        <is>
          <t>GAMMA_MID</t>
        </is>
      </c>
      <c r="HM3" s="5" t="inlineStr">
        <is>
          <t>VEGA_MID</t>
        </is>
      </c>
      <c r="HN3" s="5" t="inlineStr">
        <is>
          <t>THETA_MID</t>
        </is>
      </c>
      <c r="HO3" s="5" t="inlineStr">
        <is>
          <t>OPT_UNDL_PX</t>
        </is>
      </c>
      <c r="HQ3" s="5" t="inlineStr">
        <is>
          <t>Date</t>
        </is>
      </c>
      <c r="HR3" s="5" t="inlineStr">
        <is>
          <t>PX_BID</t>
        </is>
      </c>
      <c r="HS3" s="5" t="inlineStr">
        <is>
          <t>PX_ASK</t>
        </is>
      </c>
      <c r="HT3" s="5" t="inlineStr">
        <is>
          <t>PX_MID</t>
        </is>
      </c>
      <c r="HU3" s="5" t="inlineStr">
        <is>
          <t>PX_LAST</t>
        </is>
      </c>
      <c r="HV3" s="5" t="inlineStr">
        <is>
          <t>PX_SETTLE</t>
        </is>
      </c>
      <c r="HW3" s="5" t="inlineStr">
        <is>
          <t>PX_VOLUME</t>
        </is>
      </c>
      <c r="HX3" s="5" t="inlineStr">
        <is>
          <t>OPEN_INT</t>
        </is>
      </c>
      <c r="HY3" s="5" t="inlineStr">
        <is>
          <t>IVOL_MID</t>
        </is>
      </c>
      <c r="HZ3" s="5" t="inlineStr">
        <is>
          <t>IVOL_BID</t>
        </is>
      </c>
      <c r="IA3" s="5" t="inlineStr">
        <is>
          <t>IVOL_ASK</t>
        </is>
      </c>
      <c r="IB3" s="5" t="inlineStr">
        <is>
          <t>DELTA_MID</t>
        </is>
      </c>
      <c r="IC3" s="5" t="inlineStr">
        <is>
          <t>GAMMA_MID</t>
        </is>
      </c>
      <c r="ID3" s="5" t="inlineStr">
        <is>
          <t>VEGA_MID</t>
        </is>
      </c>
      <c r="IE3" s="5" t="inlineStr">
        <is>
          <t>THETA_MID</t>
        </is>
      </c>
      <c r="IF3" s="5" t="inlineStr">
        <is>
          <t>OPT_UNDL_PX</t>
        </is>
      </c>
      <c r="IH3" s="5" t="inlineStr">
        <is>
          <t>Date</t>
        </is>
      </c>
      <c r="II3" s="5" t="inlineStr">
        <is>
          <t>PX_BID</t>
        </is>
      </c>
      <c r="IJ3" s="5" t="inlineStr">
        <is>
          <t>PX_ASK</t>
        </is>
      </c>
      <c r="IK3" s="5" t="inlineStr">
        <is>
          <t>PX_MID</t>
        </is>
      </c>
      <c r="IL3" s="5" t="inlineStr">
        <is>
          <t>PX_LAST</t>
        </is>
      </c>
      <c r="IM3" s="5" t="inlineStr">
        <is>
          <t>PX_SETTLE</t>
        </is>
      </c>
      <c r="IN3" s="5" t="inlineStr">
        <is>
          <t>PX_VOLUME</t>
        </is>
      </c>
      <c r="IO3" s="5" t="inlineStr">
        <is>
          <t>OPEN_INT</t>
        </is>
      </c>
      <c r="IP3" s="5" t="inlineStr">
        <is>
          <t>IVOL_MID</t>
        </is>
      </c>
      <c r="IQ3" s="5" t="inlineStr">
        <is>
          <t>IVOL_BID</t>
        </is>
      </c>
      <c r="IR3" s="5" t="inlineStr">
        <is>
          <t>IVOL_ASK</t>
        </is>
      </c>
      <c r="IS3" s="5" t="inlineStr">
        <is>
          <t>DELTA_MID</t>
        </is>
      </c>
      <c r="IT3" s="5" t="inlineStr">
        <is>
          <t>GAMMA_MID</t>
        </is>
      </c>
      <c r="IU3" s="5" t="inlineStr">
        <is>
          <t>VEGA_MID</t>
        </is>
      </c>
      <c r="IV3" s="5" t="inlineStr">
        <is>
          <t>THETA_MID</t>
        </is>
      </c>
      <c r="IW3" s="5" t="inlineStr">
        <is>
          <t>OPT_UNDL_PX</t>
        </is>
      </c>
      <c r="IY3" s="5" t="inlineStr">
        <is>
          <t>Date</t>
        </is>
      </c>
      <c r="IZ3" s="5" t="inlineStr">
        <is>
          <t>PX_BID</t>
        </is>
      </c>
      <c r="JA3" s="5" t="inlineStr">
        <is>
          <t>PX_ASK</t>
        </is>
      </c>
      <c r="JB3" s="5" t="inlineStr">
        <is>
          <t>PX_MID</t>
        </is>
      </c>
      <c r="JC3" s="5" t="inlineStr">
        <is>
          <t>PX_LAST</t>
        </is>
      </c>
      <c r="JD3" s="5" t="inlineStr">
        <is>
          <t>PX_SETTLE</t>
        </is>
      </c>
      <c r="JE3" s="5" t="inlineStr">
        <is>
          <t>PX_VOLUME</t>
        </is>
      </c>
      <c r="JF3" s="5" t="inlineStr">
        <is>
          <t>OPEN_INT</t>
        </is>
      </c>
      <c r="JG3" s="5" t="inlineStr">
        <is>
          <t>IVOL_MID</t>
        </is>
      </c>
      <c r="JH3" s="5" t="inlineStr">
        <is>
          <t>IVOL_BID</t>
        </is>
      </c>
      <c r="JI3" s="5" t="inlineStr">
        <is>
          <t>IVOL_ASK</t>
        </is>
      </c>
      <c r="JJ3" s="5" t="inlineStr">
        <is>
          <t>DELTA_MID</t>
        </is>
      </c>
      <c r="JK3" s="5" t="inlineStr">
        <is>
          <t>GAMMA_MID</t>
        </is>
      </c>
      <c r="JL3" s="5" t="inlineStr">
        <is>
          <t>VEGA_MID</t>
        </is>
      </c>
      <c r="JM3" s="5" t="inlineStr">
        <is>
          <t>THETA_MID</t>
        </is>
      </c>
      <c r="JN3" s="5" t="inlineStr">
        <is>
          <t>OPT_UNDL_PX</t>
        </is>
      </c>
      <c r="JP3" s="5" t="inlineStr">
        <is>
          <t>Date</t>
        </is>
      </c>
      <c r="JQ3" s="5" t="inlineStr">
        <is>
          <t>PX_BID</t>
        </is>
      </c>
      <c r="JR3" s="5" t="inlineStr">
        <is>
          <t>PX_ASK</t>
        </is>
      </c>
      <c r="JS3" s="5" t="inlineStr">
        <is>
          <t>PX_MID</t>
        </is>
      </c>
      <c r="JT3" s="5" t="inlineStr">
        <is>
          <t>PX_LAST</t>
        </is>
      </c>
      <c r="JU3" s="5" t="inlineStr">
        <is>
          <t>PX_SETTLE</t>
        </is>
      </c>
      <c r="JV3" s="5" t="inlineStr">
        <is>
          <t>PX_VOLUME</t>
        </is>
      </c>
      <c r="JW3" s="5" t="inlineStr">
        <is>
          <t>OPEN_INT</t>
        </is>
      </c>
      <c r="JX3" s="5" t="inlineStr">
        <is>
          <t>IVOL_MID</t>
        </is>
      </c>
      <c r="JY3" s="5" t="inlineStr">
        <is>
          <t>IVOL_BID</t>
        </is>
      </c>
      <c r="JZ3" s="5" t="inlineStr">
        <is>
          <t>IVOL_ASK</t>
        </is>
      </c>
      <c r="KA3" s="5" t="inlineStr">
        <is>
          <t>DELTA_MID</t>
        </is>
      </c>
      <c r="KB3" s="5" t="inlineStr">
        <is>
          <t>GAMMA_MID</t>
        </is>
      </c>
      <c r="KC3" s="5" t="inlineStr">
        <is>
          <t>VEGA_MID</t>
        </is>
      </c>
      <c r="KD3" s="5" t="inlineStr">
        <is>
          <t>THETA_MID</t>
        </is>
      </c>
      <c r="KE3" s="5" t="inlineStr">
        <is>
          <t>OPT_UNDL_PX</t>
        </is>
      </c>
      <c r="KG3" s="5" t="inlineStr">
        <is>
          <t>Date</t>
        </is>
      </c>
      <c r="KH3" s="5" t="inlineStr">
        <is>
          <t>PX_BID</t>
        </is>
      </c>
      <c r="KI3" s="5" t="inlineStr">
        <is>
          <t>PX_ASK</t>
        </is>
      </c>
      <c r="KJ3" s="5" t="inlineStr">
        <is>
          <t>PX_MID</t>
        </is>
      </c>
      <c r="KK3" s="5" t="inlineStr">
        <is>
          <t>PX_LAST</t>
        </is>
      </c>
      <c r="KL3" s="5" t="inlineStr">
        <is>
          <t>PX_SETTLE</t>
        </is>
      </c>
      <c r="KM3" s="5" t="inlineStr">
        <is>
          <t>PX_VOLUME</t>
        </is>
      </c>
      <c r="KN3" s="5" t="inlineStr">
        <is>
          <t>OPEN_INT</t>
        </is>
      </c>
      <c r="KO3" s="5" t="inlineStr">
        <is>
          <t>IVOL_MID</t>
        </is>
      </c>
      <c r="KP3" s="5" t="inlineStr">
        <is>
          <t>IVOL_BID</t>
        </is>
      </c>
      <c r="KQ3" s="5" t="inlineStr">
        <is>
          <t>IVOL_ASK</t>
        </is>
      </c>
      <c r="KR3" s="5" t="inlineStr">
        <is>
          <t>DELTA_MID</t>
        </is>
      </c>
      <c r="KS3" s="5" t="inlineStr">
        <is>
          <t>GAMMA_MID</t>
        </is>
      </c>
      <c r="KT3" s="5" t="inlineStr">
        <is>
          <t>VEGA_MID</t>
        </is>
      </c>
      <c r="KU3" s="5" t="inlineStr">
        <is>
          <t>THETA_MID</t>
        </is>
      </c>
      <c r="KV3" s="5" t="inlineStr">
        <is>
          <t>OPT_UNDL_PX</t>
        </is>
      </c>
      <c r="KX3" s="5" t="inlineStr">
        <is>
          <t>Date</t>
        </is>
      </c>
      <c r="KY3" s="5" t="inlineStr">
        <is>
          <t>PX_BID</t>
        </is>
      </c>
      <c r="KZ3" s="5" t="inlineStr">
        <is>
          <t>PX_ASK</t>
        </is>
      </c>
      <c r="LA3" s="5" t="inlineStr">
        <is>
          <t>PX_MID</t>
        </is>
      </c>
      <c r="LB3" s="5" t="inlineStr">
        <is>
          <t>PX_LAST</t>
        </is>
      </c>
      <c r="LC3" s="5" t="inlineStr">
        <is>
          <t>PX_SETTLE</t>
        </is>
      </c>
      <c r="LD3" s="5" t="inlineStr">
        <is>
          <t>PX_VOLUME</t>
        </is>
      </c>
      <c r="LE3" s="5" t="inlineStr">
        <is>
          <t>OPEN_INT</t>
        </is>
      </c>
      <c r="LF3" s="5" t="inlineStr">
        <is>
          <t>IVOL_MID</t>
        </is>
      </c>
      <c r="LG3" s="5" t="inlineStr">
        <is>
          <t>IVOL_BID</t>
        </is>
      </c>
      <c r="LH3" s="5" t="inlineStr">
        <is>
          <t>IVOL_ASK</t>
        </is>
      </c>
      <c r="LI3" s="5" t="inlineStr">
        <is>
          <t>DELTA_MID</t>
        </is>
      </c>
      <c r="LJ3" s="5" t="inlineStr">
        <is>
          <t>GAMMA_MID</t>
        </is>
      </c>
      <c r="LK3" s="5" t="inlineStr">
        <is>
          <t>VEGA_MID</t>
        </is>
      </c>
      <c r="LL3" s="5" t="inlineStr">
        <is>
          <t>THETA_MID</t>
        </is>
      </c>
      <c r="LM3" s="5" t="inlineStr">
        <is>
          <t>OPT_UNDL_PX</t>
        </is>
      </c>
      <c r="LO3" s="5" t="inlineStr">
        <is>
          <t>Date</t>
        </is>
      </c>
      <c r="LP3" s="5" t="inlineStr">
        <is>
          <t>PX_BID</t>
        </is>
      </c>
      <c r="LQ3" s="5" t="inlineStr">
        <is>
          <t>PX_ASK</t>
        </is>
      </c>
      <c r="LR3" s="5" t="inlineStr">
        <is>
          <t>PX_MID</t>
        </is>
      </c>
      <c r="LS3" s="5" t="inlineStr">
        <is>
          <t>PX_LAST</t>
        </is>
      </c>
      <c r="LT3" s="5" t="inlineStr">
        <is>
          <t>PX_SETTLE</t>
        </is>
      </c>
      <c r="LU3" s="5" t="inlineStr">
        <is>
          <t>PX_VOLUME</t>
        </is>
      </c>
      <c r="LV3" s="5" t="inlineStr">
        <is>
          <t>OPEN_INT</t>
        </is>
      </c>
      <c r="LW3" s="5" t="inlineStr">
        <is>
          <t>IVOL_MID</t>
        </is>
      </c>
      <c r="LX3" s="5" t="inlineStr">
        <is>
          <t>IVOL_BID</t>
        </is>
      </c>
      <c r="LY3" s="5" t="inlineStr">
        <is>
          <t>IVOL_ASK</t>
        </is>
      </c>
      <c r="LZ3" s="5" t="inlineStr">
        <is>
          <t>DELTA_MID</t>
        </is>
      </c>
      <c r="MA3" s="5" t="inlineStr">
        <is>
          <t>GAMMA_MID</t>
        </is>
      </c>
      <c r="MB3" s="5" t="inlineStr">
        <is>
          <t>VEGA_MID</t>
        </is>
      </c>
      <c r="MC3" s="5" t="inlineStr">
        <is>
          <t>THETA_MID</t>
        </is>
      </c>
      <c r="MD3" s="5" t="inlineStr">
        <is>
          <t>OPT_UNDL_PX</t>
        </is>
      </c>
      <c r="MF3" s="5" t="inlineStr">
        <is>
          <t>Date</t>
        </is>
      </c>
      <c r="MG3" s="5" t="inlineStr">
        <is>
          <t>PX_BID</t>
        </is>
      </c>
      <c r="MH3" s="5" t="inlineStr">
        <is>
          <t>PX_ASK</t>
        </is>
      </c>
      <c r="MI3" s="5" t="inlineStr">
        <is>
          <t>PX_MID</t>
        </is>
      </c>
      <c r="MJ3" s="5" t="inlineStr">
        <is>
          <t>PX_LAST</t>
        </is>
      </c>
      <c r="MK3" s="5" t="inlineStr">
        <is>
          <t>PX_SETTLE</t>
        </is>
      </c>
      <c r="ML3" s="5" t="inlineStr">
        <is>
          <t>PX_VOLUME</t>
        </is>
      </c>
      <c r="MM3" s="5" t="inlineStr">
        <is>
          <t>OPEN_INT</t>
        </is>
      </c>
      <c r="MN3" s="5" t="inlineStr">
        <is>
          <t>IVOL_MID</t>
        </is>
      </c>
      <c r="MO3" s="5" t="inlineStr">
        <is>
          <t>IVOL_BID</t>
        </is>
      </c>
      <c r="MP3" s="5" t="inlineStr">
        <is>
          <t>IVOL_ASK</t>
        </is>
      </c>
      <c r="MQ3" s="5" t="inlineStr">
        <is>
          <t>DELTA_MID</t>
        </is>
      </c>
      <c r="MR3" s="5" t="inlineStr">
        <is>
          <t>GAMMA_MID</t>
        </is>
      </c>
      <c r="MS3" s="5" t="inlineStr">
        <is>
          <t>VEGA_MID</t>
        </is>
      </c>
      <c r="MT3" s="5" t="inlineStr">
        <is>
          <t>THETA_MID</t>
        </is>
      </c>
      <c r="MU3" s="5" t="inlineStr">
        <is>
          <t>OPT_UNDL_PX</t>
        </is>
      </c>
      <c r="MW3" s="5" t="inlineStr">
        <is>
          <t>Date</t>
        </is>
      </c>
      <c r="MX3" s="5" t="inlineStr">
        <is>
          <t>PX_BID</t>
        </is>
      </c>
      <c r="MY3" s="5" t="inlineStr">
        <is>
          <t>PX_ASK</t>
        </is>
      </c>
      <c r="MZ3" s="5" t="inlineStr">
        <is>
          <t>PX_MID</t>
        </is>
      </c>
      <c r="NA3" s="5" t="inlineStr">
        <is>
          <t>PX_LAST</t>
        </is>
      </c>
      <c r="NB3" s="5" t="inlineStr">
        <is>
          <t>PX_SETTLE</t>
        </is>
      </c>
      <c r="NC3" s="5" t="inlineStr">
        <is>
          <t>PX_VOLUME</t>
        </is>
      </c>
      <c r="ND3" s="5" t="inlineStr">
        <is>
          <t>OPEN_INT</t>
        </is>
      </c>
      <c r="NE3" s="5" t="inlineStr">
        <is>
          <t>IVOL_MID</t>
        </is>
      </c>
      <c r="NF3" s="5" t="inlineStr">
        <is>
          <t>IVOL_BID</t>
        </is>
      </c>
      <c r="NG3" s="5" t="inlineStr">
        <is>
          <t>IVOL_ASK</t>
        </is>
      </c>
      <c r="NH3" s="5" t="inlineStr">
        <is>
          <t>DELTA_MID</t>
        </is>
      </c>
      <c r="NI3" s="5" t="inlineStr">
        <is>
          <t>GAMMA_MID</t>
        </is>
      </c>
      <c r="NJ3" s="5" t="inlineStr">
        <is>
          <t>VEGA_MID</t>
        </is>
      </c>
      <c r="NK3" s="5" t="inlineStr">
        <is>
          <t>THETA_MID</t>
        </is>
      </c>
      <c r="NL3" s="5" t="inlineStr">
        <is>
          <t>OPT_UNDL_PX</t>
        </is>
      </c>
    </row>
    <row r="4">
      <c r="A4" s="2" t="inlineStr">
        <is>
          <t>Strike reference date</t>
        </is>
      </c>
      <c r="B4" s="8">
        <f>B3-45</f>
        <v/>
      </c>
      <c r="D4" s="4">
        <f>BDH(D$1,E$3:S$3,$B$8,$B$9,"Dir=V","Dts=S","Sort=A","Days=T","Fill=B")</f>
        <v/>
      </c>
      <c r="U4" s="4">
        <f>BDH(U$1,V$3:AJ$3,$B$8,$B$9,"Dir=V","Dts=S","Sort=A","Days=T","Fill=B")</f>
        <v/>
      </c>
      <c r="AL4" s="4">
        <f>BDH(AL$1,AM$3:BA$3,$B$8,$B$9,"Dir=V","Dts=S","Sort=A","Days=T","Fill=B")</f>
        <v/>
      </c>
      <c r="BC4" s="4">
        <f>BDH(BC$1,BD$3:BR$3,$B$8,$B$9,"Dir=V","Dts=S","Sort=A","Days=T","Fill=B")</f>
        <v/>
      </c>
      <c r="BT4" s="4">
        <f>BDH(BT$1,BU$3:CI$3,$B$8,$B$9,"Dir=V","Dts=S","Sort=A","Days=T","Fill=B")</f>
        <v/>
      </c>
      <c r="CK4" s="4">
        <f>BDH(CK$1,CL$3:CZ$3,$B$8,$B$9,"Dir=V","Dts=S","Sort=A","Days=T","Fill=B")</f>
        <v/>
      </c>
      <c r="DB4" s="4">
        <f>BDH(DB$1,DC$3:DQ$3,$B$8,$B$9,"Dir=V","Dts=S","Sort=A","Days=T","Fill=B")</f>
        <v/>
      </c>
      <c r="DS4" s="4">
        <f>BDH(DS$1,DT$3:EH$3,$B$8,$B$9,"Dir=V","Dts=S","Sort=A","Days=T","Fill=B")</f>
        <v/>
      </c>
      <c r="EJ4" s="4">
        <f>BDH(EJ$1,EK$3:EY$3,$B$8,$B$9,"Dir=V","Dts=S","Sort=A","Days=T","Fill=B")</f>
        <v/>
      </c>
      <c r="FA4" s="4">
        <f>BDH(FA$1,FB$3:FP$3,$B$8,$B$9,"Dir=V","Dts=S","Sort=A","Days=T","Fill=B")</f>
        <v/>
      </c>
      <c r="FR4" s="4">
        <f>BDH(FR$1,FS$3:GG$3,$B$8,$B$9,"Dir=V","Dts=S","Sort=A","Days=T","Fill=B")</f>
        <v/>
      </c>
      <c r="GI4" s="4">
        <f>BDH(GI$1,GJ$3:GX$3,$B$8,$B$9,"Dir=V","Dts=S","Sort=A","Days=T","Fill=B")</f>
        <v/>
      </c>
      <c r="GZ4" s="4">
        <f>BDH(GZ$1,HA$3:HO$3,$B$8,$B$9,"Dir=V","Dts=S","Sort=A","Days=T","Fill=B")</f>
        <v/>
      </c>
      <c r="HQ4" s="4">
        <f>BDH(HQ$1,HR$3:IF$3,$B$8,$B$9,"Dir=V","Dts=S","Sort=A","Days=T","Fill=B")</f>
        <v/>
      </c>
      <c r="IH4" s="4">
        <f>BDH(IH$1,II$3:IW$3,$B$8,$B$9,"Dir=V","Dts=S","Sort=A","Days=T","Fill=B")</f>
        <v/>
      </c>
      <c r="IY4" s="4">
        <f>BDH(IY$1,IZ$3:JN$3,$B$8,$B$9,"Dir=V","Dts=S","Sort=A","Days=T","Fill=B")</f>
        <v/>
      </c>
      <c r="JP4" s="4">
        <f>BDH(JP$1,JQ$3:KE$3,$B$8,$B$9,"Dir=V","Dts=S","Sort=A","Days=T","Fill=B")</f>
        <v/>
      </c>
      <c r="KG4" s="4">
        <f>BDH(KG$1,KH$3:KV$3,$B$8,$B$9,"Dir=V","Dts=S","Sort=A","Days=T","Fill=B")</f>
        <v/>
      </c>
      <c r="KX4" s="4">
        <f>BDH(KX$1,KY$3:LM$3,$B$8,$B$9,"Dir=V","Dts=S","Sort=A","Days=T","Fill=B")</f>
        <v/>
      </c>
      <c r="LO4" s="4">
        <f>BDH(LO$1,LP$3:MD$3,$B$8,$B$9,"Dir=V","Dts=S","Sort=A","Days=T","Fill=B")</f>
        <v/>
      </c>
      <c r="MF4" s="4">
        <f>BDH(MF$1,MG$3:MU$3,$B$8,$B$9,"Dir=V","Dts=S","Sort=A","Days=T","Fill=B")</f>
        <v/>
      </c>
      <c r="MW4" s="4">
        <f>BDH(MW$1,MX$3:NL$3,$B$8,$B$9,"Dir=V","Dts=S","Sort=A","Days=T","Fill=B")</f>
        <v/>
      </c>
    </row>
    <row r="5">
      <c r="A5" s="2" t="inlineStr">
        <is>
          <t>Unadjusted close then</t>
        </is>
      </c>
      <c r="B5" s="10">
        <f>IF(B2="","",BDH(B2,"PX_LAST",B4,B4,"Days=A","Fill=P","Dts=H","CshAdjNormal=N","CshAdjAbnormal=N","CapChg=N"))</f>
        <v/>
      </c>
    </row>
    <row r="6">
      <c r="A6" s="2" t="inlineStr">
        <is>
          <t>Strike step</t>
        </is>
      </c>
      <c r="B6" s="11">
        <f>IF(ISNUMBER(B5),IF(B5&lt;25,0.5,IF(B5&lt;250,1,5)),"")</f>
        <v/>
      </c>
    </row>
    <row r="7">
      <c r="A7" s="2" t="inlineStr">
        <is>
          <t>ATM strike</t>
        </is>
      </c>
      <c r="B7" s="11">
        <f>IF(ISNUMBER(B5),ROUND(B5/B6,0)*B6,"")</f>
        <v/>
      </c>
    </row>
    <row r="8">
      <c r="A8" s="2" t="inlineStr">
        <is>
          <t>History start</t>
        </is>
      </c>
      <c r="B8" s="8">
        <f>B3-100</f>
        <v/>
      </c>
    </row>
    <row r="9">
      <c r="A9" s="2" t="inlineStr">
        <is>
          <t>History end</t>
        </is>
      </c>
      <c r="B9" s="8">
        <f>B3</f>
        <v/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NL9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2" customWidth="1" min="2" max="2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1" customWidth="1" min="15" max="15"/>
    <col width="11" customWidth="1" min="16" max="16"/>
    <col width="10" customWidth="1" min="17" max="17"/>
    <col width="11" customWidth="1" min="18" max="18"/>
    <col width="13" customWidth="1" min="19" max="19"/>
    <col width="12" customWidth="1" min="21" max="21"/>
    <col width="10" customWidth="1" min="22" max="22"/>
    <col width="10" customWidth="1" min="23" max="23"/>
    <col width="10" customWidth="1" min="24" max="24"/>
    <col width="10" customWidth="1" min="25" max="25"/>
    <col width="11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1" customWidth="1" min="32" max="32"/>
    <col width="11" customWidth="1" min="33" max="33"/>
    <col width="10" customWidth="1" min="34" max="34"/>
    <col width="11" customWidth="1" min="35" max="35"/>
    <col width="13" customWidth="1" min="36" max="36"/>
    <col width="12" customWidth="1" min="38" max="38"/>
    <col width="10" customWidth="1" min="39" max="39"/>
    <col width="10" customWidth="1" min="40" max="40"/>
    <col width="10" customWidth="1" min="41" max="41"/>
    <col width="10" customWidth="1" min="42" max="42"/>
    <col width="11" customWidth="1" min="43" max="43"/>
    <col width="11" customWidth="1" min="44" max="44"/>
    <col width="10" customWidth="1" min="45" max="45"/>
    <col width="10" customWidth="1" min="46" max="46"/>
    <col width="10" customWidth="1" min="47" max="47"/>
    <col width="10" customWidth="1" min="48" max="48"/>
    <col width="11" customWidth="1" min="49" max="49"/>
    <col width="11" customWidth="1" min="50" max="50"/>
    <col width="10" customWidth="1" min="51" max="51"/>
    <col width="11" customWidth="1" min="52" max="52"/>
    <col width="13" customWidth="1" min="53" max="53"/>
    <col width="12" customWidth="1" min="55" max="55"/>
    <col width="10" customWidth="1" min="56" max="56"/>
    <col width="10" customWidth="1" min="57" max="57"/>
    <col width="10" customWidth="1" min="58" max="58"/>
    <col width="10" customWidth="1" min="59" max="59"/>
    <col width="11" customWidth="1" min="60" max="60"/>
    <col width="11" customWidth="1" min="61" max="61"/>
    <col width="10" customWidth="1" min="62" max="62"/>
    <col width="10" customWidth="1" min="63" max="63"/>
    <col width="10" customWidth="1" min="64" max="64"/>
    <col width="10" customWidth="1" min="65" max="65"/>
    <col width="11" customWidth="1" min="66" max="66"/>
    <col width="11" customWidth="1" min="67" max="67"/>
    <col width="10" customWidth="1" min="68" max="68"/>
    <col width="11" customWidth="1" min="69" max="69"/>
    <col width="13" customWidth="1" min="70" max="70"/>
    <col width="12" customWidth="1" min="72" max="72"/>
    <col width="10" customWidth="1" min="73" max="73"/>
    <col width="10" customWidth="1" min="74" max="74"/>
    <col width="10" customWidth="1" min="75" max="75"/>
    <col width="10" customWidth="1" min="76" max="76"/>
    <col width="11" customWidth="1" min="77" max="77"/>
    <col width="11" customWidth="1" min="78" max="78"/>
    <col width="10" customWidth="1" min="79" max="79"/>
    <col width="10" customWidth="1" min="80" max="80"/>
    <col width="10" customWidth="1" min="81" max="81"/>
    <col width="10" customWidth="1" min="82" max="82"/>
    <col width="11" customWidth="1" min="83" max="83"/>
    <col width="11" customWidth="1" min="84" max="84"/>
    <col width="10" customWidth="1" min="85" max="85"/>
    <col width="11" customWidth="1" min="86" max="86"/>
    <col width="13" customWidth="1" min="87" max="87"/>
    <col width="12" customWidth="1" min="89" max="89"/>
    <col width="10" customWidth="1" min="90" max="90"/>
    <col width="10" customWidth="1" min="91" max="91"/>
    <col width="10" customWidth="1" min="92" max="92"/>
    <col width="10" customWidth="1" min="93" max="93"/>
    <col width="11" customWidth="1" min="94" max="94"/>
    <col width="11" customWidth="1" min="95" max="95"/>
    <col width="10" customWidth="1" min="96" max="96"/>
    <col width="10" customWidth="1" min="97" max="97"/>
    <col width="10" customWidth="1" min="98" max="98"/>
    <col width="10" customWidth="1" min="99" max="99"/>
    <col width="11" customWidth="1" min="100" max="100"/>
    <col width="11" customWidth="1" min="101" max="101"/>
    <col width="10" customWidth="1" min="102" max="102"/>
    <col width="11" customWidth="1" min="103" max="103"/>
    <col width="13" customWidth="1" min="104" max="104"/>
    <col width="12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1" customWidth="1" min="111" max="111"/>
    <col width="11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1" customWidth="1" min="117" max="117"/>
    <col width="11" customWidth="1" min="118" max="118"/>
    <col width="10" customWidth="1" min="119" max="119"/>
    <col width="11" customWidth="1" min="120" max="120"/>
    <col width="13" customWidth="1" min="121" max="121"/>
    <col width="12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1" customWidth="1" min="128" max="128"/>
    <col width="11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1" customWidth="1" min="134" max="134"/>
    <col width="11" customWidth="1" min="135" max="135"/>
    <col width="10" customWidth="1" min="136" max="136"/>
    <col width="11" customWidth="1" min="137" max="137"/>
    <col width="13" customWidth="1" min="138" max="138"/>
    <col width="12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1" customWidth="1" min="145" max="145"/>
    <col width="11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1" customWidth="1" min="151" max="151"/>
    <col width="11" customWidth="1" min="152" max="152"/>
    <col width="10" customWidth="1" min="153" max="153"/>
    <col width="11" customWidth="1" min="154" max="154"/>
    <col width="13" customWidth="1" min="155" max="155"/>
    <col width="12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1" customWidth="1" min="162" max="162"/>
    <col width="11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1" customWidth="1" min="168" max="168"/>
    <col width="11" customWidth="1" min="169" max="169"/>
    <col width="10" customWidth="1" min="170" max="170"/>
    <col width="11" customWidth="1" min="171" max="171"/>
    <col width="13" customWidth="1" min="172" max="172"/>
    <col width="12" customWidth="1" min="174" max="174"/>
    <col width="10" customWidth="1" min="175" max="175"/>
    <col width="10" customWidth="1" min="176" max="176"/>
    <col width="10" customWidth="1" min="177" max="177"/>
    <col width="10" customWidth="1" min="178" max="178"/>
    <col width="11" customWidth="1" min="179" max="179"/>
    <col width="11" customWidth="1" min="180" max="180"/>
    <col width="10" customWidth="1" min="181" max="181"/>
    <col width="10" customWidth="1" min="182" max="182"/>
    <col width="10" customWidth="1" min="183" max="183"/>
    <col width="10" customWidth="1" min="184" max="184"/>
    <col width="11" customWidth="1" min="185" max="185"/>
    <col width="11" customWidth="1" min="186" max="186"/>
    <col width="10" customWidth="1" min="187" max="187"/>
    <col width="11" customWidth="1" min="188" max="188"/>
    <col width="13" customWidth="1" min="189" max="189"/>
    <col width="12" customWidth="1" min="191" max="191"/>
    <col width="10" customWidth="1" min="192" max="192"/>
    <col width="10" customWidth="1" min="193" max="193"/>
    <col width="10" customWidth="1" min="194" max="194"/>
    <col width="10" customWidth="1" min="195" max="195"/>
    <col width="11" customWidth="1" min="196" max="196"/>
    <col width="11" customWidth="1" min="197" max="197"/>
    <col width="10" customWidth="1" min="198" max="198"/>
    <col width="10" customWidth="1" min="199" max="199"/>
    <col width="10" customWidth="1" min="200" max="200"/>
    <col width="10" customWidth="1" min="201" max="201"/>
    <col width="11" customWidth="1" min="202" max="202"/>
    <col width="11" customWidth="1" min="203" max="203"/>
    <col width="10" customWidth="1" min="204" max="204"/>
    <col width="11" customWidth="1" min="205" max="205"/>
    <col width="13" customWidth="1" min="206" max="206"/>
    <col width="12" customWidth="1" min="208" max="208"/>
    <col width="10" customWidth="1" min="209" max="209"/>
    <col width="10" customWidth="1" min="210" max="210"/>
    <col width="10" customWidth="1" min="211" max="211"/>
    <col width="10" customWidth="1" min="212" max="212"/>
    <col width="11" customWidth="1" min="213" max="213"/>
    <col width="11" customWidth="1" min="214" max="214"/>
    <col width="10" customWidth="1" min="215" max="215"/>
    <col width="10" customWidth="1" min="216" max="216"/>
    <col width="10" customWidth="1" min="217" max="217"/>
    <col width="10" customWidth="1" min="218" max="218"/>
    <col width="11" customWidth="1" min="219" max="219"/>
    <col width="11" customWidth="1" min="220" max="220"/>
    <col width="10" customWidth="1" min="221" max="221"/>
    <col width="11" customWidth="1" min="222" max="222"/>
    <col width="13" customWidth="1" min="223" max="223"/>
    <col width="12" customWidth="1" min="225" max="225"/>
    <col width="10" customWidth="1" min="226" max="226"/>
    <col width="10" customWidth="1" min="227" max="227"/>
    <col width="10" customWidth="1" min="228" max="228"/>
    <col width="10" customWidth="1" min="229" max="229"/>
    <col width="11" customWidth="1" min="230" max="230"/>
    <col width="11" customWidth="1" min="231" max="231"/>
    <col width="10" customWidth="1" min="232" max="232"/>
    <col width="10" customWidth="1" min="233" max="233"/>
    <col width="10" customWidth="1" min="234" max="234"/>
    <col width="10" customWidth="1" min="235" max="235"/>
    <col width="11" customWidth="1" min="236" max="236"/>
    <col width="11" customWidth="1" min="237" max="237"/>
    <col width="10" customWidth="1" min="238" max="238"/>
    <col width="11" customWidth="1" min="239" max="239"/>
    <col width="13" customWidth="1" min="240" max="240"/>
    <col width="12" customWidth="1" min="242" max="242"/>
    <col width="10" customWidth="1" min="243" max="243"/>
    <col width="10" customWidth="1" min="244" max="244"/>
    <col width="10" customWidth="1" min="245" max="245"/>
    <col width="10" customWidth="1" min="246" max="246"/>
    <col width="11" customWidth="1" min="247" max="247"/>
    <col width="11" customWidth="1" min="248" max="248"/>
    <col width="10" customWidth="1" min="249" max="249"/>
    <col width="10" customWidth="1" min="250" max="250"/>
    <col width="10" customWidth="1" min="251" max="251"/>
    <col width="10" customWidth="1" min="252" max="252"/>
    <col width="11" customWidth="1" min="253" max="253"/>
    <col width="11" customWidth="1" min="254" max="254"/>
    <col width="10" customWidth="1" min="255" max="255"/>
    <col width="11" customWidth="1" min="256" max="256"/>
    <col width="13" customWidth="1" min="257" max="257"/>
    <col width="12" customWidth="1" min="259" max="259"/>
    <col width="10" customWidth="1" min="260" max="260"/>
    <col width="10" customWidth="1" min="261" max="261"/>
    <col width="10" customWidth="1" min="262" max="262"/>
    <col width="10" customWidth="1" min="263" max="263"/>
    <col width="11" customWidth="1" min="264" max="264"/>
    <col width="11" customWidth="1" min="265" max="265"/>
    <col width="10" customWidth="1" min="266" max="266"/>
    <col width="10" customWidth="1" min="267" max="267"/>
    <col width="10" customWidth="1" min="268" max="268"/>
    <col width="10" customWidth="1" min="269" max="269"/>
    <col width="11" customWidth="1" min="270" max="270"/>
    <col width="11" customWidth="1" min="271" max="271"/>
    <col width="10" customWidth="1" min="272" max="272"/>
    <col width="11" customWidth="1" min="273" max="273"/>
    <col width="13" customWidth="1" min="274" max="274"/>
    <col width="12" customWidth="1" min="276" max="276"/>
    <col width="10" customWidth="1" min="277" max="277"/>
    <col width="10" customWidth="1" min="278" max="278"/>
    <col width="10" customWidth="1" min="279" max="279"/>
    <col width="10" customWidth="1" min="280" max="280"/>
    <col width="11" customWidth="1" min="281" max="281"/>
    <col width="11" customWidth="1" min="282" max="282"/>
    <col width="10" customWidth="1" min="283" max="283"/>
    <col width="10" customWidth="1" min="284" max="284"/>
    <col width="10" customWidth="1" min="285" max="285"/>
    <col width="10" customWidth="1" min="286" max="286"/>
    <col width="11" customWidth="1" min="287" max="287"/>
    <col width="11" customWidth="1" min="288" max="288"/>
    <col width="10" customWidth="1" min="289" max="289"/>
    <col width="11" customWidth="1" min="290" max="290"/>
    <col width="13" customWidth="1" min="291" max="291"/>
    <col width="12" customWidth="1" min="293" max="293"/>
    <col width="10" customWidth="1" min="294" max="294"/>
    <col width="10" customWidth="1" min="295" max="295"/>
    <col width="10" customWidth="1" min="296" max="296"/>
    <col width="10" customWidth="1" min="297" max="297"/>
    <col width="11" customWidth="1" min="298" max="298"/>
    <col width="11" customWidth="1" min="299" max="299"/>
    <col width="10" customWidth="1" min="300" max="300"/>
    <col width="10" customWidth="1" min="301" max="301"/>
    <col width="10" customWidth="1" min="302" max="302"/>
    <col width="10" customWidth="1" min="303" max="303"/>
    <col width="11" customWidth="1" min="304" max="304"/>
    <col width="11" customWidth="1" min="305" max="305"/>
    <col width="10" customWidth="1" min="306" max="306"/>
    <col width="11" customWidth="1" min="307" max="307"/>
    <col width="13" customWidth="1" min="308" max="308"/>
    <col width="12" customWidth="1" min="310" max="310"/>
    <col width="10" customWidth="1" min="311" max="311"/>
    <col width="10" customWidth="1" min="312" max="312"/>
    <col width="10" customWidth="1" min="313" max="313"/>
    <col width="10" customWidth="1" min="314" max="314"/>
    <col width="11" customWidth="1" min="315" max="315"/>
    <col width="11" customWidth="1" min="316" max="316"/>
    <col width="10" customWidth="1" min="317" max="317"/>
    <col width="10" customWidth="1" min="318" max="318"/>
    <col width="10" customWidth="1" min="319" max="319"/>
    <col width="10" customWidth="1" min="320" max="320"/>
    <col width="11" customWidth="1" min="321" max="321"/>
    <col width="11" customWidth="1" min="322" max="322"/>
    <col width="10" customWidth="1" min="323" max="323"/>
    <col width="11" customWidth="1" min="324" max="324"/>
    <col width="13" customWidth="1" min="325" max="325"/>
    <col width="12" customWidth="1" min="327" max="327"/>
    <col width="10" customWidth="1" min="328" max="328"/>
    <col width="10" customWidth="1" min="329" max="329"/>
    <col width="10" customWidth="1" min="330" max="330"/>
    <col width="10" customWidth="1" min="331" max="331"/>
    <col width="11" customWidth="1" min="332" max="332"/>
    <col width="11" customWidth="1" min="333" max="333"/>
    <col width="10" customWidth="1" min="334" max="334"/>
    <col width="10" customWidth="1" min="335" max="335"/>
    <col width="10" customWidth="1" min="336" max="336"/>
    <col width="10" customWidth="1" min="337" max="337"/>
    <col width="11" customWidth="1" min="338" max="338"/>
    <col width="11" customWidth="1" min="339" max="339"/>
    <col width="10" customWidth="1" min="340" max="340"/>
    <col width="11" customWidth="1" min="341" max="341"/>
    <col width="13" customWidth="1" min="342" max="342"/>
    <col width="12" customWidth="1" min="344" max="344"/>
    <col width="10" customWidth="1" min="345" max="345"/>
    <col width="10" customWidth="1" min="346" max="346"/>
    <col width="10" customWidth="1" min="347" max="347"/>
    <col width="10" customWidth="1" min="348" max="348"/>
    <col width="11" customWidth="1" min="349" max="349"/>
    <col width="11" customWidth="1" min="350" max="350"/>
    <col width="10" customWidth="1" min="351" max="351"/>
    <col width="10" customWidth="1" min="352" max="352"/>
    <col width="10" customWidth="1" min="353" max="353"/>
    <col width="10" customWidth="1" min="354" max="354"/>
    <col width="11" customWidth="1" min="355" max="355"/>
    <col width="11" customWidth="1" min="356" max="356"/>
    <col width="10" customWidth="1" min="357" max="357"/>
    <col width="11" customWidth="1" min="358" max="358"/>
    <col width="13" customWidth="1" min="359" max="359"/>
    <col width="12" customWidth="1" min="361" max="361"/>
    <col width="10" customWidth="1" min="362" max="362"/>
    <col width="10" customWidth="1" min="363" max="363"/>
    <col width="10" customWidth="1" min="364" max="364"/>
    <col width="10" customWidth="1" min="365" max="365"/>
    <col width="11" customWidth="1" min="366" max="366"/>
    <col width="11" customWidth="1" min="367" max="367"/>
    <col width="10" customWidth="1" min="368" max="368"/>
    <col width="10" customWidth="1" min="369" max="369"/>
    <col width="10" customWidth="1" min="370" max="370"/>
    <col width="10" customWidth="1" min="371" max="371"/>
    <col width="11" customWidth="1" min="372" max="372"/>
    <col width="11" customWidth="1" min="373" max="373"/>
    <col width="10" customWidth="1" min="374" max="374"/>
    <col width="11" customWidth="1" min="375" max="375"/>
    <col width="13" customWidth="1" min="376" max="376"/>
  </cols>
  <sheetData>
    <row r="1">
      <c r="A1" s="2" t="inlineStr">
        <is>
          <t>Month</t>
        </is>
      </c>
      <c r="B1" s="9" t="n">
        <v>2</v>
      </c>
      <c r="D1" s="2">
        <f>IF(ISNUMBER(B$7),"DAL US "&amp;TEXT(B$3,"mm/dd/yy")&amp;" C"&amp;(B$7-5*B$6)&amp;" Equity","")</f>
        <v/>
      </c>
      <c r="U1" s="2">
        <f>IF(ISNUMBER(B$7),"DAL US "&amp;TEXT(B$3,"mm/dd/yy")&amp;" P"&amp;(B$7-5*B$6)&amp;" Equity","")</f>
        <v/>
      </c>
      <c r="AL1" s="2">
        <f>IF(ISNUMBER(B$7),"DAL US "&amp;TEXT(B$3,"mm/dd/yy")&amp;" C"&amp;(B$7-4*B$6)&amp;" Equity","")</f>
        <v/>
      </c>
      <c r="BC1" s="2">
        <f>IF(ISNUMBER(B$7),"DAL US "&amp;TEXT(B$3,"mm/dd/yy")&amp;" P"&amp;(B$7-4*B$6)&amp;" Equity","")</f>
        <v/>
      </c>
      <c r="BT1" s="2">
        <f>IF(ISNUMBER(B$7),"DAL US "&amp;TEXT(B$3,"mm/dd/yy")&amp;" C"&amp;(B$7-3*B$6)&amp;" Equity","")</f>
        <v/>
      </c>
      <c r="CK1" s="2">
        <f>IF(ISNUMBER(B$7),"DAL US "&amp;TEXT(B$3,"mm/dd/yy")&amp;" P"&amp;(B$7-3*B$6)&amp;" Equity","")</f>
        <v/>
      </c>
      <c r="DB1" s="2">
        <f>IF(ISNUMBER(B$7),"DAL US "&amp;TEXT(B$3,"mm/dd/yy")&amp;" C"&amp;(B$7-2*B$6)&amp;" Equity","")</f>
        <v/>
      </c>
      <c r="DS1" s="2">
        <f>IF(ISNUMBER(B$7),"DAL US "&amp;TEXT(B$3,"mm/dd/yy")&amp;" P"&amp;(B$7-2*B$6)&amp;" Equity","")</f>
        <v/>
      </c>
      <c r="EJ1" s="2">
        <f>IF(ISNUMBER(B$7),"DAL US "&amp;TEXT(B$3,"mm/dd/yy")&amp;" C"&amp;(B$7-1*B$6)&amp;" Equity","")</f>
        <v/>
      </c>
      <c r="FA1" s="2">
        <f>IF(ISNUMBER(B$7),"DAL US "&amp;TEXT(B$3,"mm/dd/yy")&amp;" P"&amp;(B$7-1*B$6)&amp;" Equity","")</f>
        <v/>
      </c>
      <c r="FR1" s="2">
        <f>IF(ISNUMBER(B$7),"DAL US "&amp;TEXT(B$3,"mm/dd/yy")&amp;" C"&amp;B$7&amp;" Equity","")</f>
        <v/>
      </c>
      <c r="GI1" s="2">
        <f>IF(ISNUMBER(B$7),"DAL US "&amp;TEXT(B$3,"mm/dd/yy")&amp;" P"&amp;B$7&amp;" Equity","")</f>
        <v/>
      </c>
      <c r="GZ1" s="2">
        <f>IF(ISNUMBER(B$7),"DAL US "&amp;TEXT(B$3,"mm/dd/yy")&amp;" C"&amp;(B$7+1*B$6)&amp;" Equity","")</f>
        <v/>
      </c>
      <c r="HQ1" s="2">
        <f>IF(ISNUMBER(B$7),"DAL US "&amp;TEXT(B$3,"mm/dd/yy")&amp;" P"&amp;(B$7+1*B$6)&amp;" Equity","")</f>
        <v/>
      </c>
      <c r="IH1" s="2">
        <f>IF(ISNUMBER(B$7),"DAL US "&amp;TEXT(B$3,"mm/dd/yy")&amp;" C"&amp;(B$7+2*B$6)&amp;" Equity","")</f>
        <v/>
      </c>
      <c r="IY1" s="2">
        <f>IF(ISNUMBER(B$7),"DAL US "&amp;TEXT(B$3,"mm/dd/yy")&amp;" P"&amp;(B$7+2*B$6)&amp;" Equity","")</f>
        <v/>
      </c>
      <c r="JP1" s="2">
        <f>IF(ISNUMBER(B$7),"DAL US "&amp;TEXT(B$3,"mm/dd/yy")&amp;" C"&amp;(B$7+3*B$6)&amp;" Equity","")</f>
        <v/>
      </c>
      <c r="KG1" s="2">
        <f>IF(ISNUMBER(B$7),"DAL US "&amp;TEXT(B$3,"mm/dd/yy")&amp;" P"&amp;(B$7+3*B$6)&amp;" Equity","")</f>
        <v/>
      </c>
      <c r="KX1" s="2">
        <f>IF(ISNUMBER(B$7),"DAL US "&amp;TEXT(B$3,"mm/dd/yy")&amp;" C"&amp;(B$7+4*B$6)&amp;" Equity","")</f>
        <v/>
      </c>
      <c r="LO1" s="2">
        <f>IF(ISNUMBER(B$7),"DAL US "&amp;TEXT(B$3,"mm/dd/yy")&amp;" P"&amp;(B$7+4*B$6)&amp;" Equity","")</f>
        <v/>
      </c>
      <c r="MF1" s="2">
        <f>IF(ISNUMBER(B$7),"DAL US "&amp;TEXT(B$3,"mm/dd/yy")&amp;" C"&amp;(B$7+5*B$6)&amp;" Equity","")</f>
        <v/>
      </c>
      <c r="MW1" s="2">
        <f>IF(ISNUMBER(B$7),"DAL US "&amp;TEXT(B$3,"mm/dd/yy")&amp;" P"&amp;(B$7+5*B$6)&amp;" Equity","")</f>
        <v/>
      </c>
    </row>
    <row r="2">
      <c r="A2" s="2" t="inlineStr">
        <is>
          <t>Underlying</t>
        </is>
      </c>
      <c r="B2" s="4">
        <f>IF(Settings!$B$19="Y","DAL US Equity","")</f>
        <v/>
      </c>
      <c r="D2" s="4" t="inlineStr">
        <is>
          <t>call -5 from ATM</t>
        </is>
      </c>
      <c r="U2" s="4" t="inlineStr">
        <is>
          <t>put -5 from ATM</t>
        </is>
      </c>
      <c r="AL2" s="4" t="inlineStr">
        <is>
          <t>call -4 from ATM</t>
        </is>
      </c>
      <c r="BC2" s="4" t="inlineStr">
        <is>
          <t>put -4 from ATM</t>
        </is>
      </c>
      <c r="BT2" s="4" t="inlineStr">
        <is>
          <t>call -3 from ATM</t>
        </is>
      </c>
      <c r="CK2" s="4" t="inlineStr">
        <is>
          <t>put -3 from ATM</t>
        </is>
      </c>
      <c r="DB2" s="4" t="inlineStr">
        <is>
          <t>call -2 from ATM</t>
        </is>
      </c>
      <c r="DS2" s="4" t="inlineStr">
        <is>
          <t>put -2 from ATM</t>
        </is>
      </c>
      <c r="EJ2" s="4" t="inlineStr">
        <is>
          <t>call -1 from ATM</t>
        </is>
      </c>
      <c r="FA2" s="4" t="inlineStr">
        <is>
          <t>put -1 from ATM</t>
        </is>
      </c>
      <c r="FR2" s="4" t="inlineStr">
        <is>
          <t>call +0 from ATM</t>
        </is>
      </c>
      <c r="GI2" s="4" t="inlineStr">
        <is>
          <t>put +0 from ATM</t>
        </is>
      </c>
      <c r="GZ2" s="4" t="inlineStr">
        <is>
          <t>call +1 from ATM</t>
        </is>
      </c>
      <c r="HQ2" s="4" t="inlineStr">
        <is>
          <t>put +1 from ATM</t>
        </is>
      </c>
      <c r="IH2" s="4" t="inlineStr">
        <is>
          <t>call +2 from ATM</t>
        </is>
      </c>
      <c r="IY2" s="4" t="inlineStr">
        <is>
          <t>put +2 from ATM</t>
        </is>
      </c>
      <c r="JP2" s="4" t="inlineStr">
        <is>
          <t>call +3 from ATM</t>
        </is>
      </c>
      <c r="KG2" s="4" t="inlineStr">
        <is>
          <t>put +3 from ATM</t>
        </is>
      </c>
      <c r="KX2" s="4" t="inlineStr">
        <is>
          <t>call +4 from ATM</t>
        </is>
      </c>
      <c r="LO2" s="4" t="inlineStr">
        <is>
          <t>put +4 from ATM</t>
        </is>
      </c>
      <c r="MF2" s="4" t="inlineStr">
        <is>
          <t>call +5 from ATM</t>
        </is>
      </c>
      <c r="MW2" s="4" t="inlineStr">
        <is>
          <t>put +5 from ATM</t>
        </is>
      </c>
    </row>
    <row r="3">
      <c r="A3" s="2" t="inlineStr">
        <is>
          <t>Expiry (3rd Friday)</t>
        </is>
      </c>
      <c r="B3" s="3">
        <f>DATE(Settings!$E$19,B1,15)+MOD(6-WEEKDAY(DATE(Settings!$E$19,B1,15)),7)</f>
        <v/>
      </c>
      <c r="D3" s="5" t="inlineStr">
        <is>
          <t>Date</t>
        </is>
      </c>
      <c r="E3" s="5" t="inlineStr">
        <is>
          <t>PX_BID</t>
        </is>
      </c>
      <c r="F3" s="5" t="inlineStr">
        <is>
          <t>PX_ASK</t>
        </is>
      </c>
      <c r="G3" s="5" t="inlineStr">
        <is>
          <t>PX_MID</t>
        </is>
      </c>
      <c r="H3" s="5" t="inlineStr">
        <is>
          <t>PX_LAST</t>
        </is>
      </c>
      <c r="I3" s="5" t="inlineStr">
        <is>
          <t>PX_SETTLE</t>
        </is>
      </c>
      <c r="J3" s="5" t="inlineStr">
        <is>
          <t>PX_VOLUME</t>
        </is>
      </c>
      <c r="K3" s="5" t="inlineStr">
        <is>
          <t>OPEN_INT</t>
        </is>
      </c>
      <c r="L3" s="5" t="inlineStr">
        <is>
          <t>IVOL_MID</t>
        </is>
      </c>
      <c r="M3" s="5" t="inlineStr">
        <is>
          <t>IVOL_BID</t>
        </is>
      </c>
      <c r="N3" s="5" t="inlineStr">
        <is>
          <t>IVOL_ASK</t>
        </is>
      </c>
      <c r="O3" s="5" t="inlineStr">
        <is>
          <t>DELTA_MID</t>
        </is>
      </c>
      <c r="P3" s="5" t="inlineStr">
        <is>
          <t>GAMMA_MID</t>
        </is>
      </c>
      <c r="Q3" s="5" t="inlineStr">
        <is>
          <t>VEGA_MID</t>
        </is>
      </c>
      <c r="R3" s="5" t="inlineStr">
        <is>
          <t>THETA_MID</t>
        </is>
      </c>
      <c r="S3" s="5" t="inlineStr">
        <is>
          <t>OPT_UNDL_PX</t>
        </is>
      </c>
      <c r="U3" s="5" t="inlineStr">
        <is>
          <t>Date</t>
        </is>
      </c>
      <c r="V3" s="5" t="inlineStr">
        <is>
          <t>PX_BID</t>
        </is>
      </c>
      <c r="W3" s="5" t="inlineStr">
        <is>
          <t>PX_ASK</t>
        </is>
      </c>
      <c r="X3" s="5" t="inlineStr">
        <is>
          <t>PX_MID</t>
        </is>
      </c>
      <c r="Y3" s="5" t="inlineStr">
        <is>
          <t>PX_LAST</t>
        </is>
      </c>
      <c r="Z3" s="5" t="inlineStr">
        <is>
          <t>PX_SETTLE</t>
        </is>
      </c>
      <c r="AA3" s="5" t="inlineStr">
        <is>
          <t>PX_VOLUME</t>
        </is>
      </c>
      <c r="AB3" s="5" t="inlineStr">
        <is>
          <t>OPEN_INT</t>
        </is>
      </c>
      <c r="AC3" s="5" t="inlineStr">
        <is>
          <t>IVOL_MID</t>
        </is>
      </c>
      <c r="AD3" s="5" t="inlineStr">
        <is>
          <t>IVOL_BID</t>
        </is>
      </c>
      <c r="AE3" s="5" t="inlineStr">
        <is>
          <t>IVOL_ASK</t>
        </is>
      </c>
      <c r="AF3" s="5" t="inlineStr">
        <is>
          <t>DELTA_MID</t>
        </is>
      </c>
      <c r="AG3" s="5" t="inlineStr">
        <is>
          <t>GAMMA_MID</t>
        </is>
      </c>
      <c r="AH3" s="5" t="inlineStr">
        <is>
          <t>VEGA_MID</t>
        </is>
      </c>
      <c r="AI3" s="5" t="inlineStr">
        <is>
          <t>THETA_MID</t>
        </is>
      </c>
      <c r="AJ3" s="5" t="inlineStr">
        <is>
          <t>OPT_UNDL_PX</t>
        </is>
      </c>
      <c r="AL3" s="5" t="inlineStr">
        <is>
          <t>Date</t>
        </is>
      </c>
      <c r="AM3" s="5" t="inlineStr">
        <is>
          <t>PX_BID</t>
        </is>
      </c>
      <c r="AN3" s="5" t="inlineStr">
        <is>
          <t>PX_ASK</t>
        </is>
      </c>
      <c r="AO3" s="5" t="inlineStr">
        <is>
          <t>PX_MID</t>
        </is>
      </c>
      <c r="AP3" s="5" t="inlineStr">
        <is>
          <t>PX_LAST</t>
        </is>
      </c>
      <c r="AQ3" s="5" t="inlineStr">
        <is>
          <t>PX_SETTLE</t>
        </is>
      </c>
      <c r="AR3" s="5" t="inlineStr">
        <is>
          <t>PX_VOLUME</t>
        </is>
      </c>
      <c r="AS3" s="5" t="inlineStr">
        <is>
          <t>OPEN_INT</t>
        </is>
      </c>
      <c r="AT3" s="5" t="inlineStr">
        <is>
          <t>IVOL_MID</t>
        </is>
      </c>
      <c r="AU3" s="5" t="inlineStr">
        <is>
          <t>IVOL_BID</t>
        </is>
      </c>
      <c r="AV3" s="5" t="inlineStr">
        <is>
          <t>IVOL_ASK</t>
        </is>
      </c>
      <c r="AW3" s="5" t="inlineStr">
        <is>
          <t>DELTA_MID</t>
        </is>
      </c>
      <c r="AX3" s="5" t="inlineStr">
        <is>
          <t>GAMMA_MID</t>
        </is>
      </c>
      <c r="AY3" s="5" t="inlineStr">
        <is>
          <t>VEGA_MID</t>
        </is>
      </c>
      <c r="AZ3" s="5" t="inlineStr">
        <is>
          <t>THETA_MID</t>
        </is>
      </c>
      <c r="BA3" s="5" t="inlineStr">
        <is>
          <t>OPT_UNDL_PX</t>
        </is>
      </c>
      <c r="BC3" s="5" t="inlineStr">
        <is>
          <t>Date</t>
        </is>
      </c>
      <c r="BD3" s="5" t="inlineStr">
        <is>
          <t>PX_BID</t>
        </is>
      </c>
      <c r="BE3" s="5" t="inlineStr">
        <is>
          <t>PX_ASK</t>
        </is>
      </c>
      <c r="BF3" s="5" t="inlineStr">
        <is>
          <t>PX_MID</t>
        </is>
      </c>
      <c r="BG3" s="5" t="inlineStr">
        <is>
          <t>PX_LAST</t>
        </is>
      </c>
      <c r="BH3" s="5" t="inlineStr">
        <is>
          <t>PX_SETTLE</t>
        </is>
      </c>
      <c r="BI3" s="5" t="inlineStr">
        <is>
          <t>PX_VOLUME</t>
        </is>
      </c>
      <c r="BJ3" s="5" t="inlineStr">
        <is>
          <t>OPEN_INT</t>
        </is>
      </c>
      <c r="BK3" s="5" t="inlineStr">
        <is>
          <t>IVOL_MID</t>
        </is>
      </c>
      <c r="BL3" s="5" t="inlineStr">
        <is>
          <t>IVOL_BID</t>
        </is>
      </c>
      <c r="BM3" s="5" t="inlineStr">
        <is>
          <t>IVOL_ASK</t>
        </is>
      </c>
      <c r="BN3" s="5" t="inlineStr">
        <is>
          <t>DELTA_MID</t>
        </is>
      </c>
      <c r="BO3" s="5" t="inlineStr">
        <is>
          <t>GAMMA_MID</t>
        </is>
      </c>
      <c r="BP3" s="5" t="inlineStr">
        <is>
          <t>VEGA_MID</t>
        </is>
      </c>
      <c r="BQ3" s="5" t="inlineStr">
        <is>
          <t>THETA_MID</t>
        </is>
      </c>
      <c r="BR3" s="5" t="inlineStr">
        <is>
          <t>OPT_UNDL_PX</t>
        </is>
      </c>
      <c r="BT3" s="5" t="inlineStr">
        <is>
          <t>Date</t>
        </is>
      </c>
      <c r="BU3" s="5" t="inlineStr">
        <is>
          <t>PX_BID</t>
        </is>
      </c>
      <c r="BV3" s="5" t="inlineStr">
        <is>
          <t>PX_ASK</t>
        </is>
      </c>
      <c r="BW3" s="5" t="inlineStr">
        <is>
          <t>PX_MID</t>
        </is>
      </c>
      <c r="BX3" s="5" t="inlineStr">
        <is>
          <t>PX_LAST</t>
        </is>
      </c>
      <c r="BY3" s="5" t="inlineStr">
        <is>
          <t>PX_SETTLE</t>
        </is>
      </c>
      <c r="BZ3" s="5" t="inlineStr">
        <is>
          <t>PX_VOLUME</t>
        </is>
      </c>
      <c r="CA3" s="5" t="inlineStr">
        <is>
          <t>OPEN_INT</t>
        </is>
      </c>
      <c r="CB3" s="5" t="inlineStr">
        <is>
          <t>IVOL_MID</t>
        </is>
      </c>
      <c r="CC3" s="5" t="inlineStr">
        <is>
          <t>IVOL_BID</t>
        </is>
      </c>
      <c r="CD3" s="5" t="inlineStr">
        <is>
          <t>IVOL_ASK</t>
        </is>
      </c>
      <c r="CE3" s="5" t="inlineStr">
        <is>
          <t>DELTA_MID</t>
        </is>
      </c>
      <c r="CF3" s="5" t="inlineStr">
        <is>
          <t>GAMMA_MID</t>
        </is>
      </c>
      <c r="CG3" s="5" t="inlineStr">
        <is>
          <t>VEGA_MID</t>
        </is>
      </c>
      <c r="CH3" s="5" t="inlineStr">
        <is>
          <t>THETA_MID</t>
        </is>
      </c>
      <c r="CI3" s="5" t="inlineStr">
        <is>
          <t>OPT_UNDL_PX</t>
        </is>
      </c>
      <c r="CK3" s="5" t="inlineStr">
        <is>
          <t>Date</t>
        </is>
      </c>
      <c r="CL3" s="5" t="inlineStr">
        <is>
          <t>PX_BID</t>
        </is>
      </c>
      <c r="CM3" s="5" t="inlineStr">
        <is>
          <t>PX_ASK</t>
        </is>
      </c>
      <c r="CN3" s="5" t="inlineStr">
        <is>
          <t>PX_MID</t>
        </is>
      </c>
      <c r="CO3" s="5" t="inlineStr">
        <is>
          <t>PX_LAST</t>
        </is>
      </c>
      <c r="CP3" s="5" t="inlineStr">
        <is>
          <t>PX_SETTLE</t>
        </is>
      </c>
      <c r="CQ3" s="5" t="inlineStr">
        <is>
          <t>PX_VOLUME</t>
        </is>
      </c>
      <c r="CR3" s="5" t="inlineStr">
        <is>
          <t>OPEN_INT</t>
        </is>
      </c>
      <c r="CS3" s="5" t="inlineStr">
        <is>
          <t>IVOL_MID</t>
        </is>
      </c>
      <c r="CT3" s="5" t="inlineStr">
        <is>
          <t>IVOL_BID</t>
        </is>
      </c>
      <c r="CU3" s="5" t="inlineStr">
        <is>
          <t>IVOL_ASK</t>
        </is>
      </c>
      <c r="CV3" s="5" t="inlineStr">
        <is>
          <t>DELTA_MID</t>
        </is>
      </c>
      <c r="CW3" s="5" t="inlineStr">
        <is>
          <t>GAMMA_MID</t>
        </is>
      </c>
      <c r="CX3" s="5" t="inlineStr">
        <is>
          <t>VEGA_MID</t>
        </is>
      </c>
      <c r="CY3" s="5" t="inlineStr">
        <is>
          <t>THETA_MID</t>
        </is>
      </c>
      <c r="CZ3" s="5" t="inlineStr">
        <is>
          <t>OPT_UNDL_PX</t>
        </is>
      </c>
      <c r="DB3" s="5" t="inlineStr">
        <is>
          <t>Date</t>
        </is>
      </c>
      <c r="DC3" s="5" t="inlineStr">
        <is>
          <t>PX_BID</t>
        </is>
      </c>
      <c r="DD3" s="5" t="inlineStr">
        <is>
          <t>PX_ASK</t>
        </is>
      </c>
      <c r="DE3" s="5" t="inlineStr">
        <is>
          <t>PX_MID</t>
        </is>
      </c>
      <c r="DF3" s="5" t="inlineStr">
        <is>
          <t>PX_LAST</t>
        </is>
      </c>
      <c r="DG3" s="5" t="inlineStr">
        <is>
          <t>PX_SETTLE</t>
        </is>
      </c>
      <c r="DH3" s="5" t="inlineStr">
        <is>
          <t>PX_VOLUME</t>
        </is>
      </c>
      <c r="DI3" s="5" t="inlineStr">
        <is>
          <t>OPEN_INT</t>
        </is>
      </c>
      <c r="DJ3" s="5" t="inlineStr">
        <is>
          <t>IVOL_MID</t>
        </is>
      </c>
      <c r="DK3" s="5" t="inlineStr">
        <is>
          <t>IVOL_BID</t>
        </is>
      </c>
      <c r="DL3" s="5" t="inlineStr">
        <is>
          <t>IVOL_ASK</t>
        </is>
      </c>
      <c r="DM3" s="5" t="inlineStr">
        <is>
          <t>DELTA_MID</t>
        </is>
      </c>
      <c r="DN3" s="5" t="inlineStr">
        <is>
          <t>GAMMA_MID</t>
        </is>
      </c>
      <c r="DO3" s="5" t="inlineStr">
        <is>
          <t>VEGA_MID</t>
        </is>
      </c>
      <c r="DP3" s="5" t="inlineStr">
        <is>
          <t>THETA_MID</t>
        </is>
      </c>
      <c r="DQ3" s="5" t="inlineStr">
        <is>
          <t>OPT_UNDL_PX</t>
        </is>
      </c>
      <c r="DS3" s="5" t="inlineStr">
        <is>
          <t>Date</t>
        </is>
      </c>
      <c r="DT3" s="5" t="inlineStr">
        <is>
          <t>PX_BID</t>
        </is>
      </c>
      <c r="DU3" s="5" t="inlineStr">
        <is>
          <t>PX_ASK</t>
        </is>
      </c>
      <c r="DV3" s="5" t="inlineStr">
        <is>
          <t>PX_MID</t>
        </is>
      </c>
      <c r="DW3" s="5" t="inlineStr">
        <is>
          <t>PX_LAST</t>
        </is>
      </c>
      <c r="DX3" s="5" t="inlineStr">
        <is>
          <t>PX_SETTLE</t>
        </is>
      </c>
      <c r="DY3" s="5" t="inlineStr">
        <is>
          <t>PX_VOLUME</t>
        </is>
      </c>
      <c r="DZ3" s="5" t="inlineStr">
        <is>
          <t>OPEN_INT</t>
        </is>
      </c>
      <c r="EA3" s="5" t="inlineStr">
        <is>
          <t>IVOL_MID</t>
        </is>
      </c>
      <c r="EB3" s="5" t="inlineStr">
        <is>
          <t>IVOL_BID</t>
        </is>
      </c>
      <c r="EC3" s="5" t="inlineStr">
        <is>
          <t>IVOL_ASK</t>
        </is>
      </c>
      <c r="ED3" s="5" t="inlineStr">
        <is>
          <t>DELTA_MID</t>
        </is>
      </c>
      <c r="EE3" s="5" t="inlineStr">
        <is>
          <t>GAMMA_MID</t>
        </is>
      </c>
      <c r="EF3" s="5" t="inlineStr">
        <is>
          <t>VEGA_MID</t>
        </is>
      </c>
      <c r="EG3" s="5" t="inlineStr">
        <is>
          <t>THETA_MID</t>
        </is>
      </c>
      <c r="EH3" s="5" t="inlineStr">
        <is>
          <t>OPT_UNDL_PX</t>
        </is>
      </c>
      <c r="EJ3" s="5" t="inlineStr">
        <is>
          <t>Date</t>
        </is>
      </c>
      <c r="EK3" s="5" t="inlineStr">
        <is>
          <t>PX_BID</t>
        </is>
      </c>
      <c r="EL3" s="5" t="inlineStr">
        <is>
          <t>PX_ASK</t>
        </is>
      </c>
      <c r="EM3" s="5" t="inlineStr">
        <is>
          <t>PX_MID</t>
        </is>
      </c>
      <c r="EN3" s="5" t="inlineStr">
        <is>
          <t>PX_LAST</t>
        </is>
      </c>
      <c r="EO3" s="5" t="inlineStr">
        <is>
          <t>PX_SETTLE</t>
        </is>
      </c>
      <c r="EP3" s="5" t="inlineStr">
        <is>
          <t>PX_VOLUME</t>
        </is>
      </c>
      <c r="EQ3" s="5" t="inlineStr">
        <is>
          <t>OPEN_INT</t>
        </is>
      </c>
      <c r="ER3" s="5" t="inlineStr">
        <is>
          <t>IVOL_MID</t>
        </is>
      </c>
      <c r="ES3" s="5" t="inlineStr">
        <is>
          <t>IVOL_BID</t>
        </is>
      </c>
      <c r="ET3" s="5" t="inlineStr">
        <is>
          <t>IVOL_ASK</t>
        </is>
      </c>
      <c r="EU3" s="5" t="inlineStr">
        <is>
          <t>DELTA_MID</t>
        </is>
      </c>
      <c r="EV3" s="5" t="inlineStr">
        <is>
          <t>GAMMA_MID</t>
        </is>
      </c>
      <c r="EW3" s="5" t="inlineStr">
        <is>
          <t>VEGA_MID</t>
        </is>
      </c>
      <c r="EX3" s="5" t="inlineStr">
        <is>
          <t>THETA_MID</t>
        </is>
      </c>
      <c r="EY3" s="5" t="inlineStr">
        <is>
          <t>OPT_UNDL_PX</t>
        </is>
      </c>
      <c r="FA3" s="5" t="inlineStr">
        <is>
          <t>Date</t>
        </is>
      </c>
      <c r="FB3" s="5" t="inlineStr">
        <is>
          <t>PX_BID</t>
        </is>
      </c>
      <c r="FC3" s="5" t="inlineStr">
        <is>
          <t>PX_ASK</t>
        </is>
      </c>
      <c r="FD3" s="5" t="inlineStr">
        <is>
          <t>PX_MID</t>
        </is>
      </c>
      <c r="FE3" s="5" t="inlineStr">
        <is>
          <t>PX_LAST</t>
        </is>
      </c>
      <c r="FF3" s="5" t="inlineStr">
        <is>
          <t>PX_SETTLE</t>
        </is>
      </c>
      <c r="FG3" s="5" t="inlineStr">
        <is>
          <t>PX_VOLUME</t>
        </is>
      </c>
      <c r="FH3" s="5" t="inlineStr">
        <is>
          <t>OPEN_INT</t>
        </is>
      </c>
      <c r="FI3" s="5" t="inlineStr">
        <is>
          <t>IVOL_MID</t>
        </is>
      </c>
      <c r="FJ3" s="5" t="inlineStr">
        <is>
          <t>IVOL_BID</t>
        </is>
      </c>
      <c r="FK3" s="5" t="inlineStr">
        <is>
          <t>IVOL_ASK</t>
        </is>
      </c>
      <c r="FL3" s="5" t="inlineStr">
        <is>
          <t>DELTA_MID</t>
        </is>
      </c>
      <c r="FM3" s="5" t="inlineStr">
        <is>
          <t>GAMMA_MID</t>
        </is>
      </c>
      <c r="FN3" s="5" t="inlineStr">
        <is>
          <t>VEGA_MID</t>
        </is>
      </c>
      <c r="FO3" s="5" t="inlineStr">
        <is>
          <t>THETA_MID</t>
        </is>
      </c>
      <c r="FP3" s="5" t="inlineStr">
        <is>
          <t>OPT_UNDL_PX</t>
        </is>
      </c>
      <c r="FR3" s="5" t="inlineStr">
        <is>
          <t>Date</t>
        </is>
      </c>
      <c r="FS3" s="5" t="inlineStr">
        <is>
          <t>PX_BID</t>
        </is>
      </c>
      <c r="FT3" s="5" t="inlineStr">
        <is>
          <t>PX_ASK</t>
        </is>
      </c>
      <c r="FU3" s="5" t="inlineStr">
        <is>
          <t>PX_MID</t>
        </is>
      </c>
      <c r="FV3" s="5" t="inlineStr">
        <is>
          <t>PX_LAST</t>
        </is>
      </c>
      <c r="FW3" s="5" t="inlineStr">
        <is>
          <t>PX_SETTLE</t>
        </is>
      </c>
      <c r="FX3" s="5" t="inlineStr">
        <is>
          <t>PX_VOLUME</t>
        </is>
      </c>
      <c r="FY3" s="5" t="inlineStr">
        <is>
          <t>OPEN_INT</t>
        </is>
      </c>
      <c r="FZ3" s="5" t="inlineStr">
        <is>
          <t>IVOL_MID</t>
        </is>
      </c>
      <c r="GA3" s="5" t="inlineStr">
        <is>
          <t>IVOL_BID</t>
        </is>
      </c>
      <c r="GB3" s="5" t="inlineStr">
        <is>
          <t>IVOL_ASK</t>
        </is>
      </c>
      <c r="GC3" s="5" t="inlineStr">
        <is>
          <t>DELTA_MID</t>
        </is>
      </c>
      <c r="GD3" s="5" t="inlineStr">
        <is>
          <t>GAMMA_MID</t>
        </is>
      </c>
      <c r="GE3" s="5" t="inlineStr">
        <is>
          <t>VEGA_MID</t>
        </is>
      </c>
      <c r="GF3" s="5" t="inlineStr">
        <is>
          <t>THETA_MID</t>
        </is>
      </c>
      <c r="GG3" s="5" t="inlineStr">
        <is>
          <t>OPT_UNDL_PX</t>
        </is>
      </c>
      <c r="GI3" s="5" t="inlineStr">
        <is>
          <t>Date</t>
        </is>
      </c>
      <c r="GJ3" s="5" t="inlineStr">
        <is>
          <t>PX_BID</t>
        </is>
      </c>
      <c r="GK3" s="5" t="inlineStr">
        <is>
          <t>PX_ASK</t>
        </is>
      </c>
      <c r="GL3" s="5" t="inlineStr">
        <is>
          <t>PX_MID</t>
        </is>
      </c>
      <c r="GM3" s="5" t="inlineStr">
        <is>
          <t>PX_LAST</t>
        </is>
      </c>
      <c r="GN3" s="5" t="inlineStr">
        <is>
          <t>PX_SETTLE</t>
        </is>
      </c>
      <c r="GO3" s="5" t="inlineStr">
        <is>
          <t>PX_VOLUME</t>
        </is>
      </c>
      <c r="GP3" s="5" t="inlineStr">
        <is>
          <t>OPEN_INT</t>
        </is>
      </c>
      <c r="GQ3" s="5" t="inlineStr">
        <is>
          <t>IVOL_MID</t>
        </is>
      </c>
      <c r="GR3" s="5" t="inlineStr">
        <is>
          <t>IVOL_BID</t>
        </is>
      </c>
      <c r="GS3" s="5" t="inlineStr">
        <is>
          <t>IVOL_ASK</t>
        </is>
      </c>
      <c r="GT3" s="5" t="inlineStr">
        <is>
          <t>DELTA_MID</t>
        </is>
      </c>
      <c r="GU3" s="5" t="inlineStr">
        <is>
          <t>GAMMA_MID</t>
        </is>
      </c>
      <c r="GV3" s="5" t="inlineStr">
        <is>
          <t>VEGA_MID</t>
        </is>
      </c>
      <c r="GW3" s="5" t="inlineStr">
        <is>
          <t>THETA_MID</t>
        </is>
      </c>
      <c r="GX3" s="5" t="inlineStr">
        <is>
          <t>OPT_UNDL_PX</t>
        </is>
      </c>
      <c r="GZ3" s="5" t="inlineStr">
        <is>
          <t>Date</t>
        </is>
      </c>
      <c r="HA3" s="5" t="inlineStr">
        <is>
          <t>PX_BID</t>
        </is>
      </c>
      <c r="HB3" s="5" t="inlineStr">
        <is>
          <t>PX_ASK</t>
        </is>
      </c>
      <c r="HC3" s="5" t="inlineStr">
        <is>
          <t>PX_MID</t>
        </is>
      </c>
      <c r="HD3" s="5" t="inlineStr">
        <is>
          <t>PX_LAST</t>
        </is>
      </c>
      <c r="HE3" s="5" t="inlineStr">
        <is>
          <t>PX_SETTLE</t>
        </is>
      </c>
      <c r="HF3" s="5" t="inlineStr">
        <is>
          <t>PX_VOLUME</t>
        </is>
      </c>
      <c r="HG3" s="5" t="inlineStr">
        <is>
          <t>OPEN_INT</t>
        </is>
      </c>
      <c r="HH3" s="5" t="inlineStr">
        <is>
          <t>IVOL_MID</t>
        </is>
      </c>
      <c r="HI3" s="5" t="inlineStr">
        <is>
          <t>IVOL_BID</t>
        </is>
      </c>
      <c r="HJ3" s="5" t="inlineStr">
        <is>
          <t>IVOL_ASK</t>
        </is>
      </c>
      <c r="HK3" s="5" t="inlineStr">
        <is>
          <t>DELTA_MID</t>
        </is>
      </c>
      <c r="HL3" s="5" t="inlineStr">
        <is>
          <t>GAMMA_MID</t>
        </is>
      </c>
      <c r="HM3" s="5" t="inlineStr">
        <is>
          <t>VEGA_MID</t>
        </is>
      </c>
      <c r="HN3" s="5" t="inlineStr">
        <is>
          <t>THETA_MID</t>
        </is>
      </c>
      <c r="HO3" s="5" t="inlineStr">
        <is>
          <t>OPT_UNDL_PX</t>
        </is>
      </c>
      <c r="HQ3" s="5" t="inlineStr">
        <is>
          <t>Date</t>
        </is>
      </c>
      <c r="HR3" s="5" t="inlineStr">
        <is>
          <t>PX_BID</t>
        </is>
      </c>
      <c r="HS3" s="5" t="inlineStr">
        <is>
          <t>PX_ASK</t>
        </is>
      </c>
      <c r="HT3" s="5" t="inlineStr">
        <is>
          <t>PX_MID</t>
        </is>
      </c>
      <c r="HU3" s="5" t="inlineStr">
        <is>
          <t>PX_LAST</t>
        </is>
      </c>
      <c r="HV3" s="5" t="inlineStr">
        <is>
          <t>PX_SETTLE</t>
        </is>
      </c>
      <c r="HW3" s="5" t="inlineStr">
        <is>
          <t>PX_VOLUME</t>
        </is>
      </c>
      <c r="HX3" s="5" t="inlineStr">
        <is>
          <t>OPEN_INT</t>
        </is>
      </c>
      <c r="HY3" s="5" t="inlineStr">
        <is>
          <t>IVOL_MID</t>
        </is>
      </c>
      <c r="HZ3" s="5" t="inlineStr">
        <is>
          <t>IVOL_BID</t>
        </is>
      </c>
      <c r="IA3" s="5" t="inlineStr">
        <is>
          <t>IVOL_ASK</t>
        </is>
      </c>
      <c r="IB3" s="5" t="inlineStr">
        <is>
          <t>DELTA_MID</t>
        </is>
      </c>
      <c r="IC3" s="5" t="inlineStr">
        <is>
          <t>GAMMA_MID</t>
        </is>
      </c>
      <c r="ID3" s="5" t="inlineStr">
        <is>
          <t>VEGA_MID</t>
        </is>
      </c>
      <c r="IE3" s="5" t="inlineStr">
        <is>
          <t>THETA_MID</t>
        </is>
      </c>
      <c r="IF3" s="5" t="inlineStr">
        <is>
          <t>OPT_UNDL_PX</t>
        </is>
      </c>
      <c r="IH3" s="5" t="inlineStr">
        <is>
          <t>Date</t>
        </is>
      </c>
      <c r="II3" s="5" t="inlineStr">
        <is>
          <t>PX_BID</t>
        </is>
      </c>
      <c r="IJ3" s="5" t="inlineStr">
        <is>
          <t>PX_ASK</t>
        </is>
      </c>
      <c r="IK3" s="5" t="inlineStr">
        <is>
          <t>PX_MID</t>
        </is>
      </c>
      <c r="IL3" s="5" t="inlineStr">
        <is>
          <t>PX_LAST</t>
        </is>
      </c>
      <c r="IM3" s="5" t="inlineStr">
        <is>
          <t>PX_SETTLE</t>
        </is>
      </c>
      <c r="IN3" s="5" t="inlineStr">
        <is>
          <t>PX_VOLUME</t>
        </is>
      </c>
      <c r="IO3" s="5" t="inlineStr">
        <is>
          <t>OPEN_INT</t>
        </is>
      </c>
      <c r="IP3" s="5" t="inlineStr">
        <is>
          <t>IVOL_MID</t>
        </is>
      </c>
      <c r="IQ3" s="5" t="inlineStr">
        <is>
          <t>IVOL_BID</t>
        </is>
      </c>
      <c r="IR3" s="5" t="inlineStr">
        <is>
          <t>IVOL_ASK</t>
        </is>
      </c>
      <c r="IS3" s="5" t="inlineStr">
        <is>
          <t>DELTA_MID</t>
        </is>
      </c>
      <c r="IT3" s="5" t="inlineStr">
        <is>
          <t>GAMMA_MID</t>
        </is>
      </c>
      <c r="IU3" s="5" t="inlineStr">
        <is>
          <t>VEGA_MID</t>
        </is>
      </c>
      <c r="IV3" s="5" t="inlineStr">
        <is>
          <t>THETA_MID</t>
        </is>
      </c>
      <c r="IW3" s="5" t="inlineStr">
        <is>
          <t>OPT_UNDL_PX</t>
        </is>
      </c>
      <c r="IY3" s="5" t="inlineStr">
        <is>
          <t>Date</t>
        </is>
      </c>
      <c r="IZ3" s="5" t="inlineStr">
        <is>
          <t>PX_BID</t>
        </is>
      </c>
      <c r="JA3" s="5" t="inlineStr">
        <is>
          <t>PX_ASK</t>
        </is>
      </c>
      <c r="JB3" s="5" t="inlineStr">
        <is>
          <t>PX_MID</t>
        </is>
      </c>
      <c r="JC3" s="5" t="inlineStr">
        <is>
          <t>PX_LAST</t>
        </is>
      </c>
      <c r="JD3" s="5" t="inlineStr">
        <is>
          <t>PX_SETTLE</t>
        </is>
      </c>
      <c r="JE3" s="5" t="inlineStr">
        <is>
          <t>PX_VOLUME</t>
        </is>
      </c>
      <c r="JF3" s="5" t="inlineStr">
        <is>
          <t>OPEN_INT</t>
        </is>
      </c>
      <c r="JG3" s="5" t="inlineStr">
        <is>
          <t>IVOL_MID</t>
        </is>
      </c>
      <c r="JH3" s="5" t="inlineStr">
        <is>
          <t>IVOL_BID</t>
        </is>
      </c>
      <c r="JI3" s="5" t="inlineStr">
        <is>
          <t>IVOL_ASK</t>
        </is>
      </c>
      <c r="JJ3" s="5" t="inlineStr">
        <is>
          <t>DELTA_MID</t>
        </is>
      </c>
      <c r="JK3" s="5" t="inlineStr">
        <is>
          <t>GAMMA_MID</t>
        </is>
      </c>
      <c r="JL3" s="5" t="inlineStr">
        <is>
          <t>VEGA_MID</t>
        </is>
      </c>
      <c r="JM3" s="5" t="inlineStr">
        <is>
          <t>THETA_MID</t>
        </is>
      </c>
      <c r="JN3" s="5" t="inlineStr">
        <is>
          <t>OPT_UNDL_PX</t>
        </is>
      </c>
      <c r="JP3" s="5" t="inlineStr">
        <is>
          <t>Date</t>
        </is>
      </c>
      <c r="JQ3" s="5" t="inlineStr">
        <is>
          <t>PX_BID</t>
        </is>
      </c>
      <c r="JR3" s="5" t="inlineStr">
        <is>
          <t>PX_ASK</t>
        </is>
      </c>
      <c r="JS3" s="5" t="inlineStr">
        <is>
          <t>PX_MID</t>
        </is>
      </c>
      <c r="JT3" s="5" t="inlineStr">
        <is>
          <t>PX_LAST</t>
        </is>
      </c>
      <c r="JU3" s="5" t="inlineStr">
        <is>
          <t>PX_SETTLE</t>
        </is>
      </c>
      <c r="JV3" s="5" t="inlineStr">
        <is>
          <t>PX_VOLUME</t>
        </is>
      </c>
      <c r="JW3" s="5" t="inlineStr">
        <is>
          <t>OPEN_INT</t>
        </is>
      </c>
      <c r="JX3" s="5" t="inlineStr">
        <is>
          <t>IVOL_MID</t>
        </is>
      </c>
      <c r="JY3" s="5" t="inlineStr">
        <is>
          <t>IVOL_BID</t>
        </is>
      </c>
      <c r="JZ3" s="5" t="inlineStr">
        <is>
          <t>IVOL_ASK</t>
        </is>
      </c>
      <c r="KA3" s="5" t="inlineStr">
        <is>
          <t>DELTA_MID</t>
        </is>
      </c>
      <c r="KB3" s="5" t="inlineStr">
        <is>
          <t>GAMMA_MID</t>
        </is>
      </c>
      <c r="KC3" s="5" t="inlineStr">
        <is>
          <t>VEGA_MID</t>
        </is>
      </c>
      <c r="KD3" s="5" t="inlineStr">
        <is>
          <t>THETA_MID</t>
        </is>
      </c>
      <c r="KE3" s="5" t="inlineStr">
        <is>
          <t>OPT_UNDL_PX</t>
        </is>
      </c>
      <c r="KG3" s="5" t="inlineStr">
        <is>
          <t>Date</t>
        </is>
      </c>
      <c r="KH3" s="5" t="inlineStr">
        <is>
          <t>PX_BID</t>
        </is>
      </c>
      <c r="KI3" s="5" t="inlineStr">
        <is>
          <t>PX_ASK</t>
        </is>
      </c>
      <c r="KJ3" s="5" t="inlineStr">
        <is>
          <t>PX_MID</t>
        </is>
      </c>
      <c r="KK3" s="5" t="inlineStr">
        <is>
          <t>PX_LAST</t>
        </is>
      </c>
      <c r="KL3" s="5" t="inlineStr">
        <is>
          <t>PX_SETTLE</t>
        </is>
      </c>
      <c r="KM3" s="5" t="inlineStr">
        <is>
          <t>PX_VOLUME</t>
        </is>
      </c>
      <c r="KN3" s="5" t="inlineStr">
        <is>
          <t>OPEN_INT</t>
        </is>
      </c>
      <c r="KO3" s="5" t="inlineStr">
        <is>
          <t>IVOL_MID</t>
        </is>
      </c>
      <c r="KP3" s="5" t="inlineStr">
        <is>
          <t>IVOL_BID</t>
        </is>
      </c>
      <c r="KQ3" s="5" t="inlineStr">
        <is>
          <t>IVOL_ASK</t>
        </is>
      </c>
      <c r="KR3" s="5" t="inlineStr">
        <is>
          <t>DELTA_MID</t>
        </is>
      </c>
      <c r="KS3" s="5" t="inlineStr">
        <is>
          <t>GAMMA_MID</t>
        </is>
      </c>
      <c r="KT3" s="5" t="inlineStr">
        <is>
          <t>VEGA_MID</t>
        </is>
      </c>
      <c r="KU3" s="5" t="inlineStr">
        <is>
          <t>THETA_MID</t>
        </is>
      </c>
      <c r="KV3" s="5" t="inlineStr">
        <is>
          <t>OPT_UNDL_PX</t>
        </is>
      </c>
      <c r="KX3" s="5" t="inlineStr">
        <is>
          <t>Date</t>
        </is>
      </c>
      <c r="KY3" s="5" t="inlineStr">
        <is>
          <t>PX_BID</t>
        </is>
      </c>
      <c r="KZ3" s="5" t="inlineStr">
        <is>
          <t>PX_ASK</t>
        </is>
      </c>
      <c r="LA3" s="5" t="inlineStr">
        <is>
          <t>PX_MID</t>
        </is>
      </c>
      <c r="LB3" s="5" t="inlineStr">
        <is>
          <t>PX_LAST</t>
        </is>
      </c>
      <c r="LC3" s="5" t="inlineStr">
        <is>
          <t>PX_SETTLE</t>
        </is>
      </c>
      <c r="LD3" s="5" t="inlineStr">
        <is>
          <t>PX_VOLUME</t>
        </is>
      </c>
      <c r="LE3" s="5" t="inlineStr">
        <is>
          <t>OPEN_INT</t>
        </is>
      </c>
      <c r="LF3" s="5" t="inlineStr">
        <is>
          <t>IVOL_MID</t>
        </is>
      </c>
      <c r="LG3" s="5" t="inlineStr">
        <is>
          <t>IVOL_BID</t>
        </is>
      </c>
      <c r="LH3" s="5" t="inlineStr">
        <is>
          <t>IVOL_ASK</t>
        </is>
      </c>
      <c r="LI3" s="5" t="inlineStr">
        <is>
          <t>DELTA_MID</t>
        </is>
      </c>
      <c r="LJ3" s="5" t="inlineStr">
        <is>
          <t>GAMMA_MID</t>
        </is>
      </c>
      <c r="LK3" s="5" t="inlineStr">
        <is>
          <t>VEGA_MID</t>
        </is>
      </c>
      <c r="LL3" s="5" t="inlineStr">
        <is>
          <t>THETA_MID</t>
        </is>
      </c>
      <c r="LM3" s="5" t="inlineStr">
        <is>
          <t>OPT_UNDL_PX</t>
        </is>
      </c>
      <c r="LO3" s="5" t="inlineStr">
        <is>
          <t>Date</t>
        </is>
      </c>
      <c r="LP3" s="5" t="inlineStr">
        <is>
          <t>PX_BID</t>
        </is>
      </c>
      <c r="LQ3" s="5" t="inlineStr">
        <is>
          <t>PX_ASK</t>
        </is>
      </c>
      <c r="LR3" s="5" t="inlineStr">
        <is>
          <t>PX_MID</t>
        </is>
      </c>
      <c r="LS3" s="5" t="inlineStr">
        <is>
          <t>PX_LAST</t>
        </is>
      </c>
      <c r="LT3" s="5" t="inlineStr">
        <is>
          <t>PX_SETTLE</t>
        </is>
      </c>
      <c r="LU3" s="5" t="inlineStr">
        <is>
          <t>PX_VOLUME</t>
        </is>
      </c>
      <c r="LV3" s="5" t="inlineStr">
        <is>
          <t>OPEN_INT</t>
        </is>
      </c>
      <c r="LW3" s="5" t="inlineStr">
        <is>
          <t>IVOL_MID</t>
        </is>
      </c>
      <c r="LX3" s="5" t="inlineStr">
        <is>
          <t>IVOL_BID</t>
        </is>
      </c>
      <c r="LY3" s="5" t="inlineStr">
        <is>
          <t>IVOL_ASK</t>
        </is>
      </c>
      <c r="LZ3" s="5" t="inlineStr">
        <is>
          <t>DELTA_MID</t>
        </is>
      </c>
      <c r="MA3" s="5" t="inlineStr">
        <is>
          <t>GAMMA_MID</t>
        </is>
      </c>
      <c r="MB3" s="5" t="inlineStr">
        <is>
          <t>VEGA_MID</t>
        </is>
      </c>
      <c r="MC3" s="5" t="inlineStr">
        <is>
          <t>THETA_MID</t>
        </is>
      </c>
      <c r="MD3" s="5" t="inlineStr">
        <is>
          <t>OPT_UNDL_PX</t>
        </is>
      </c>
      <c r="MF3" s="5" t="inlineStr">
        <is>
          <t>Date</t>
        </is>
      </c>
      <c r="MG3" s="5" t="inlineStr">
        <is>
          <t>PX_BID</t>
        </is>
      </c>
      <c r="MH3" s="5" t="inlineStr">
        <is>
          <t>PX_ASK</t>
        </is>
      </c>
      <c r="MI3" s="5" t="inlineStr">
        <is>
          <t>PX_MID</t>
        </is>
      </c>
      <c r="MJ3" s="5" t="inlineStr">
        <is>
          <t>PX_LAST</t>
        </is>
      </c>
      <c r="MK3" s="5" t="inlineStr">
        <is>
          <t>PX_SETTLE</t>
        </is>
      </c>
      <c r="ML3" s="5" t="inlineStr">
        <is>
          <t>PX_VOLUME</t>
        </is>
      </c>
      <c r="MM3" s="5" t="inlineStr">
        <is>
          <t>OPEN_INT</t>
        </is>
      </c>
      <c r="MN3" s="5" t="inlineStr">
        <is>
          <t>IVOL_MID</t>
        </is>
      </c>
      <c r="MO3" s="5" t="inlineStr">
        <is>
          <t>IVOL_BID</t>
        </is>
      </c>
      <c r="MP3" s="5" t="inlineStr">
        <is>
          <t>IVOL_ASK</t>
        </is>
      </c>
      <c r="MQ3" s="5" t="inlineStr">
        <is>
          <t>DELTA_MID</t>
        </is>
      </c>
      <c r="MR3" s="5" t="inlineStr">
        <is>
          <t>GAMMA_MID</t>
        </is>
      </c>
      <c r="MS3" s="5" t="inlineStr">
        <is>
          <t>VEGA_MID</t>
        </is>
      </c>
      <c r="MT3" s="5" t="inlineStr">
        <is>
          <t>THETA_MID</t>
        </is>
      </c>
      <c r="MU3" s="5" t="inlineStr">
        <is>
          <t>OPT_UNDL_PX</t>
        </is>
      </c>
      <c r="MW3" s="5" t="inlineStr">
        <is>
          <t>Date</t>
        </is>
      </c>
      <c r="MX3" s="5" t="inlineStr">
        <is>
          <t>PX_BID</t>
        </is>
      </c>
      <c r="MY3" s="5" t="inlineStr">
        <is>
          <t>PX_ASK</t>
        </is>
      </c>
      <c r="MZ3" s="5" t="inlineStr">
        <is>
          <t>PX_MID</t>
        </is>
      </c>
      <c r="NA3" s="5" t="inlineStr">
        <is>
          <t>PX_LAST</t>
        </is>
      </c>
      <c r="NB3" s="5" t="inlineStr">
        <is>
          <t>PX_SETTLE</t>
        </is>
      </c>
      <c r="NC3" s="5" t="inlineStr">
        <is>
          <t>PX_VOLUME</t>
        </is>
      </c>
      <c r="ND3" s="5" t="inlineStr">
        <is>
          <t>OPEN_INT</t>
        </is>
      </c>
      <c r="NE3" s="5" t="inlineStr">
        <is>
          <t>IVOL_MID</t>
        </is>
      </c>
      <c r="NF3" s="5" t="inlineStr">
        <is>
          <t>IVOL_BID</t>
        </is>
      </c>
      <c r="NG3" s="5" t="inlineStr">
        <is>
          <t>IVOL_ASK</t>
        </is>
      </c>
      <c r="NH3" s="5" t="inlineStr">
        <is>
          <t>DELTA_MID</t>
        </is>
      </c>
      <c r="NI3" s="5" t="inlineStr">
        <is>
          <t>GAMMA_MID</t>
        </is>
      </c>
      <c r="NJ3" s="5" t="inlineStr">
        <is>
          <t>VEGA_MID</t>
        </is>
      </c>
      <c r="NK3" s="5" t="inlineStr">
        <is>
          <t>THETA_MID</t>
        </is>
      </c>
      <c r="NL3" s="5" t="inlineStr">
        <is>
          <t>OPT_UNDL_PX</t>
        </is>
      </c>
    </row>
    <row r="4">
      <c r="A4" s="2" t="inlineStr">
        <is>
          <t>Strike reference date</t>
        </is>
      </c>
      <c r="B4" s="8">
        <f>B3-45</f>
        <v/>
      </c>
      <c r="D4" s="4">
        <f>BDH(D$1,E$3:S$3,$B$8,$B$9,"Dir=V","Dts=S","Sort=A","Days=T","Fill=B")</f>
        <v/>
      </c>
      <c r="U4" s="4">
        <f>BDH(U$1,V$3:AJ$3,$B$8,$B$9,"Dir=V","Dts=S","Sort=A","Days=T","Fill=B")</f>
        <v/>
      </c>
      <c r="AL4" s="4">
        <f>BDH(AL$1,AM$3:BA$3,$B$8,$B$9,"Dir=V","Dts=S","Sort=A","Days=T","Fill=B")</f>
        <v/>
      </c>
      <c r="BC4" s="4">
        <f>BDH(BC$1,BD$3:BR$3,$B$8,$B$9,"Dir=V","Dts=S","Sort=A","Days=T","Fill=B")</f>
        <v/>
      </c>
      <c r="BT4" s="4">
        <f>BDH(BT$1,BU$3:CI$3,$B$8,$B$9,"Dir=V","Dts=S","Sort=A","Days=T","Fill=B")</f>
        <v/>
      </c>
      <c r="CK4" s="4">
        <f>BDH(CK$1,CL$3:CZ$3,$B$8,$B$9,"Dir=V","Dts=S","Sort=A","Days=T","Fill=B")</f>
        <v/>
      </c>
      <c r="DB4" s="4">
        <f>BDH(DB$1,DC$3:DQ$3,$B$8,$B$9,"Dir=V","Dts=S","Sort=A","Days=T","Fill=B")</f>
        <v/>
      </c>
      <c r="DS4" s="4">
        <f>BDH(DS$1,DT$3:EH$3,$B$8,$B$9,"Dir=V","Dts=S","Sort=A","Days=T","Fill=B")</f>
        <v/>
      </c>
      <c r="EJ4" s="4">
        <f>BDH(EJ$1,EK$3:EY$3,$B$8,$B$9,"Dir=V","Dts=S","Sort=A","Days=T","Fill=B")</f>
        <v/>
      </c>
      <c r="FA4" s="4">
        <f>BDH(FA$1,FB$3:FP$3,$B$8,$B$9,"Dir=V","Dts=S","Sort=A","Days=T","Fill=B")</f>
        <v/>
      </c>
      <c r="FR4" s="4">
        <f>BDH(FR$1,FS$3:GG$3,$B$8,$B$9,"Dir=V","Dts=S","Sort=A","Days=T","Fill=B")</f>
        <v/>
      </c>
      <c r="GI4" s="4">
        <f>BDH(GI$1,GJ$3:GX$3,$B$8,$B$9,"Dir=V","Dts=S","Sort=A","Days=T","Fill=B")</f>
        <v/>
      </c>
      <c r="GZ4" s="4">
        <f>BDH(GZ$1,HA$3:HO$3,$B$8,$B$9,"Dir=V","Dts=S","Sort=A","Days=T","Fill=B")</f>
        <v/>
      </c>
      <c r="HQ4" s="4">
        <f>BDH(HQ$1,HR$3:IF$3,$B$8,$B$9,"Dir=V","Dts=S","Sort=A","Days=T","Fill=B")</f>
        <v/>
      </c>
      <c r="IH4" s="4">
        <f>BDH(IH$1,II$3:IW$3,$B$8,$B$9,"Dir=V","Dts=S","Sort=A","Days=T","Fill=B")</f>
        <v/>
      </c>
      <c r="IY4" s="4">
        <f>BDH(IY$1,IZ$3:JN$3,$B$8,$B$9,"Dir=V","Dts=S","Sort=A","Days=T","Fill=B")</f>
        <v/>
      </c>
      <c r="JP4" s="4">
        <f>BDH(JP$1,JQ$3:KE$3,$B$8,$B$9,"Dir=V","Dts=S","Sort=A","Days=T","Fill=B")</f>
        <v/>
      </c>
      <c r="KG4" s="4">
        <f>BDH(KG$1,KH$3:KV$3,$B$8,$B$9,"Dir=V","Dts=S","Sort=A","Days=T","Fill=B")</f>
        <v/>
      </c>
      <c r="KX4" s="4">
        <f>BDH(KX$1,KY$3:LM$3,$B$8,$B$9,"Dir=V","Dts=S","Sort=A","Days=T","Fill=B")</f>
        <v/>
      </c>
      <c r="LO4" s="4">
        <f>BDH(LO$1,LP$3:MD$3,$B$8,$B$9,"Dir=V","Dts=S","Sort=A","Days=T","Fill=B")</f>
        <v/>
      </c>
      <c r="MF4" s="4">
        <f>BDH(MF$1,MG$3:MU$3,$B$8,$B$9,"Dir=V","Dts=S","Sort=A","Days=T","Fill=B")</f>
        <v/>
      </c>
      <c r="MW4" s="4">
        <f>BDH(MW$1,MX$3:NL$3,$B$8,$B$9,"Dir=V","Dts=S","Sort=A","Days=T","Fill=B")</f>
        <v/>
      </c>
    </row>
    <row r="5">
      <c r="A5" s="2" t="inlineStr">
        <is>
          <t>Unadjusted close then</t>
        </is>
      </c>
      <c r="B5" s="10">
        <f>IF(B2="","",BDH(B2,"PX_LAST",B4,B4,"Days=A","Fill=P","Dts=H","CshAdjNormal=N","CshAdjAbnormal=N","CapChg=N"))</f>
        <v/>
      </c>
    </row>
    <row r="6">
      <c r="A6" s="2" t="inlineStr">
        <is>
          <t>Strike step</t>
        </is>
      </c>
      <c r="B6" s="11">
        <f>IF(ISNUMBER(B5),IF(B5&lt;25,0.5,IF(B5&lt;250,1,5)),"")</f>
        <v/>
      </c>
    </row>
    <row r="7">
      <c r="A7" s="2" t="inlineStr">
        <is>
          <t>ATM strike</t>
        </is>
      </c>
      <c r="B7" s="11">
        <f>IF(ISNUMBER(B5),ROUND(B5/B6,0)*B6,"")</f>
        <v/>
      </c>
    </row>
    <row r="8">
      <c r="A8" s="2" t="inlineStr">
        <is>
          <t>History start</t>
        </is>
      </c>
      <c r="B8" s="8">
        <f>B3-100</f>
        <v/>
      </c>
    </row>
    <row r="9">
      <c r="A9" s="2" t="inlineStr">
        <is>
          <t>History end</t>
        </is>
      </c>
      <c r="B9" s="8">
        <f>B3</f>
        <v/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NL9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2" customWidth="1" min="2" max="2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1" customWidth="1" min="15" max="15"/>
    <col width="11" customWidth="1" min="16" max="16"/>
    <col width="10" customWidth="1" min="17" max="17"/>
    <col width="11" customWidth="1" min="18" max="18"/>
    <col width="13" customWidth="1" min="19" max="19"/>
    <col width="12" customWidth="1" min="21" max="21"/>
    <col width="10" customWidth="1" min="22" max="22"/>
    <col width="10" customWidth="1" min="23" max="23"/>
    <col width="10" customWidth="1" min="24" max="24"/>
    <col width="10" customWidth="1" min="25" max="25"/>
    <col width="11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1" customWidth="1" min="32" max="32"/>
    <col width="11" customWidth="1" min="33" max="33"/>
    <col width="10" customWidth="1" min="34" max="34"/>
    <col width="11" customWidth="1" min="35" max="35"/>
    <col width="13" customWidth="1" min="36" max="36"/>
    <col width="12" customWidth="1" min="38" max="38"/>
    <col width="10" customWidth="1" min="39" max="39"/>
    <col width="10" customWidth="1" min="40" max="40"/>
    <col width="10" customWidth="1" min="41" max="41"/>
    <col width="10" customWidth="1" min="42" max="42"/>
    <col width="11" customWidth="1" min="43" max="43"/>
    <col width="11" customWidth="1" min="44" max="44"/>
    <col width="10" customWidth="1" min="45" max="45"/>
    <col width="10" customWidth="1" min="46" max="46"/>
    <col width="10" customWidth="1" min="47" max="47"/>
    <col width="10" customWidth="1" min="48" max="48"/>
    <col width="11" customWidth="1" min="49" max="49"/>
    <col width="11" customWidth="1" min="50" max="50"/>
    <col width="10" customWidth="1" min="51" max="51"/>
    <col width="11" customWidth="1" min="52" max="52"/>
    <col width="13" customWidth="1" min="53" max="53"/>
    <col width="12" customWidth="1" min="55" max="55"/>
    <col width="10" customWidth="1" min="56" max="56"/>
    <col width="10" customWidth="1" min="57" max="57"/>
    <col width="10" customWidth="1" min="58" max="58"/>
    <col width="10" customWidth="1" min="59" max="59"/>
    <col width="11" customWidth="1" min="60" max="60"/>
    <col width="11" customWidth="1" min="61" max="61"/>
    <col width="10" customWidth="1" min="62" max="62"/>
    <col width="10" customWidth="1" min="63" max="63"/>
    <col width="10" customWidth="1" min="64" max="64"/>
    <col width="10" customWidth="1" min="65" max="65"/>
    <col width="11" customWidth="1" min="66" max="66"/>
    <col width="11" customWidth="1" min="67" max="67"/>
    <col width="10" customWidth="1" min="68" max="68"/>
    <col width="11" customWidth="1" min="69" max="69"/>
    <col width="13" customWidth="1" min="70" max="70"/>
    <col width="12" customWidth="1" min="72" max="72"/>
    <col width="10" customWidth="1" min="73" max="73"/>
    <col width="10" customWidth="1" min="74" max="74"/>
    <col width="10" customWidth="1" min="75" max="75"/>
    <col width="10" customWidth="1" min="76" max="76"/>
    <col width="11" customWidth="1" min="77" max="77"/>
    <col width="11" customWidth="1" min="78" max="78"/>
    <col width="10" customWidth="1" min="79" max="79"/>
    <col width="10" customWidth="1" min="80" max="80"/>
    <col width="10" customWidth="1" min="81" max="81"/>
    <col width="10" customWidth="1" min="82" max="82"/>
    <col width="11" customWidth="1" min="83" max="83"/>
    <col width="11" customWidth="1" min="84" max="84"/>
    <col width="10" customWidth="1" min="85" max="85"/>
    <col width="11" customWidth="1" min="86" max="86"/>
    <col width="13" customWidth="1" min="87" max="87"/>
    <col width="12" customWidth="1" min="89" max="89"/>
    <col width="10" customWidth="1" min="90" max="90"/>
    <col width="10" customWidth="1" min="91" max="91"/>
    <col width="10" customWidth="1" min="92" max="92"/>
    <col width="10" customWidth="1" min="93" max="93"/>
    <col width="11" customWidth="1" min="94" max="94"/>
    <col width="11" customWidth="1" min="95" max="95"/>
    <col width="10" customWidth="1" min="96" max="96"/>
    <col width="10" customWidth="1" min="97" max="97"/>
    <col width="10" customWidth="1" min="98" max="98"/>
    <col width="10" customWidth="1" min="99" max="99"/>
    <col width="11" customWidth="1" min="100" max="100"/>
    <col width="11" customWidth="1" min="101" max="101"/>
    <col width="10" customWidth="1" min="102" max="102"/>
    <col width="11" customWidth="1" min="103" max="103"/>
    <col width="13" customWidth="1" min="104" max="104"/>
    <col width="12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1" customWidth="1" min="111" max="111"/>
    <col width="11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1" customWidth="1" min="117" max="117"/>
    <col width="11" customWidth="1" min="118" max="118"/>
    <col width="10" customWidth="1" min="119" max="119"/>
    <col width="11" customWidth="1" min="120" max="120"/>
    <col width="13" customWidth="1" min="121" max="121"/>
    <col width="12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1" customWidth="1" min="128" max="128"/>
    <col width="11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1" customWidth="1" min="134" max="134"/>
    <col width="11" customWidth="1" min="135" max="135"/>
    <col width="10" customWidth="1" min="136" max="136"/>
    <col width="11" customWidth="1" min="137" max="137"/>
    <col width="13" customWidth="1" min="138" max="138"/>
    <col width="12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1" customWidth="1" min="145" max="145"/>
    <col width="11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1" customWidth="1" min="151" max="151"/>
    <col width="11" customWidth="1" min="152" max="152"/>
    <col width="10" customWidth="1" min="153" max="153"/>
    <col width="11" customWidth="1" min="154" max="154"/>
    <col width="13" customWidth="1" min="155" max="155"/>
    <col width="12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1" customWidth="1" min="162" max="162"/>
    <col width="11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1" customWidth="1" min="168" max="168"/>
    <col width="11" customWidth="1" min="169" max="169"/>
    <col width="10" customWidth="1" min="170" max="170"/>
    <col width="11" customWidth="1" min="171" max="171"/>
    <col width="13" customWidth="1" min="172" max="172"/>
    <col width="12" customWidth="1" min="174" max="174"/>
    <col width="10" customWidth="1" min="175" max="175"/>
    <col width="10" customWidth="1" min="176" max="176"/>
    <col width="10" customWidth="1" min="177" max="177"/>
    <col width="10" customWidth="1" min="178" max="178"/>
    <col width="11" customWidth="1" min="179" max="179"/>
    <col width="11" customWidth="1" min="180" max="180"/>
    <col width="10" customWidth="1" min="181" max="181"/>
    <col width="10" customWidth="1" min="182" max="182"/>
    <col width="10" customWidth="1" min="183" max="183"/>
    <col width="10" customWidth="1" min="184" max="184"/>
    <col width="11" customWidth="1" min="185" max="185"/>
    <col width="11" customWidth="1" min="186" max="186"/>
    <col width="10" customWidth="1" min="187" max="187"/>
    <col width="11" customWidth="1" min="188" max="188"/>
    <col width="13" customWidth="1" min="189" max="189"/>
    <col width="12" customWidth="1" min="191" max="191"/>
    <col width="10" customWidth="1" min="192" max="192"/>
    <col width="10" customWidth="1" min="193" max="193"/>
    <col width="10" customWidth="1" min="194" max="194"/>
    <col width="10" customWidth="1" min="195" max="195"/>
    <col width="11" customWidth="1" min="196" max="196"/>
    <col width="11" customWidth="1" min="197" max="197"/>
    <col width="10" customWidth="1" min="198" max="198"/>
    <col width="10" customWidth="1" min="199" max="199"/>
    <col width="10" customWidth="1" min="200" max="200"/>
    <col width="10" customWidth="1" min="201" max="201"/>
    <col width="11" customWidth="1" min="202" max="202"/>
    <col width="11" customWidth="1" min="203" max="203"/>
    <col width="10" customWidth="1" min="204" max="204"/>
    <col width="11" customWidth="1" min="205" max="205"/>
    <col width="13" customWidth="1" min="206" max="206"/>
    <col width="12" customWidth="1" min="208" max="208"/>
    <col width="10" customWidth="1" min="209" max="209"/>
    <col width="10" customWidth="1" min="210" max="210"/>
    <col width="10" customWidth="1" min="211" max="211"/>
    <col width="10" customWidth="1" min="212" max="212"/>
    <col width="11" customWidth="1" min="213" max="213"/>
    <col width="11" customWidth="1" min="214" max="214"/>
    <col width="10" customWidth="1" min="215" max="215"/>
    <col width="10" customWidth="1" min="216" max="216"/>
    <col width="10" customWidth="1" min="217" max="217"/>
    <col width="10" customWidth="1" min="218" max="218"/>
    <col width="11" customWidth="1" min="219" max="219"/>
    <col width="11" customWidth="1" min="220" max="220"/>
    <col width="10" customWidth="1" min="221" max="221"/>
    <col width="11" customWidth="1" min="222" max="222"/>
    <col width="13" customWidth="1" min="223" max="223"/>
    <col width="12" customWidth="1" min="225" max="225"/>
    <col width="10" customWidth="1" min="226" max="226"/>
    <col width="10" customWidth="1" min="227" max="227"/>
    <col width="10" customWidth="1" min="228" max="228"/>
    <col width="10" customWidth="1" min="229" max="229"/>
    <col width="11" customWidth="1" min="230" max="230"/>
    <col width="11" customWidth="1" min="231" max="231"/>
    <col width="10" customWidth="1" min="232" max="232"/>
    <col width="10" customWidth="1" min="233" max="233"/>
    <col width="10" customWidth="1" min="234" max="234"/>
    <col width="10" customWidth="1" min="235" max="235"/>
    <col width="11" customWidth="1" min="236" max="236"/>
    <col width="11" customWidth="1" min="237" max="237"/>
    <col width="10" customWidth="1" min="238" max="238"/>
    <col width="11" customWidth="1" min="239" max="239"/>
    <col width="13" customWidth="1" min="240" max="240"/>
    <col width="12" customWidth="1" min="242" max="242"/>
    <col width="10" customWidth="1" min="243" max="243"/>
    <col width="10" customWidth="1" min="244" max="244"/>
    <col width="10" customWidth="1" min="245" max="245"/>
    <col width="10" customWidth="1" min="246" max="246"/>
    <col width="11" customWidth="1" min="247" max="247"/>
    <col width="11" customWidth="1" min="248" max="248"/>
    <col width="10" customWidth="1" min="249" max="249"/>
    <col width="10" customWidth="1" min="250" max="250"/>
    <col width="10" customWidth="1" min="251" max="251"/>
    <col width="10" customWidth="1" min="252" max="252"/>
    <col width="11" customWidth="1" min="253" max="253"/>
    <col width="11" customWidth="1" min="254" max="254"/>
    <col width="10" customWidth="1" min="255" max="255"/>
    <col width="11" customWidth="1" min="256" max="256"/>
    <col width="13" customWidth="1" min="257" max="257"/>
    <col width="12" customWidth="1" min="259" max="259"/>
    <col width="10" customWidth="1" min="260" max="260"/>
    <col width="10" customWidth="1" min="261" max="261"/>
    <col width="10" customWidth="1" min="262" max="262"/>
    <col width="10" customWidth="1" min="263" max="263"/>
    <col width="11" customWidth="1" min="264" max="264"/>
    <col width="11" customWidth="1" min="265" max="265"/>
    <col width="10" customWidth="1" min="266" max="266"/>
    <col width="10" customWidth="1" min="267" max="267"/>
    <col width="10" customWidth="1" min="268" max="268"/>
    <col width="10" customWidth="1" min="269" max="269"/>
    <col width="11" customWidth="1" min="270" max="270"/>
    <col width="11" customWidth="1" min="271" max="271"/>
    <col width="10" customWidth="1" min="272" max="272"/>
    <col width="11" customWidth="1" min="273" max="273"/>
    <col width="13" customWidth="1" min="274" max="274"/>
    <col width="12" customWidth="1" min="276" max="276"/>
    <col width="10" customWidth="1" min="277" max="277"/>
    <col width="10" customWidth="1" min="278" max="278"/>
    <col width="10" customWidth="1" min="279" max="279"/>
    <col width="10" customWidth="1" min="280" max="280"/>
    <col width="11" customWidth="1" min="281" max="281"/>
    <col width="11" customWidth="1" min="282" max="282"/>
    <col width="10" customWidth="1" min="283" max="283"/>
    <col width="10" customWidth="1" min="284" max="284"/>
    <col width="10" customWidth="1" min="285" max="285"/>
    <col width="10" customWidth="1" min="286" max="286"/>
    <col width="11" customWidth="1" min="287" max="287"/>
    <col width="11" customWidth="1" min="288" max="288"/>
    <col width="10" customWidth="1" min="289" max="289"/>
    <col width="11" customWidth="1" min="290" max="290"/>
    <col width="13" customWidth="1" min="291" max="291"/>
    <col width="12" customWidth="1" min="293" max="293"/>
    <col width="10" customWidth="1" min="294" max="294"/>
    <col width="10" customWidth="1" min="295" max="295"/>
    <col width="10" customWidth="1" min="296" max="296"/>
    <col width="10" customWidth="1" min="297" max="297"/>
    <col width="11" customWidth="1" min="298" max="298"/>
    <col width="11" customWidth="1" min="299" max="299"/>
    <col width="10" customWidth="1" min="300" max="300"/>
    <col width="10" customWidth="1" min="301" max="301"/>
    <col width="10" customWidth="1" min="302" max="302"/>
    <col width="10" customWidth="1" min="303" max="303"/>
    <col width="11" customWidth="1" min="304" max="304"/>
    <col width="11" customWidth="1" min="305" max="305"/>
    <col width="10" customWidth="1" min="306" max="306"/>
    <col width="11" customWidth="1" min="307" max="307"/>
    <col width="13" customWidth="1" min="308" max="308"/>
    <col width="12" customWidth="1" min="310" max="310"/>
    <col width="10" customWidth="1" min="311" max="311"/>
    <col width="10" customWidth="1" min="312" max="312"/>
    <col width="10" customWidth="1" min="313" max="313"/>
    <col width="10" customWidth="1" min="314" max="314"/>
    <col width="11" customWidth="1" min="315" max="315"/>
    <col width="11" customWidth="1" min="316" max="316"/>
    <col width="10" customWidth="1" min="317" max="317"/>
    <col width="10" customWidth="1" min="318" max="318"/>
    <col width="10" customWidth="1" min="319" max="319"/>
    <col width="10" customWidth="1" min="320" max="320"/>
    <col width="11" customWidth="1" min="321" max="321"/>
    <col width="11" customWidth="1" min="322" max="322"/>
    <col width="10" customWidth="1" min="323" max="323"/>
    <col width="11" customWidth="1" min="324" max="324"/>
    <col width="13" customWidth="1" min="325" max="325"/>
    <col width="12" customWidth="1" min="327" max="327"/>
    <col width="10" customWidth="1" min="328" max="328"/>
    <col width="10" customWidth="1" min="329" max="329"/>
    <col width="10" customWidth="1" min="330" max="330"/>
    <col width="10" customWidth="1" min="331" max="331"/>
    <col width="11" customWidth="1" min="332" max="332"/>
    <col width="11" customWidth="1" min="333" max="333"/>
    <col width="10" customWidth="1" min="334" max="334"/>
    <col width="10" customWidth="1" min="335" max="335"/>
    <col width="10" customWidth="1" min="336" max="336"/>
    <col width="10" customWidth="1" min="337" max="337"/>
    <col width="11" customWidth="1" min="338" max="338"/>
    <col width="11" customWidth="1" min="339" max="339"/>
    <col width="10" customWidth="1" min="340" max="340"/>
    <col width="11" customWidth="1" min="341" max="341"/>
    <col width="13" customWidth="1" min="342" max="342"/>
    <col width="12" customWidth="1" min="344" max="344"/>
    <col width="10" customWidth="1" min="345" max="345"/>
    <col width="10" customWidth="1" min="346" max="346"/>
    <col width="10" customWidth="1" min="347" max="347"/>
    <col width="10" customWidth="1" min="348" max="348"/>
    <col width="11" customWidth="1" min="349" max="349"/>
    <col width="11" customWidth="1" min="350" max="350"/>
    <col width="10" customWidth="1" min="351" max="351"/>
    <col width="10" customWidth="1" min="352" max="352"/>
    <col width="10" customWidth="1" min="353" max="353"/>
    <col width="10" customWidth="1" min="354" max="354"/>
    <col width="11" customWidth="1" min="355" max="355"/>
    <col width="11" customWidth="1" min="356" max="356"/>
    <col width="10" customWidth="1" min="357" max="357"/>
    <col width="11" customWidth="1" min="358" max="358"/>
    <col width="13" customWidth="1" min="359" max="359"/>
    <col width="12" customWidth="1" min="361" max="361"/>
    <col width="10" customWidth="1" min="362" max="362"/>
    <col width="10" customWidth="1" min="363" max="363"/>
    <col width="10" customWidth="1" min="364" max="364"/>
    <col width="10" customWidth="1" min="365" max="365"/>
    <col width="11" customWidth="1" min="366" max="366"/>
    <col width="11" customWidth="1" min="367" max="367"/>
    <col width="10" customWidth="1" min="368" max="368"/>
    <col width="10" customWidth="1" min="369" max="369"/>
    <col width="10" customWidth="1" min="370" max="370"/>
    <col width="10" customWidth="1" min="371" max="371"/>
    <col width="11" customWidth="1" min="372" max="372"/>
    <col width="11" customWidth="1" min="373" max="373"/>
    <col width="10" customWidth="1" min="374" max="374"/>
    <col width="11" customWidth="1" min="375" max="375"/>
    <col width="13" customWidth="1" min="376" max="376"/>
  </cols>
  <sheetData>
    <row r="1">
      <c r="A1" s="2" t="inlineStr">
        <is>
          <t>Month</t>
        </is>
      </c>
      <c r="B1" s="9" t="n">
        <v>3</v>
      </c>
      <c r="D1" s="2">
        <f>IF(ISNUMBER(B$7),"DAL US "&amp;TEXT(B$3,"mm/dd/yy")&amp;" C"&amp;(B$7-5*B$6)&amp;" Equity","")</f>
        <v/>
      </c>
      <c r="U1" s="2">
        <f>IF(ISNUMBER(B$7),"DAL US "&amp;TEXT(B$3,"mm/dd/yy")&amp;" P"&amp;(B$7-5*B$6)&amp;" Equity","")</f>
        <v/>
      </c>
      <c r="AL1" s="2">
        <f>IF(ISNUMBER(B$7),"DAL US "&amp;TEXT(B$3,"mm/dd/yy")&amp;" C"&amp;(B$7-4*B$6)&amp;" Equity","")</f>
        <v/>
      </c>
      <c r="BC1" s="2">
        <f>IF(ISNUMBER(B$7),"DAL US "&amp;TEXT(B$3,"mm/dd/yy")&amp;" P"&amp;(B$7-4*B$6)&amp;" Equity","")</f>
        <v/>
      </c>
      <c r="BT1" s="2">
        <f>IF(ISNUMBER(B$7),"DAL US "&amp;TEXT(B$3,"mm/dd/yy")&amp;" C"&amp;(B$7-3*B$6)&amp;" Equity","")</f>
        <v/>
      </c>
      <c r="CK1" s="2">
        <f>IF(ISNUMBER(B$7),"DAL US "&amp;TEXT(B$3,"mm/dd/yy")&amp;" P"&amp;(B$7-3*B$6)&amp;" Equity","")</f>
        <v/>
      </c>
      <c r="DB1" s="2">
        <f>IF(ISNUMBER(B$7),"DAL US "&amp;TEXT(B$3,"mm/dd/yy")&amp;" C"&amp;(B$7-2*B$6)&amp;" Equity","")</f>
        <v/>
      </c>
      <c r="DS1" s="2">
        <f>IF(ISNUMBER(B$7),"DAL US "&amp;TEXT(B$3,"mm/dd/yy")&amp;" P"&amp;(B$7-2*B$6)&amp;" Equity","")</f>
        <v/>
      </c>
      <c r="EJ1" s="2">
        <f>IF(ISNUMBER(B$7),"DAL US "&amp;TEXT(B$3,"mm/dd/yy")&amp;" C"&amp;(B$7-1*B$6)&amp;" Equity","")</f>
        <v/>
      </c>
      <c r="FA1" s="2">
        <f>IF(ISNUMBER(B$7),"DAL US "&amp;TEXT(B$3,"mm/dd/yy")&amp;" P"&amp;(B$7-1*B$6)&amp;" Equity","")</f>
        <v/>
      </c>
      <c r="FR1" s="2">
        <f>IF(ISNUMBER(B$7),"DAL US "&amp;TEXT(B$3,"mm/dd/yy")&amp;" C"&amp;B$7&amp;" Equity","")</f>
        <v/>
      </c>
      <c r="GI1" s="2">
        <f>IF(ISNUMBER(B$7),"DAL US "&amp;TEXT(B$3,"mm/dd/yy")&amp;" P"&amp;B$7&amp;" Equity","")</f>
        <v/>
      </c>
      <c r="GZ1" s="2">
        <f>IF(ISNUMBER(B$7),"DAL US "&amp;TEXT(B$3,"mm/dd/yy")&amp;" C"&amp;(B$7+1*B$6)&amp;" Equity","")</f>
        <v/>
      </c>
      <c r="HQ1" s="2">
        <f>IF(ISNUMBER(B$7),"DAL US "&amp;TEXT(B$3,"mm/dd/yy")&amp;" P"&amp;(B$7+1*B$6)&amp;" Equity","")</f>
        <v/>
      </c>
      <c r="IH1" s="2">
        <f>IF(ISNUMBER(B$7),"DAL US "&amp;TEXT(B$3,"mm/dd/yy")&amp;" C"&amp;(B$7+2*B$6)&amp;" Equity","")</f>
        <v/>
      </c>
      <c r="IY1" s="2">
        <f>IF(ISNUMBER(B$7),"DAL US "&amp;TEXT(B$3,"mm/dd/yy")&amp;" P"&amp;(B$7+2*B$6)&amp;" Equity","")</f>
        <v/>
      </c>
      <c r="JP1" s="2">
        <f>IF(ISNUMBER(B$7),"DAL US "&amp;TEXT(B$3,"mm/dd/yy")&amp;" C"&amp;(B$7+3*B$6)&amp;" Equity","")</f>
        <v/>
      </c>
      <c r="KG1" s="2">
        <f>IF(ISNUMBER(B$7),"DAL US "&amp;TEXT(B$3,"mm/dd/yy")&amp;" P"&amp;(B$7+3*B$6)&amp;" Equity","")</f>
        <v/>
      </c>
      <c r="KX1" s="2">
        <f>IF(ISNUMBER(B$7),"DAL US "&amp;TEXT(B$3,"mm/dd/yy")&amp;" C"&amp;(B$7+4*B$6)&amp;" Equity","")</f>
        <v/>
      </c>
      <c r="LO1" s="2">
        <f>IF(ISNUMBER(B$7),"DAL US "&amp;TEXT(B$3,"mm/dd/yy")&amp;" P"&amp;(B$7+4*B$6)&amp;" Equity","")</f>
        <v/>
      </c>
      <c r="MF1" s="2">
        <f>IF(ISNUMBER(B$7),"DAL US "&amp;TEXT(B$3,"mm/dd/yy")&amp;" C"&amp;(B$7+5*B$6)&amp;" Equity","")</f>
        <v/>
      </c>
      <c r="MW1" s="2">
        <f>IF(ISNUMBER(B$7),"DAL US "&amp;TEXT(B$3,"mm/dd/yy")&amp;" P"&amp;(B$7+5*B$6)&amp;" Equity","")</f>
        <v/>
      </c>
    </row>
    <row r="2">
      <c r="A2" s="2" t="inlineStr">
        <is>
          <t>Underlying</t>
        </is>
      </c>
      <c r="B2" s="4">
        <f>IF(Settings!$B$19="Y","DAL US Equity","")</f>
        <v/>
      </c>
      <c r="D2" s="4" t="inlineStr">
        <is>
          <t>call -5 from ATM</t>
        </is>
      </c>
      <c r="U2" s="4" t="inlineStr">
        <is>
          <t>put -5 from ATM</t>
        </is>
      </c>
      <c r="AL2" s="4" t="inlineStr">
        <is>
          <t>call -4 from ATM</t>
        </is>
      </c>
      <c r="BC2" s="4" t="inlineStr">
        <is>
          <t>put -4 from ATM</t>
        </is>
      </c>
      <c r="BT2" s="4" t="inlineStr">
        <is>
          <t>call -3 from ATM</t>
        </is>
      </c>
      <c r="CK2" s="4" t="inlineStr">
        <is>
          <t>put -3 from ATM</t>
        </is>
      </c>
      <c r="DB2" s="4" t="inlineStr">
        <is>
          <t>call -2 from ATM</t>
        </is>
      </c>
      <c r="DS2" s="4" t="inlineStr">
        <is>
          <t>put -2 from ATM</t>
        </is>
      </c>
      <c r="EJ2" s="4" t="inlineStr">
        <is>
          <t>call -1 from ATM</t>
        </is>
      </c>
      <c r="FA2" s="4" t="inlineStr">
        <is>
          <t>put -1 from ATM</t>
        </is>
      </c>
      <c r="FR2" s="4" t="inlineStr">
        <is>
          <t>call +0 from ATM</t>
        </is>
      </c>
      <c r="GI2" s="4" t="inlineStr">
        <is>
          <t>put +0 from ATM</t>
        </is>
      </c>
      <c r="GZ2" s="4" t="inlineStr">
        <is>
          <t>call +1 from ATM</t>
        </is>
      </c>
      <c r="HQ2" s="4" t="inlineStr">
        <is>
          <t>put +1 from ATM</t>
        </is>
      </c>
      <c r="IH2" s="4" t="inlineStr">
        <is>
          <t>call +2 from ATM</t>
        </is>
      </c>
      <c r="IY2" s="4" t="inlineStr">
        <is>
          <t>put +2 from ATM</t>
        </is>
      </c>
      <c r="JP2" s="4" t="inlineStr">
        <is>
          <t>call +3 from ATM</t>
        </is>
      </c>
      <c r="KG2" s="4" t="inlineStr">
        <is>
          <t>put +3 from ATM</t>
        </is>
      </c>
      <c r="KX2" s="4" t="inlineStr">
        <is>
          <t>call +4 from ATM</t>
        </is>
      </c>
      <c r="LO2" s="4" t="inlineStr">
        <is>
          <t>put +4 from ATM</t>
        </is>
      </c>
      <c r="MF2" s="4" t="inlineStr">
        <is>
          <t>call +5 from ATM</t>
        </is>
      </c>
      <c r="MW2" s="4" t="inlineStr">
        <is>
          <t>put +5 from ATM</t>
        </is>
      </c>
    </row>
    <row r="3">
      <c r="A3" s="2" t="inlineStr">
        <is>
          <t>Expiry (3rd Friday)</t>
        </is>
      </c>
      <c r="B3" s="3">
        <f>DATE(Settings!$E$19,B1,15)+MOD(6-WEEKDAY(DATE(Settings!$E$19,B1,15)),7)</f>
        <v/>
      </c>
      <c r="D3" s="5" t="inlineStr">
        <is>
          <t>Date</t>
        </is>
      </c>
      <c r="E3" s="5" t="inlineStr">
        <is>
          <t>PX_BID</t>
        </is>
      </c>
      <c r="F3" s="5" t="inlineStr">
        <is>
          <t>PX_ASK</t>
        </is>
      </c>
      <c r="G3" s="5" t="inlineStr">
        <is>
          <t>PX_MID</t>
        </is>
      </c>
      <c r="H3" s="5" t="inlineStr">
        <is>
          <t>PX_LAST</t>
        </is>
      </c>
      <c r="I3" s="5" t="inlineStr">
        <is>
          <t>PX_SETTLE</t>
        </is>
      </c>
      <c r="J3" s="5" t="inlineStr">
        <is>
          <t>PX_VOLUME</t>
        </is>
      </c>
      <c r="K3" s="5" t="inlineStr">
        <is>
          <t>OPEN_INT</t>
        </is>
      </c>
      <c r="L3" s="5" t="inlineStr">
        <is>
          <t>IVOL_MID</t>
        </is>
      </c>
      <c r="M3" s="5" t="inlineStr">
        <is>
          <t>IVOL_BID</t>
        </is>
      </c>
      <c r="N3" s="5" t="inlineStr">
        <is>
          <t>IVOL_ASK</t>
        </is>
      </c>
      <c r="O3" s="5" t="inlineStr">
        <is>
          <t>DELTA_MID</t>
        </is>
      </c>
      <c r="P3" s="5" t="inlineStr">
        <is>
          <t>GAMMA_MID</t>
        </is>
      </c>
      <c r="Q3" s="5" t="inlineStr">
        <is>
          <t>VEGA_MID</t>
        </is>
      </c>
      <c r="R3" s="5" t="inlineStr">
        <is>
          <t>THETA_MID</t>
        </is>
      </c>
      <c r="S3" s="5" t="inlineStr">
        <is>
          <t>OPT_UNDL_PX</t>
        </is>
      </c>
      <c r="U3" s="5" t="inlineStr">
        <is>
          <t>Date</t>
        </is>
      </c>
      <c r="V3" s="5" t="inlineStr">
        <is>
          <t>PX_BID</t>
        </is>
      </c>
      <c r="W3" s="5" t="inlineStr">
        <is>
          <t>PX_ASK</t>
        </is>
      </c>
      <c r="X3" s="5" t="inlineStr">
        <is>
          <t>PX_MID</t>
        </is>
      </c>
      <c r="Y3" s="5" t="inlineStr">
        <is>
          <t>PX_LAST</t>
        </is>
      </c>
      <c r="Z3" s="5" t="inlineStr">
        <is>
          <t>PX_SETTLE</t>
        </is>
      </c>
      <c r="AA3" s="5" t="inlineStr">
        <is>
          <t>PX_VOLUME</t>
        </is>
      </c>
      <c r="AB3" s="5" t="inlineStr">
        <is>
          <t>OPEN_INT</t>
        </is>
      </c>
      <c r="AC3" s="5" t="inlineStr">
        <is>
          <t>IVOL_MID</t>
        </is>
      </c>
      <c r="AD3" s="5" t="inlineStr">
        <is>
          <t>IVOL_BID</t>
        </is>
      </c>
      <c r="AE3" s="5" t="inlineStr">
        <is>
          <t>IVOL_ASK</t>
        </is>
      </c>
      <c r="AF3" s="5" t="inlineStr">
        <is>
          <t>DELTA_MID</t>
        </is>
      </c>
      <c r="AG3" s="5" t="inlineStr">
        <is>
          <t>GAMMA_MID</t>
        </is>
      </c>
      <c r="AH3" s="5" t="inlineStr">
        <is>
          <t>VEGA_MID</t>
        </is>
      </c>
      <c r="AI3" s="5" t="inlineStr">
        <is>
          <t>THETA_MID</t>
        </is>
      </c>
      <c r="AJ3" s="5" t="inlineStr">
        <is>
          <t>OPT_UNDL_PX</t>
        </is>
      </c>
      <c r="AL3" s="5" t="inlineStr">
        <is>
          <t>Date</t>
        </is>
      </c>
      <c r="AM3" s="5" t="inlineStr">
        <is>
          <t>PX_BID</t>
        </is>
      </c>
      <c r="AN3" s="5" t="inlineStr">
        <is>
          <t>PX_ASK</t>
        </is>
      </c>
      <c r="AO3" s="5" t="inlineStr">
        <is>
          <t>PX_MID</t>
        </is>
      </c>
      <c r="AP3" s="5" t="inlineStr">
        <is>
          <t>PX_LAST</t>
        </is>
      </c>
      <c r="AQ3" s="5" t="inlineStr">
        <is>
          <t>PX_SETTLE</t>
        </is>
      </c>
      <c r="AR3" s="5" t="inlineStr">
        <is>
          <t>PX_VOLUME</t>
        </is>
      </c>
      <c r="AS3" s="5" t="inlineStr">
        <is>
          <t>OPEN_INT</t>
        </is>
      </c>
      <c r="AT3" s="5" t="inlineStr">
        <is>
          <t>IVOL_MID</t>
        </is>
      </c>
      <c r="AU3" s="5" t="inlineStr">
        <is>
          <t>IVOL_BID</t>
        </is>
      </c>
      <c r="AV3" s="5" t="inlineStr">
        <is>
          <t>IVOL_ASK</t>
        </is>
      </c>
      <c r="AW3" s="5" t="inlineStr">
        <is>
          <t>DELTA_MID</t>
        </is>
      </c>
      <c r="AX3" s="5" t="inlineStr">
        <is>
          <t>GAMMA_MID</t>
        </is>
      </c>
      <c r="AY3" s="5" t="inlineStr">
        <is>
          <t>VEGA_MID</t>
        </is>
      </c>
      <c r="AZ3" s="5" t="inlineStr">
        <is>
          <t>THETA_MID</t>
        </is>
      </c>
      <c r="BA3" s="5" t="inlineStr">
        <is>
          <t>OPT_UNDL_PX</t>
        </is>
      </c>
      <c r="BC3" s="5" t="inlineStr">
        <is>
          <t>Date</t>
        </is>
      </c>
      <c r="BD3" s="5" t="inlineStr">
        <is>
          <t>PX_BID</t>
        </is>
      </c>
      <c r="BE3" s="5" t="inlineStr">
        <is>
          <t>PX_ASK</t>
        </is>
      </c>
      <c r="BF3" s="5" t="inlineStr">
        <is>
          <t>PX_MID</t>
        </is>
      </c>
      <c r="BG3" s="5" t="inlineStr">
        <is>
          <t>PX_LAST</t>
        </is>
      </c>
      <c r="BH3" s="5" t="inlineStr">
        <is>
          <t>PX_SETTLE</t>
        </is>
      </c>
      <c r="BI3" s="5" t="inlineStr">
        <is>
          <t>PX_VOLUME</t>
        </is>
      </c>
      <c r="BJ3" s="5" t="inlineStr">
        <is>
          <t>OPEN_INT</t>
        </is>
      </c>
      <c r="BK3" s="5" t="inlineStr">
        <is>
          <t>IVOL_MID</t>
        </is>
      </c>
      <c r="BL3" s="5" t="inlineStr">
        <is>
          <t>IVOL_BID</t>
        </is>
      </c>
      <c r="BM3" s="5" t="inlineStr">
        <is>
          <t>IVOL_ASK</t>
        </is>
      </c>
      <c r="BN3" s="5" t="inlineStr">
        <is>
          <t>DELTA_MID</t>
        </is>
      </c>
      <c r="BO3" s="5" t="inlineStr">
        <is>
          <t>GAMMA_MID</t>
        </is>
      </c>
      <c r="BP3" s="5" t="inlineStr">
        <is>
          <t>VEGA_MID</t>
        </is>
      </c>
      <c r="BQ3" s="5" t="inlineStr">
        <is>
          <t>THETA_MID</t>
        </is>
      </c>
      <c r="BR3" s="5" t="inlineStr">
        <is>
          <t>OPT_UNDL_PX</t>
        </is>
      </c>
      <c r="BT3" s="5" t="inlineStr">
        <is>
          <t>Date</t>
        </is>
      </c>
      <c r="BU3" s="5" t="inlineStr">
        <is>
          <t>PX_BID</t>
        </is>
      </c>
      <c r="BV3" s="5" t="inlineStr">
        <is>
          <t>PX_ASK</t>
        </is>
      </c>
      <c r="BW3" s="5" t="inlineStr">
        <is>
          <t>PX_MID</t>
        </is>
      </c>
      <c r="BX3" s="5" t="inlineStr">
        <is>
          <t>PX_LAST</t>
        </is>
      </c>
      <c r="BY3" s="5" t="inlineStr">
        <is>
          <t>PX_SETTLE</t>
        </is>
      </c>
      <c r="BZ3" s="5" t="inlineStr">
        <is>
          <t>PX_VOLUME</t>
        </is>
      </c>
      <c r="CA3" s="5" t="inlineStr">
        <is>
          <t>OPEN_INT</t>
        </is>
      </c>
      <c r="CB3" s="5" t="inlineStr">
        <is>
          <t>IVOL_MID</t>
        </is>
      </c>
      <c r="CC3" s="5" t="inlineStr">
        <is>
          <t>IVOL_BID</t>
        </is>
      </c>
      <c r="CD3" s="5" t="inlineStr">
        <is>
          <t>IVOL_ASK</t>
        </is>
      </c>
      <c r="CE3" s="5" t="inlineStr">
        <is>
          <t>DELTA_MID</t>
        </is>
      </c>
      <c r="CF3" s="5" t="inlineStr">
        <is>
          <t>GAMMA_MID</t>
        </is>
      </c>
      <c r="CG3" s="5" t="inlineStr">
        <is>
          <t>VEGA_MID</t>
        </is>
      </c>
      <c r="CH3" s="5" t="inlineStr">
        <is>
          <t>THETA_MID</t>
        </is>
      </c>
      <c r="CI3" s="5" t="inlineStr">
        <is>
          <t>OPT_UNDL_PX</t>
        </is>
      </c>
      <c r="CK3" s="5" t="inlineStr">
        <is>
          <t>Date</t>
        </is>
      </c>
      <c r="CL3" s="5" t="inlineStr">
        <is>
          <t>PX_BID</t>
        </is>
      </c>
      <c r="CM3" s="5" t="inlineStr">
        <is>
          <t>PX_ASK</t>
        </is>
      </c>
      <c r="CN3" s="5" t="inlineStr">
        <is>
          <t>PX_MID</t>
        </is>
      </c>
      <c r="CO3" s="5" t="inlineStr">
        <is>
          <t>PX_LAST</t>
        </is>
      </c>
      <c r="CP3" s="5" t="inlineStr">
        <is>
          <t>PX_SETTLE</t>
        </is>
      </c>
      <c r="CQ3" s="5" t="inlineStr">
        <is>
          <t>PX_VOLUME</t>
        </is>
      </c>
      <c r="CR3" s="5" t="inlineStr">
        <is>
          <t>OPEN_INT</t>
        </is>
      </c>
      <c r="CS3" s="5" t="inlineStr">
        <is>
          <t>IVOL_MID</t>
        </is>
      </c>
      <c r="CT3" s="5" t="inlineStr">
        <is>
          <t>IVOL_BID</t>
        </is>
      </c>
      <c r="CU3" s="5" t="inlineStr">
        <is>
          <t>IVOL_ASK</t>
        </is>
      </c>
      <c r="CV3" s="5" t="inlineStr">
        <is>
          <t>DELTA_MID</t>
        </is>
      </c>
      <c r="CW3" s="5" t="inlineStr">
        <is>
          <t>GAMMA_MID</t>
        </is>
      </c>
      <c r="CX3" s="5" t="inlineStr">
        <is>
          <t>VEGA_MID</t>
        </is>
      </c>
      <c r="CY3" s="5" t="inlineStr">
        <is>
          <t>THETA_MID</t>
        </is>
      </c>
      <c r="CZ3" s="5" t="inlineStr">
        <is>
          <t>OPT_UNDL_PX</t>
        </is>
      </c>
      <c r="DB3" s="5" t="inlineStr">
        <is>
          <t>Date</t>
        </is>
      </c>
      <c r="DC3" s="5" t="inlineStr">
        <is>
          <t>PX_BID</t>
        </is>
      </c>
      <c r="DD3" s="5" t="inlineStr">
        <is>
          <t>PX_ASK</t>
        </is>
      </c>
      <c r="DE3" s="5" t="inlineStr">
        <is>
          <t>PX_MID</t>
        </is>
      </c>
      <c r="DF3" s="5" t="inlineStr">
        <is>
          <t>PX_LAST</t>
        </is>
      </c>
      <c r="DG3" s="5" t="inlineStr">
        <is>
          <t>PX_SETTLE</t>
        </is>
      </c>
      <c r="DH3" s="5" t="inlineStr">
        <is>
          <t>PX_VOLUME</t>
        </is>
      </c>
      <c r="DI3" s="5" t="inlineStr">
        <is>
          <t>OPEN_INT</t>
        </is>
      </c>
      <c r="DJ3" s="5" t="inlineStr">
        <is>
          <t>IVOL_MID</t>
        </is>
      </c>
      <c r="DK3" s="5" t="inlineStr">
        <is>
          <t>IVOL_BID</t>
        </is>
      </c>
      <c r="DL3" s="5" t="inlineStr">
        <is>
          <t>IVOL_ASK</t>
        </is>
      </c>
      <c r="DM3" s="5" t="inlineStr">
        <is>
          <t>DELTA_MID</t>
        </is>
      </c>
      <c r="DN3" s="5" t="inlineStr">
        <is>
          <t>GAMMA_MID</t>
        </is>
      </c>
      <c r="DO3" s="5" t="inlineStr">
        <is>
          <t>VEGA_MID</t>
        </is>
      </c>
      <c r="DP3" s="5" t="inlineStr">
        <is>
          <t>THETA_MID</t>
        </is>
      </c>
      <c r="DQ3" s="5" t="inlineStr">
        <is>
          <t>OPT_UNDL_PX</t>
        </is>
      </c>
      <c r="DS3" s="5" t="inlineStr">
        <is>
          <t>Date</t>
        </is>
      </c>
      <c r="DT3" s="5" t="inlineStr">
        <is>
          <t>PX_BID</t>
        </is>
      </c>
      <c r="DU3" s="5" t="inlineStr">
        <is>
          <t>PX_ASK</t>
        </is>
      </c>
      <c r="DV3" s="5" t="inlineStr">
        <is>
          <t>PX_MID</t>
        </is>
      </c>
      <c r="DW3" s="5" t="inlineStr">
        <is>
          <t>PX_LAST</t>
        </is>
      </c>
      <c r="DX3" s="5" t="inlineStr">
        <is>
          <t>PX_SETTLE</t>
        </is>
      </c>
      <c r="DY3" s="5" t="inlineStr">
        <is>
          <t>PX_VOLUME</t>
        </is>
      </c>
      <c r="DZ3" s="5" t="inlineStr">
        <is>
          <t>OPEN_INT</t>
        </is>
      </c>
      <c r="EA3" s="5" t="inlineStr">
        <is>
          <t>IVOL_MID</t>
        </is>
      </c>
      <c r="EB3" s="5" t="inlineStr">
        <is>
          <t>IVOL_BID</t>
        </is>
      </c>
      <c r="EC3" s="5" t="inlineStr">
        <is>
          <t>IVOL_ASK</t>
        </is>
      </c>
      <c r="ED3" s="5" t="inlineStr">
        <is>
          <t>DELTA_MID</t>
        </is>
      </c>
      <c r="EE3" s="5" t="inlineStr">
        <is>
          <t>GAMMA_MID</t>
        </is>
      </c>
      <c r="EF3" s="5" t="inlineStr">
        <is>
          <t>VEGA_MID</t>
        </is>
      </c>
      <c r="EG3" s="5" t="inlineStr">
        <is>
          <t>THETA_MID</t>
        </is>
      </c>
      <c r="EH3" s="5" t="inlineStr">
        <is>
          <t>OPT_UNDL_PX</t>
        </is>
      </c>
      <c r="EJ3" s="5" t="inlineStr">
        <is>
          <t>Date</t>
        </is>
      </c>
      <c r="EK3" s="5" t="inlineStr">
        <is>
          <t>PX_BID</t>
        </is>
      </c>
      <c r="EL3" s="5" t="inlineStr">
        <is>
          <t>PX_ASK</t>
        </is>
      </c>
      <c r="EM3" s="5" t="inlineStr">
        <is>
          <t>PX_MID</t>
        </is>
      </c>
      <c r="EN3" s="5" t="inlineStr">
        <is>
          <t>PX_LAST</t>
        </is>
      </c>
      <c r="EO3" s="5" t="inlineStr">
        <is>
          <t>PX_SETTLE</t>
        </is>
      </c>
      <c r="EP3" s="5" t="inlineStr">
        <is>
          <t>PX_VOLUME</t>
        </is>
      </c>
      <c r="EQ3" s="5" t="inlineStr">
        <is>
          <t>OPEN_INT</t>
        </is>
      </c>
      <c r="ER3" s="5" t="inlineStr">
        <is>
          <t>IVOL_MID</t>
        </is>
      </c>
      <c r="ES3" s="5" t="inlineStr">
        <is>
          <t>IVOL_BID</t>
        </is>
      </c>
      <c r="ET3" s="5" t="inlineStr">
        <is>
          <t>IVOL_ASK</t>
        </is>
      </c>
      <c r="EU3" s="5" t="inlineStr">
        <is>
          <t>DELTA_MID</t>
        </is>
      </c>
      <c r="EV3" s="5" t="inlineStr">
        <is>
          <t>GAMMA_MID</t>
        </is>
      </c>
      <c r="EW3" s="5" t="inlineStr">
        <is>
          <t>VEGA_MID</t>
        </is>
      </c>
      <c r="EX3" s="5" t="inlineStr">
        <is>
          <t>THETA_MID</t>
        </is>
      </c>
      <c r="EY3" s="5" t="inlineStr">
        <is>
          <t>OPT_UNDL_PX</t>
        </is>
      </c>
      <c r="FA3" s="5" t="inlineStr">
        <is>
          <t>Date</t>
        </is>
      </c>
      <c r="FB3" s="5" t="inlineStr">
        <is>
          <t>PX_BID</t>
        </is>
      </c>
      <c r="FC3" s="5" t="inlineStr">
        <is>
          <t>PX_ASK</t>
        </is>
      </c>
      <c r="FD3" s="5" t="inlineStr">
        <is>
          <t>PX_MID</t>
        </is>
      </c>
      <c r="FE3" s="5" t="inlineStr">
        <is>
          <t>PX_LAST</t>
        </is>
      </c>
      <c r="FF3" s="5" t="inlineStr">
        <is>
          <t>PX_SETTLE</t>
        </is>
      </c>
      <c r="FG3" s="5" t="inlineStr">
        <is>
          <t>PX_VOLUME</t>
        </is>
      </c>
      <c r="FH3" s="5" t="inlineStr">
        <is>
          <t>OPEN_INT</t>
        </is>
      </c>
      <c r="FI3" s="5" t="inlineStr">
        <is>
          <t>IVOL_MID</t>
        </is>
      </c>
      <c r="FJ3" s="5" t="inlineStr">
        <is>
          <t>IVOL_BID</t>
        </is>
      </c>
      <c r="FK3" s="5" t="inlineStr">
        <is>
          <t>IVOL_ASK</t>
        </is>
      </c>
      <c r="FL3" s="5" t="inlineStr">
        <is>
          <t>DELTA_MID</t>
        </is>
      </c>
      <c r="FM3" s="5" t="inlineStr">
        <is>
          <t>GAMMA_MID</t>
        </is>
      </c>
      <c r="FN3" s="5" t="inlineStr">
        <is>
          <t>VEGA_MID</t>
        </is>
      </c>
      <c r="FO3" s="5" t="inlineStr">
        <is>
          <t>THETA_MID</t>
        </is>
      </c>
      <c r="FP3" s="5" t="inlineStr">
        <is>
          <t>OPT_UNDL_PX</t>
        </is>
      </c>
      <c r="FR3" s="5" t="inlineStr">
        <is>
          <t>Date</t>
        </is>
      </c>
      <c r="FS3" s="5" t="inlineStr">
        <is>
          <t>PX_BID</t>
        </is>
      </c>
      <c r="FT3" s="5" t="inlineStr">
        <is>
          <t>PX_ASK</t>
        </is>
      </c>
      <c r="FU3" s="5" t="inlineStr">
        <is>
          <t>PX_MID</t>
        </is>
      </c>
      <c r="FV3" s="5" t="inlineStr">
        <is>
          <t>PX_LAST</t>
        </is>
      </c>
      <c r="FW3" s="5" t="inlineStr">
        <is>
          <t>PX_SETTLE</t>
        </is>
      </c>
      <c r="FX3" s="5" t="inlineStr">
        <is>
          <t>PX_VOLUME</t>
        </is>
      </c>
      <c r="FY3" s="5" t="inlineStr">
        <is>
          <t>OPEN_INT</t>
        </is>
      </c>
      <c r="FZ3" s="5" t="inlineStr">
        <is>
          <t>IVOL_MID</t>
        </is>
      </c>
      <c r="GA3" s="5" t="inlineStr">
        <is>
          <t>IVOL_BID</t>
        </is>
      </c>
      <c r="GB3" s="5" t="inlineStr">
        <is>
          <t>IVOL_ASK</t>
        </is>
      </c>
      <c r="GC3" s="5" t="inlineStr">
        <is>
          <t>DELTA_MID</t>
        </is>
      </c>
      <c r="GD3" s="5" t="inlineStr">
        <is>
          <t>GAMMA_MID</t>
        </is>
      </c>
      <c r="GE3" s="5" t="inlineStr">
        <is>
          <t>VEGA_MID</t>
        </is>
      </c>
      <c r="GF3" s="5" t="inlineStr">
        <is>
          <t>THETA_MID</t>
        </is>
      </c>
      <c r="GG3" s="5" t="inlineStr">
        <is>
          <t>OPT_UNDL_PX</t>
        </is>
      </c>
      <c r="GI3" s="5" t="inlineStr">
        <is>
          <t>Date</t>
        </is>
      </c>
      <c r="GJ3" s="5" t="inlineStr">
        <is>
          <t>PX_BID</t>
        </is>
      </c>
      <c r="GK3" s="5" t="inlineStr">
        <is>
          <t>PX_ASK</t>
        </is>
      </c>
      <c r="GL3" s="5" t="inlineStr">
        <is>
          <t>PX_MID</t>
        </is>
      </c>
      <c r="GM3" s="5" t="inlineStr">
        <is>
          <t>PX_LAST</t>
        </is>
      </c>
      <c r="GN3" s="5" t="inlineStr">
        <is>
          <t>PX_SETTLE</t>
        </is>
      </c>
      <c r="GO3" s="5" t="inlineStr">
        <is>
          <t>PX_VOLUME</t>
        </is>
      </c>
      <c r="GP3" s="5" t="inlineStr">
        <is>
          <t>OPEN_INT</t>
        </is>
      </c>
      <c r="GQ3" s="5" t="inlineStr">
        <is>
          <t>IVOL_MID</t>
        </is>
      </c>
      <c r="GR3" s="5" t="inlineStr">
        <is>
          <t>IVOL_BID</t>
        </is>
      </c>
      <c r="GS3" s="5" t="inlineStr">
        <is>
          <t>IVOL_ASK</t>
        </is>
      </c>
      <c r="GT3" s="5" t="inlineStr">
        <is>
          <t>DELTA_MID</t>
        </is>
      </c>
      <c r="GU3" s="5" t="inlineStr">
        <is>
          <t>GAMMA_MID</t>
        </is>
      </c>
      <c r="GV3" s="5" t="inlineStr">
        <is>
          <t>VEGA_MID</t>
        </is>
      </c>
      <c r="GW3" s="5" t="inlineStr">
        <is>
          <t>THETA_MID</t>
        </is>
      </c>
      <c r="GX3" s="5" t="inlineStr">
        <is>
          <t>OPT_UNDL_PX</t>
        </is>
      </c>
      <c r="GZ3" s="5" t="inlineStr">
        <is>
          <t>Date</t>
        </is>
      </c>
      <c r="HA3" s="5" t="inlineStr">
        <is>
          <t>PX_BID</t>
        </is>
      </c>
      <c r="HB3" s="5" t="inlineStr">
        <is>
          <t>PX_ASK</t>
        </is>
      </c>
      <c r="HC3" s="5" t="inlineStr">
        <is>
          <t>PX_MID</t>
        </is>
      </c>
      <c r="HD3" s="5" t="inlineStr">
        <is>
          <t>PX_LAST</t>
        </is>
      </c>
      <c r="HE3" s="5" t="inlineStr">
        <is>
          <t>PX_SETTLE</t>
        </is>
      </c>
      <c r="HF3" s="5" t="inlineStr">
        <is>
          <t>PX_VOLUME</t>
        </is>
      </c>
      <c r="HG3" s="5" t="inlineStr">
        <is>
          <t>OPEN_INT</t>
        </is>
      </c>
      <c r="HH3" s="5" t="inlineStr">
        <is>
          <t>IVOL_MID</t>
        </is>
      </c>
      <c r="HI3" s="5" t="inlineStr">
        <is>
          <t>IVOL_BID</t>
        </is>
      </c>
      <c r="HJ3" s="5" t="inlineStr">
        <is>
          <t>IVOL_ASK</t>
        </is>
      </c>
      <c r="HK3" s="5" t="inlineStr">
        <is>
          <t>DELTA_MID</t>
        </is>
      </c>
      <c r="HL3" s="5" t="inlineStr">
        <is>
          <t>GAMMA_MID</t>
        </is>
      </c>
      <c r="HM3" s="5" t="inlineStr">
        <is>
          <t>VEGA_MID</t>
        </is>
      </c>
      <c r="HN3" s="5" t="inlineStr">
        <is>
          <t>THETA_MID</t>
        </is>
      </c>
      <c r="HO3" s="5" t="inlineStr">
        <is>
          <t>OPT_UNDL_PX</t>
        </is>
      </c>
      <c r="HQ3" s="5" t="inlineStr">
        <is>
          <t>Date</t>
        </is>
      </c>
      <c r="HR3" s="5" t="inlineStr">
        <is>
          <t>PX_BID</t>
        </is>
      </c>
      <c r="HS3" s="5" t="inlineStr">
        <is>
          <t>PX_ASK</t>
        </is>
      </c>
      <c r="HT3" s="5" t="inlineStr">
        <is>
          <t>PX_MID</t>
        </is>
      </c>
      <c r="HU3" s="5" t="inlineStr">
        <is>
          <t>PX_LAST</t>
        </is>
      </c>
      <c r="HV3" s="5" t="inlineStr">
        <is>
          <t>PX_SETTLE</t>
        </is>
      </c>
      <c r="HW3" s="5" t="inlineStr">
        <is>
          <t>PX_VOLUME</t>
        </is>
      </c>
      <c r="HX3" s="5" t="inlineStr">
        <is>
          <t>OPEN_INT</t>
        </is>
      </c>
      <c r="HY3" s="5" t="inlineStr">
        <is>
          <t>IVOL_MID</t>
        </is>
      </c>
      <c r="HZ3" s="5" t="inlineStr">
        <is>
          <t>IVOL_BID</t>
        </is>
      </c>
      <c r="IA3" s="5" t="inlineStr">
        <is>
          <t>IVOL_ASK</t>
        </is>
      </c>
      <c r="IB3" s="5" t="inlineStr">
        <is>
          <t>DELTA_MID</t>
        </is>
      </c>
      <c r="IC3" s="5" t="inlineStr">
        <is>
          <t>GAMMA_MID</t>
        </is>
      </c>
      <c r="ID3" s="5" t="inlineStr">
        <is>
          <t>VEGA_MID</t>
        </is>
      </c>
      <c r="IE3" s="5" t="inlineStr">
        <is>
          <t>THETA_MID</t>
        </is>
      </c>
      <c r="IF3" s="5" t="inlineStr">
        <is>
          <t>OPT_UNDL_PX</t>
        </is>
      </c>
      <c r="IH3" s="5" t="inlineStr">
        <is>
          <t>Date</t>
        </is>
      </c>
      <c r="II3" s="5" t="inlineStr">
        <is>
          <t>PX_BID</t>
        </is>
      </c>
      <c r="IJ3" s="5" t="inlineStr">
        <is>
          <t>PX_ASK</t>
        </is>
      </c>
      <c r="IK3" s="5" t="inlineStr">
        <is>
          <t>PX_MID</t>
        </is>
      </c>
      <c r="IL3" s="5" t="inlineStr">
        <is>
          <t>PX_LAST</t>
        </is>
      </c>
      <c r="IM3" s="5" t="inlineStr">
        <is>
          <t>PX_SETTLE</t>
        </is>
      </c>
      <c r="IN3" s="5" t="inlineStr">
        <is>
          <t>PX_VOLUME</t>
        </is>
      </c>
      <c r="IO3" s="5" t="inlineStr">
        <is>
          <t>OPEN_INT</t>
        </is>
      </c>
      <c r="IP3" s="5" t="inlineStr">
        <is>
          <t>IVOL_MID</t>
        </is>
      </c>
      <c r="IQ3" s="5" t="inlineStr">
        <is>
          <t>IVOL_BID</t>
        </is>
      </c>
      <c r="IR3" s="5" t="inlineStr">
        <is>
          <t>IVOL_ASK</t>
        </is>
      </c>
      <c r="IS3" s="5" t="inlineStr">
        <is>
          <t>DELTA_MID</t>
        </is>
      </c>
      <c r="IT3" s="5" t="inlineStr">
        <is>
          <t>GAMMA_MID</t>
        </is>
      </c>
      <c r="IU3" s="5" t="inlineStr">
        <is>
          <t>VEGA_MID</t>
        </is>
      </c>
      <c r="IV3" s="5" t="inlineStr">
        <is>
          <t>THETA_MID</t>
        </is>
      </c>
      <c r="IW3" s="5" t="inlineStr">
        <is>
          <t>OPT_UNDL_PX</t>
        </is>
      </c>
      <c r="IY3" s="5" t="inlineStr">
        <is>
          <t>Date</t>
        </is>
      </c>
      <c r="IZ3" s="5" t="inlineStr">
        <is>
          <t>PX_BID</t>
        </is>
      </c>
      <c r="JA3" s="5" t="inlineStr">
        <is>
          <t>PX_ASK</t>
        </is>
      </c>
      <c r="JB3" s="5" t="inlineStr">
        <is>
          <t>PX_MID</t>
        </is>
      </c>
      <c r="JC3" s="5" t="inlineStr">
        <is>
          <t>PX_LAST</t>
        </is>
      </c>
      <c r="JD3" s="5" t="inlineStr">
        <is>
          <t>PX_SETTLE</t>
        </is>
      </c>
      <c r="JE3" s="5" t="inlineStr">
        <is>
          <t>PX_VOLUME</t>
        </is>
      </c>
      <c r="JF3" s="5" t="inlineStr">
        <is>
          <t>OPEN_INT</t>
        </is>
      </c>
      <c r="JG3" s="5" t="inlineStr">
        <is>
          <t>IVOL_MID</t>
        </is>
      </c>
      <c r="JH3" s="5" t="inlineStr">
        <is>
          <t>IVOL_BID</t>
        </is>
      </c>
      <c r="JI3" s="5" t="inlineStr">
        <is>
          <t>IVOL_ASK</t>
        </is>
      </c>
      <c r="JJ3" s="5" t="inlineStr">
        <is>
          <t>DELTA_MID</t>
        </is>
      </c>
      <c r="JK3" s="5" t="inlineStr">
        <is>
          <t>GAMMA_MID</t>
        </is>
      </c>
      <c r="JL3" s="5" t="inlineStr">
        <is>
          <t>VEGA_MID</t>
        </is>
      </c>
      <c r="JM3" s="5" t="inlineStr">
        <is>
          <t>THETA_MID</t>
        </is>
      </c>
      <c r="JN3" s="5" t="inlineStr">
        <is>
          <t>OPT_UNDL_PX</t>
        </is>
      </c>
      <c r="JP3" s="5" t="inlineStr">
        <is>
          <t>Date</t>
        </is>
      </c>
      <c r="JQ3" s="5" t="inlineStr">
        <is>
          <t>PX_BID</t>
        </is>
      </c>
      <c r="JR3" s="5" t="inlineStr">
        <is>
          <t>PX_ASK</t>
        </is>
      </c>
      <c r="JS3" s="5" t="inlineStr">
        <is>
          <t>PX_MID</t>
        </is>
      </c>
      <c r="JT3" s="5" t="inlineStr">
        <is>
          <t>PX_LAST</t>
        </is>
      </c>
      <c r="JU3" s="5" t="inlineStr">
        <is>
          <t>PX_SETTLE</t>
        </is>
      </c>
      <c r="JV3" s="5" t="inlineStr">
        <is>
          <t>PX_VOLUME</t>
        </is>
      </c>
      <c r="JW3" s="5" t="inlineStr">
        <is>
          <t>OPEN_INT</t>
        </is>
      </c>
      <c r="JX3" s="5" t="inlineStr">
        <is>
          <t>IVOL_MID</t>
        </is>
      </c>
      <c r="JY3" s="5" t="inlineStr">
        <is>
          <t>IVOL_BID</t>
        </is>
      </c>
      <c r="JZ3" s="5" t="inlineStr">
        <is>
          <t>IVOL_ASK</t>
        </is>
      </c>
      <c r="KA3" s="5" t="inlineStr">
        <is>
          <t>DELTA_MID</t>
        </is>
      </c>
      <c r="KB3" s="5" t="inlineStr">
        <is>
          <t>GAMMA_MID</t>
        </is>
      </c>
      <c r="KC3" s="5" t="inlineStr">
        <is>
          <t>VEGA_MID</t>
        </is>
      </c>
      <c r="KD3" s="5" t="inlineStr">
        <is>
          <t>THETA_MID</t>
        </is>
      </c>
      <c r="KE3" s="5" t="inlineStr">
        <is>
          <t>OPT_UNDL_PX</t>
        </is>
      </c>
      <c r="KG3" s="5" t="inlineStr">
        <is>
          <t>Date</t>
        </is>
      </c>
      <c r="KH3" s="5" t="inlineStr">
        <is>
          <t>PX_BID</t>
        </is>
      </c>
      <c r="KI3" s="5" t="inlineStr">
        <is>
          <t>PX_ASK</t>
        </is>
      </c>
      <c r="KJ3" s="5" t="inlineStr">
        <is>
          <t>PX_MID</t>
        </is>
      </c>
      <c r="KK3" s="5" t="inlineStr">
        <is>
          <t>PX_LAST</t>
        </is>
      </c>
      <c r="KL3" s="5" t="inlineStr">
        <is>
          <t>PX_SETTLE</t>
        </is>
      </c>
      <c r="KM3" s="5" t="inlineStr">
        <is>
          <t>PX_VOLUME</t>
        </is>
      </c>
      <c r="KN3" s="5" t="inlineStr">
        <is>
          <t>OPEN_INT</t>
        </is>
      </c>
      <c r="KO3" s="5" t="inlineStr">
        <is>
          <t>IVOL_MID</t>
        </is>
      </c>
      <c r="KP3" s="5" t="inlineStr">
        <is>
          <t>IVOL_BID</t>
        </is>
      </c>
      <c r="KQ3" s="5" t="inlineStr">
        <is>
          <t>IVOL_ASK</t>
        </is>
      </c>
      <c r="KR3" s="5" t="inlineStr">
        <is>
          <t>DELTA_MID</t>
        </is>
      </c>
      <c r="KS3" s="5" t="inlineStr">
        <is>
          <t>GAMMA_MID</t>
        </is>
      </c>
      <c r="KT3" s="5" t="inlineStr">
        <is>
          <t>VEGA_MID</t>
        </is>
      </c>
      <c r="KU3" s="5" t="inlineStr">
        <is>
          <t>THETA_MID</t>
        </is>
      </c>
      <c r="KV3" s="5" t="inlineStr">
        <is>
          <t>OPT_UNDL_PX</t>
        </is>
      </c>
      <c r="KX3" s="5" t="inlineStr">
        <is>
          <t>Date</t>
        </is>
      </c>
      <c r="KY3" s="5" t="inlineStr">
        <is>
          <t>PX_BID</t>
        </is>
      </c>
      <c r="KZ3" s="5" t="inlineStr">
        <is>
          <t>PX_ASK</t>
        </is>
      </c>
      <c r="LA3" s="5" t="inlineStr">
        <is>
          <t>PX_MID</t>
        </is>
      </c>
      <c r="LB3" s="5" t="inlineStr">
        <is>
          <t>PX_LAST</t>
        </is>
      </c>
      <c r="LC3" s="5" t="inlineStr">
        <is>
          <t>PX_SETTLE</t>
        </is>
      </c>
      <c r="LD3" s="5" t="inlineStr">
        <is>
          <t>PX_VOLUME</t>
        </is>
      </c>
      <c r="LE3" s="5" t="inlineStr">
        <is>
          <t>OPEN_INT</t>
        </is>
      </c>
      <c r="LF3" s="5" t="inlineStr">
        <is>
          <t>IVOL_MID</t>
        </is>
      </c>
      <c r="LG3" s="5" t="inlineStr">
        <is>
          <t>IVOL_BID</t>
        </is>
      </c>
      <c r="LH3" s="5" t="inlineStr">
        <is>
          <t>IVOL_ASK</t>
        </is>
      </c>
      <c r="LI3" s="5" t="inlineStr">
        <is>
          <t>DELTA_MID</t>
        </is>
      </c>
      <c r="LJ3" s="5" t="inlineStr">
        <is>
          <t>GAMMA_MID</t>
        </is>
      </c>
      <c r="LK3" s="5" t="inlineStr">
        <is>
          <t>VEGA_MID</t>
        </is>
      </c>
      <c r="LL3" s="5" t="inlineStr">
        <is>
          <t>THETA_MID</t>
        </is>
      </c>
      <c r="LM3" s="5" t="inlineStr">
        <is>
          <t>OPT_UNDL_PX</t>
        </is>
      </c>
      <c r="LO3" s="5" t="inlineStr">
        <is>
          <t>Date</t>
        </is>
      </c>
      <c r="LP3" s="5" t="inlineStr">
        <is>
          <t>PX_BID</t>
        </is>
      </c>
      <c r="LQ3" s="5" t="inlineStr">
        <is>
          <t>PX_ASK</t>
        </is>
      </c>
      <c r="LR3" s="5" t="inlineStr">
        <is>
          <t>PX_MID</t>
        </is>
      </c>
      <c r="LS3" s="5" t="inlineStr">
        <is>
          <t>PX_LAST</t>
        </is>
      </c>
      <c r="LT3" s="5" t="inlineStr">
        <is>
          <t>PX_SETTLE</t>
        </is>
      </c>
      <c r="LU3" s="5" t="inlineStr">
        <is>
          <t>PX_VOLUME</t>
        </is>
      </c>
      <c r="LV3" s="5" t="inlineStr">
        <is>
          <t>OPEN_INT</t>
        </is>
      </c>
      <c r="LW3" s="5" t="inlineStr">
        <is>
          <t>IVOL_MID</t>
        </is>
      </c>
      <c r="LX3" s="5" t="inlineStr">
        <is>
          <t>IVOL_BID</t>
        </is>
      </c>
      <c r="LY3" s="5" t="inlineStr">
        <is>
          <t>IVOL_ASK</t>
        </is>
      </c>
      <c r="LZ3" s="5" t="inlineStr">
        <is>
          <t>DELTA_MID</t>
        </is>
      </c>
      <c r="MA3" s="5" t="inlineStr">
        <is>
          <t>GAMMA_MID</t>
        </is>
      </c>
      <c r="MB3" s="5" t="inlineStr">
        <is>
          <t>VEGA_MID</t>
        </is>
      </c>
      <c r="MC3" s="5" t="inlineStr">
        <is>
          <t>THETA_MID</t>
        </is>
      </c>
      <c r="MD3" s="5" t="inlineStr">
        <is>
          <t>OPT_UNDL_PX</t>
        </is>
      </c>
      <c r="MF3" s="5" t="inlineStr">
        <is>
          <t>Date</t>
        </is>
      </c>
      <c r="MG3" s="5" t="inlineStr">
        <is>
          <t>PX_BID</t>
        </is>
      </c>
      <c r="MH3" s="5" t="inlineStr">
        <is>
          <t>PX_ASK</t>
        </is>
      </c>
      <c r="MI3" s="5" t="inlineStr">
        <is>
          <t>PX_MID</t>
        </is>
      </c>
      <c r="MJ3" s="5" t="inlineStr">
        <is>
          <t>PX_LAST</t>
        </is>
      </c>
      <c r="MK3" s="5" t="inlineStr">
        <is>
          <t>PX_SETTLE</t>
        </is>
      </c>
      <c r="ML3" s="5" t="inlineStr">
        <is>
          <t>PX_VOLUME</t>
        </is>
      </c>
      <c r="MM3" s="5" t="inlineStr">
        <is>
          <t>OPEN_INT</t>
        </is>
      </c>
      <c r="MN3" s="5" t="inlineStr">
        <is>
          <t>IVOL_MID</t>
        </is>
      </c>
      <c r="MO3" s="5" t="inlineStr">
        <is>
          <t>IVOL_BID</t>
        </is>
      </c>
      <c r="MP3" s="5" t="inlineStr">
        <is>
          <t>IVOL_ASK</t>
        </is>
      </c>
      <c r="MQ3" s="5" t="inlineStr">
        <is>
          <t>DELTA_MID</t>
        </is>
      </c>
      <c r="MR3" s="5" t="inlineStr">
        <is>
          <t>GAMMA_MID</t>
        </is>
      </c>
      <c r="MS3" s="5" t="inlineStr">
        <is>
          <t>VEGA_MID</t>
        </is>
      </c>
      <c r="MT3" s="5" t="inlineStr">
        <is>
          <t>THETA_MID</t>
        </is>
      </c>
      <c r="MU3" s="5" t="inlineStr">
        <is>
          <t>OPT_UNDL_PX</t>
        </is>
      </c>
      <c r="MW3" s="5" t="inlineStr">
        <is>
          <t>Date</t>
        </is>
      </c>
      <c r="MX3" s="5" t="inlineStr">
        <is>
          <t>PX_BID</t>
        </is>
      </c>
      <c r="MY3" s="5" t="inlineStr">
        <is>
          <t>PX_ASK</t>
        </is>
      </c>
      <c r="MZ3" s="5" t="inlineStr">
        <is>
          <t>PX_MID</t>
        </is>
      </c>
      <c r="NA3" s="5" t="inlineStr">
        <is>
          <t>PX_LAST</t>
        </is>
      </c>
      <c r="NB3" s="5" t="inlineStr">
        <is>
          <t>PX_SETTLE</t>
        </is>
      </c>
      <c r="NC3" s="5" t="inlineStr">
        <is>
          <t>PX_VOLUME</t>
        </is>
      </c>
      <c r="ND3" s="5" t="inlineStr">
        <is>
          <t>OPEN_INT</t>
        </is>
      </c>
      <c r="NE3" s="5" t="inlineStr">
        <is>
          <t>IVOL_MID</t>
        </is>
      </c>
      <c r="NF3" s="5" t="inlineStr">
        <is>
          <t>IVOL_BID</t>
        </is>
      </c>
      <c r="NG3" s="5" t="inlineStr">
        <is>
          <t>IVOL_ASK</t>
        </is>
      </c>
      <c r="NH3" s="5" t="inlineStr">
        <is>
          <t>DELTA_MID</t>
        </is>
      </c>
      <c r="NI3" s="5" t="inlineStr">
        <is>
          <t>GAMMA_MID</t>
        </is>
      </c>
      <c r="NJ3" s="5" t="inlineStr">
        <is>
          <t>VEGA_MID</t>
        </is>
      </c>
      <c r="NK3" s="5" t="inlineStr">
        <is>
          <t>THETA_MID</t>
        </is>
      </c>
      <c r="NL3" s="5" t="inlineStr">
        <is>
          <t>OPT_UNDL_PX</t>
        </is>
      </c>
    </row>
    <row r="4">
      <c r="A4" s="2" t="inlineStr">
        <is>
          <t>Strike reference date</t>
        </is>
      </c>
      <c r="B4" s="8">
        <f>B3-45</f>
        <v/>
      </c>
      <c r="D4" s="4">
        <f>BDH(D$1,E$3:S$3,$B$8,$B$9,"Dir=V","Dts=S","Sort=A","Days=T","Fill=B")</f>
        <v/>
      </c>
      <c r="U4" s="4">
        <f>BDH(U$1,V$3:AJ$3,$B$8,$B$9,"Dir=V","Dts=S","Sort=A","Days=T","Fill=B")</f>
        <v/>
      </c>
      <c r="AL4" s="4">
        <f>BDH(AL$1,AM$3:BA$3,$B$8,$B$9,"Dir=V","Dts=S","Sort=A","Days=T","Fill=B")</f>
        <v/>
      </c>
      <c r="BC4" s="4">
        <f>BDH(BC$1,BD$3:BR$3,$B$8,$B$9,"Dir=V","Dts=S","Sort=A","Days=T","Fill=B")</f>
        <v/>
      </c>
      <c r="BT4" s="4">
        <f>BDH(BT$1,BU$3:CI$3,$B$8,$B$9,"Dir=V","Dts=S","Sort=A","Days=T","Fill=B")</f>
        <v/>
      </c>
      <c r="CK4" s="4">
        <f>BDH(CK$1,CL$3:CZ$3,$B$8,$B$9,"Dir=V","Dts=S","Sort=A","Days=T","Fill=B")</f>
        <v/>
      </c>
      <c r="DB4" s="4">
        <f>BDH(DB$1,DC$3:DQ$3,$B$8,$B$9,"Dir=V","Dts=S","Sort=A","Days=T","Fill=B")</f>
        <v/>
      </c>
      <c r="DS4" s="4">
        <f>BDH(DS$1,DT$3:EH$3,$B$8,$B$9,"Dir=V","Dts=S","Sort=A","Days=T","Fill=B")</f>
        <v/>
      </c>
      <c r="EJ4" s="4">
        <f>BDH(EJ$1,EK$3:EY$3,$B$8,$B$9,"Dir=V","Dts=S","Sort=A","Days=T","Fill=B")</f>
        <v/>
      </c>
      <c r="FA4" s="4">
        <f>BDH(FA$1,FB$3:FP$3,$B$8,$B$9,"Dir=V","Dts=S","Sort=A","Days=T","Fill=B")</f>
        <v/>
      </c>
      <c r="FR4" s="4">
        <f>BDH(FR$1,FS$3:GG$3,$B$8,$B$9,"Dir=V","Dts=S","Sort=A","Days=T","Fill=B")</f>
        <v/>
      </c>
      <c r="GI4" s="4">
        <f>BDH(GI$1,GJ$3:GX$3,$B$8,$B$9,"Dir=V","Dts=S","Sort=A","Days=T","Fill=B")</f>
        <v/>
      </c>
      <c r="GZ4" s="4">
        <f>BDH(GZ$1,HA$3:HO$3,$B$8,$B$9,"Dir=V","Dts=S","Sort=A","Days=T","Fill=B")</f>
        <v/>
      </c>
      <c r="HQ4" s="4">
        <f>BDH(HQ$1,HR$3:IF$3,$B$8,$B$9,"Dir=V","Dts=S","Sort=A","Days=T","Fill=B")</f>
        <v/>
      </c>
      <c r="IH4" s="4">
        <f>BDH(IH$1,II$3:IW$3,$B$8,$B$9,"Dir=V","Dts=S","Sort=A","Days=T","Fill=B")</f>
        <v/>
      </c>
      <c r="IY4" s="4">
        <f>BDH(IY$1,IZ$3:JN$3,$B$8,$B$9,"Dir=V","Dts=S","Sort=A","Days=T","Fill=B")</f>
        <v/>
      </c>
      <c r="JP4" s="4">
        <f>BDH(JP$1,JQ$3:KE$3,$B$8,$B$9,"Dir=V","Dts=S","Sort=A","Days=T","Fill=B")</f>
        <v/>
      </c>
      <c r="KG4" s="4">
        <f>BDH(KG$1,KH$3:KV$3,$B$8,$B$9,"Dir=V","Dts=S","Sort=A","Days=T","Fill=B")</f>
        <v/>
      </c>
      <c r="KX4" s="4">
        <f>BDH(KX$1,KY$3:LM$3,$B$8,$B$9,"Dir=V","Dts=S","Sort=A","Days=T","Fill=B")</f>
        <v/>
      </c>
      <c r="LO4" s="4">
        <f>BDH(LO$1,LP$3:MD$3,$B$8,$B$9,"Dir=V","Dts=S","Sort=A","Days=T","Fill=B")</f>
        <v/>
      </c>
      <c r="MF4" s="4">
        <f>BDH(MF$1,MG$3:MU$3,$B$8,$B$9,"Dir=V","Dts=S","Sort=A","Days=T","Fill=B")</f>
        <v/>
      </c>
      <c r="MW4" s="4">
        <f>BDH(MW$1,MX$3:NL$3,$B$8,$B$9,"Dir=V","Dts=S","Sort=A","Days=T","Fill=B")</f>
        <v/>
      </c>
    </row>
    <row r="5">
      <c r="A5" s="2" t="inlineStr">
        <is>
          <t>Unadjusted close then</t>
        </is>
      </c>
      <c r="B5" s="10">
        <f>IF(B2="","",BDH(B2,"PX_LAST",B4,B4,"Days=A","Fill=P","Dts=H","CshAdjNormal=N","CshAdjAbnormal=N","CapChg=N"))</f>
        <v/>
      </c>
    </row>
    <row r="6">
      <c r="A6" s="2" t="inlineStr">
        <is>
          <t>Strike step</t>
        </is>
      </c>
      <c r="B6" s="11">
        <f>IF(ISNUMBER(B5),IF(B5&lt;25,0.5,IF(B5&lt;250,1,5)),"")</f>
        <v/>
      </c>
    </row>
    <row r="7">
      <c r="A7" s="2" t="inlineStr">
        <is>
          <t>ATM strike</t>
        </is>
      </c>
      <c r="B7" s="11">
        <f>IF(ISNUMBER(B5),ROUND(B5/B6,0)*B6,"")</f>
        <v/>
      </c>
    </row>
    <row r="8">
      <c r="A8" s="2" t="inlineStr">
        <is>
          <t>History start</t>
        </is>
      </c>
      <c r="B8" s="8">
        <f>B3-100</f>
        <v/>
      </c>
    </row>
    <row r="9">
      <c r="A9" s="2" t="inlineStr">
        <is>
          <t>History end</t>
        </is>
      </c>
      <c r="B9" s="8">
        <f>B3</f>
        <v/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NL9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2" customWidth="1" min="2" max="2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1" customWidth="1" min="15" max="15"/>
    <col width="11" customWidth="1" min="16" max="16"/>
    <col width="10" customWidth="1" min="17" max="17"/>
    <col width="11" customWidth="1" min="18" max="18"/>
    <col width="13" customWidth="1" min="19" max="19"/>
    <col width="12" customWidth="1" min="21" max="21"/>
    <col width="10" customWidth="1" min="22" max="22"/>
    <col width="10" customWidth="1" min="23" max="23"/>
    <col width="10" customWidth="1" min="24" max="24"/>
    <col width="10" customWidth="1" min="25" max="25"/>
    <col width="11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1" customWidth="1" min="32" max="32"/>
    <col width="11" customWidth="1" min="33" max="33"/>
    <col width="10" customWidth="1" min="34" max="34"/>
    <col width="11" customWidth="1" min="35" max="35"/>
    <col width="13" customWidth="1" min="36" max="36"/>
    <col width="12" customWidth="1" min="38" max="38"/>
    <col width="10" customWidth="1" min="39" max="39"/>
    <col width="10" customWidth="1" min="40" max="40"/>
    <col width="10" customWidth="1" min="41" max="41"/>
    <col width="10" customWidth="1" min="42" max="42"/>
    <col width="11" customWidth="1" min="43" max="43"/>
    <col width="11" customWidth="1" min="44" max="44"/>
    <col width="10" customWidth="1" min="45" max="45"/>
    <col width="10" customWidth="1" min="46" max="46"/>
    <col width="10" customWidth="1" min="47" max="47"/>
    <col width="10" customWidth="1" min="48" max="48"/>
    <col width="11" customWidth="1" min="49" max="49"/>
    <col width="11" customWidth="1" min="50" max="50"/>
    <col width="10" customWidth="1" min="51" max="51"/>
    <col width="11" customWidth="1" min="52" max="52"/>
    <col width="13" customWidth="1" min="53" max="53"/>
    <col width="12" customWidth="1" min="55" max="55"/>
    <col width="10" customWidth="1" min="56" max="56"/>
    <col width="10" customWidth="1" min="57" max="57"/>
    <col width="10" customWidth="1" min="58" max="58"/>
    <col width="10" customWidth="1" min="59" max="59"/>
    <col width="11" customWidth="1" min="60" max="60"/>
    <col width="11" customWidth="1" min="61" max="61"/>
    <col width="10" customWidth="1" min="62" max="62"/>
    <col width="10" customWidth="1" min="63" max="63"/>
    <col width="10" customWidth="1" min="64" max="64"/>
    <col width="10" customWidth="1" min="65" max="65"/>
    <col width="11" customWidth="1" min="66" max="66"/>
    <col width="11" customWidth="1" min="67" max="67"/>
    <col width="10" customWidth="1" min="68" max="68"/>
    <col width="11" customWidth="1" min="69" max="69"/>
    <col width="13" customWidth="1" min="70" max="70"/>
    <col width="12" customWidth="1" min="72" max="72"/>
    <col width="10" customWidth="1" min="73" max="73"/>
    <col width="10" customWidth="1" min="74" max="74"/>
    <col width="10" customWidth="1" min="75" max="75"/>
    <col width="10" customWidth="1" min="76" max="76"/>
    <col width="11" customWidth="1" min="77" max="77"/>
    <col width="11" customWidth="1" min="78" max="78"/>
    <col width="10" customWidth="1" min="79" max="79"/>
    <col width="10" customWidth="1" min="80" max="80"/>
    <col width="10" customWidth="1" min="81" max="81"/>
    <col width="10" customWidth="1" min="82" max="82"/>
    <col width="11" customWidth="1" min="83" max="83"/>
    <col width="11" customWidth="1" min="84" max="84"/>
    <col width="10" customWidth="1" min="85" max="85"/>
    <col width="11" customWidth="1" min="86" max="86"/>
    <col width="13" customWidth="1" min="87" max="87"/>
    <col width="12" customWidth="1" min="89" max="89"/>
    <col width="10" customWidth="1" min="90" max="90"/>
    <col width="10" customWidth="1" min="91" max="91"/>
    <col width="10" customWidth="1" min="92" max="92"/>
    <col width="10" customWidth="1" min="93" max="93"/>
    <col width="11" customWidth="1" min="94" max="94"/>
    <col width="11" customWidth="1" min="95" max="95"/>
    <col width="10" customWidth="1" min="96" max="96"/>
    <col width="10" customWidth="1" min="97" max="97"/>
    <col width="10" customWidth="1" min="98" max="98"/>
    <col width="10" customWidth="1" min="99" max="99"/>
    <col width="11" customWidth="1" min="100" max="100"/>
    <col width="11" customWidth="1" min="101" max="101"/>
    <col width="10" customWidth="1" min="102" max="102"/>
    <col width="11" customWidth="1" min="103" max="103"/>
    <col width="13" customWidth="1" min="104" max="104"/>
    <col width="12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1" customWidth="1" min="111" max="111"/>
    <col width="11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1" customWidth="1" min="117" max="117"/>
    <col width="11" customWidth="1" min="118" max="118"/>
    <col width="10" customWidth="1" min="119" max="119"/>
    <col width="11" customWidth="1" min="120" max="120"/>
    <col width="13" customWidth="1" min="121" max="121"/>
    <col width="12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1" customWidth="1" min="128" max="128"/>
    <col width="11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1" customWidth="1" min="134" max="134"/>
    <col width="11" customWidth="1" min="135" max="135"/>
    <col width="10" customWidth="1" min="136" max="136"/>
    <col width="11" customWidth="1" min="137" max="137"/>
    <col width="13" customWidth="1" min="138" max="138"/>
    <col width="12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1" customWidth="1" min="145" max="145"/>
    <col width="11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1" customWidth="1" min="151" max="151"/>
    <col width="11" customWidth="1" min="152" max="152"/>
    <col width="10" customWidth="1" min="153" max="153"/>
    <col width="11" customWidth="1" min="154" max="154"/>
    <col width="13" customWidth="1" min="155" max="155"/>
    <col width="12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1" customWidth="1" min="162" max="162"/>
    <col width="11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1" customWidth="1" min="168" max="168"/>
    <col width="11" customWidth="1" min="169" max="169"/>
    <col width="10" customWidth="1" min="170" max="170"/>
    <col width="11" customWidth="1" min="171" max="171"/>
    <col width="13" customWidth="1" min="172" max="172"/>
    <col width="12" customWidth="1" min="174" max="174"/>
    <col width="10" customWidth="1" min="175" max="175"/>
    <col width="10" customWidth="1" min="176" max="176"/>
    <col width="10" customWidth="1" min="177" max="177"/>
    <col width="10" customWidth="1" min="178" max="178"/>
    <col width="11" customWidth="1" min="179" max="179"/>
    <col width="11" customWidth="1" min="180" max="180"/>
    <col width="10" customWidth="1" min="181" max="181"/>
    <col width="10" customWidth="1" min="182" max="182"/>
    <col width="10" customWidth="1" min="183" max="183"/>
    <col width="10" customWidth="1" min="184" max="184"/>
    <col width="11" customWidth="1" min="185" max="185"/>
    <col width="11" customWidth="1" min="186" max="186"/>
    <col width="10" customWidth="1" min="187" max="187"/>
    <col width="11" customWidth="1" min="188" max="188"/>
    <col width="13" customWidth="1" min="189" max="189"/>
    <col width="12" customWidth="1" min="191" max="191"/>
    <col width="10" customWidth="1" min="192" max="192"/>
    <col width="10" customWidth="1" min="193" max="193"/>
    <col width="10" customWidth="1" min="194" max="194"/>
    <col width="10" customWidth="1" min="195" max="195"/>
    <col width="11" customWidth="1" min="196" max="196"/>
    <col width="11" customWidth="1" min="197" max="197"/>
    <col width="10" customWidth="1" min="198" max="198"/>
    <col width="10" customWidth="1" min="199" max="199"/>
    <col width="10" customWidth="1" min="200" max="200"/>
    <col width="10" customWidth="1" min="201" max="201"/>
    <col width="11" customWidth="1" min="202" max="202"/>
    <col width="11" customWidth="1" min="203" max="203"/>
    <col width="10" customWidth="1" min="204" max="204"/>
    <col width="11" customWidth="1" min="205" max="205"/>
    <col width="13" customWidth="1" min="206" max="206"/>
    <col width="12" customWidth="1" min="208" max="208"/>
    <col width="10" customWidth="1" min="209" max="209"/>
    <col width="10" customWidth="1" min="210" max="210"/>
    <col width="10" customWidth="1" min="211" max="211"/>
    <col width="10" customWidth="1" min="212" max="212"/>
    <col width="11" customWidth="1" min="213" max="213"/>
    <col width="11" customWidth="1" min="214" max="214"/>
    <col width="10" customWidth="1" min="215" max="215"/>
    <col width="10" customWidth="1" min="216" max="216"/>
    <col width="10" customWidth="1" min="217" max="217"/>
    <col width="10" customWidth="1" min="218" max="218"/>
    <col width="11" customWidth="1" min="219" max="219"/>
    <col width="11" customWidth="1" min="220" max="220"/>
    <col width="10" customWidth="1" min="221" max="221"/>
    <col width="11" customWidth="1" min="222" max="222"/>
    <col width="13" customWidth="1" min="223" max="223"/>
    <col width="12" customWidth="1" min="225" max="225"/>
    <col width="10" customWidth="1" min="226" max="226"/>
    <col width="10" customWidth="1" min="227" max="227"/>
    <col width="10" customWidth="1" min="228" max="228"/>
    <col width="10" customWidth="1" min="229" max="229"/>
    <col width="11" customWidth="1" min="230" max="230"/>
    <col width="11" customWidth="1" min="231" max="231"/>
    <col width="10" customWidth="1" min="232" max="232"/>
    <col width="10" customWidth="1" min="233" max="233"/>
    <col width="10" customWidth="1" min="234" max="234"/>
    <col width="10" customWidth="1" min="235" max="235"/>
    <col width="11" customWidth="1" min="236" max="236"/>
    <col width="11" customWidth="1" min="237" max="237"/>
    <col width="10" customWidth="1" min="238" max="238"/>
    <col width="11" customWidth="1" min="239" max="239"/>
    <col width="13" customWidth="1" min="240" max="240"/>
    <col width="12" customWidth="1" min="242" max="242"/>
    <col width="10" customWidth="1" min="243" max="243"/>
    <col width="10" customWidth="1" min="244" max="244"/>
    <col width="10" customWidth="1" min="245" max="245"/>
    <col width="10" customWidth="1" min="246" max="246"/>
    <col width="11" customWidth="1" min="247" max="247"/>
    <col width="11" customWidth="1" min="248" max="248"/>
    <col width="10" customWidth="1" min="249" max="249"/>
    <col width="10" customWidth="1" min="250" max="250"/>
    <col width="10" customWidth="1" min="251" max="251"/>
    <col width="10" customWidth="1" min="252" max="252"/>
    <col width="11" customWidth="1" min="253" max="253"/>
    <col width="11" customWidth="1" min="254" max="254"/>
    <col width="10" customWidth="1" min="255" max="255"/>
    <col width="11" customWidth="1" min="256" max="256"/>
    <col width="13" customWidth="1" min="257" max="257"/>
    <col width="12" customWidth="1" min="259" max="259"/>
    <col width="10" customWidth="1" min="260" max="260"/>
    <col width="10" customWidth="1" min="261" max="261"/>
    <col width="10" customWidth="1" min="262" max="262"/>
    <col width="10" customWidth="1" min="263" max="263"/>
    <col width="11" customWidth="1" min="264" max="264"/>
    <col width="11" customWidth="1" min="265" max="265"/>
    <col width="10" customWidth="1" min="266" max="266"/>
    <col width="10" customWidth="1" min="267" max="267"/>
    <col width="10" customWidth="1" min="268" max="268"/>
    <col width="10" customWidth="1" min="269" max="269"/>
    <col width="11" customWidth="1" min="270" max="270"/>
    <col width="11" customWidth="1" min="271" max="271"/>
    <col width="10" customWidth="1" min="272" max="272"/>
    <col width="11" customWidth="1" min="273" max="273"/>
    <col width="13" customWidth="1" min="274" max="274"/>
    <col width="12" customWidth="1" min="276" max="276"/>
    <col width="10" customWidth="1" min="277" max="277"/>
    <col width="10" customWidth="1" min="278" max="278"/>
    <col width="10" customWidth="1" min="279" max="279"/>
    <col width="10" customWidth="1" min="280" max="280"/>
    <col width="11" customWidth="1" min="281" max="281"/>
    <col width="11" customWidth="1" min="282" max="282"/>
    <col width="10" customWidth="1" min="283" max="283"/>
    <col width="10" customWidth="1" min="284" max="284"/>
    <col width="10" customWidth="1" min="285" max="285"/>
    <col width="10" customWidth="1" min="286" max="286"/>
    <col width="11" customWidth="1" min="287" max="287"/>
    <col width="11" customWidth="1" min="288" max="288"/>
    <col width="10" customWidth="1" min="289" max="289"/>
    <col width="11" customWidth="1" min="290" max="290"/>
    <col width="13" customWidth="1" min="291" max="291"/>
    <col width="12" customWidth="1" min="293" max="293"/>
    <col width="10" customWidth="1" min="294" max="294"/>
    <col width="10" customWidth="1" min="295" max="295"/>
    <col width="10" customWidth="1" min="296" max="296"/>
    <col width="10" customWidth="1" min="297" max="297"/>
    <col width="11" customWidth="1" min="298" max="298"/>
    <col width="11" customWidth="1" min="299" max="299"/>
    <col width="10" customWidth="1" min="300" max="300"/>
    <col width="10" customWidth="1" min="301" max="301"/>
    <col width="10" customWidth="1" min="302" max="302"/>
    <col width="10" customWidth="1" min="303" max="303"/>
    <col width="11" customWidth="1" min="304" max="304"/>
    <col width="11" customWidth="1" min="305" max="305"/>
    <col width="10" customWidth="1" min="306" max="306"/>
    <col width="11" customWidth="1" min="307" max="307"/>
    <col width="13" customWidth="1" min="308" max="308"/>
    <col width="12" customWidth="1" min="310" max="310"/>
    <col width="10" customWidth="1" min="311" max="311"/>
    <col width="10" customWidth="1" min="312" max="312"/>
    <col width="10" customWidth="1" min="313" max="313"/>
    <col width="10" customWidth="1" min="314" max="314"/>
    <col width="11" customWidth="1" min="315" max="315"/>
    <col width="11" customWidth="1" min="316" max="316"/>
    <col width="10" customWidth="1" min="317" max="317"/>
    <col width="10" customWidth="1" min="318" max="318"/>
    <col width="10" customWidth="1" min="319" max="319"/>
    <col width="10" customWidth="1" min="320" max="320"/>
    <col width="11" customWidth="1" min="321" max="321"/>
    <col width="11" customWidth="1" min="322" max="322"/>
    <col width="10" customWidth="1" min="323" max="323"/>
    <col width="11" customWidth="1" min="324" max="324"/>
    <col width="13" customWidth="1" min="325" max="325"/>
    <col width="12" customWidth="1" min="327" max="327"/>
    <col width="10" customWidth="1" min="328" max="328"/>
    <col width="10" customWidth="1" min="329" max="329"/>
    <col width="10" customWidth="1" min="330" max="330"/>
    <col width="10" customWidth="1" min="331" max="331"/>
    <col width="11" customWidth="1" min="332" max="332"/>
    <col width="11" customWidth="1" min="333" max="333"/>
    <col width="10" customWidth="1" min="334" max="334"/>
    <col width="10" customWidth="1" min="335" max="335"/>
    <col width="10" customWidth="1" min="336" max="336"/>
    <col width="10" customWidth="1" min="337" max="337"/>
    <col width="11" customWidth="1" min="338" max="338"/>
    <col width="11" customWidth="1" min="339" max="339"/>
    <col width="10" customWidth="1" min="340" max="340"/>
    <col width="11" customWidth="1" min="341" max="341"/>
    <col width="13" customWidth="1" min="342" max="342"/>
    <col width="12" customWidth="1" min="344" max="344"/>
    <col width="10" customWidth="1" min="345" max="345"/>
    <col width="10" customWidth="1" min="346" max="346"/>
    <col width="10" customWidth="1" min="347" max="347"/>
    <col width="10" customWidth="1" min="348" max="348"/>
    <col width="11" customWidth="1" min="349" max="349"/>
    <col width="11" customWidth="1" min="350" max="350"/>
    <col width="10" customWidth="1" min="351" max="351"/>
    <col width="10" customWidth="1" min="352" max="352"/>
    <col width="10" customWidth="1" min="353" max="353"/>
    <col width="10" customWidth="1" min="354" max="354"/>
    <col width="11" customWidth="1" min="355" max="355"/>
    <col width="11" customWidth="1" min="356" max="356"/>
    <col width="10" customWidth="1" min="357" max="357"/>
    <col width="11" customWidth="1" min="358" max="358"/>
    <col width="13" customWidth="1" min="359" max="359"/>
    <col width="12" customWidth="1" min="361" max="361"/>
    <col width="10" customWidth="1" min="362" max="362"/>
    <col width="10" customWidth="1" min="363" max="363"/>
    <col width="10" customWidth="1" min="364" max="364"/>
    <col width="10" customWidth="1" min="365" max="365"/>
    <col width="11" customWidth="1" min="366" max="366"/>
    <col width="11" customWidth="1" min="367" max="367"/>
    <col width="10" customWidth="1" min="368" max="368"/>
    <col width="10" customWidth="1" min="369" max="369"/>
    <col width="10" customWidth="1" min="370" max="370"/>
    <col width="10" customWidth="1" min="371" max="371"/>
    <col width="11" customWidth="1" min="372" max="372"/>
    <col width="11" customWidth="1" min="373" max="373"/>
    <col width="10" customWidth="1" min="374" max="374"/>
    <col width="11" customWidth="1" min="375" max="375"/>
    <col width="13" customWidth="1" min="376" max="376"/>
  </cols>
  <sheetData>
    <row r="1">
      <c r="A1" s="2" t="inlineStr">
        <is>
          <t>Month</t>
        </is>
      </c>
      <c r="B1" s="9" t="n">
        <v>4</v>
      </c>
      <c r="D1" s="2">
        <f>IF(ISNUMBER(B$7),"DAL US "&amp;TEXT(B$3,"mm/dd/yy")&amp;" C"&amp;(B$7-5*B$6)&amp;" Equity","")</f>
        <v/>
      </c>
      <c r="U1" s="2">
        <f>IF(ISNUMBER(B$7),"DAL US "&amp;TEXT(B$3,"mm/dd/yy")&amp;" P"&amp;(B$7-5*B$6)&amp;" Equity","")</f>
        <v/>
      </c>
      <c r="AL1" s="2">
        <f>IF(ISNUMBER(B$7),"DAL US "&amp;TEXT(B$3,"mm/dd/yy")&amp;" C"&amp;(B$7-4*B$6)&amp;" Equity","")</f>
        <v/>
      </c>
      <c r="BC1" s="2">
        <f>IF(ISNUMBER(B$7),"DAL US "&amp;TEXT(B$3,"mm/dd/yy")&amp;" P"&amp;(B$7-4*B$6)&amp;" Equity","")</f>
        <v/>
      </c>
      <c r="BT1" s="2">
        <f>IF(ISNUMBER(B$7),"DAL US "&amp;TEXT(B$3,"mm/dd/yy")&amp;" C"&amp;(B$7-3*B$6)&amp;" Equity","")</f>
        <v/>
      </c>
      <c r="CK1" s="2">
        <f>IF(ISNUMBER(B$7),"DAL US "&amp;TEXT(B$3,"mm/dd/yy")&amp;" P"&amp;(B$7-3*B$6)&amp;" Equity","")</f>
        <v/>
      </c>
      <c r="DB1" s="2">
        <f>IF(ISNUMBER(B$7),"DAL US "&amp;TEXT(B$3,"mm/dd/yy")&amp;" C"&amp;(B$7-2*B$6)&amp;" Equity","")</f>
        <v/>
      </c>
      <c r="DS1" s="2">
        <f>IF(ISNUMBER(B$7),"DAL US "&amp;TEXT(B$3,"mm/dd/yy")&amp;" P"&amp;(B$7-2*B$6)&amp;" Equity","")</f>
        <v/>
      </c>
      <c r="EJ1" s="2">
        <f>IF(ISNUMBER(B$7),"DAL US "&amp;TEXT(B$3,"mm/dd/yy")&amp;" C"&amp;(B$7-1*B$6)&amp;" Equity","")</f>
        <v/>
      </c>
      <c r="FA1" s="2">
        <f>IF(ISNUMBER(B$7),"DAL US "&amp;TEXT(B$3,"mm/dd/yy")&amp;" P"&amp;(B$7-1*B$6)&amp;" Equity","")</f>
        <v/>
      </c>
      <c r="FR1" s="2">
        <f>IF(ISNUMBER(B$7),"DAL US "&amp;TEXT(B$3,"mm/dd/yy")&amp;" C"&amp;B$7&amp;" Equity","")</f>
        <v/>
      </c>
      <c r="GI1" s="2">
        <f>IF(ISNUMBER(B$7),"DAL US "&amp;TEXT(B$3,"mm/dd/yy")&amp;" P"&amp;B$7&amp;" Equity","")</f>
        <v/>
      </c>
      <c r="GZ1" s="2">
        <f>IF(ISNUMBER(B$7),"DAL US "&amp;TEXT(B$3,"mm/dd/yy")&amp;" C"&amp;(B$7+1*B$6)&amp;" Equity","")</f>
        <v/>
      </c>
      <c r="HQ1" s="2">
        <f>IF(ISNUMBER(B$7),"DAL US "&amp;TEXT(B$3,"mm/dd/yy")&amp;" P"&amp;(B$7+1*B$6)&amp;" Equity","")</f>
        <v/>
      </c>
      <c r="IH1" s="2">
        <f>IF(ISNUMBER(B$7),"DAL US "&amp;TEXT(B$3,"mm/dd/yy")&amp;" C"&amp;(B$7+2*B$6)&amp;" Equity","")</f>
        <v/>
      </c>
      <c r="IY1" s="2">
        <f>IF(ISNUMBER(B$7),"DAL US "&amp;TEXT(B$3,"mm/dd/yy")&amp;" P"&amp;(B$7+2*B$6)&amp;" Equity","")</f>
        <v/>
      </c>
      <c r="JP1" s="2">
        <f>IF(ISNUMBER(B$7),"DAL US "&amp;TEXT(B$3,"mm/dd/yy")&amp;" C"&amp;(B$7+3*B$6)&amp;" Equity","")</f>
        <v/>
      </c>
      <c r="KG1" s="2">
        <f>IF(ISNUMBER(B$7),"DAL US "&amp;TEXT(B$3,"mm/dd/yy")&amp;" P"&amp;(B$7+3*B$6)&amp;" Equity","")</f>
        <v/>
      </c>
      <c r="KX1" s="2">
        <f>IF(ISNUMBER(B$7),"DAL US "&amp;TEXT(B$3,"mm/dd/yy")&amp;" C"&amp;(B$7+4*B$6)&amp;" Equity","")</f>
        <v/>
      </c>
      <c r="LO1" s="2">
        <f>IF(ISNUMBER(B$7),"DAL US "&amp;TEXT(B$3,"mm/dd/yy")&amp;" P"&amp;(B$7+4*B$6)&amp;" Equity","")</f>
        <v/>
      </c>
      <c r="MF1" s="2">
        <f>IF(ISNUMBER(B$7),"DAL US "&amp;TEXT(B$3,"mm/dd/yy")&amp;" C"&amp;(B$7+5*B$6)&amp;" Equity","")</f>
        <v/>
      </c>
      <c r="MW1" s="2">
        <f>IF(ISNUMBER(B$7),"DAL US "&amp;TEXT(B$3,"mm/dd/yy")&amp;" P"&amp;(B$7+5*B$6)&amp;" Equity","")</f>
        <v/>
      </c>
    </row>
    <row r="2">
      <c r="A2" s="2" t="inlineStr">
        <is>
          <t>Underlying</t>
        </is>
      </c>
      <c r="B2" s="4">
        <f>IF(Settings!$B$19="Y","DAL US Equity","")</f>
        <v/>
      </c>
      <c r="D2" s="4" t="inlineStr">
        <is>
          <t>call -5 from ATM</t>
        </is>
      </c>
      <c r="U2" s="4" t="inlineStr">
        <is>
          <t>put -5 from ATM</t>
        </is>
      </c>
      <c r="AL2" s="4" t="inlineStr">
        <is>
          <t>call -4 from ATM</t>
        </is>
      </c>
      <c r="BC2" s="4" t="inlineStr">
        <is>
          <t>put -4 from ATM</t>
        </is>
      </c>
      <c r="BT2" s="4" t="inlineStr">
        <is>
          <t>call -3 from ATM</t>
        </is>
      </c>
      <c r="CK2" s="4" t="inlineStr">
        <is>
          <t>put -3 from ATM</t>
        </is>
      </c>
      <c r="DB2" s="4" t="inlineStr">
        <is>
          <t>call -2 from ATM</t>
        </is>
      </c>
      <c r="DS2" s="4" t="inlineStr">
        <is>
          <t>put -2 from ATM</t>
        </is>
      </c>
      <c r="EJ2" s="4" t="inlineStr">
        <is>
          <t>call -1 from ATM</t>
        </is>
      </c>
      <c r="FA2" s="4" t="inlineStr">
        <is>
          <t>put -1 from ATM</t>
        </is>
      </c>
      <c r="FR2" s="4" t="inlineStr">
        <is>
          <t>call +0 from ATM</t>
        </is>
      </c>
      <c r="GI2" s="4" t="inlineStr">
        <is>
          <t>put +0 from ATM</t>
        </is>
      </c>
      <c r="GZ2" s="4" t="inlineStr">
        <is>
          <t>call +1 from ATM</t>
        </is>
      </c>
      <c r="HQ2" s="4" t="inlineStr">
        <is>
          <t>put +1 from ATM</t>
        </is>
      </c>
      <c r="IH2" s="4" t="inlineStr">
        <is>
          <t>call +2 from ATM</t>
        </is>
      </c>
      <c r="IY2" s="4" t="inlineStr">
        <is>
          <t>put +2 from ATM</t>
        </is>
      </c>
      <c r="JP2" s="4" t="inlineStr">
        <is>
          <t>call +3 from ATM</t>
        </is>
      </c>
      <c r="KG2" s="4" t="inlineStr">
        <is>
          <t>put +3 from ATM</t>
        </is>
      </c>
      <c r="KX2" s="4" t="inlineStr">
        <is>
          <t>call +4 from ATM</t>
        </is>
      </c>
      <c r="LO2" s="4" t="inlineStr">
        <is>
          <t>put +4 from ATM</t>
        </is>
      </c>
      <c r="MF2" s="4" t="inlineStr">
        <is>
          <t>call +5 from ATM</t>
        </is>
      </c>
      <c r="MW2" s="4" t="inlineStr">
        <is>
          <t>put +5 from ATM</t>
        </is>
      </c>
    </row>
    <row r="3">
      <c r="A3" s="2" t="inlineStr">
        <is>
          <t>Expiry (3rd Friday)</t>
        </is>
      </c>
      <c r="B3" s="3">
        <f>DATE(Settings!$E$19,B1,15)+MOD(6-WEEKDAY(DATE(Settings!$E$19,B1,15)),7)</f>
        <v/>
      </c>
      <c r="D3" s="5" t="inlineStr">
        <is>
          <t>Date</t>
        </is>
      </c>
      <c r="E3" s="5" t="inlineStr">
        <is>
          <t>PX_BID</t>
        </is>
      </c>
      <c r="F3" s="5" t="inlineStr">
        <is>
          <t>PX_ASK</t>
        </is>
      </c>
      <c r="G3" s="5" t="inlineStr">
        <is>
          <t>PX_MID</t>
        </is>
      </c>
      <c r="H3" s="5" t="inlineStr">
        <is>
          <t>PX_LAST</t>
        </is>
      </c>
      <c r="I3" s="5" t="inlineStr">
        <is>
          <t>PX_SETTLE</t>
        </is>
      </c>
      <c r="J3" s="5" t="inlineStr">
        <is>
          <t>PX_VOLUME</t>
        </is>
      </c>
      <c r="K3" s="5" t="inlineStr">
        <is>
          <t>OPEN_INT</t>
        </is>
      </c>
      <c r="L3" s="5" t="inlineStr">
        <is>
          <t>IVOL_MID</t>
        </is>
      </c>
      <c r="M3" s="5" t="inlineStr">
        <is>
          <t>IVOL_BID</t>
        </is>
      </c>
      <c r="N3" s="5" t="inlineStr">
        <is>
          <t>IVOL_ASK</t>
        </is>
      </c>
      <c r="O3" s="5" t="inlineStr">
        <is>
          <t>DELTA_MID</t>
        </is>
      </c>
      <c r="P3" s="5" t="inlineStr">
        <is>
          <t>GAMMA_MID</t>
        </is>
      </c>
      <c r="Q3" s="5" t="inlineStr">
        <is>
          <t>VEGA_MID</t>
        </is>
      </c>
      <c r="R3" s="5" t="inlineStr">
        <is>
          <t>THETA_MID</t>
        </is>
      </c>
      <c r="S3" s="5" t="inlineStr">
        <is>
          <t>OPT_UNDL_PX</t>
        </is>
      </c>
      <c r="U3" s="5" t="inlineStr">
        <is>
          <t>Date</t>
        </is>
      </c>
      <c r="V3" s="5" t="inlineStr">
        <is>
          <t>PX_BID</t>
        </is>
      </c>
      <c r="W3" s="5" t="inlineStr">
        <is>
          <t>PX_ASK</t>
        </is>
      </c>
      <c r="X3" s="5" t="inlineStr">
        <is>
          <t>PX_MID</t>
        </is>
      </c>
      <c r="Y3" s="5" t="inlineStr">
        <is>
          <t>PX_LAST</t>
        </is>
      </c>
      <c r="Z3" s="5" t="inlineStr">
        <is>
          <t>PX_SETTLE</t>
        </is>
      </c>
      <c r="AA3" s="5" t="inlineStr">
        <is>
          <t>PX_VOLUME</t>
        </is>
      </c>
      <c r="AB3" s="5" t="inlineStr">
        <is>
          <t>OPEN_INT</t>
        </is>
      </c>
      <c r="AC3" s="5" t="inlineStr">
        <is>
          <t>IVOL_MID</t>
        </is>
      </c>
      <c r="AD3" s="5" t="inlineStr">
        <is>
          <t>IVOL_BID</t>
        </is>
      </c>
      <c r="AE3" s="5" t="inlineStr">
        <is>
          <t>IVOL_ASK</t>
        </is>
      </c>
      <c r="AF3" s="5" t="inlineStr">
        <is>
          <t>DELTA_MID</t>
        </is>
      </c>
      <c r="AG3" s="5" t="inlineStr">
        <is>
          <t>GAMMA_MID</t>
        </is>
      </c>
      <c r="AH3" s="5" t="inlineStr">
        <is>
          <t>VEGA_MID</t>
        </is>
      </c>
      <c r="AI3" s="5" t="inlineStr">
        <is>
          <t>THETA_MID</t>
        </is>
      </c>
      <c r="AJ3" s="5" t="inlineStr">
        <is>
          <t>OPT_UNDL_PX</t>
        </is>
      </c>
      <c r="AL3" s="5" t="inlineStr">
        <is>
          <t>Date</t>
        </is>
      </c>
      <c r="AM3" s="5" t="inlineStr">
        <is>
          <t>PX_BID</t>
        </is>
      </c>
      <c r="AN3" s="5" t="inlineStr">
        <is>
          <t>PX_ASK</t>
        </is>
      </c>
      <c r="AO3" s="5" t="inlineStr">
        <is>
          <t>PX_MID</t>
        </is>
      </c>
      <c r="AP3" s="5" t="inlineStr">
        <is>
          <t>PX_LAST</t>
        </is>
      </c>
      <c r="AQ3" s="5" t="inlineStr">
        <is>
          <t>PX_SETTLE</t>
        </is>
      </c>
      <c r="AR3" s="5" t="inlineStr">
        <is>
          <t>PX_VOLUME</t>
        </is>
      </c>
      <c r="AS3" s="5" t="inlineStr">
        <is>
          <t>OPEN_INT</t>
        </is>
      </c>
      <c r="AT3" s="5" t="inlineStr">
        <is>
          <t>IVOL_MID</t>
        </is>
      </c>
      <c r="AU3" s="5" t="inlineStr">
        <is>
          <t>IVOL_BID</t>
        </is>
      </c>
      <c r="AV3" s="5" t="inlineStr">
        <is>
          <t>IVOL_ASK</t>
        </is>
      </c>
      <c r="AW3" s="5" t="inlineStr">
        <is>
          <t>DELTA_MID</t>
        </is>
      </c>
      <c r="AX3" s="5" t="inlineStr">
        <is>
          <t>GAMMA_MID</t>
        </is>
      </c>
      <c r="AY3" s="5" t="inlineStr">
        <is>
          <t>VEGA_MID</t>
        </is>
      </c>
      <c r="AZ3" s="5" t="inlineStr">
        <is>
          <t>THETA_MID</t>
        </is>
      </c>
      <c r="BA3" s="5" t="inlineStr">
        <is>
          <t>OPT_UNDL_PX</t>
        </is>
      </c>
      <c r="BC3" s="5" t="inlineStr">
        <is>
          <t>Date</t>
        </is>
      </c>
      <c r="BD3" s="5" t="inlineStr">
        <is>
          <t>PX_BID</t>
        </is>
      </c>
      <c r="BE3" s="5" t="inlineStr">
        <is>
          <t>PX_ASK</t>
        </is>
      </c>
      <c r="BF3" s="5" t="inlineStr">
        <is>
          <t>PX_MID</t>
        </is>
      </c>
      <c r="BG3" s="5" t="inlineStr">
        <is>
          <t>PX_LAST</t>
        </is>
      </c>
      <c r="BH3" s="5" t="inlineStr">
        <is>
          <t>PX_SETTLE</t>
        </is>
      </c>
      <c r="BI3" s="5" t="inlineStr">
        <is>
          <t>PX_VOLUME</t>
        </is>
      </c>
      <c r="BJ3" s="5" t="inlineStr">
        <is>
          <t>OPEN_INT</t>
        </is>
      </c>
      <c r="BK3" s="5" t="inlineStr">
        <is>
          <t>IVOL_MID</t>
        </is>
      </c>
      <c r="BL3" s="5" t="inlineStr">
        <is>
          <t>IVOL_BID</t>
        </is>
      </c>
      <c r="BM3" s="5" t="inlineStr">
        <is>
          <t>IVOL_ASK</t>
        </is>
      </c>
      <c r="BN3" s="5" t="inlineStr">
        <is>
          <t>DELTA_MID</t>
        </is>
      </c>
      <c r="BO3" s="5" t="inlineStr">
        <is>
          <t>GAMMA_MID</t>
        </is>
      </c>
      <c r="BP3" s="5" t="inlineStr">
        <is>
          <t>VEGA_MID</t>
        </is>
      </c>
      <c r="BQ3" s="5" t="inlineStr">
        <is>
          <t>THETA_MID</t>
        </is>
      </c>
      <c r="BR3" s="5" t="inlineStr">
        <is>
          <t>OPT_UNDL_PX</t>
        </is>
      </c>
      <c r="BT3" s="5" t="inlineStr">
        <is>
          <t>Date</t>
        </is>
      </c>
      <c r="BU3" s="5" t="inlineStr">
        <is>
          <t>PX_BID</t>
        </is>
      </c>
      <c r="BV3" s="5" t="inlineStr">
        <is>
          <t>PX_ASK</t>
        </is>
      </c>
      <c r="BW3" s="5" t="inlineStr">
        <is>
          <t>PX_MID</t>
        </is>
      </c>
      <c r="BX3" s="5" t="inlineStr">
        <is>
          <t>PX_LAST</t>
        </is>
      </c>
      <c r="BY3" s="5" t="inlineStr">
        <is>
          <t>PX_SETTLE</t>
        </is>
      </c>
      <c r="BZ3" s="5" t="inlineStr">
        <is>
          <t>PX_VOLUME</t>
        </is>
      </c>
      <c r="CA3" s="5" t="inlineStr">
        <is>
          <t>OPEN_INT</t>
        </is>
      </c>
      <c r="CB3" s="5" t="inlineStr">
        <is>
          <t>IVOL_MID</t>
        </is>
      </c>
      <c r="CC3" s="5" t="inlineStr">
        <is>
          <t>IVOL_BID</t>
        </is>
      </c>
      <c r="CD3" s="5" t="inlineStr">
        <is>
          <t>IVOL_ASK</t>
        </is>
      </c>
      <c r="CE3" s="5" t="inlineStr">
        <is>
          <t>DELTA_MID</t>
        </is>
      </c>
      <c r="CF3" s="5" t="inlineStr">
        <is>
          <t>GAMMA_MID</t>
        </is>
      </c>
      <c r="CG3" s="5" t="inlineStr">
        <is>
          <t>VEGA_MID</t>
        </is>
      </c>
      <c r="CH3" s="5" t="inlineStr">
        <is>
          <t>THETA_MID</t>
        </is>
      </c>
      <c r="CI3" s="5" t="inlineStr">
        <is>
          <t>OPT_UNDL_PX</t>
        </is>
      </c>
      <c r="CK3" s="5" t="inlineStr">
        <is>
          <t>Date</t>
        </is>
      </c>
      <c r="CL3" s="5" t="inlineStr">
        <is>
          <t>PX_BID</t>
        </is>
      </c>
      <c r="CM3" s="5" t="inlineStr">
        <is>
          <t>PX_ASK</t>
        </is>
      </c>
      <c r="CN3" s="5" t="inlineStr">
        <is>
          <t>PX_MID</t>
        </is>
      </c>
      <c r="CO3" s="5" t="inlineStr">
        <is>
          <t>PX_LAST</t>
        </is>
      </c>
      <c r="CP3" s="5" t="inlineStr">
        <is>
          <t>PX_SETTLE</t>
        </is>
      </c>
      <c r="CQ3" s="5" t="inlineStr">
        <is>
          <t>PX_VOLUME</t>
        </is>
      </c>
      <c r="CR3" s="5" t="inlineStr">
        <is>
          <t>OPEN_INT</t>
        </is>
      </c>
      <c r="CS3" s="5" t="inlineStr">
        <is>
          <t>IVOL_MID</t>
        </is>
      </c>
      <c r="CT3" s="5" t="inlineStr">
        <is>
          <t>IVOL_BID</t>
        </is>
      </c>
      <c r="CU3" s="5" t="inlineStr">
        <is>
          <t>IVOL_ASK</t>
        </is>
      </c>
      <c r="CV3" s="5" t="inlineStr">
        <is>
          <t>DELTA_MID</t>
        </is>
      </c>
      <c r="CW3" s="5" t="inlineStr">
        <is>
          <t>GAMMA_MID</t>
        </is>
      </c>
      <c r="CX3" s="5" t="inlineStr">
        <is>
          <t>VEGA_MID</t>
        </is>
      </c>
      <c r="CY3" s="5" t="inlineStr">
        <is>
          <t>THETA_MID</t>
        </is>
      </c>
      <c r="CZ3" s="5" t="inlineStr">
        <is>
          <t>OPT_UNDL_PX</t>
        </is>
      </c>
      <c r="DB3" s="5" t="inlineStr">
        <is>
          <t>Date</t>
        </is>
      </c>
      <c r="DC3" s="5" t="inlineStr">
        <is>
          <t>PX_BID</t>
        </is>
      </c>
      <c r="DD3" s="5" t="inlineStr">
        <is>
          <t>PX_ASK</t>
        </is>
      </c>
      <c r="DE3" s="5" t="inlineStr">
        <is>
          <t>PX_MID</t>
        </is>
      </c>
      <c r="DF3" s="5" t="inlineStr">
        <is>
          <t>PX_LAST</t>
        </is>
      </c>
      <c r="DG3" s="5" t="inlineStr">
        <is>
          <t>PX_SETTLE</t>
        </is>
      </c>
      <c r="DH3" s="5" t="inlineStr">
        <is>
          <t>PX_VOLUME</t>
        </is>
      </c>
      <c r="DI3" s="5" t="inlineStr">
        <is>
          <t>OPEN_INT</t>
        </is>
      </c>
      <c r="DJ3" s="5" t="inlineStr">
        <is>
          <t>IVOL_MID</t>
        </is>
      </c>
      <c r="DK3" s="5" t="inlineStr">
        <is>
          <t>IVOL_BID</t>
        </is>
      </c>
      <c r="DL3" s="5" t="inlineStr">
        <is>
          <t>IVOL_ASK</t>
        </is>
      </c>
      <c r="DM3" s="5" t="inlineStr">
        <is>
          <t>DELTA_MID</t>
        </is>
      </c>
      <c r="DN3" s="5" t="inlineStr">
        <is>
          <t>GAMMA_MID</t>
        </is>
      </c>
      <c r="DO3" s="5" t="inlineStr">
        <is>
          <t>VEGA_MID</t>
        </is>
      </c>
      <c r="DP3" s="5" t="inlineStr">
        <is>
          <t>THETA_MID</t>
        </is>
      </c>
      <c r="DQ3" s="5" t="inlineStr">
        <is>
          <t>OPT_UNDL_PX</t>
        </is>
      </c>
      <c r="DS3" s="5" t="inlineStr">
        <is>
          <t>Date</t>
        </is>
      </c>
      <c r="DT3" s="5" t="inlineStr">
        <is>
          <t>PX_BID</t>
        </is>
      </c>
      <c r="DU3" s="5" t="inlineStr">
        <is>
          <t>PX_ASK</t>
        </is>
      </c>
      <c r="DV3" s="5" t="inlineStr">
        <is>
          <t>PX_MID</t>
        </is>
      </c>
      <c r="DW3" s="5" t="inlineStr">
        <is>
          <t>PX_LAST</t>
        </is>
      </c>
      <c r="DX3" s="5" t="inlineStr">
        <is>
          <t>PX_SETTLE</t>
        </is>
      </c>
      <c r="DY3" s="5" t="inlineStr">
        <is>
          <t>PX_VOLUME</t>
        </is>
      </c>
      <c r="DZ3" s="5" t="inlineStr">
        <is>
          <t>OPEN_INT</t>
        </is>
      </c>
      <c r="EA3" s="5" t="inlineStr">
        <is>
          <t>IVOL_MID</t>
        </is>
      </c>
      <c r="EB3" s="5" t="inlineStr">
        <is>
          <t>IVOL_BID</t>
        </is>
      </c>
      <c r="EC3" s="5" t="inlineStr">
        <is>
          <t>IVOL_ASK</t>
        </is>
      </c>
      <c r="ED3" s="5" t="inlineStr">
        <is>
          <t>DELTA_MID</t>
        </is>
      </c>
      <c r="EE3" s="5" t="inlineStr">
        <is>
          <t>GAMMA_MID</t>
        </is>
      </c>
      <c r="EF3" s="5" t="inlineStr">
        <is>
          <t>VEGA_MID</t>
        </is>
      </c>
      <c r="EG3" s="5" t="inlineStr">
        <is>
          <t>THETA_MID</t>
        </is>
      </c>
      <c r="EH3" s="5" t="inlineStr">
        <is>
          <t>OPT_UNDL_PX</t>
        </is>
      </c>
      <c r="EJ3" s="5" t="inlineStr">
        <is>
          <t>Date</t>
        </is>
      </c>
      <c r="EK3" s="5" t="inlineStr">
        <is>
          <t>PX_BID</t>
        </is>
      </c>
      <c r="EL3" s="5" t="inlineStr">
        <is>
          <t>PX_ASK</t>
        </is>
      </c>
      <c r="EM3" s="5" t="inlineStr">
        <is>
          <t>PX_MID</t>
        </is>
      </c>
      <c r="EN3" s="5" t="inlineStr">
        <is>
          <t>PX_LAST</t>
        </is>
      </c>
      <c r="EO3" s="5" t="inlineStr">
        <is>
          <t>PX_SETTLE</t>
        </is>
      </c>
      <c r="EP3" s="5" t="inlineStr">
        <is>
          <t>PX_VOLUME</t>
        </is>
      </c>
      <c r="EQ3" s="5" t="inlineStr">
        <is>
          <t>OPEN_INT</t>
        </is>
      </c>
      <c r="ER3" s="5" t="inlineStr">
        <is>
          <t>IVOL_MID</t>
        </is>
      </c>
      <c r="ES3" s="5" t="inlineStr">
        <is>
          <t>IVOL_BID</t>
        </is>
      </c>
      <c r="ET3" s="5" t="inlineStr">
        <is>
          <t>IVOL_ASK</t>
        </is>
      </c>
      <c r="EU3" s="5" t="inlineStr">
        <is>
          <t>DELTA_MID</t>
        </is>
      </c>
      <c r="EV3" s="5" t="inlineStr">
        <is>
          <t>GAMMA_MID</t>
        </is>
      </c>
      <c r="EW3" s="5" t="inlineStr">
        <is>
          <t>VEGA_MID</t>
        </is>
      </c>
      <c r="EX3" s="5" t="inlineStr">
        <is>
          <t>THETA_MID</t>
        </is>
      </c>
      <c r="EY3" s="5" t="inlineStr">
        <is>
          <t>OPT_UNDL_PX</t>
        </is>
      </c>
      <c r="FA3" s="5" t="inlineStr">
        <is>
          <t>Date</t>
        </is>
      </c>
      <c r="FB3" s="5" t="inlineStr">
        <is>
          <t>PX_BID</t>
        </is>
      </c>
      <c r="FC3" s="5" t="inlineStr">
        <is>
          <t>PX_ASK</t>
        </is>
      </c>
      <c r="FD3" s="5" t="inlineStr">
        <is>
          <t>PX_MID</t>
        </is>
      </c>
      <c r="FE3" s="5" t="inlineStr">
        <is>
          <t>PX_LAST</t>
        </is>
      </c>
      <c r="FF3" s="5" t="inlineStr">
        <is>
          <t>PX_SETTLE</t>
        </is>
      </c>
      <c r="FG3" s="5" t="inlineStr">
        <is>
          <t>PX_VOLUME</t>
        </is>
      </c>
      <c r="FH3" s="5" t="inlineStr">
        <is>
          <t>OPEN_INT</t>
        </is>
      </c>
      <c r="FI3" s="5" t="inlineStr">
        <is>
          <t>IVOL_MID</t>
        </is>
      </c>
      <c r="FJ3" s="5" t="inlineStr">
        <is>
          <t>IVOL_BID</t>
        </is>
      </c>
      <c r="FK3" s="5" t="inlineStr">
        <is>
          <t>IVOL_ASK</t>
        </is>
      </c>
      <c r="FL3" s="5" t="inlineStr">
        <is>
          <t>DELTA_MID</t>
        </is>
      </c>
      <c r="FM3" s="5" t="inlineStr">
        <is>
          <t>GAMMA_MID</t>
        </is>
      </c>
      <c r="FN3" s="5" t="inlineStr">
        <is>
          <t>VEGA_MID</t>
        </is>
      </c>
      <c r="FO3" s="5" t="inlineStr">
        <is>
          <t>THETA_MID</t>
        </is>
      </c>
      <c r="FP3" s="5" t="inlineStr">
        <is>
          <t>OPT_UNDL_PX</t>
        </is>
      </c>
      <c r="FR3" s="5" t="inlineStr">
        <is>
          <t>Date</t>
        </is>
      </c>
      <c r="FS3" s="5" t="inlineStr">
        <is>
          <t>PX_BID</t>
        </is>
      </c>
      <c r="FT3" s="5" t="inlineStr">
        <is>
          <t>PX_ASK</t>
        </is>
      </c>
      <c r="FU3" s="5" t="inlineStr">
        <is>
          <t>PX_MID</t>
        </is>
      </c>
      <c r="FV3" s="5" t="inlineStr">
        <is>
          <t>PX_LAST</t>
        </is>
      </c>
      <c r="FW3" s="5" t="inlineStr">
        <is>
          <t>PX_SETTLE</t>
        </is>
      </c>
      <c r="FX3" s="5" t="inlineStr">
        <is>
          <t>PX_VOLUME</t>
        </is>
      </c>
      <c r="FY3" s="5" t="inlineStr">
        <is>
          <t>OPEN_INT</t>
        </is>
      </c>
      <c r="FZ3" s="5" t="inlineStr">
        <is>
          <t>IVOL_MID</t>
        </is>
      </c>
      <c r="GA3" s="5" t="inlineStr">
        <is>
          <t>IVOL_BID</t>
        </is>
      </c>
      <c r="GB3" s="5" t="inlineStr">
        <is>
          <t>IVOL_ASK</t>
        </is>
      </c>
      <c r="GC3" s="5" t="inlineStr">
        <is>
          <t>DELTA_MID</t>
        </is>
      </c>
      <c r="GD3" s="5" t="inlineStr">
        <is>
          <t>GAMMA_MID</t>
        </is>
      </c>
      <c r="GE3" s="5" t="inlineStr">
        <is>
          <t>VEGA_MID</t>
        </is>
      </c>
      <c r="GF3" s="5" t="inlineStr">
        <is>
          <t>THETA_MID</t>
        </is>
      </c>
      <c r="GG3" s="5" t="inlineStr">
        <is>
          <t>OPT_UNDL_PX</t>
        </is>
      </c>
      <c r="GI3" s="5" t="inlineStr">
        <is>
          <t>Date</t>
        </is>
      </c>
      <c r="GJ3" s="5" t="inlineStr">
        <is>
          <t>PX_BID</t>
        </is>
      </c>
      <c r="GK3" s="5" t="inlineStr">
        <is>
          <t>PX_ASK</t>
        </is>
      </c>
      <c r="GL3" s="5" t="inlineStr">
        <is>
          <t>PX_MID</t>
        </is>
      </c>
      <c r="GM3" s="5" t="inlineStr">
        <is>
          <t>PX_LAST</t>
        </is>
      </c>
      <c r="GN3" s="5" t="inlineStr">
        <is>
          <t>PX_SETTLE</t>
        </is>
      </c>
      <c r="GO3" s="5" t="inlineStr">
        <is>
          <t>PX_VOLUME</t>
        </is>
      </c>
      <c r="GP3" s="5" t="inlineStr">
        <is>
          <t>OPEN_INT</t>
        </is>
      </c>
      <c r="GQ3" s="5" t="inlineStr">
        <is>
          <t>IVOL_MID</t>
        </is>
      </c>
      <c r="GR3" s="5" t="inlineStr">
        <is>
          <t>IVOL_BID</t>
        </is>
      </c>
      <c r="GS3" s="5" t="inlineStr">
        <is>
          <t>IVOL_ASK</t>
        </is>
      </c>
      <c r="GT3" s="5" t="inlineStr">
        <is>
          <t>DELTA_MID</t>
        </is>
      </c>
      <c r="GU3" s="5" t="inlineStr">
        <is>
          <t>GAMMA_MID</t>
        </is>
      </c>
      <c r="GV3" s="5" t="inlineStr">
        <is>
          <t>VEGA_MID</t>
        </is>
      </c>
      <c r="GW3" s="5" t="inlineStr">
        <is>
          <t>THETA_MID</t>
        </is>
      </c>
      <c r="GX3" s="5" t="inlineStr">
        <is>
          <t>OPT_UNDL_PX</t>
        </is>
      </c>
      <c r="GZ3" s="5" t="inlineStr">
        <is>
          <t>Date</t>
        </is>
      </c>
      <c r="HA3" s="5" t="inlineStr">
        <is>
          <t>PX_BID</t>
        </is>
      </c>
      <c r="HB3" s="5" t="inlineStr">
        <is>
          <t>PX_ASK</t>
        </is>
      </c>
      <c r="HC3" s="5" t="inlineStr">
        <is>
          <t>PX_MID</t>
        </is>
      </c>
      <c r="HD3" s="5" t="inlineStr">
        <is>
          <t>PX_LAST</t>
        </is>
      </c>
      <c r="HE3" s="5" t="inlineStr">
        <is>
          <t>PX_SETTLE</t>
        </is>
      </c>
      <c r="HF3" s="5" t="inlineStr">
        <is>
          <t>PX_VOLUME</t>
        </is>
      </c>
      <c r="HG3" s="5" t="inlineStr">
        <is>
          <t>OPEN_INT</t>
        </is>
      </c>
      <c r="HH3" s="5" t="inlineStr">
        <is>
          <t>IVOL_MID</t>
        </is>
      </c>
      <c r="HI3" s="5" t="inlineStr">
        <is>
          <t>IVOL_BID</t>
        </is>
      </c>
      <c r="HJ3" s="5" t="inlineStr">
        <is>
          <t>IVOL_ASK</t>
        </is>
      </c>
      <c r="HK3" s="5" t="inlineStr">
        <is>
          <t>DELTA_MID</t>
        </is>
      </c>
      <c r="HL3" s="5" t="inlineStr">
        <is>
          <t>GAMMA_MID</t>
        </is>
      </c>
      <c r="HM3" s="5" t="inlineStr">
        <is>
          <t>VEGA_MID</t>
        </is>
      </c>
      <c r="HN3" s="5" t="inlineStr">
        <is>
          <t>THETA_MID</t>
        </is>
      </c>
      <c r="HO3" s="5" t="inlineStr">
        <is>
          <t>OPT_UNDL_PX</t>
        </is>
      </c>
      <c r="HQ3" s="5" t="inlineStr">
        <is>
          <t>Date</t>
        </is>
      </c>
      <c r="HR3" s="5" t="inlineStr">
        <is>
          <t>PX_BID</t>
        </is>
      </c>
      <c r="HS3" s="5" t="inlineStr">
        <is>
          <t>PX_ASK</t>
        </is>
      </c>
      <c r="HT3" s="5" t="inlineStr">
        <is>
          <t>PX_MID</t>
        </is>
      </c>
      <c r="HU3" s="5" t="inlineStr">
        <is>
          <t>PX_LAST</t>
        </is>
      </c>
      <c r="HV3" s="5" t="inlineStr">
        <is>
          <t>PX_SETTLE</t>
        </is>
      </c>
      <c r="HW3" s="5" t="inlineStr">
        <is>
          <t>PX_VOLUME</t>
        </is>
      </c>
      <c r="HX3" s="5" t="inlineStr">
        <is>
          <t>OPEN_INT</t>
        </is>
      </c>
      <c r="HY3" s="5" t="inlineStr">
        <is>
          <t>IVOL_MID</t>
        </is>
      </c>
      <c r="HZ3" s="5" t="inlineStr">
        <is>
          <t>IVOL_BID</t>
        </is>
      </c>
      <c r="IA3" s="5" t="inlineStr">
        <is>
          <t>IVOL_ASK</t>
        </is>
      </c>
      <c r="IB3" s="5" t="inlineStr">
        <is>
          <t>DELTA_MID</t>
        </is>
      </c>
      <c r="IC3" s="5" t="inlineStr">
        <is>
          <t>GAMMA_MID</t>
        </is>
      </c>
      <c r="ID3" s="5" t="inlineStr">
        <is>
          <t>VEGA_MID</t>
        </is>
      </c>
      <c r="IE3" s="5" t="inlineStr">
        <is>
          <t>THETA_MID</t>
        </is>
      </c>
      <c r="IF3" s="5" t="inlineStr">
        <is>
          <t>OPT_UNDL_PX</t>
        </is>
      </c>
      <c r="IH3" s="5" t="inlineStr">
        <is>
          <t>Date</t>
        </is>
      </c>
      <c r="II3" s="5" t="inlineStr">
        <is>
          <t>PX_BID</t>
        </is>
      </c>
      <c r="IJ3" s="5" t="inlineStr">
        <is>
          <t>PX_ASK</t>
        </is>
      </c>
      <c r="IK3" s="5" t="inlineStr">
        <is>
          <t>PX_MID</t>
        </is>
      </c>
      <c r="IL3" s="5" t="inlineStr">
        <is>
          <t>PX_LAST</t>
        </is>
      </c>
      <c r="IM3" s="5" t="inlineStr">
        <is>
          <t>PX_SETTLE</t>
        </is>
      </c>
      <c r="IN3" s="5" t="inlineStr">
        <is>
          <t>PX_VOLUME</t>
        </is>
      </c>
      <c r="IO3" s="5" t="inlineStr">
        <is>
          <t>OPEN_INT</t>
        </is>
      </c>
      <c r="IP3" s="5" t="inlineStr">
        <is>
          <t>IVOL_MID</t>
        </is>
      </c>
      <c r="IQ3" s="5" t="inlineStr">
        <is>
          <t>IVOL_BID</t>
        </is>
      </c>
      <c r="IR3" s="5" t="inlineStr">
        <is>
          <t>IVOL_ASK</t>
        </is>
      </c>
      <c r="IS3" s="5" t="inlineStr">
        <is>
          <t>DELTA_MID</t>
        </is>
      </c>
      <c r="IT3" s="5" t="inlineStr">
        <is>
          <t>GAMMA_MID</t>
        </is>
      </c>
      <c r="IU3" s="5" t="inlineStr">
        <is>
          <t>VEGA_MID</t>
        </is>
      </c>
      <c r="IV3" s="5" t="inlineStr">
        <is>
          <t>THETA_MID</t>
        </is>
      </c>
      <c r="IW3" s="5" t="inlineStr">
        <is>
          <t>OPT_UNDL_PX</t>
        </is>
      </c>
      <c r="IY3" s="5" t="inlineStr">
        <is>
          <t>Date</t>
        </is>
      </c>
      <c r="IZ3" s="5" t="inlineStr">
        <is>
          <t>PX_BID</t>
        </is>
      </c>
      <c r="JA3" s="5" t="inlineStr">
        <is>
          <t>PX_ASK</t>
        </is>
      </c>
      <c r="JB3" s="5" t="inlineStr">
        <is>
          <t>PX_MID</t>
        </is>
      </c>
      <c r="JC3" s="5" t="inlineStr">
        <is>
          <t>PX_LAST</t>
        </is>
      </c>
      <c r="JD3" s="5" t="inlineStr">
        <is>
          <t>PX_SETTLE</t>
        </is>
      </c>
      <c r="JE3" s="5" t="inlineStr">
        <is>
          <t>PX_VOLUME</t>
        </is>
      </c>
      <c r="JF3" s="5" t="inlineStr">
        <is>
          <t>OPEN_INT</t>
        </is>
      </c>
      <c r="JG3" s="5" t="inlineStr">
        <is>
          <t>IVOL_MID</t>
        </is>
      </c>
      <c r="JH3" s="5" t="inlineStr">
        <is>
          <t>IVOL_BID</t>
        </is>
      </c>
      <c r="JI3" s="5" t="inlineStr">
        <is>
          <t>IVOL_ASK</t>
        </is>
      </c>
      <c r="JJ3" s="5" t="inlineStr">
        <is>
          <t>DELTA_MID</t>
        </is>
      </c>
      <c r="JK3" s="5" t="inlineStr">
        <is>
          <t>GAMMA_MID</t>
        </is>
      </c>
      <c r="JL3" s="5" t="inlineStr">
        <is>
          <t>VEGA_MID</t>
        </is>
      </c>
      <c r="JM3" s="5" t="inlineStr">
        <is>
          <t>THETA_MID</t>
        </is>
      </c>
      <c r="JN3" s="5" t="inlineStr">
        <is>
          <t>OPT_UNDL_PX</t>
        </is>
      </c>
      <c r="JP3" s="5" t="inlineStr">
        <is>
          <t>Date</t>
        </is>
      </c>
      <c r="JQ3" s="5" t="inlineStr">
        <is>
          <t>PX_BID</t>
        </is>
      </c>
      <c r="JR3" s="5" t="inlineStr">
        <is>
          <t>PX_ASK</t>
        </is>
      </c>
      <c r="JS3" s="5" t="inlineStr">
        <is>
          <t>PX_MID</t>
        </is>
      </c>
      <c r="JT3" s="5" t="inlineStr">
        <is>
          <t>PX_LAST</t>
        </is>
      </c>
      <c r="JU3" s="5" t="inlineStr">
        <is>
          <t>PX_SETTLE</t>
        </is>
      </c>
      <c r="JV3" s="5" t="inlineStr">
        <is>
          <t>PX_VOLUME</t>
        </is>
      </c>
      <c r="JW3" s="5" t="inlineStr">
        <is>
          <t>OPEN_INT</t>
        </is>
      </c>
      <c r="JX3" s="5" t="inlineStr">
        <is>
          <t>IVOL_MID</t>
        </is>
      </c>
      <c r="JY3" s="5" t="inlineStr">
        <is>
          <t>IVOL_BID</t>
        </is>
      </c>
      <c r="JZ3" s="5" t="inlineStr">
        <is>
          <t>IVOL_ASK</t>
        </is>
      </c>
      <c r="KA3" s="5" t="inlineStr">
        <is>
          <t>DELTA_MID</t>
        </is>
      </c>
      <c r="KB3" s="5" t="inlineStr">
        <is>
          <t>GAMMA_MID</t>
        </is>
      </c>
      <c r="KC3" s="5" t="inlineStr">
        <is>
          <t>VEGA_MID</t>
        </is>
      </c>
      <c r="KD3" s="5" t="inlineStr">
        <is>
          <t>THETA_MID</t>
        </is>
      </c>
      <c r="KE3" s="5" t="inlineStr">
        <is>
          <t>OPT_UNDL_PX</t>
        </is>
      </c>
      <c r="KG3" s="5" t="inlineStr">
        <is>
          <t>Date</t>
        </is>
      </c>
      <c r="KH3" s="5" t="inlineStr">
        <is>
          <t>PX_BID</t>
        </is>
      </c>
      <c r="KI3" s="5" t="inlineStr">
        <is>
          <t>PX_ASK</t>
        </is>
      </c>
      <c r="KJ3" s="5" t="inlineStr">
        <is>
          <t>PX_MID</t>
        </is>
      </c>
      <c r="KK3" s="5" t="inlineStr">
        <is>
          <t>PX_LAST</t>
        </is>
      </c>
      <c r="KL3" s="5" t="inlineStr">
        <is>
          <t>PX_SETTLE</t>
        </is>
      </c>
      <c r="KM3" s="5" t="inlineStr">
        <is>
          <t>PX_VOLUME</t>
        </is>
      </c>
      <c r="KN3" s="5" t="inlineStr">
        <is>
          <t>OPEN_INT</t>
        </is>
      </c>
      <c r="KO3" s="5" t="inlineStr">
        <is>
          <t>IVOL_MID</t>
        </is>
      </c>
      <c r="KP3" s="5" t="inlineStr">
        <is>
          <t>IVOL_BID</t>
        </is>
      </c>
      <c r="KQ3" s="5" t="inlineStr">
        <is>
          <t>IVOL_ASK</t>
        </is>
      </c>
      <c r="KR3" s="5" t="inlineStr">
        <is>
          <t>DELTA_MID</t>
        </is>
      </c>
      <c r="KS3" s="5" t="inlineStr">
        <is>
          <t>GAMMA_MID</t>
        </is>
      </c>
      <c r="KT3" s="5" t="inlineStr">
        <is>
          <t>VEGA_MID</t>
        </is>
      </c>
      <c r="KU3" s="5" t="inlineStr">
        <is>
          <t>THETA_MID</t>
        </is>
      </c>
      <c r="KV3" s="5" t="inlineStr">
        <is>
          <t>OPT_UNDL_PX</t>
        </is>
      </c>
      <c r="KX3" s="5" t="inlineStr">
        <is>
          <t>Date</t>
        </is>
      </c>
      <c r="KY3" s="5" t="inlineStr">
        <is>
          <t>PX_BID</t>
        </is>
      </c>
      <c r="KZ3" s="5" t="inlineStr">
        <is>
          <t>PX_ASK</t>
        </is>
      </c>
      <c r="LA3" s="5" t="inlineStr">
        <is>
          <t>PX_MID</t>
        </is>
      </c>
      <c r="LB3" s="5" t="inlineStr">
        <is>
          <t>PX_LAST</t>
        </is>
      </c>
      <c r="LC3" s="5" t="inlineStr">
        <is>
          <t>PX_SETTLE</t>
        </is>
      </c>
      <c r="LD3" s="5" t="inlineStr">
        <is>
          <t>PX_VOLUME</t>
        </is>
      </c>
      <c r="LE3" s="5" t="inlineStr">
        <is>
          <t>OPEN_INT</t>
        </is>
      </c>
      <c r="LF3" s="5" t="inlineStr">
        <is>
          <t>IVOL_MID</t>
        </is>
      </c>
      <c r="LG3" s="5" t="inlineStr">
        <is>
          <t>IVOL_BID</t>
        </is>
      </c>
      <c r="LH3" s="5" t="inlineStr">
        <is>
          <t>IVOL_ASK</t>
        </is>
      </c>
      <c r="LI3" s="5" t="inlineStr">
        <is>
          <t>DELTA_MID</t>
        </is>
      </c>
      <c r="LJ3" s="5" t="inlineStr">
        <is>
          <t>GAMMA_MID</t>
        </is>
      </c>
      <c r="LK3" s="5" t="inlineStr">
        <is>
          <t>VEGA_MID</t>
        </is>
      </c>
      <c r="LL3" s="5" t="inlineStr">
        <is>
          <t>THETA_MID</t>
        </is>
      </c>
      <c r="LM3" s="5" t="inlineStr">
        <is>
          <t>OPT_UNDL_PX</t>
        </is>
      </c>
      <c r="LO3" s="5" t="inlineStr">
        <is>
          <t>Date</t>
        </is>
      </c>
      <c r="LP3" s="5" t="inlineStr">
        <is>
          <t>PX_BID</t>
        </is>
      </c>
      <c r="LQ3" s="5" t="inlineStr">
        <is>
          <t>PX_ASK</t>
        </is>
      </c>
      <c r="LR3" s="5" t="inlineStr">
        <is>
          <t>PX_MID</t>
        </is>
      </c>
      <c r="LS3" s="5" t="inlineStr">
        <is>
          <t>PX_LAST</t>
        </is>
      </c>
      <c r="LT3" s="5" t="inlineStr">
        <is>
          <t>PX_SETTLE</t>
        </is>
      </c>
      <c r="LU3" s="5" t="inlineStr">
        <is>
          <t>PX_VOLUME</t>
        </is>
      </c>
      <c r="LV3" s="5" t="inlineStr">
        <is>
          <t>OPEN_INT</t>
        </is>
      </c>
      <c r="LW3" s="5" t="inlineStr">
        <is>
          <t>IVOL_MID</t>
        </is>
      </c>
      <c r="LX3" s="5" t="inlineStr">
        <is>
          <t>IVOL_BID</t>
        </is>
      </c>
      <c r="LY3" s="5" t="inlineStr">
        <is>
          <t>IVOL_ASK</t>
        </is>
      </c>
      <c r="LZ3" s="5" t="inlineStr">
        <is>
          <t>DELTA_MID</t>
        </is>
      </c>
      <c r="MA3" s="5" t="inlineStr">
        <is>
          <t>GAMMA_MID</t>
        </is>
      </c>
      <c r="MB3" s="5" t="inlineStr">
        <is>
          <t>VEGA_MID</t>
        </is>
      </c>
      <c r="MC3" s="5" t="inlineStr">
        <is>
          <t>THETA_MID</t>
        </is>
      </c>
      <c r="MD3" s="5" t="inlineStr">
        <is>
          <t>OPT_UNDL_PX</t>
        </is>
      </c>
      <c r="MF3" s="5" t="inlineStr">
        <is>
          <t>Date</t>
        </is>
      </c>
      <c r="MG3" s="5" t="inlineStr">
        <is>
          <t>PX_BID</t>
        </is>
      </c>
      <c r="MH3" s="5" t="inlineStr">
        <is>
          <t>PX_ASK</t>
        </is>
      </c>
      <c r="MI3" s="5" t="inlineStr">
        <is>
          <t>PX_MID</t>
        </is>
      </c>
      <c r="MJ3" s="5" t="inlineStr">
        <is>
          <t>PX_LAST</t>
        </is>
      </c>
      <c r="MK3" s="5" t="inlineStr">
        <is>
          <t>PX_SETTLE</t>
        </is>
      </c>
      <c r="ML3" s="5" t="inlineStr">
        <is>
          <t>PX_VOLUME</t>
        </is>
      </c>
      <c r="MM3" s="5" t="inlineStr">
        <is>
          <t>OPEN_INT</t>
        </is>
      </c>
      <c r="MN3" s="5" t="inlineStr">
        <is>
          <t>IVOL_MID</t>
        </is>
      </c>
      <c r="MO3" s="5" t="inlineStr">
        <is>
          <t>IVOL_BID</t>
        </is>
      </c>
      <c r="MP3" s="5" t="inlineStr">
        <is>
          <t>IVOL_ASK</t>
        </is>
      </c>
      <c r="MQ3" s="5" t="inlineStr">
        <is>
          <t>DELTA_MID</t>
        </is>
      </c>
      <c r="MR3" s="5" t="inlineStr">
        <is>
          <t>GAMMA_MID</t>
        </is>
      </c>
      <c r="MS3" s="5" t="inlineStr">
        <is>
          <t>VEGA_MID</t>
        </is>
      </c>
      <c r="MT3" s="5" t="inlineStr">
        <is>
          <t>THETA_MID</t>
        </is>
      </c>
      <c r="MU3" s="5" t="inlineStr">
        <is>
          <t>OPT_UNDL_PX</t>
        </is>
      </c>
      <c r="MW3" s="5" t="inlineStr">
        <is>
          <t>Date</t>
        </is>
      </c>
      <c r="MX3" s="5" t="inlineStr">
        <is>
          <t>PX_BID</t>
        </is>
      </c>
      <c r="MY3" s="5" t="inlineStr">
        <is>
          <t>PX_ASK</t>
        </is>
      </c>
      <c r="MZ3" s="5" t="inlineStr">
        <is>
          <t>PX_MID</t>
        </is>
      </c>
      <c r="NA3" s="5" t="inlineStr">
        <is>
          <t>PX_LAST</t>
        </is>
      </c>
      <c r="NB3" s="5" t="inlineStr">
        <is>
          <t>PX_SETTLE</t>
        </is>
      </c>
      <c r="NC3" s="5" t="inlineStr">
        <is>
          <t>PX_VOLUME</t>
        </is>
      </c>
      <c r="ND3" s="5" t="inlineStr">
        <is>
          <t>OPEN_INT</t>
        </is>
      </c>
      <c r="NE3" s="5" t="inlineStr">
        <is>
          <t>IVOL_MID</t>
        </is>
      </c>
      <c r="NF3" s="5" t="inlineStr">
        <is>
          <t>IVOL_BID</t>
        </is>
      </c>
      <c r="NG3" s="5" t="inlineStr">
        <is>
          <t>IVOL_ASK</t>
        </is>
      </c>
      <c r="NH3" s="5" t="inlineStr">
        <is>
          <t>DELTA_MID</t>
        </is>
      </c>
      <c r="NI3" s="5" t="inlineStr">
        <is>
          <t>GAMMA_MID</t>
        </is>
      </c>
      <c r="NJ3" s="5" t="inlineStr">
        <is>
          <t>VEGA_MID</t>
        </is>
      </c>
      <c r="NK3" s="5" t="inlineStr">
        <is>
          <t>THETA_MID</t>
        </is>
      </c>
      <c r="NL3" s="5" t="inlineStr">
        <is>
          <t>OPT_UNDL_PX</t>
        </is>
      </c>
    </row>
    <row r="4">
      <c r="A4" s="2" t="inlineStr">
        <is>
          <t>Strike reference date</t>
        </is>
      </c>
      <c r="B4" s="8">
        <f>B3-45</f>
        <v/>
      </c>
      <c r="D4" s="4">
        <f>BDH(D$1,E$3:S$3,$B$8,$B$9,"Dir=V","Dts=S","Sort=A","Days=T","Fill=B")</f>
        <v/>
      </c>
      <c r="U4" s="4">
        <f>BDH(U$1,V$3:AJ$3,$B$8,$B$9,"Dir=V","Dts=S","Sort=A","Days=T","Fill=B")</f>
        <v/>
      </c>
      <c r="AL4" s="4">
        <f>BDH(AL$1,AM$3:BA$3,$B$8,$B$9,"Dir=V","Dts=S","Sort=A","Days=T","Fill=B")</f>
        <v/>
      </c>
      <c r="BC4" s="4">
        <f>BDH(BC$1,BD$3:BR$3,$B$8,$B$9,"Dir=V","Dts=S","Sort=A","Days=T","Fill=B")</f>
        <v/>
      </c>
      <c r="BT4" s="4">
        <f>BDH(BT$1,BU$3:CI$3,$B$8,$B$9,"Dir=V","Dts=S","Sort=A","Days=T","Fill=B")</f>
        <v/>
      </c>
      <c r="CK4" s="4">
        <f>BDH(CK$1,CL$3:CZ$3,$B$8,$B$9,"Dir=V","Dts=S","Sort=A","Days=T","Fill=B")</f>
        <v/>
      </c>
      <c r="DB4" s="4">
        <f>BDH(DB$1,DC$3:DQ$3,$B$8,$B$9,"Dir=V","Dts=S","Sort=A","Days=T","Fill=B")</f>
        <v/>
      </c>
      <c r="DS4" s="4">
        <f>BDH(DS$1,DT$3:EH$3,$B$8,$B$9,"Dir=V","Dts=S","Sort=A","Days=T","Fill=B")</f>
        <v/>
      </c>
      <c r="EJ4" s="4">
        <f>BDH(EJ$1,EK$3:EY$3,$B$8,$B$9,"Dir=V","Dts=S","Sort=A","Days=T","Fill=B")</f>
        <v/>
      </c>
      <c r="FA4" s="4">
        <f>BDH(FA$1,FB$3:FP$3,$B$8,$B$9,"Dir=V","Dts=S","Sort=A","Days=T","Fill=B")</f>
        <v/>
      </c>
      <c r="FR4" s="4">
        <f>BDH(FR$1,FS$3:GG$3,$B$8,$B$9,"Dir=V","Dts=S","Sort=A","Days=T","Fill=B")</f>
        <v/>
      </c>
      <c r="GI4" s="4">
        <f>BDH(GI$1,GJ$3:GX$3,$B$8,$B$9,"Dir=V","Dts=S","Sort=A","Days=T","Fill=B")</f>
        <v/>
      </c>
      <c r="GZ4" s="4">
        <f>BDH(GZ$1,HA$3:HO$3,$B$8,$B$9,"Dir=V","Dts=S","Sort=A","Days=T","Fill=B")</f>
        <v/>
      </c>
      <c r="HQ4" s="4">
        <f>BDH(HQ$1,HR$3:IF$3,$B$8,$B$9,"Dir=V","Dts=S","Sort=A","Days=T","Fill=B")</f>
        <v/>
      </c>
      <c r="IH4" s="4">
        <f>BDH(IH$1,II$3:IW$3,$B$8,$B$9,"Dir=V","Dts=S","Sort=A","Days=T","Fill=B")</f>
        <v/>
      </c>
      <c r="IY4" s="4">
        <f>BDH(IY$1,IZ$3:JN$3,$B$8,$B$9,"Dir=V","Dts=S","Sort=A","Days=T","Fill=B")</f>
        <v/>
      </c>
      <c r="JP4" s="4">
        <f>BDH(JP$1,JQ$3:KE$3,$B$8,$B$9,"Dir=V","Dts=S","Sort=A","Days=T","Fill=B")</f>
        <v/>
      </c>
      <c r="KG4" s="4">
        <f>BDH(KG$1,KH$3:KV$3,$B$8,$B$9,"Dir=V","Dts=S","Sort=A","Days=T","Fill=B")</f>
        <v/>
      </c>
      <c r="KX4" s="4">
        <f>BDH(KX$1,KY$3:LM$3,$B$8,$B$9,"Dir=V","Dts=S","Sort=A","Days=T","Fill=B")</f>
        <v/>
      </c>
      <c r="LO4" s="4">
        <f>BDH(LO$1,LP$3:MD$3,$B$8,$B$9,"Dir=V","Dts=S","Sort=A","Days=T","Fill=B")</f>
        <v/>
      </c>
      <c r="MF4" s="4">
        <f>BDH(MF$1,MG$3:MU$3,$B$8,$B$9,"Dir=V","Dts=S","Sort=A","Days=T","Fill=B")</f>
        <v/>
      </c>
      <c r="MW4" s="4">
        <f>BDH(MW$1,MX$3:NL$3,$B$8,$B$9,"Dir=V","Dts=S","Sort=A","Days=T","Fill=B")</f>
        <v/>
      </c>
    </row>
    <row r="5">
      <c r="A5" s="2" t="inlineStr">
        <is>
          <t>Unadjusted close then</t>
        </is>
      </c>
      <c r="B5" s="10">
        <f>IF(B2="","",BDH(B2,"PX_LAST",B4,B4,"Days=A","Fill=P","Dts=H","CshAdjNormal=N","CshAdjAbnormal=N","CapChg=N"))</f>
        <v/>
      </c>
    </row>
    <row r="6">
      <c r="A6" s="2" t="inlineStr">
        <is>
          <t>Strike step</t>
        </is>
      </c>
      <c r="B6" s="11">
        <f>IF(ISNUMBER(B5),IF(B5&lt;25,0.5,IF(B5&lt;250,1,5)),"")</f>
        <v/>
      </c>
    </row>
    <row r="7">
      <c r="A7" s="2" t="inlineStr">
        <is>
          <t>ATM strike</t>
        </is>
      </c>
      <c r="B7" s="11">
        <f>IF(ISNUMBER(B5),ROUND(B5/B6,0)*B6,"")</f>
        <v/>
      </c>
    </row>
    <row r="8">
      <c r="A8" s="2" t="inlineStr">
        <is>
          <t>History start</t>
        </is>
      </c>
      <c r="B8" s="8">
        <f>B3-100</f>
        <v/>
      </c>
    </row>
    <row r="9">
      <c r="A9" s="2" t="inlineStr">
        <is>
          <t>History end</t>
        </is>
      </c>
      <c r="B9" s="8">
        <f>B3</f>
        <v/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NL9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2" customWidth="1" min="2" max="2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1" customWidth="1" min="15" max="15"/>
    <col width="11" customWidth="1" min="16" max="16"/>
    <col width="10" customWidth="1" min="17" max="17"/>
    <col width="11" customWidth="1" min="18" max="18"/>
    <col width="13" customWidth="1" min="19" max="19"/>
    <col width="12" customWidth="1" min="21" max="21"/>
    <col width="10" customWidth="1" min="22" max="22"/>
    <col width="10" customWidth="1" min="23" max="23"/>
    <col width="10" customWidth="1" min="24" max="24"/>
    <col width="10" customWidth="1" min="25" max="25"/>
    <col width="11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1" customWidth="1" min="32" max="32"/>
    <col width="11" customWidth="1" min="33" max="33"/>
    <col width="10" customWidth="1" min="34" max="34"/>
    <col width="11" customWidth="1" min="35" max="35"/>
    <col width="13" customWidth="1" min="36" max="36"/>
    <col width="12" customWidth="1" min="38" max="38"/>
    <col width="10" customWidth="1" min="39" max="39"/>
    <col width="10" customWidth="1" min="40" max="40"/>
    <col width="10" customWidth="1" min="41" max="41"/>
    <col width="10" customWidth="1" min="42" max="42"/>
    <col width="11" customWidth="1" min="43" max="43"/>
    <col width="11" customWidth="1" min="44" max="44"/>
    <col width="10" customWidth="1" min="45" max="45"/>
    <col width="10" customWidth="1" min="46" max="46"/>
    <col width="10" customWidth="1" min="47" max="47"/>
    <col width="10" customWidth="1" min="48" max="48"/>
    <col width="11" customWidth="1" min="49" max="49"/>
    <col width="11" customWidth="1" min="50" max="50"/>
    <col width="10" customWidth="1" min="51" max="51"/>
    <col width="11" customWidth="1" min="52" max="52"/>
    <col width="13" customWidth="1" min="53" max="53"/>
    <col width="12" customWidth="1" min="55" max="55"/>
    <col width="10" customWidth="1" min="56" max="56"/>
    <col width="10" customWidth="1" min="57" max="57"/>
    <col width="10" customWidth="1" min="58" max="58"/>
    <col width="10" customWidth="1" min="59" max="59"/>
    <col width="11" customWidth="1" min="60" max="60"/>
    <col width="11" customWidth="1" min="61" max="61"/>
    <col width="10" customWidth="1" min="62" max="62"/>
    <col width="10" customWidth="1" min="63" max="63"/>
    <col width="10" customWidth="1" min="64" max="64"/>
    <col width="10" customWidth="1" min="65" max="65"/>
    <col width="11" customWidth="1" min="66" max="66"/>
    <col width="11" customWidth="1" min="67" max="67"/>
    <col width="10" customWidth="1" min="68" max="68"/>
    <col width="11" customWidth="1" min="69" max="69"/>
    <col width="13" customWidth="1" min="70" max="70"/>
    <col width="12" customWidth="1" min="72" max="72"/>
    <col width="10" customWidth="1" min="73" max="73"/>
    <col width="10" customWidth="1" min="74" max="74"/>
    <col width="10" customWidth="1" min="75" max="75"/>
    <col width="10" customWidth="1" min="76" max="76"/>
    <col width="11" customWidth="1" min="77" max="77"/>
    <col width="11" customWidth="1" min="78" max="78"/>
    <col width="10" customWidth="1" min="79" max="79"/>
    <col width="10" customWidth="1" min="80" max="80"/>
    <col width="10" customWidth="1" min="81" max="81"/>
    <col width="10" customWidth="1" min="82" max="82"/>
    <col width="11" customWidth="1" min="83" max="83"/>
    <col width="11" customWidth="1" min="84" max="84"/>
    <col width="10" customWidth="1" min="85" max="85"/>
    <col width="11" customWidth="1" min="86" max="86"/>
    <col width="13" customWidth="1" min="87" max="87"/>
    <col width="12" customWidth="1" min="89" max="89"/>
    <col width="10" customWidth="1" min="90" max="90"/>
    <col width="10" customWidth="1" min="91" max="91"/>
    <col width="10" customWidth="1" min="92" max="92"/>
    <col width="10" customWidth="1" min="93" max="93"/>
    <col width="11" customWidth="1" min="94" max="94"/>
    <col width="11" customWidth="1" min="95" max="95"/>
    <col width="10" customWidth="1" min="96" max="96"/>
    <col width="10" customWidth="1" min="97" max="97"/>
    <col width="10" customWidth="1" min="98" max="98"/>
    <col width="10" customWidth="1" min="99" max="99"/>
    <col width="11" customWidth="1" min="100" max="100"/>
    <col width="11" customWidth="1" min="101" max="101"/>
    <col width="10" customWidth="1" min="102" max="102"/>
    <col width="11" customWidth="1" min="103" max="103"/>
    <col width="13" customWidth="1" min="104" max="104"/>
    <col width="12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1" customWidth="1" min="111" max="111"/>
    <col width="11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1" customWidth="1" min="117" max="117"/>
    <col width="11" customWidth="1" min="118" max="118"/>
    <col width="10" customWidth="1" min="119" max="119"/>
    <col width="11" customWidth="1" min="120" max="120"/>
    <col width="13" customWidth="1" min="121" max="121"/>
    <col width="12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1" customWidth="1" min="128" max="128"/>
    <col width="11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1" customWidth="1" min="134" max="134"/>
    <col width="11" customWidth="1" min="135" max="135"/>
    <col width="10" customWidth="1" min="136" max="136"/>
    <col width="11" customWidth="1" min="137" max="137"/>
    <col width="13" customWidth="1" min="138" max="138"/>
    <col width="12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1" customWidth="1" min="145" max="145"/>
    <col width="11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1" customWidth="1" min="151" max="151"/>
    <col width="11" customWidth="1" min="152" max="152"/>
    <col width="10" customWidth="1" min="153" max="153"/>
    <col width="11" customWidth="1" min="154" max="154"/>
    <col width="13" customWidth="1" min="155" max="155"/>
    <col width="12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1" customWidth="1" min="162" max="162"/>
    <col width="11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1" customWidth="1" min="168" max="168"/>
    <col width="11" customWidth="1" min="169" max="169"/>
    <col width="10" customWidth="1" min="170" max="170"/>
    <col width="11" customWidth="1" min="171" max="171"/>
    <col width="13" customWidth="1" min="172" max="172"/>
    <col width="12" customWidth="1" min="174" max="174"/>
    <col width="10" customWidth="1" min="175" max="175"/>
    <col width="10" customWidth="1" min="176" max="176"/>
    <col width="10" customWidth="1" min="177" max="177"/>
    <col width="10" customWidth="1" min="178" max="178"/>
    <col width="11" customWidth="1" min="179" max="179"/>
    <col width="11" customWidth="1" min="180" max="180"/>
    <col width="10" customWidth="1" min="181" max="181"/>
    <col width="10" customWidth="1" min="182" max="182"/>
    <col width="10" customWidth="1" min="183" max="183"/>
    <col width="10" customWidth="1" min="184" max="184"/>
    <col width="11" customWidth="1" min="185" max="185"/>
    <col width="11" customWidth="1" min="186" max="186"/>
    <col width="10" customWidth="1" min="187" max="187"/>
    <col width="11" customWidth="1" min="188" max="188"/>
    <col width="13" customWidth="1" min="189" max="189"/>
    <col width="12" customWidth="1" min="191" max="191"/>
    <col width="10" customWidth="1" min="192" max="192"/>
    <col width="10" customWidth="1" min="193" max="193"/>
    <col width="10" customWidth="1" min="194" max="194"/>
    <col width="10" customWidth="1" min="195" max="195"/>
    <col width="11" customWidth="1" min="196" max="196"/>
    <col width="11" customWidth="1" min="197" max="197"/>
    <col width="10" customWidth="1" min="198" max="198"/>
    <col width="10" customWidth="1" min="199" max="199"/>
    <col width="10" customWidth="1" min="200" max="200"/>
    <col width="10" customWidth="1" min="201" max="201"/>
    <col width="11" customWidth="1" min="202" max="202"/>
    <col width="11" customWidth="1" min="203" max="203"/>
    <col width="10" customWidth="1" min="204" max="204"/>
    <col width="11" customWidth="1" min="205" max="205"/>
    <col width="13" customWidth="1" min="206" max="206"/>
    <col width="12" customWidth="1" min="208" max="208"/>
    <col width="10" customWidth="1" min="209" max="209"/>
    <col width="10" customWidth="1" min="210" max="210"/>
    <col width="10" customWidth="1" min="211" max="211"/>
    <col width="10" customWidth="1" min="212" max="212"/>
    <col width="11" customWidth="1" min="213" max="213"/>
    <col width="11" customWidth="1" min="214" max="214"/>
    <col width="10" customWidth="1" min="215" max="215"/>
    <col width="10" customWidth="1" min="216" max="216"/>
    <col width="10" customWidth="1" min="217" max="217"/>
    <col width="10" customWidth="1" min="218" max="218"/>
    <col width="11" customWidth="1" min="219" max="219"/>
    <col width="11" customWidth="1" min="220" max="220"/>
    <col width="10" customWidth="1" min="221" max="221"/>
    <col width="11" customWidth="1" min="222" max="222"/>
    <col width="13" customWidth="1" min="223" max="223"/>
    <col width="12" customWidth="1" min="225" max="225"/>
    <col width="10" customWidth="1" min="226" max="226"/>
    <col width="10" customWidth="1" min="227" max="227"/>
    <col width="10" customWidth="1" min="228" max="228"/>
    <col width="10" customWidth="1" min="229" max="229"/>
    <col width="11" customWidth="1" min="230" max="230"/>
    <col width="11" customWidth="1" min="231" max="231"/>
    <col width="10" customWidth="1" min="232" max="232"/>
    <col width="10" customWidth="1" min="233" max="233"/>
    <col width="10" customWidth="1" min="234" max="234"/>
    <col width="10" customWidth="1" min="235" max="235"/>
    <col width="11" customWidth="1" min="236" max="236"/>
    <col width="11" customWidth="1" min="237" max="237"/>
    <col width="10" customWidth="1" min="238" max="238"/>
    <col width="11" customWidth="1" min="239" max="239"/>
    <col width="13" customWidth="1" min="240" max="240"/>
    <col width="12" customWidth="1" min="242" max="242"/>
    <col width="10" customWidth="1" min="243" max="243"/>
    <col width="10" customWidth="1" min="244" max="244"/>
    <col width="10" customWidth="1" min="245" max="245"/>
    <col width="10" customWidth="1" min="246" max="246"/>
    <col width="11" customWidth="1" min="247" max="247"/>
    <col width="11" customWidth="1" min="248" max="248"/>
    <col width="10" customWidth="1" min="249" max="249"/>
    <col width="10" customWidth="1" min="250" max="250"/>
    <col width="10" customWidth="1" min="251" max="251"/>
    <col width="10" customWidth="1" min="252" max="252"/>
    <col width="11" customWidth="1" min="253" max="253"/>
    <col width="11" customWidth="1" min="254" max="254"/>
    <col width="10" customWidth="1" min="255" max="255"/>
    <col width="11" customWidth="1" min="256" max="256"/>
    <col width="13" customWidth="1" min="257" max="257"/>
    <col width="12" customWidth="1" min="259" max="259"/>
    <col width="10" customWidth="1" min="260" max="260"/>
    <col width="10" customWidth="1" min="261" max="261"/>
    <col width="10" customWidth="1" min="262" max="262"/>
    <col width="10" customWidth="1" min="263" max="263"/>
    <col width="11" customWidth="1" min="264" max="264"/>
    <col width="11" customWidth="1" min="265" max="265"/>
    <col width="10" customWidth="1" min="266" max="266"/>
    <col width="10" customWidth="1" min="267" max="267"/>
    <col width="10" customWidth="1" min="268" max="268"/>
    <col width="10" customWidth="1" min="269" max="269"/>
    <col width="11" customWidth="1" min="270" max="270"/>
    <col width="11" customWidth="1" min="271" max="271"/>
    <col width="10" customWidth="1" min="272" max="272"/>
    <col width="11" customWidth="1" min="273" max="273"/>
    <col width="13" customWidth="1" min="274" max="274"/>
    <col width="12" customWidth="1" min="276" max="276"/>
    <col width="10" customWidth="1" min="277" max="277"/>
    <col width="10" customWidth="1" min="278" max="278"/>
    <col width="10" customWidth="1" min="279" max="279"/>
    <col width="10" customWidth="1" min="280" max="280"/>
    <col width="11" customWidth="1" min="281" max="281"/>
    <col width="11" customWidth="1" min="282" max="282"/>
    <col width="10" customWidth="1" min="283" max="283"/>
    <col width="10" customWidth="1" min="284" max="284"/>
    <col width="10" customWidth="1" min="285" max="285"/>
    <col width="10" customWidth="1" min="286" max="286"/>
    <col width="11" customWidth="1" min="287" max="287"/>
    <col width="11" customWidth="1" min="288" max="288"/>
    <col width="10" customWidth="1" min="289" max="289"/>
    <col width="11" customWidth="1" min="290" max="290"/>
    <col width="13" customWidth="1" min="291" max="291"/>
    <col width="12" customWidth="1" min="293" max="293"/>
    <col width="10" customWidth="1" min="294" max="294"/>
    <col width="10" customWidth="1" min="295" max="295"/>
    <col width="10" customWidth="1" min="296" max="296"/>
    <col width="10" customWidth="1" min="297" max="297"/>
    <col width="11" customWidth="1" min="298" max="298"/>
    <col width="11" customWidth="1" min="299" max="299"/>
    <col width="10" customWidth="1" min="300" max="300"/>
    <col width="10" customWidth="1" min="301" max="301"/>
    <col width="10" customWidth="1" min="302" max="302"/>
    <col width="10" customWidth="1" min="303" max="303"/>
    <col width="11" customWidth="1" min="304" max="304"/>
    <col width="11" customWidth="1" min="305" max="305"/>
    <col width="10" customWidth="1" min="306" max="306"/>
    <col width="11" customWidth="1" min="307" max="307"/>
    <col width="13" customWidth="1" min="308" max="308"/>
    <col width="12" customWidth="1" min="310" max="310"/>
    <col width="10" customWidth="1" min="311" max="311"/>
    <col width="10" customWidth="1" min="312" max="312"/>
    <col width="10" customWidth="1" min="313" max="313"/>
    <col width="10" customWidth="1" min="314" max="314"/>
    <col width="11" customWidth="1" min="315" max="315"/>
    <col width="11" customWidth="1" min="316" max="316"/>
    <col width="10" customWidth="1" min="317" max="317"/>
    <col width="10" customWidth="1" min="318" max="318"/>
    <col width="10" customWidth="1" min="319" max="319"/>
    <col width="10" customWidth="1" min="320" max="320"/>
    <col width="11" customWidth="1" min="321" max="321"/>
    <col width="11" customWidth="1" min="322" max="322"/>
    <col width="10" customWidth="1" min="323" max="323"/>
    <col width="11" customWidth="1" min="324" max="324"/>
    <col width="13" customWidth="1" min="325" max="325"/>
    <col width="12" customWidth="1" min="327" max="327"/>
    <col width="10" customWidth="1" min="328" max="328"/>
    <col width="10" customWidth="1" min="329" max="329"/>
    <col width="10" customWidth="1" min="330" max="330"/>
    <col width="10" customWidth="1" min="331" max="331"/>
    <col width="11" customWidth="1" min="332" max="332"/>
    <col width="11" customWidth="1" min="333" max="333"/>
    <col width="10" customWidth="1" min="334" max="334"/>
    <col width="10" customWidth="1" min="335" max="335"/>
    <col width="10" customWidth="1" min="336" max="336"/>
    <col width="10" customWidth="1" min="337" max="337"/>
    <col width="11" customWidth="1" min="338" max="338"/>
    <col width="11" customWidth="1" min="339" max="339"/>
    <col width="10" customWidth="1" min="340" max="340"/>
    <col width="11" customWidth="1" min="341" max="341"/>
    <col width="13" customWidth="1" min="342" max="342"/>
    <col width="12" customWidth="1" min="344" max="344"/>
    <col width="10" customWidth="1" min="345" max="345"/>
    <col width="10" customWidth="1" min="346" max="346"/>
    <col width="10" customWidth="1" min="347" max="347"/>
    <col width="10" customWidth="1" min="348" max="348"/>
    <col width="11" customWidth="1" min="349" max="349"/>
    <col width="11" customWidth="1" min="350" max="350"/>
    <col width="10" customWidth="1" min="351" max="351"/>
    <col width="10" customWidth="1" min="352" max="352"/>
    <col width="10" customWidth="1" min="353" max="353"/>
    <col width="10" customWidth="1" min="354" max="354"/>
    <col width="11" customWidth="1" min="355" max="355"/>
    <col width="11" customWidth="1" min="356" max="356"/>
    <col width="10" customWidth="1" min="357" max="357"/>
    <col width="11" customWidth="1" min="358" max="358"/>
    <col width="13" customWidth="1" min="359" max="359"/>
    <col width="12" customWidth="1" min="361" max="361"/>
    <col width="10" customWidth="1" min="362" max="362"/>
    <col width="10" customWidth="1" min="363" max="363"/>
    <col width="10" customWidth="1" min="364" max="364"/>
    <col width="10" customWidth="1" min="365" max="365"/>
    <col width="11" customWidth="1" min="366" max="366"/>
    <col width="11" customWidth="1" min="367" max="367"/>
    <col width="10" customWidth="1" min="368" max="368"/>
    <col width="10" customWidth="1" min="369" max="369"/>
    <col width="10" customWidth="1" min="370" max="370"/>
    <col width="10" customWidth="1" min="371" max="371"/>
    <col width="11" customWidth="1" min="372" max="372"/>
    <col width="11" customWidth="1" min="373" max="373"/>
    <col width="10" customWidth="1" min="374" max="374"/>
    <col width="11" customWidth="1" min="375" max="375"/>
    <col width="13" customWidth="1" min="376" max="376"/>
  </cols>
  <sheetData>
    <row r="1">
      <c r="A1" s="2" t="inlineStr">
        <is>
          <t>Month</t>
        </is>
      </c>
      <c r="B1" s="9" t="n">
        <v>5</v>
      </c>
      <c r="D1" s="2">
        <f>IF(ISNUMBER(B$7),"DAL US "&amp;TEXT(B$3,"mm/dd/yy")&amp;" C"&amp;(B$7-5*B$6)&amp;" Equity","")</f>
        <v/>
      </c>
      <c r="U1" s="2">
        <f>IF(ISNUMBER(B$7),"DAL US "&amp;TEXT(B$3,"mm/dd/yy")&amp;" P"&amp;(B$7-5*B$6)&amp;" Equity","")</f>
        <v/>
      </c>
      <c r="AL1" s="2">
        <f>IF(ISNUMBER(B$7),"DAL US "&amp;TEXT(B$3,"mm/dd/yy")&amp;" C"&amp;(B$7-4*B$6)&amp;" Equity","")</f>
        <v/>
      </c>
      <c r="BC1" s="2">
        <f>IF(ISNUMBER(B$7),"DAL US "&amp;TEXT(B$3,"mm/dd/yy")&amp;" P"&amp;(B$7-4*B$6)&amp;" Equity","")</f>
        <v/>
      </c>
      <c r="BT1" s="2">
        <f>IF(ISNUMBER(B$7),"DAL US "&amp;TEXT(B$3,"mm/dd/yy")&amp;" C"&amp;(B$7-3*B$6)&amp;" Equity","")</f>
        <v/>
      </c>
      <c r="CK1" s="2">
        <f>IF(ISNUMBER(B$7),"DAL US "&amp;TEXT(B$3,"mm/dd/yy")&amp;" P"&amp;(B$7-3*B$6)&amp;" Equity","")</f>
        <v/>
      </c>
      <c r="DB1" s="2">
        <f>IF(ISNUMBER(B$7),"DAL US "&amp;TEXT(B$3,"mm/dd/yy")&amp;" C"&amp;(B$7-2*B$6)&amp;" Equity","")</f>
        <v/>
      </c>
      <c r="DS1" s="2">
        <f>IF(ISNUMBER(B$7),"DAL US "&amp;TEXT(B$3,"mm/dd/yy")&amp;" P"&amp;(B$7-2*B$6)&amp;" Equity","")</f>
        <v/>
      </c>
      <c r="EJ1" s="2">
        <f>IF(ISNUMBER(B$7),"DAL US "&amp;TEXT(B$3,"mm/dd/yy")&amp;" C"&amp;(B$7-1*B$6)&amp;" Equity","")</f>
        <v/>
      </c>
      <c r="FA1" s="2">
        <f>IF(ISNUMBER(B$7),"DAL US "&amp;TEXT(B$3,"mm/dd/yy")&amp;" P"&amp;(B$7-1*B$6)&amp;" Equity","")</f>
        <v/>
      </c>
      <c r="FR1" s="2">
        <f>IF(ISNUMBER(B$7),"DAL US "&amp;TEXT(B$3,"mm/dd/yy")&amp;" C"&amp;B$7&amp;" Equity","")</f>
        <v/>
      </c>
      <c r="GI1" s="2">
        <f>IF(ISNUMBER(B$7),"DAL US "&amp;TEXT(B$3,"mm/dd/yy")&amp;" P"&amp;B$7&amp;" Equity","")</f>
        <v/>
      </c>
      <c r="GZ1" s="2">
        <f>IF(ISNUMBER(B$7),"DAL US "&amp;TEXT(B$3,"mm/dd/yy")&amp;" C"&amp;(B$7+1*B$6)&amp;" Equity","")</f>
        <v/>
      </c>
      <c r="HQ1" s="2">
        <f>IF(ISNUMBER(B$7),"DAL US "&amp;TEXT(B$3,"mm/dd/yy")&amp;" P"&amp;(B$7+1*B$6)&amp;" Equity","")</f>
        <v/>
      </c>
      <c r="IH1" s="2">
        <f>IF(ISNUMBER(B$7),"DAL US "&amp;TEXT(B$3,"mm/dd/yy")&amp;" C"&amp;(B$7+2*B$6)&amp;" Equity","")</f>
        <v/>
      </c>
      <c r="IY1" s="2">
        <f>IF(ISNUMBER(B$7),"DAL US "&amp;TEXT(B$3,"mm/dd/yy")&amp;" P"&amp;(B$7+2*B$6)&amp;" Equity","")</f>
        <v/>
      </c>
      <c r="JP1" s="2">
        <f>IF(ISNUMBER(B$7),"DAL US "&amp;TEXT(B$3,"mm/dd/yy")&amp;" C"&amp;(B$7+3*B$6)&amp;" Equity","")</f>
        <v/>
      </c>
      <c r="KG1" s="2">
        <f>IF(ISNUMBER(B$7),"DAL US "&amp;TEXT(B$3,"mm/dd/yy")&amp;" P"&amp;(B$7+3*B$6)&amp;" Equity","")</f>
        <v/>
      </c>
      <c r="KX1" s="2">
        <f>IF(ISNUMBER(B$7),"DAL US "&amp;TEXT(B$3,"mm/dd/yy")&amp;" C"&amp;(B$7+4*B$6)&amp;" Equity","")</f>
        <v/>
      </c>
      <c r="LO1" s="2">
        <f>IF(ISNUMBER(B$7),"DAL US "&amp;TEXT(B$3,"mm/dd/yy")&amp;" P"&amp;(B$7+4*B$6)&amp;" Equity","")</f>
        <v/>
      </c>
      <c r="MF1" s="2">
        <f>IF(ISNUMBER(B$7),"DAL US "&amp;TEXT(B$3,"mm/dd/yy")&amp;" C"&amp;(B$7+5*B$6)&amp;" Equity","")</f>
        <v/>
      </c>
      <c r="MW1" s="2">
        <f>IF(ISNUMBER(B$7),"DAL US "&amp;TEXT(B$3,"mm/dd/yy")&amp;" P"&amp;(B$7+5*B$6)&amp;" Equity","")</f>
        <v/>
      </c>
    </row>
    <row r="2">
      <c r="A2" s="2" t="inlineStr">
        <is>
          <t>Underlying</t>
        </is>
      </c>
      <c r="B2" s="4">
        <f>IF(Settings!$B$19="Y","DAL US Equity","")</f>
        <v/>
      </c>
      <c r="D2" s="4" t="inlineStr">
        <is>
          <t>call -5 from ATM</t>
        </is>
      </c>
      <c r="U2" s="4" t="inlineStr">
        <is>
          <t>put -5 from ATM</t>
        </is>
      </c>
      <c r="AL2" s="4" t="inlineStr">
        <is>
          <t>call -4 from ATM</t>
        </is>
      </c>
      <c r="BC2" s="4" t="inlineStr">
        <is>
          <t>put -4 from ATM</t>
        </is>
      </c>
      <c r="BT2" s="4" t="inlineStr">
        <is>
          <t>call -3 from ATM</t>
        </is>
      </c>
      <c r="CK2" s="4" t="inlineStr">
        <is>
          <t>put -3 from ATM</t>
        </is>
      </c>
      <c r="DB2" s="4" t="inlineStr">
        <is>
          <t>call -2 from ATM</t>
        </is>
      </c>
      <c r="DS2" s="4" t="inlineStr">
        <is>
          <t>put -2 from ATM</t>
        </is>
      </c>
      <c r="EJ2" s="4" t="inlineStr">
        <is>
          <t>call -1 from ATM</t>
        </is>
      </c>
      <c r="FA2" s="4" t="inlineStr">
        <is>
          <t>put -1 from ATM</t>
        </is>
      </c>
      <c r="FR2" s="4" t="inlineStr">
        <is>
          <t>call +0 from ATM</t>
        </is>
      </c>
      <c r="GI2" s="4" t="inlineStr">
        <is>
          <t>put +0 from ATM</t>
        </is>
      </c>
      <c r="GZ2" s="4" t="inlineStr">
        <is>
          <t>call +1 from ATM</t>
        </is>
      </c>
      <c r="HQ2" s="4" t="inlineStr">
        <is>
          <t>put +1 from ATM</t>
        </is>
      </c>
      <c r="IH2" s="4" t="inlineStr">
        <is>
          <t>call +2 from ATM</t>
        </is>
      </c>
      <c r="IY2" s="4" t="inlineStr">
        <is>
          <t>put +2 from ATM</t>
        </is>
      </c>
      <c r="JP2" s="4" t="inlineStr">
        <is>
          <t>call +3 from ATM</t>
        </is>
      </c>
      <c r="KG2" s="4" t="inlineStr">
        <is>
          <t>put +3 from ATM</t>
        </is>
      </c>
      <c r="KX2" s="4" t="inlineStr">
        <is>
          <t>call +4 from ATM</t>
        </is>
      </c>
      <c r="LO2" s="4" t="inlineStr">
        <is>
          <t>put +4 from ATM</t>
        </is>
      </c>
      <c r="MF2" s="4" t="inlineStr">
        <is>
          <t>call +5 from ATM</t>
        </is>
      </c>
      <c r="MW2" s="4" t="inlineStr">
        <is>
          <t>put +5 from ATM</t>
        </is>
      </c>
    </row>
    <row r="3">
      <c r="A3" s="2" t="inlineStr">
        <is>
          <t>Expiry (3rd Friday)</t>
        </is>
      </c>
      <c r="B3" s="3">
        <f>DATE(Settings!$E$19,B1,15)+MOD(6-WEEKDAY(DATE(Settings!$E$19,B1,15)),7)</f>
        <v/>
      </c>
      <c r="D3" s="5" t="inlineStr">
        <is>
          <t>Date</t>
        </is>
      </c>
      <c r="E3" s="5" t="inlineStr">
        <is>
          <t>PX_BID</t>
        </is>
      </c>
      <c r="F3" s="5" t="inlineStr">
        <is>
          <t>PX_ASK</t>
        </is>
      </c>
      <c r="G3" s="5" t="inlineStr">
        <is>
          <t>PX_MID</t>
        </is>
      </c>
      <c r="H3" s="5" t="inlineStr">
        <is>
          <t>PX_LAST</t>
        </is>
      </c>
      <c r="I3" s="5" t="inlineStr">
        <is>
          <t>PX_SETTLE</t>
        </is>
      </c>
      <c r="J3" s="5" t="inlineStr">
        <is>
          <t>PX_VOLUME</t>
        </is>
      </c>
      <c r="K3" s="5" t="inlineStr">
        <is>
          <t>OPEN_INT</t>
        </is>
      </c>
      <c r="L3" s="5" t="inlineStr">
        <is>
          <t>IVOL_MID</t>
        </is>
      </c>
      <c r="M3" s="5" t="inlineStr">
        <is>
          <t>IVOL_BID</t>
        </is>
      </c>
      <c r="N3" s="5" t="inlineStr">
        <is>
          <t>IVOL_ASK</t>
        </is>
      </c>
      <c r="O3" s="5" t="inlineStr">
        <is>
          <t>DELTA_MID</t>
        </is>
      </c>
      <c r="P3" s="5" t="inlineStr">
        <is>
          <t>GAMMA_MID</t>
        </is>
      </c>
      <c r="Q3" s="5" t="inlineStr">
        <is>
          <t>VEGA_MID</t>
        </is>
      </c>
      <c r="R3" s="5" t="inlineStr">
        <is>
          <t>THETA_MID</t>
        </is>
      </c>
      <c r="S3" s="5" t="inlineStr">
        <is>
          <t>OPT_UNDL_PX</t>
        </is>
      </c>
      <c r="U3" s="5" t="inlineStr">
        <is>
          <t>Date</t>
        </is>
      </c>
      <c r="V3" s="5" t="inlineStr">
        <is>
          <t>PX_BID</t>
        </is>
      </c>
      <c r="W3" s="5" t="inlineStr">
        <is>
          <t>PX_ASK</t>
        </is>
      </c>
      <c r="X3" s="5" t="inlineStr">
        <is>
          <t>PX_MID</t>
        </is>
      </c>
      <c r="Y3" s="5" t="inlineStr">
        <is>
          <t>PX_LAST</t>
        </is>
      </c>
      <c r="Z3" s="5" t="inlineStr">
        <is>
          <t>PX_SETTLE</t>
        </is>
      </c>
      <c r="AA3" s="5" t="inlineStr">
        <is>
          <t>PX_VOLUME</t>
        </is>
      </c>
      <c r="AB3" s="5" t="inlineStr">
        <is>
          <t>OPEN_INT</t>
        </is>
      </c>
      <c r="AC3" s="5" t="inlineStr">
        <is>
          <t>IVOL_MID</t>
        </is>
      </c>
      <c r="AD3" s="5" t="inlineStr">
        <is>
          <t>IVOL_BID</t>
        </is>
      </c>
      <c r="AE3" s="5" t="inlineStr">
        <is>
          <t>IVOL_ASK</t>
        </is>
      </c>
      <c r="AF3" s="5" t="inlineStr">
        <is>
          <t>DELTA_MID</t>
        </is>
      </c>
      <c r="AG3" s="5" t="inlineStr">
        <is>
          <t>GAMMA_MID</t>
        </is>
      </c>
      <c r="AH3" s="5" t="inlineStr">
        <is>
          <t>VEGA_MID</t>
        </is>
      </c>
      <c r="AI3" s="5" t="inlineStr">
        <is>
          <t>THETA_MID</t>
        </is>
      </c>
      <c r="AJ3" s="5" t="inlineStr">
        <is>
          <t>OPT_UNDL_PX</t>
        </is>
      </c>
      <c r="AL3" s="5" t="inlineStr">
        <is>
          <t>Date</t>
        </is>
      </c>
      <c r="AM3" s="5" t="inlineStr">
        <is>
          <t>PX_BID</t>
        </is>
      </c>
      <c r="AN3" s="5" t="inlineStr">
        <is>
          <t>PX_ASK</t>
        </is>
      </c>
      <c r="AO3" s="5" t="inlineStr">
        <is>
          <t>PX_MID</t>
        </is>
      </c>
      <c r="AP3" s="5" t="inlineStr">
        <is>
          <t>PX_LAST</t>
        </is>
      </c>
      <c r="AQ3" s="5" t="inlineStr">
        <is>
          <t>PX_SETTLE</t>
        </is>
      </c>
      <c r="AR3" s="5" t="inlineStr">
        <is>
          <t>PX_VOLUME</t>
        </is>
      </c>
      <c r="AS3" s="5" t="inlineStr">
        <is>
          <t>OPEN_INT</t>
        </is>
      </c>
      <c r="AT3" s="5" t="inlineStr">
        <is>
          <t>IVOL_MID</t>
        </is>
      </c>
      <c r="AU3" s="5" t="inlineStr">
        <is>
          <t>IVOL_BID</t>
        </is>
      </c>
      <c r="AV3" s="5" t="inlineStr">
        <is>
          <t>IVOL_ASK</t>
        </is>
      </c>
      <c r="AW3" s="5" t="inlineStr">
        <is>
          <t>DELTA_MID</t>
        </is>
      </c>
      <c r="AX3" s="5" t="inlineStr">
        <is>
          <t>GAMMA_MID</t>
        </is>
      </c>
      <c r="AY3" s="5" t="inlineStr">
        <is>
          <t>VEGA_MID</t>
        </is>
      </c>
      <c r="AZ3" s="5" t="inlineStr">
        <is>
          <t>THETA_MID</t>
        </is>
      </c>
      <c r="BA3" s="5" t="inlineStr">
        <is>
          <t>OPT_UNDL_PX</t>
        </is>
      </c>
      <c r="BC3" s="5" t="inlineStr">
        <is>
          <t>Date</t>
        </is>
      </c>
      <c r="BD3" s="5" t="inlineStr">
        <is>
          <t>PX_BID</t>
        </is>
      </c>
      <c r="BE3" s="5" t="inlineStr">
        <is>
          <t>PX_ASK</t>
        </is>
      </c>
      <c r="BF3" s="5" t="inlineStr">
        <is>
          <t>PX_MID</t>
        </is>
      </c>
      <c r="BG3" s="5" t="inlineStr">
        <is>
          <t>PX_LAST</t>
        </is>
      </c>
      <c r="BH3" s="5" t="inlineStr">
        <is>
          <t>PX_SETTLE</t>
        </is>
      </c>
      <c r="BI3" s="5" t="inlineStr">
        <is>
          <t>PX_VOLUME</t>
        </is>
      </c>
      <c r="BJ3" s="5" t="inlineStr">
        <is>
          <t>OPEN_INT</t>
        </is>
      </c>
      <c r="BK3" s="5" t="inlineStr">
        <is>
          <t>IVOL_MID</t>
        </is>
      </c>
      <c r="BL3" s="5" t="inlineStr">
        <is>
          <t>IVOL_BID</t>
        </is>
      </c>
      <c r="BM3" s="5" t="inlineStr">
        <is>
          <t>IVOL_ASK</t>
        </is>
      </c>
      <c r="BN3" s="5" t="inlineStr">
        <is>
          <t>DELTA_MID</t>
        </is>
      </c>
      <c r="BO3" s="5" t="inlineStr">
        <is>
          <t>GAMMA_MID</t>
        </is>
      </c>
      <c r="BP3" s="5" t="inlineStr">
        <is>
          <t>VEGA_MID</t>
        </is>
      </c>
      <c r="BQ3" s="5" t="inlineStr">
        <is>
          <t>THETA_MID</t>
        </is>
      </c>
      <c r="BR3" s="5" t="inlineStr">
        <is>
          <t>OPT_UNDL_PX</t>
        </is>
      </c>
      <c r="BT3" s="5" t="inlineStr">
        <is>
          <t>Date</t>
        </is>
      </c>
      <c r="BU3" s="5" t="inlineStr">
        <is>
          <t>PX_BID</t>
        </is>
      </c>
      <c r="BV3" s="5" t="inlineStr">
        <is>
          <t>PX_ASK</t>
        </is>
      </c>
      <c r="BW3" s="5" t="inlineStr">
        <is>
          <t>PX_MID</t>
        </is>
      </c>
      <c r="BX3" s="5" t="inlineStr">
        <is>
          <t>PX_LAST</t>
        </is>
      </c>
      <c r="BY3" s="5" t="inlineStr">
        <is>
          <t>PX_SETTLE</t>
        </is>
      </c>
      <c r="BZ3" s="5" t="inlineStr">
        <is>
          <t>PX_VOLUME</t>
        </is>
      </c>
      <c r="CA3" s="5" t="inlineStr">
        <is>
          <t>OPEN_INT</t>
        </is>
      </c>
      <c r="CB3" s="5" t="inlineStr">
        <is>
          <t>IVOL_MID</t>
        </is>
      </c>
      <c r="CC3" s="5" t="inlineStr">
        <is>
          <t>IVOL_BID</t>
        </is>
      </c>
      <c r="CD3" s="5" t="inlineStr">
        <is>
          <t>IVOL_ASK</t>
        </is>
      </c>
      <c r="CE3" s="5" t="inlineStr">
        <is>
          <t>DELTA_MID</t>
        </is>
      </c>
      <c r="CF3" s="5" t="inlineStr">
        <is>
          <t>GAMMA_MID</t>
        </is>
      </c>
      <c r="CG3" s="5" t="inlineStr">
        <is>
          <t>VEGA_MID</t>
        </is>
      </c>
      <c r="CH3" s="5" t="inlineStr">
        <is>
          <t>THETA_MID</t>
        </is>
      </c>
      <c r="CI3" s="5" t="inlineStr">
        <is>
          <t>OPT_UNDL_PX</t>
        </is>
      </c>
      <c r="CK3" s="5" t="inlineStr">
        <is>
          <t>Date</t>
        </is>
      </c>
      <c r="CL3" s="5" t="inlineStr">
        <is>
          <t>PX_BID</t>
        </is>
      </c>
      <c r="CM3" s="5" t="inlineStr">
        <is>
          <t>PX_ASK</t>
        </is>
      </c>
      <c r="CN3" s="5" t="inlineStr">
        <is>
          <t>PX_MID</t>
        </is>
      </c>
      <c r="CO3" s="5" t="inlineStr">
        <is>
          <t>PX_LAST</t>
        </is>
      </c>
      <c r="CP3" s="5" t="inlineStr">
        <is>
          <t>PX_SETTLE</t>
        </is>
      </c>
      <c r="CQ3" s="5" t="inlineStr">
        <is>
          <t>PX_VOLUME</t>
        </is>
      </c>
      <c r="CR3" s="5" t="inlineStr">
        <is>
          <t>OPEN_INT</t>
        </is>
      </c>
      <c r="CS3" s="5" t="inlineStr">
        <is>
          <t>IVOL_MID</t>
        </is>
      </c>
      <c r="CT3" s="5" t="inlineStr">
        <is>
          <t>IVOL_BID</t>
        </is>
      </c>
      <c r="CU3" s="5" t="inlineStr">
        <is>
          <t>IVOL_ASK</t>
        </is>
      </c>
      <c r="CV3" s="5" t="inlineStr">
        <is>
          <t>DELTA_MID</t>
        </is>
      </c>
      <c r="CW3" s="5" t="inlineStr">
        <is>
          <t>GAMMA_MID</t>
        </is>
      </c>
      <c r="CX3" s="5" t="inlineStr">
        <is>
          <t>VEGA_MID</t>
        </is>
      </c>
      <c r="CY3" s="5" t="inlineStr">
        <is>
          <t>THETA_MID</t>
        </is>
      </c>
      <c r="CZ3" s="5" t="inlineStr">
        <is>
          <t>OPT_UNDL_PX</t>
        </is>
      </c>
      <c r="DB3" s="5" t="inlineStr">
        <is>
          <t>Date</t>
        </is>
      </c>
      <c r="DC3" s="5" t="inlineStr">
        <is>
          <t>PX_BID</t>
        </is>
      </c>
      <c r="DD3" s="5" t="inlineStr">
        <is>
          <t>PX_ASK</t>
        </is>
      </c>
      <c r="DE3" s="5" t="inlineStr">
        <is>
          <t>PX_MID</t>
        </is>
      </c>
      <c r="DF3" s="5" t="inlineStr">
        <is>
          <t>PX_LAST</t>
        </is>
      </c>
      <c r="DG3" s="5" t="inlineStr">
        <is>
          <t>PX_SETTLE</t>
        </is>
      </c>
      <c r="DH3" s="5" t="inlineStr">
        <is>
          <t>PX_VOLUME</t>
        </is>
      </c>
      <c r="DI3" s="5" t="inlineStr">
        <is>
          <t>OPEN_INT</t>
        </is>
      </c>
      <c r="DJ3" s="5" t="inlineStr">
        <is>
          <t>IVOL_MID</t>
        </is>
      </c>
      <c r="DK3" s="5" t="inlineStr">
        <is>
          <t>IVOL_BID</t>
        </is>
      </c>
      <c r="DL3" s="5" t="inlineStr">
        <is>
          <t>IVOL_ASK</t>
        </is>
      </c>
      <c r="DM3" s="5" t="inlineStr">
        <is>
          <t>DELTA_MID</t>
        </is>
      </c>
      <c r="DN3" s="5" t="inlineStr">
        <is>
          <t>GAMMA_MID</t>
        </is>
      </c>
      <c r="DO3" s="5" t="inlineStr">
        <is>
          <t>VEGA_MID</t>
        </is>
      </c>
      <c r="DP3" s="5" t="inlineStr">
        <is>
          <t>THETA_MID</t>
        </is>
      </c>
      <c r="DQ3" s="5" t="inlineStr">
        <is>
          <t>OPT_UNDL_PX</t>
        </is>
      </c>
      <c r="DS3" s="5" t="inlineStr">
        <is>
          <t>Date</t>
        </is>
      </c>
      <c r="DT3" s="5" t="inlineStr">
        <is>
          <t>PX_BID</t>
        </is>
      </c>
      <c r="DU3" s="5" t="inlineStr">
        <is>
          <t>PX_ASK</t>
        </is>
      </c>
      <c r="DV3" s="5" t="inlineStr">
        <is>
          <t>PX_MID</t>
        </is>
      </c>
      <c r="DW3" s="5" t="inlineStr">
        <is>
          <t>PX_LAST</t>
        </is>
      </c>
      <c r="DX3" s="5" t="inlineStr">
        <is>
          <t>PX_SETTLE</t>
        </is>
      </c>
      <c r="DY3" s="5" t="inlineStr">
        <is>
          <t>PX_VOLUME</t>
        </is>
      </c>
      <c r="DZ3" s="5" t="inlineStr">
        <is>
          <t>OPEN_INT</t>
        </is>
      </c>
      <c r="EA3" s="5" t="inlineStr">
        <is>
          <t>IVOL_MID</t>
        </is>
      </c>
      <c r="EB3" s="5" t="inlineStr">
        <is>
          <t>IVOL_BID</t>
        </is>
      </c>
      <c r="EC3" s="5" t="inlineStr">
        <is>
          <t>IVOL_ASK</t>
        </is>
      </c>
      <c r="ED3" s="5" t="inlineStr">
        <is>
          <t>DELTA_MID</t>
        </is>
      </c>
      <c r="EE3" s="5" t="inlineStr">
        <is>
          <t>GAMMA_MID</t>
        </is>
      </c>
      <c r="EF3" s="5" t="inlineStr">
        <is>
          <t>VEGA_MID</t>
        </is>
      </c>
      <c r="EG3" s="5" t="inlineStr">
        <is>
          <t>THETA_MID</t>
        </is>
      </c>
      <c r="EH3" s="5" t="inlineStr">
        <is>
          <t>OPT_UNDL_PX</t>
        </is>
      </c>
      <c r="EJ3" s="5" t="inlineStr">
        <is>
          <t>Date</t>
        </is>
      </c>
      <c r="EK3" s="5" t="inlineStr">
        <is>
          <t>PX_BID</t>
        </is>
      </c>
      <c r="EL3" s="5" t="inlineStr">
        <is>
          <t>PX_ASK</t>
        </is>
      </c>
      <c r="EM3" s="5" t="inlineStr">
        <is>
          <t>PX_MID</t>
        </is>
      </c>
      <c r="EN3" s="5" t="inlineStr">
        <is>
          <t>PX_LAST</t>
        </is>
      </c>
      <c r="EO3" s="5" t="inlineStr">
        <is>
          <t>PX_SETTLE</t>
        </is>
      </c>
      <c r="EP3" s="5" t="inlineStr">
        <is>
          <t>PX_VOLUME</t>
        </is>
      </c>
      <c r="EQ3" s="5" t="inlineStr">
        <is>
          <t>OPEN_INT</t>
        </is>
      </c>
      <c r="ER3" s="5" t="inlineStr">
        <is>
          <t>IVOL_MID</t>
        </is>
      </c>
      <c r="ES3" s="5" t="inlineStr">
        <is>
          <t>IVOL_BID</t>
        </is>
      </c>
      <c r="ET3" s="5" t="inlineStr">
        <is>
          <t>IVOL_ASK</t>
        </is>
      </c>
      <c r="EU3" s="5" t="inlineStr">
        <is>
          <t>DELTA_MID</t>
        </is>
      </c>
      <c r="EV3" s="5" t="inlineStr">
        <is>
          <t>GAMMA_MID</t>
        </is>
      </c>
      <c r="EW3" s="5" t="inlineStr">
        <is>
          <t>VEGA_MID</t>
        </is>
      </c>
      <c r="EX3" s="5" t="inlineStr">
        <is>
          <t>THETA_MID</t>
        </is>
      </c>
      <c r="EY3" s="5" t="inlineStr">
        <is>
          <t>OPT_UNDL_PX</t>
        </is>
      </c>
      <c r="FA3" s="5" t="inlineStr">
        <is>
          <t>Date</t>
        </is>
      </c>
      <c r="FB3" s="5" t="inlineStr">
        <is>
          <t>PX_BID</t>
        </is>
      </c>
      <c r="FC3" s="5" t="inlineStr">
        <is>
          <t>PX_ASK</t>
        </is>
      </c>
      <c r="FD3" s="5" t="inlineStr">
        <is>
          <t>PX_MID</t>
        </is>
      </c>
      <c r="FE3" s="5" t="inlineStr">
        <is>
          <t>PX_LAST</t>
        </is>
      </c>
      <c r="FF3" s="5" t="inlineStr">
        <is>
          <t>PX_SETTLE</t>
        </is>
      </c>
      <c r="FG3" s="5" t="inlineStr">
        <is>
          <t>PX_VOLUME</t>
        </is>
      </c>
      <c r="FH3" s="5" t="inlineStr">
        <is>
          <t>OPEN_INT</t>
        </is>
      </c>
      <c r="FI3" s="5" t="inlineStr">
        <is>
          <t>IVOL_MID</t>
        </is>
      </c>
      <c r="FJ3" s="5" t="inlineStr">
        <is>
          <t>IVOL_BID</t>
        </is>
      </c>
      <c r="FK3" s="5" t="inlineStr">
        <is>
          <t>IVOL_ASK</t>
        </is>
      </c>
      <c r="FL3" s="5" t="inlineStr">
        <is>
          <t>DELTA_MID</t>
        </is>
      </c>
      <c r="FM3" s="5" t="inlineStr">
        <is>
          <t>GAMMA_MID</t>
        </is>
      </c>
      <c r="FN3" s="5" t="inlineStr">
        <is>
          <t>VEGA_MID</t>
        </is>
      </c>
      <c r="FO3" s="5" t="inlineStr">
        <is>
          <t>THETA_MID</t>
        </is>
      </c>
      <c r="FP3" s="5" t="inlineStr">
        <is>
          <t>OPT_UNDL_PX</t>
        </is>
      </c>
      <c r="FR3" s="5" t="inlineStr">
        <is>
          <t>Date</t>
        </is>
      </c>
      <c r="FS3" s="5" t="inlineStr">
        <is>
          <t>PX_BID</t>
        </is>
      </c>
      <c r="FT3" s="5" t="inlineStr">
        <is>
          <t>PX_ASK</t>
        </is>
      </c>
      <c r="FU3" s="5" t="inlineStr">
        <is>
          <t>PX_MID</t>
        </is>
      </c>
      <c r="FV3" s="5" t="inlineStr">
        <is>
          <t>PX_LAST</t>
        </is>
      </c>
      <c r="FW3" s="5" t="inlineStr">
        <is>
          <t>PX_SETTLE</t>
        </is>
      </c>
      <c r="FX3" s="5" t="inlineStr">
        <is>
          <t>PX_VOLUME</t>
        </is>
      </c>
      <c r="FY3" s="5" t="inlineStr">
        <is>
          <t>OPEN_INT</t>
        </is>
      </c>
      <c r="FZ3" s="5" t="inlineStr">
        <is>
          <t>IVOL_MID</t>
        </is>
      </c>
      <c r="GA3" s="5" t="inlineStr">
        <is>
          <t>IVOL_BID</t>
        </is>
      </c>
      <c r="GB3" s="5" t="inlineStr">
        <is>
          <t>IVOL_ASK</t>
        </is>
      </c>
      <c r="GC3" s="5" t="inlineStr">
        <is>
          <t>DELTA_MID</t>
        </is>
      </c>
      <c r="GD3" s="5" t="inlineStr">
        <is>
          <t>GAMMA_MID</t>
        </is>
      </c>
      <c r="GE3" s="5" t="inlineStr">
        <is>
          <t>VEGA_MID</t>
        </is>
      </c>
      <c r="GF3" s="5" t="inlineStr">
        <is>
          <t>THETA_MID</t>
        </is>
      </c>
      <c r="GG3" s="5" t="inlineStr">
        <is>
          <t>OPT_UNDL_PX</t>
        </is>
      </c>
      <c r="GI3" s="5" t="inlineStr">
        <is>
          <t>Date</t>
        </is>
      </c>
      <c r="GJ3" s="5" t="inlineStr">
        <is>
          <t>PX_BID</t>
        </is>
      </c>
      <c r="GK3" s="5" t="inlineStr">
        <is>
          <t>PX_ASK</t>
        </is>
      </c>
      <c r="GL3" s="5" t="inlineStr">
        <is>
          <t>PX_MID</t>
        </is>
      </c>
      <c r="GM3" s="5" t="inlineStr">
        <is>
          <t>PX_LAST</t>
        </is>
      </c>
      <c r="GN3" s="5" t="inlineStr">
        <is>
          <t>PX_SETTLE</t>
        </is>
      </c>
      <c r="GO3" s="5" t="inlineStr">
        <is>
          <t>PX_VOLUME</t>
        </is>
      </c>
      <c r="GP3" s="5" t="inlineStr">
        <is>
          <t>OPEN_INT</t>
        </is>
      </c>
      <c r="GQ3" s="5" t="inlineStr">
        <is>
          <t>IVOL_MID</t>
        </is>
      </c>
      <c r="GR3" s="5" t="inlineStr">
        <is>
          <t>IVOL_BID</t>
        </is>
      </c>
      <c r="GS3" s="5" t="inlineStr">
        <is>
          <t>IVOL_ASK</t>
        </is>
      </c>
      <c r="GT3" s="5" t="inlineStr">
        <is>
          <t>DELTA_MID</t>
        </is>
      </c>
      <c r="GU3" s="5" t="inlineStr">
        <is>
          <t>GAMMA_MID</t>
        </is>
      </c>
      <c r="GV3" s="5" t="inlineStr">
        <is>
          <t>VEGA_MID</t>
        </is>
      </c>
      <c r="GW3" s="5" t="inlineStr">
        <is>
          <t>THETA_MID</t>
        </is>
      </c>
      <c r="GX3" s="5" t="inlineStr">
        <is>
          <t>OPT_UNDL_PX</t>
        </is>
      </c>
      <c r="GZ3" s="5" t="inlineStr">
        <is>
          <t>Date</t>
        </is>
      </c>
      <c r="HA3" s="5" t="inlineStr">
        <is>
          <t>PX_BID</t>
        </is>
      </c>
      <c r="HB3" s="5" t="inlineStr">
        <is>
          <t>PX_ASK</t>
        </is>
      </c>
      <c r="HC3" s="5" t="inlineStr">
        <is>
          <t>PX_MID</t>
        </is>
      </c>
      <c r="HD3" s="5" t="inlineStr">
        <is>
          <t>PX_LAST</t>
        </is>
      </c>
      <c r="HE3" s="5" t="inlineStr">
        <is>
          <t>PX_SETTLE</t>
        </is>
      </c>
      <c r="HF3" s="5" t="inlineStr">
        <is>
          <t>PX_VOLUME</t>
        </is>
      </c>
      <c r="HG3" s="5" t="inlineStr">
        <is>
          <t>OPEN_INT</t>
        </is>
      </c>
      <c r="HH3" s="5" t="inlineStr">
        <is>
          <t>IVOL_MID</t>
        </is>
      </c>
      <c r="HI3" s="5" t="inlineStr">
        <is>
          <t>IVOL_BID</t>
        </is>
      </c>
      <c r="HJ3" s="5" t="inlineStr">
        <is>
          <t>IVOL_ASK</t>
        </is>
      </c>
      <c r="HK3" s="5" t="inlineStr">
        <is>
          <t>DELTA_MID</t>
        </is>
      </c>
      <c r="HL3" s="5" t="inlineStr">
        <is>
          <t>GAMMA_MID</t>
        </is>
      </c>
      <c r="HM3" s="5" t="inlineStr">
        <is>
          <t>VEGA_MID</t>
        </is>
      </c>
      <c r="HN3" s="5" t="inlineStr">
        <is>
          <t>THETA_MID</t>
        </is>
      </c>
      <c r="HO3" s="5" t="inlineStr">
        <is>
          <t>OPT_UNDL_PX</t>
        </is>
      </c>
      <c r="HQ3" s="5" t="inlineStr">
        <is>
          <t>Date</t>
        </is>
      </c>
      <c r="HR3" s="5" t="inlineStr">
        <is>
          <t>PX_BID</t>
        </is>
      </c>
      <c r="HS3" s="5" t="inlineStr">
        <is>
          <t>PX_ASK</t>
        </is>
      </c>
      <c r="HT3" s="5" t="inlineStr">
        <is>
          <t>PX_MID</t>
        </is>
      </c>
      <c r="HU3" s="5" t="inlineStr">
        <is>
          <t>PX_LAST</t>
        </is>
      </c>
      <c r="HV3" s="5" t="inlineStr">
        <is>
          <t>PX_SETTLE</t>
        </is>
      </c>
      <c r="HW3" s="5" t="inlineStr">
        <is>
          <t>PX_VOLUME</t>
        </is>
      </c>
      <c r="HX3" s="5" t="inlineStr">
        <is>
          <t>OPEN_INT</t>
        </is>
      </c>
      <c r="HY3" s="5" t="inlineStr">
        <is>
          <t>IVOL_MID</t>
        </is>
      </c>
      <c r="HZ3" s="5" t="inlineStr">
        <is>
          <t>IVOL_BID</t>
        </is>
      </c>
      <c r="IA3" s="5" t="inlineStr">
        <is>
          <t>IVOL_ASK</t>
        </is>
      </c>
      <c r="IB3" s="5" t="inlineStr">
        <is>
          <t>DELTA_MID</t>
        </is>
      </c>
      <c r="IC3" s="5" t="inlineStr">
        <is>
          <t>GAMMA_MID</t>
        </is>
      </c>
      <c r="ID3" s="5" t="inlineStr">
        <is>
          <t>VEGA_MID</t>
        </is>
      </c>
      <c r="IE3" s="5" t="inlineStr">
        <is>
          <t>THETA_MID</t>
        </is>
      </c>
      <c r="IF3" s="5" t="inlineStr">
        <is>
          <t>OPT_UNDL_PX</t>
        </is>
      </c>
      <c r="IH3" s="5" t="inlineStr">
        <is>
          <t>Date</t>
        </is>
      </c>
      <c r="II3" s="5" t="inlineStr">
        <is>
          <t>PX_BID</t>
        </is>
      </c>
      <c r="IJ3" s="5" t="inlineStr">
        <is>
          <t>PX_ASK</t>
        </is>
      </c>
      <c r="IK3" s="5" t="inlineStr">
        <is>
          <t>PX_MID</t>
        </is>
      </c>
      <c r="IL3" s="5" t="inlineStr">
        <is>
          <t>PX_LAST</t>
        </is>
      </c>
      <c r="IM3" s="5" t="inlineStr">
        <is>
          <t>PX_SETTLE</t>
        </is>
      </c>
      <c r="IN3" s="5" t="inlineStr">
        <is>
          <t>PX_VOLUME</t>
        </is>
      </c>
      <c r="IO3" s="5" t="inlineStr">
        <is>
          <t>OPEN_INT</t>
        </is>
      </c>
      <c r="IP3" s="5" t="inlineStr">
        <is>
          <t>IVOL_MID</t>
        </is>
      </c>
      <c r="IQ3" s="5" t="inlineStr">
        <is>
          <t>IVOL_BID</t>
        </is>
      </c>
      <c r="IR3" s="5" t="inlineStr">
        <is>
          <t>IVOL_ASK</t>
        </is>
      </c>
      <c r="IS3" s="5" t="inlineStr">
        <is>
          <t>DELTA_MID</t>
        </is>
      </c>
      <c r="IT3" s="5" t="inlineStr">
        <is>
          <t>GAMMA_MID</t>
        </is>
      </c>
      <c r="IU3" s="5" t="inlineStr">
        <is>
          <t>VEGA_MID</t>
        </is>
      </c>
      <c r="IV3" s="5" t="inlineStr">
        <is>
          <t>THETA_MID</t>
        </is>
      </c>
      <c r="IW3" s="5" t="inlineStr">
        <is>
          <t>OPT_UNDL_PX</t>
        </is>
      </c>
      <c r="IY3" s="5" t="inlineStr">
        <is>
          <t>Date</t>
        </is>
      </c>
      <c r="IZ3" s="5" t="inlineStr">
        <is>
          <t>PX_BID</t>
        </is>
      </c>
      <c r="JA3" s="5" t="inlineStr">
        <is>
          <t>PX_ASK</t>
        </is>
      </c>
      <c r="JB3" s="5" t="inlineStr">
        <is>
          <t>PX_MID</t>
        </is>
      </c>
      <c r="JC3" s="5" t="inlineStr">
        <is>
          <t>PX_LAST</t>
        </is>
      </c>
      <c r="JD3" s="5" t="inlineStr">
        <is>
          <t>PX_SETTLE</t>
        </is>
      </c>
      <c r="JE3" s="5" t="inlineStr">
        <is>
          <t>PX_VOLUME</t>
        </is>
      </c>
      <c r="JF3" s="5" t="inlineStr">
        <is>
          <t>OPEN_INT</t>
        </is>
      </c>
      <c r="JG3" s="5" t="inlineStr">
        <is>
          <t>IVOL_MID</t>
        </is>
      </c>
      <c r="JH3" s="5" t="inlineStr">
        <is>
          <t>IVOL_BID</t>
        </is>
      </c>
      <c r="JI3" s="5" t="inlineStr">
        <is>
          <t>IVOL_ASK</t>
        </is>
      </c>
      <c r="JJ3" s="5" t="inlineStr">
        <is>
          <t>DELTA_MID</t>
        </is>
      </c>
      <c r="JK3" s="5" t="inlineStr">
        <is>
          <t>GAMMA_MID</t>
        </is>
      </c>
      <c r="JL3" s="5" t="inlineStr">
        <is>
          <t>VEGA_MID</t>
        </is>
      </c>
      <c r="JM3" s="5" t="inlineStr">
        <is>
          <t>THETA_MID</t>
        </is>
      </c>
      <c r="JN3" s="5" t="inlineStr">
        <is>
          <t>OPT_UNDL_PX</t>
        </is>
      </c>
      <c r="JP3" s="5" t="inlineStr">
        <is>
          <t>Date</t>
        </is>
      </c>
      <c r="JQ3" s="5" t="inlineStr">
        <is>
          <t>PX_BID</t>
        </is>
      </c>
      <c r="JR3" s="5" t="inlineStr">
        <is>
          <t>PX_ASK</t>
        </is>
      </c>
      <c r="JS3" s="5" t="inlineStr">
        <is>
          <t>PX_MID</t>
        </is>
      </c>
      <c r="JT3" s="5" t="inlineStr">
        <is>
          <t>PX_LAST</t>
        </is>
      </c>
      <c r="JU3" s="5" t="inlineStr">
        <is>
          <t>PX_SETTLE</t>
        </is>
      </c>
      <c r="JV3" s="5" t="inlineStr">
        <is>
          <t>PX_VOLUME</t>
        </is>
      </c>
      <c r="JW3" s="5" t="inlineStr">
        <is>
          <t>OPEN_INT</t>
        </is>
      </c>
      <c r="JX3" s="5" t="inlineStr">
        <is>
          <t>IVOL_MID</t>
        </is>
      </c>
      <c r="JY3" s="5" t="inlineStr">
        <is>
          <t>IVOL_BID</t>
        </is>
      </c>
      <c r="JZ3" s="5" t="inlineStr">
        <is>
          <t>IVOL_ASK</t>
        </is>
      </c>
      <c r="KA3" s="5" t="inlineStr">
        <is>
          <t>DELTA_MID</t>
        </is>
      </c>
      <c r="KB3" s="5" t="inlineStr">
        <is>
          <t>GAMMA_MID</t>
        </is>
      </c>
      <c r="KC3" s="5" t="inlineStr">
        <is>
          <t>VEGA_MID</t>
        </is>
      </c>
      <c r="KD3" s="5" t="inlineStr">
        <is>
          <t>THETA_MID</t>
        </is>
      </c>
      <c r="KE3" s="5" t="inlineStr">
        <is>
          <t>OPT_UNDL_PX</t>
        </is>
      </c>
      <c r="KG3" s="5" t="inlineStr">
        <is>
          <t>Date</t>
        </is>
      </c>
      <c r="KH3" s="5" t="inlineStr">
        <is>
          <t>PX_BID</t>
        </is>
      </c>
      <c r="KI3" s="5" t="inlineStr">
        <is>
          <t>PX_ASK</t>
        </is>
      </c>
      <c r="KJ3" s="5" t="inlineStr">
        <is>
          <t>PX_MID</t>
        </is>
      </c>
      <c r="KK3" s="5" t="inlineStr">
        <is>
          <t>PX_LAST</t>
        </is>
      </c>
      <c r="KL3" s="5" t="inlineStr">
        <is>
          <t>PX_SETTLE</t>
        </is>
      </c>
      <c r="KM3" s="5" t="inlineStr">
        <is>
          <t>PX_VOLUME</t>
        </is>
      </c>
      <c r="KN3" s="5" t="inlineStr">
        <is>
          <t>OPEN_INT</t>
        </is>
      </c>
      <c r="KO3" s="5" t="inlineStr">
        <is>
          <t>IVOL_MID</t>
        </is>
      </c>
      <c r="KP3" s="5" t="inlineStr">
        <is>
          <t>IVOL_BID</t>
        </is>
      </c>
      <c r="KQ3" s="5" t="inlineStr">
        <is>
          <t>IVOL_ASK</t>
        </is>
      </c>
      <c r="KR3" s="5" t="inlineStr">
        <is>
          <t>DELTA_MID</t>
        </is>
      </c>
      <c r="KS3" s="5" t="inlineStr">
        <is>
          <t>GAMMA_MID</t>
        </is>
      </c>
      <c r="KT3" s="5" t="inlineStr">
        <is>
          <t>VEGA_MID</t>
        </is>
      </c>
      <c r="KU3" s="5" t="inlineStr">
        <is>
          <t>THETA_MID</t>
        </is>
      </c>
      <c r="KV3" s="5" t="inlineStr">
        <is>
          <t>OPT_UNDL_PX</t>
        </is>
      </c>
      <c r="KX3" s="5" t="inlineStr">
        <is>
          <t>Date</t>
        </is>
      </c>
      <c r="KY3" s="5" t="inlineStr">
        <is>
          <t>PX_BID</t>
        </is>
      </c>
      <c r="KZ3" s="5" t="inlineStr">
        <is>
          <t>PX_ASK</t>
        </is>
      </c>
      <c r="LA3" s="5" t="inlineStr">
        <is>
          <t>PX_MID</t>
        </is>
      </c>
      <c r="LB3" s="5" t="inlineStr">
        <is>
          <t>PX_LAST</t>
        </is>
      </c>
      <c r="LC3" s="5" t="inlineStr">
        <is>
          <t>PX_SETTLE</t>
        </is>
      </c>
      <c r="LD3" s="5" t="inlineStr">
        <is>
          <t>PX_VOLUME</t>
        </is>
      </c>
      <c r="LE3" s="5" t="inlineStr">
        <is>
          <t>OPEN_INT</t>
        </is>
      </c>
      <c r="LF3" s="5" t="inlineStr">
        <is>
          <t>IVOL_MID</t>
        </is>
      </c>
      <c r="LG3" s="5" t="inlineStr">
        <is>
          <t>IVOL_BID</t>
        </is>
      </c>
      <c r="LH3" s="5" t="inlineStr">
        <is>
          <t>IVOL_ASK</t>
        </is>
      </c>
      <c r="LI3" s="5" t="inlineStr">
        <is>
          <t>DELTA_MID</t>
        </is>
      </c>
      <c r="LJ3" s="5" t="inlineStr">
        <is>
          <t>GAMMA_MID</t>
        </is>
      </c>
      <c r="LK3" s="5" t="inlineStr">
        <is>
          <t>VEGA_MID</t>
        </is>
      </c>
      <c r="LL3" s="5" t="inlineStr">
        <is>
          <t>THETA_MID</t>
        </is>
      </c>
      <c r="LM3" s="5" t="inlineStr">
        <is>
          <t>OPT_UNDL_PX</t>
        </is>
      </c>
      <c r="LO3" s="5" t="inlineStr">
        <is>
          <t>Date</t>
        </is>
      </c>
      <c r="LP3" s="5" t="inlineStr">
        <is>
          <t>PX_BID</t>
        </is>
      </c>
      <c r="LQ3" s="5" t="inlineStr">
        <is>
          <t>PX_ASK</t>
        </is>
      </c>
      <c r="LR3" s="5" t="inlineStr">
        <is>
          <t>PX_MID</t>
        </is>
      </c>
      <c r="LS3" s="5" t="inlineStr">
        <is>
          <t>PX_LAST</t>
        </is>
      </c>
      <c r="LT3" s="5" t="inlineStr">
        <is>
          <t>PX_SETTLE</t>
        </is>
      </c>
      <c r="LU3" s="5" t="inlineStr">
        <is>
          <t>PX_VOLUME</t>
        </is>
      </c>
      <c r="LV3" s="5" t="inlineStr">
        <is>
          <t>OPEN_INT</t>
        </is>
      </c>
      <c r="LW3" s="5" t="inlineStr">
        <is>
          <t>IVOL_MID</t>
        </is>
      </c>
      <c r="LX3" s="5" t="inlineStr">
        <is>
          <t>IVOL_BID</t>
        </is>
      </c>
      <c r="LY3" s="5" t="inlineStr">
        <is>
          <t>IVOL_ASK</t>
        </is>
      </c>
      <c r="LZ3" s="5" t="inlineStr">
        <is>
          <t>DELTA_MID</t>
        </is>
      </c>
      <c r="MA3" s="5" t="inlineStr">
        <is>
          <t>GAMMA_MID</t>
        </is>
      </c>
      <c r="MB3" s="5" t="inlineStr">
        <is>
          <t>VEGA_MID</t>
        </is>
      </c>
      <c r="MC3" s="5" t="inlineStr">
        <is>
          <t>THETA_MID</t>
        </is>
      </c>
      <c r="MD3" s="5" t="inlineStr">
        <is>
          <t>OPT_UNDL_PX</t>
        </is>
      </c>
      <c r="MF3" s="5" t="inlineStr">
        <is>
          <t>Date</t>
        </is>
      </c>
      <c r="MG3" s="5" t="inlineStr">
        <is>
          <t>PX_BID</t>
        </is>
      </c>
      <c r="MH3" s="5" t="inlineStr">
        <is>
          <t>PX_ASK</t>
        </is>
      </c>
      <c r="MI3" s="5" t="inlineStr">
        <is>
          <t>PX_MID</t>
        </is>
      </c>
      <c r="MJ3" s="5" t="inlineStr">
        <is>
          <t>PX_LAST</t>
        </is>
      </c>
      <c r="MK3" s="5" t="inlineStr">
        <is>
          <t>PX_SETTLE</t>
        </is>
      </c>
      <c r="ML3" s="5" t="inlineStr">
        <is>
          <t>PX_VOLUME</t>
        </is>
      </c>
      <c r="MM3" s="5" t="inlineStr">
        <is>
          <t>OPEN_INT</t>
        </is>
      </c>
      <c r="MN3" s="5" t="inlineStr">
        <is>
          <t>IVOL_MID</t>
        </is>
      </c>
      <c r="MO3" s="5" t="inlineStr">
        <is>
          <t>IVOL_BID</t>
        </is>
      </c>
      <c r="MP3" s="5" t="inlineStr">
        <is>
          <t>IVOL_ASK</t>
        </is>
      </c>
      <c r="MQ3" s="5" t="inlineStr">
        <is>
          <t>DELTA_MID</t>
        </is>
      </c>
      <c r="MR3" s="5" t="inlineStr">
        <is>
          <t>GAMMA_MID</t>
        </is>
      </c>
      <c r="MS3" s="5" t="inlineStr">
        <is>
          <t>VEGA_MID</t>
        </is>
      </c>
      <c r="MT3" s="5" t="inlineStr">
        <is>
          <t>THETA_MID</t>
        </is>
      </c>
      <c r="MU3" s="5" t="inlineStr">
        <is>
          <t>OPT_UNDL_PX</t>
        </is>
      </c>
      <c r="MW3" s="5" t="inlineStr">
        <is>
          <t>Date</t>
        </is>
      </c>
      <c r="MX3" s="5" t="inlineStr">
        <is>
          <t>PX_BID</t>
        </is>
      </c>
      <c r="MY3" s="5" t="inlineStr">
        <is>
          <t>PX_ASK</t>
        </is>
      </c>
      <c r="MZ3" s="5" t="inlineStr">
        <is>
          <t>PX_MID</t>
        </is>
      </c>
      <c r="NA3" s="5" t="inlineStr">
        <is>
          <t>PX_LAST</t>
        </is>
      </c>
      <c r="NB3" s="5" t="inlineStr">
        <is>
          <t>PX_SETTLE</t>
        </is>
      </c>
      <c r="NC3" s="5" t="inlineStr">
        <is>
          <t>PX_VOLUME</t>
        </is>
      </c>
      <c r="ND3" s="5" t="inlineStr">
        <is>
          <t>OPEN_INT</t>
        </is>
      </c>
      <c r="NE3" s="5" t="inlineStr">
        <is>
          <t>IVOL_MID</t>
        </is>
      </c>
      <c r="NF3" s="5" t="inlineStr">
        <is>
          <t>IVOL_BID</t>
        </is>
      </c>
      <c r="NG3" s="5" t="inlineStr">
        <is>
          <t>IVOL_ASK</t>
        </is>
      </c>
      <c r="NH3" s="5" t="inlineStr">
        <is>
          <t>DELTA_MID</t>
        </is>
      </c>
      <c r="NI3" s="5" t="inlineStr">
        <is>
          <t>GAMMA_MID</t>
        </is>
      </c>
      <c r="NJ3" s="5" t="inlineStr">
        <is>
          <t>VEGA_MID</t>
        </is>
      </c>
      <c r="NK3" s="5" t="inlineStr">
        <is>
          <t>THETA_MID</t>
        </is>
      </c>
      <c r="NL3" s="5" t="inlineStr">
        <is>
          <t>OPT_UNDL_PX</t>
        </is>
      </c>
    </row>
    <row r="4">
      <c r="A4" s="2" t="inlineStr">
        <is>
          <t>Strike reference date</t>
        </is>
      </c>
      <c r="B4" s="8">
        <f>B3-45</f>
        <v/>
      </c>
      <c r="D4" s="4">
        <f>BDH(D$1,E$3:S$3,$B$8,$B$9,"Dir=V","Dts=S","Sort=A","Days=T","Fill=B")</f>
        <v/>
      </c>
      <c r="U4" s="4">
        <f>BDH(U$1,V$3:AJ$3,$B$8,$B$9,"Dir=V","Dts=S","Sort=A","Days=T","Fill=B")</f>
        <v/>
      </c>
      <c r="AL4" s="4">
        <f>BDH(AL$1,AM$3:BA$3,$B$8,$B$9,"Dir=V","Dts=S","Sort=A","Days=T","Fill=B")</f>
        <v/>
      </c>
      <c r="BC4" s="4">
        <f>BDH(BC$1,BD$3:BR$3,$B$8,$B$9,"Dir=V","Dts=S","Sort=A","Days=T","Fill=B")</f>
        <v/>
      </c>
      <c r="BT4" s="4">
        <f>BDH(BT$1,BU$3:CI$3,$B$8,$B$9,"Dir=V","Dts=S","Sort=A","Days=T","Fill=B")</f>
        <v/>
      </c>
      <c r="CK4" s="4">
        <f>BDH(CK$1,CL$3:CZ$3,$B$8,$B$9,"Dir=V","Dts=S","Sort=A","Days=T","Fill=B")</f>
        <v/>
      </c>
      <c r="DB4" s="4">
        <f>BDH(DB$1,DC$3:DQ$3,$B$8,$B$9,"Dir=V","Dts=S","Sort=A","Days=T","Fill=B")</f>
        <v/>
      </c>
      <c r="DS4" s="4">
        <f>BDH(DS$1,DT$3:EH$3,$B$8,$B$9,"Dir=V","Dts=S","Sort=A","Days=T","Fill=B")</f>
        <v/>
      </c>
      <c r="EJ4" s="4">
        <f>BDH(EJ$1,EK$3:EY$3,$B$8,$B$9,"Dir=V","Dts=S","Sort=A","Days=T","Fill=B")</f>
        <v/>
      </c>
      <c r="FA4" s="4">
        <f>BDH(FA$1,FB$3:FP$3,$B$8,$B$9,"Dir=V","Dts=S","Sort=A","Days=T","Fill=B")</f>
        <v/>
      </c>
      <c r="FR4" s="4">
        <f>BDH(FR$1,FS$3:GG$3,$B$8,$B$9,"Dir=V","Dts=S","Sort=A","Days=T","Fill=B")</f>
        <v/>
      </c>
      <c r="GI4" s="4">
        <f>BDH(GI$1,GJ$3:GX$3,$B$8,$B$9,"Dir=V","Dts=S","Sort=A","Days=T","Fill=B")</f>
        <v/>
      </c>
      <c r="GZ4" s="4">
        <f>BDH(GZ$1,HA$3:HO$3,$B$8,$B$9,"Dir=V","Dts=S","Sort=A","Days=T","Fill=B")</f>
        <v/>
      </c>
      <c r="HQ4" s="4">
        <f>BDH(HQ$1,HR$3:IF$3,$B$8,$B$9,"Dir=V","Dts=S","Sort=A","Days=T","Fill=B")</f>
        <v/>
      </c>
      <c r="IH4" s="4">
        <f>BDH(IH$1,II$3:IW$3,$B$8,$B$9,"Dir=V","Dts=S","Sort=A","Days=T","Fill=B")</f>
        <v/>
      </c>
      <c r="IY4" s="4">
        <f>BDH(IY$1,IZ$3:JN$3,$B$8,$B$9,"Dir=V","Dts=S","Sort=A","Days=T","Fill=B")</f>
        <v/>
      </c>
      <c r="JP4" s="4">
        <f>BDH(JP$1,JQ$3:KE$3,$B$8,$B$9,"Dir=V","Dts=S","Sort=A","Days=T","Fill=B")</f>
        <v/>
      </c>
      <c r="KG4" s="4">
        <f>BDH(KG$1,KH$3:KV$3,$B$8,$B$9,"Dir=V","Dts=S","Sort=A","Days=T","Fill=B")</f>
        <v/>
      </c>
      <c r="KX4" s="4">
        <f>BDH(KX$1,KY$3:LM$3,$B$8,$B$9,"Dir=V","Dts=S","Sort=A","Days=T","Fill=B")</f>
        <v/>
      </c>
      <c r="LO4" s="4">
        <f>BDH(LO$1,LP$3:MD$3,$B$8,$B$9,"Dir=V","Dts=S","Sort=A","Days=T","Fill=B")</f>
        <v/>
      </c>
      <c r="MF4" s="4">
        <f>BDH(MF$1,MG$3:MU$3,$B$8,$B$9,"Dir=V","Dts=S","Sort=A","Days=T","Fill=B")</f>
        <v/>
      </c>
      <c r="MW4" s="4">
        <f>BDH(MW$1,MX$3:NL$3,$B$8,$B$9,"Dir=V","Dts=S","Sort=A","Days=T","Fill=B")</f>
        <v/>
      </c>
    </row>
    <row r="5">
      <c r="A5" s="2" t="inlineStr">
        <is>
          <t>Unadjusted close then</t>
        </is>
      </c>
      <c r="B5" s="10">
        <f>IF(B2="","",BDH(B2,"PX_LAST",B4,B4,"Days=A","Fill=P","Dts=H","CshAdjNormal=N","CshAdjAbnormal=N","CapChg=N"))</f>
        <v/>
      </c>
    </row>
    <row r="6">
      <c r="A6" s="2" t="inlineStr">
        <is>
          <t>Strike step</t>
        </is>
      </c>
      <c r="B6" s="11">
        <f>IF(ISNUMBER(B5),IF(B5&lt;25,0.5,IF(B5&lt;250,1,5)),"")</f>
        <v/>
      </c>
    </row>
    <row r="7">
      <c r="A7" s="2" t="inlineStr">
        <is>
          <t>ATM strike</t>
        </is>
      </c>
      <c r="B7" s="11">
        <f>IF(ISNUMBER(B5),ROUND(B5/B6,0)*B6,"")</f>
        <v/>
      </c>
    </row>
    <row r="8">
      <c r="A8" s="2" t="inlineStr">
        <is>
          <t>History start</t>
        </is>
      </c>
      <c r="B8" s="8">
        <f>B3-100</f>
        <v/>
      </c>
    </row>
    <row r="9">
      <c r="A9" s="2" t="inlineStr">
        <is>
          <t>History end</t>
        </is>
      </c>
      <c r="B9" s="8">
        <f>B3</f>
        <v/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NL9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2" customWidth="1" min="2" max="2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1" customWidth="1" min="15" max="15"/>
    <col width="11" customWidth="1" min="16" max="16"/>
    <col width="10" customWidth="1" min="17" max="17"/>
    <col width="11" customWidth="1" min="18" max="18"/>
    <col width="13" customWidth="1" min="19" max="19"/>
    <col width="12" customWidth="1" min="21" max="21"/>
    <col width="10" customWidth="1" min="22" max="22"/>
    <col width="10" customWidth="1" min="23" max="23"/>
    <col width="10" customWidth="1" min="24" max="24"/>
    <col width="10" customWidth="1" min="25" max="25"/>
    <col width="11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1" customWidth="1" min="32" max="32"/>
    <col width="11" customWidth="1" min="33" max="33"/>
    <col width="10" customWidth="1" min="34" max="34"/>
    <col width="11" customWidth="1" min="35" max="35"/>
    <col width="13" customWidth="1" min="36" max="36"/>
    <col width="12" customWidth="1" min="38" max="38"/>
    <col width="10" customWidth="1" min="39" max="39"/>
    <col width="10" customWidth="1" min="40" max="40"/>
    <col width="10" customWidth="1" min="41" max="41"/>
    <col width="10" customWidth="1" min="42" max="42"/>
    <col width="11" customWidth="1" min="43" max="43"/>
    <col width="11" customWidth="1" min="44" max="44"/>
    <col width="10" customWidth="1" min="45" max="45"/>
    <col width="10" customWidth="1" min="46" max="46"/>
    <col width="10" customWidth="1" min="47" max="47"/>
    <col width="10" customWidth="1" min="48" max="48"/>
    <col width="11" customWidth="1" min="49" max="49"/>
    <col width="11" customWidth="1" min="50" max="50"/>
    <col width="10" customWidth="1" min="51" max="51"/>
    <col width="11" customWidth="1" min="52" max="52"/>
    <col width="13" customWidth="1" min="53" max="53"/>
    <col width="12" customWidth="1" min="55" max="55"/>
    <col width="10" customWidth="1" min="56" max="56"/>
    <col width="10" customWidth="1" min="57" max="57"/>
    <col width="10" customWidth="1" min="58" max="58"/>
    <col width="10" customWidth="1" min="59" max="59"/>
    <col width="11" customWidth="1" min="60" max="60"/>
    <col width="11" customWidth="1" min="61" max="61"/>
    <col width="10" customWidth="1" min="62" max="62"/>
    <col width="10" customWidth="1" min="63" max="63"/>
    <col width="10" customWidth="1" min="64" max="64"/>
    <col width="10" customWidth="1" min="65" max="65"/>
    <col width="11" customWidth="1" min="66" max="66"/>
    <col width="11" customWidth="1" min="67" max="67"/>
    <col width="10" customWidth="1" min="68" max="68"/>
    <col width="11" customWidth="1" min="69" max="69"/>
    <col width="13" customWidth="1" min="70" max="70"/>
    <col width="12" customWidth="1" min="72" max="72"/>
    <col width="10" customWidth="1" min="73" max="73"/>
    <col width="10" customWidth="1" min="74" max="74"/>
    <col width="10" customWidth="1" min="75" max="75"/>
    <col width="10" customWidth="1" min="76" max="76"/>
    <col width="11" customWidth="1" min="77" max="77"/>
    <col width="11" customWidth="1" min="78" max="78"/>
    <col width="10" customWidth="1" min="79" max="79"/>
    <col width="10" customWidth="1" min="80" max="80"/>
    <col width="10" customWidth="1" min="81" max="81"/>
    <col width="10" customWidth="1" min="82" max="82"/>
    <col width="11" customWidth="1" min="83" max="83"/>
    <col width="11" customWidth="1" min="84" max="84"/>
    <col width="10" customWidth="1" min="85" max="85"/>
    <col width="11" customWidth="1" min="86" max="86"/>
    <col width="13" customWidth="1" min="87" max="87"/>
    <col width="12" customWidth="1" min="89" max="89"/>
    <col width="10" customWidth="1" min="90" max="90"/>
    <col width="10" customWidth="1" min="91" max="91"/>
    <col width="10" customWidth="1" min="92" max="92"/>
    <col width="10" customWidth="1" min="93" max="93"/>
    <col width="11" customWidth="1" min="94" max="94"/>
    <col width="11" customWidth="1" min="95" max="95"/>
    <col width="10" customWidth="1" min="96" max="96"/>
    <col width="10" customWidth="1" min="97" max="97"/>
    <col width="10" customWidth="1" min="98" max="98"/>
    <col width="10" customWidth="1" min="99" max="99"/>
    <col width="11" customWidth="1" min="100" max="100"/>
    <col width="11" customWidth="1" min="101" max="101"/>
    <col width="10" customWidth="1" min="102" max="102"/>
    <col width="11" customWidth="1" min="103" max="103"/>
    <col width="13" customWidth="1" min="104" max="104"/>
    <col width="12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1" customWidth="1" min="111" max="111"/>
    <col width="11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1" customWidth="1" min="117" max="117"/>
    <col width="11" customWidth="1" min="118" max="118"/>
    <col width="10" customWidth="1" min="119" max="119"/>
    <col width="11" customWidth="1" min="120" max="120"/>
    <col width="13" customWidth="1" min="121" max="121"/>
    <col width="12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1" customWidth="1" min="128" max="128"/>
    <col width="11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1" customWidth="1" min="134" max="134"/>
    <col width="11" customWidth="1" min="135" max="135"/>
    <col width="10" customWidth="1" min="136" max="136"/>
    <col width="11" customWidth="1" min="137" max="137"/>
    <col width="13" customWidth="1" min="138" max="138"/>
    <col width="12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1" customWidth="1" min="145" max="145"/>
    <col width="11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1" customWidth="1" min="151" max="151"/>
    <col width="11" customWidth="1" min="152" max="152"/>
    <col width="10" customWidth="1" min="153" max="153"/>
    <col width="11" customWidth="1" min="154" max="154"/>
    <col width="13" customWidth="1" min="155" max="155"/>
    <col width="12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1" customWidth="1" min="162" max="162"/>
    <col width="11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1" customWidth="1" min="168" max="168"/>
    <col width="11" customWidth="1" min="169" max="169"/>
    <col width="10" customWidth="1" min="170" max="170"/>
    <col width="11" customWidth="1" min="171" max="171"/>
    <col width="13" customWidth="1" min="172" max="172"/>
    <col width="12" customWidth="1" min="174" max="174"/>
    <col width="10" customWidth="1" min="175" max="175"/>
    <col width="10" customWidth="1" min="176" max="176"/>
    <col width="10" customWidth="1" min="177" max="177"/>
    <col width="10" customWidth="1" min="178" max="178"/>
    <col width="11" customWidth="1" min="179" max="179"/>
    <col width="11" customWidth="1" min="180" max="180"/>
    <col width="10" customWidth="1" min="181" max="181"/>
    <col width="10" customWidth="1" min="182" max="182"/>
    <col width="10" customWidth="1" min="183" max="183"/>
    <col width="10" customWidth="1" min="184" max="184"/>
    <col width="11" customWidth="1" min="185" max="185"/>
    <col width="11" customWidth="1" min="186" max="186"/>
    <col width="10" customWidth="1" min="187" max="187"/>
    <col width="11" customWidth="1" min="188" max="188"/>
    <col width="13" customWidth="1" min="189" max="189"/>
    <col width="12" customWidth="1" min="191" max="191"/>
    <col width="10" customWidth="1" min="192" max="192"/>
    <col width="10" customWidth="1" min="193" max="193"/>
    <col width="10" customWidth="1" min="194" max="194"/>
    <col width="10" customWidth="1" min="195" max="195"/>
    <col width="11" customWidth="1" min="196" max="196"/>
    <col width="11" customWidth="1" min="197" max="197"/>
    <col width="10" customWidth="1" min="198" max="198"/>
    <col width="10" customWidth="1" min="199" max="199"/>
    <col width="10" customWidth="1" min="200" max="200"/>
    <col width="10" customWidth="1" min="201" max="201"/>
    <col width="11" customWidth="1" min="202" max="202"/>
    <col width="11" customWidth="1" min="203" max="203"/>
    <col width="10" customWidth="1" min="204" max="204"/>
    <col width="11" customWidth="1" min="205" max="205"/>
    <col width="13" customWidth="1" min="206" max="206"/>
    <col width="12" customWidth="1" min="208" max="208"/>
    <col width="10" customWidth="1" min="209" max="209"/>
    <col width="10" customWidth="1" min="210" max="210"/>
    <col width="10" customWidth="1" min="211" max="211"/>
    <col width="10" customWidth="1" min="212" max="212"/>
    <col width="11" customWidth="1" min="213" max="213"/>
    <col width="11" customWidth="1" min="214" max="214"/>
    <col width="10" customWidth="1" min="215" max="215"/>
    <col width="10" customWidth="1" min="216" max="216"/>
    <col width="10" customWidth="1" min="217" max="217"/>
    <col width="10" customWidth="1" min="218" max="218"/>
    <col width="11" customWidth="1" min="219" max="219"/>
    <col width="11" customWidth="1" min="220" max="220"/>
    <col width="10" customWidth="1" min="221" max="221"/>
    <col width="11" customWidth="1" min="222" max="222"/>
    <col width="13" customWidth="1" min="223" max="223"/>
    <col width="12" customWidth="1" min="225" max="225"/>
    <col width="10" customWidth="1" min="226" max="226"/>
    <col width="10" customWidth="1" min="227" max="227"/>
    <col width="10" customWidth="1" min="228" max="228"/>
    <col width="10" customWidth="1" min="229" max="229"/>
    <col width="11" customWidth="1" min="230" max="230"/>
    <col width="11" customWidth="1" min="231" max="231"/>
    <col width="10" customWidth="1" min="232" max="232"/>
    <col width="10" customWidth="1" min="233" max="233"/>
    <col width="10" customWidth="1" min="234" max="234"/>
    <col width="10" customWidth="1" min="235" max="235"/>
    <col width="11" customWidth="1" min="236" max="236"/>
    <col width="11" customWidth="1" min="237" max="237"/>
    <col width="10" customWidth="1" min="238" max="238"/>
    <col width="11" customWidth="1" min="239" max="239"/>
    <col width="13" customWidth="1" min="240" max="240"/>
    <col width="12" customWidth="1" min="242" max="242"/>
    <col width="10" customWidth="1" min="243" max="243"/>
    <col width="10" customWidth="1" min="244" max="244"/>
    <col width="10" customWidth="1" min="245" max="245"/>
    <col width="10" customWidth="1" min="246" max="246"/>
    <col width="11" customWidth="1" min="247" max="247"/>
    <col width="11" customWidth="1" min="248" max="248"/>
    <col width="10" customWidth="1" min="249" max="249"/>
    <col width="10" customWidth="1" min="250" max="250"/>
    <col width="10" customWidth="1" min="251" max="251"/>
    <col width="10" customWidth="1" min="252" max="252"/>
    <col width="11" customWidth="1" min="253" max="253"/>
    <col width="11" customWidth="1" min="254" max="254"/>
    <col width="10" customWidth="1" min="255" max="255"/>
    <col width="11" customWidth="1" min="256" max="256"/>
    <col width="13" customWidth="1" min="257" max="257"/>
    <col width="12" customWidth="1" min="259" max="259"/>
    <col width="10" customWidth="1" min="260" max="260"/>
    <col width="10" customWidth="1" min="261" max="261"/>
    <col width="10" customWidth="1" min="262" max="262"/>
    <col width="10" customWidth="1" min="263" max="263"/>
    <col width="11" customWidth="1" min="264" max="264"/>
    <col width="11" customWidth="1" min="265" max="265"/>
    <col width="10" customWidth="1" min="266" max="266"/>
    <col width="10" customWidth="1" min="267" max="267"/>
    <col width="10" customWidth="1" min="268" max="268"/>
    <col width="10" customWidth="1" min="269" max="269"/>
    <col width="11" customWidth="1" min="270" max="270"/>
    <col width="11" customWidth="1" min="271" max="271"/>
    <col width="10" customWidth="1" min="272" max="272"/>
    <col width="11" customWidth="1" min="273" max="273"/>
    <col width="13" customWidth="1" min="274" max="274"/>
    <col width="12" customWidth="1" min="276" max="276"/>
    <col width="10" customWidth="1" min="277" max="277"/>
    <col width="10" customWidth="1" min="278" max="278"/>
    <col width="10" customWidth="1" min="279" max="279"/>
    <col width="10" customWidth="1" min="280" max="280"/>
    <col width="11" customWidth="1" min="281" max="281"/>
    <col width="11" customWidth="1" min="282" max="282"/>
    <col width="10" customWidth="1" min="283" max="283"/>
    <col width="10" customWidth="1" min="284" max="284"/>
    <col width="10" customWidth="1" min="285" max="285"/>
    <col width="10" customWidth="1" min="286" max="286"/>
    <col width="11" customWidth="1" min="287" max="287"/>
    <col width="11" customWidth="1" min="288" max="288"/>
    <col width="10" customWidth="1" min="289" max="289"/>
    <col width="11" customWidth="1" min="290" max="290"/>
    <col width="13" customWidth="1" min="291" max="291"/>
    <col width="12" customWidth="1" min="293" max="293"/>
    <col width="10" customWidth="1" min="294" max="294"/>
    <col width="10" customWidth="1" min="295" max="295"/>
    <col width="10" customWidth="1" min="296" max="296"/>
    <col width="10" customWidth="1" min="297" max="297"/>
    <col width="11" customWidth="1" min="298" max="298"/>
    <col width="11" customWidth="1" min="299" max="299"/>
    <col width="10" customWidth="1" min="300" max="300"/>
    <col width="10" customWidth="1" min="301" max="301"/>
    <col width="10" customWidth="1" min="302" max="302"/>
    <col width="10" customWidth="1" min="303" max="303"/>
    <col width="11" customWidth="1" min="304" max="304"/>
    <col width="11" customWidth="1" min="305" max="305"/>
    <col width="10" customWidth="1" min="306" max="306"/>
    <col width="11" customWidth="1" min="307" max="307"/>
    <col width="13" customWidth="1" min="308" max="308"/>
    <col width="12" customWidth="1" min="310" max="310"/>
    <col width="10" customWidth="1" min="311" max="311"/>
    <col width="10" customWidth="1" min="312" max="312"/>
    <col width="10" customWidth="1" min="313" max="313"/>
    <col width="10" customWidth="1" min="314" max="314"/>
    <col width="11" customWidth="1" min="315" max="315"/>
    <col width="11" customWidth="1" min="316" max="316"/>
    <col width="10" customWidth="1" min="317" max="317"/>
    <col width="10" customWidth="1" min="318" max="318"/>
    <col width="10" customWidth="1" min="319" max="319"/>
    <col width="10" customWidth="1" min="320" max="320"/>
    <col width="11" customWidth="1" min="321" max="321"/>
    <col width="11" customWidth="1" min="322" max="322"/>
    <col width="10" customWidth="1" min="323" max="323"/>
    <col width="11" customWidth="1" min="324" max="324"/>
    <col width="13" customWidth="1" min="325" max="325"/>
    <col width="12" customWidth="1" min="327" max="327"/>
    <col width="10" customWidth="1" min="328" max="328"/>
    <col width="10" customWidth="1" min="329" max="329"/>
    <col width="10" customWidth="1" min="330" max="330"/>
    <col width="10" customWidth="1" min="331" max="331"/>
    <col width="11" customWidth="1" min="332" max="332"/>
    <col width="11" customWidth="1" min="333" max="333"/>
    <col width="10" customWidth="1" min="334" max="334"/>
    <col width="10" customWidth="1" min="335" max="335"/>
    <col width="10" customWidth="1" min="336" max="336"/>
    <col width="10" customWidth="1" min="337" max="337"/>
    <col width="11" customWidth="1" min="338" max="338"/>
    <col width="11" customWidth="1" min="339" max="339"/>
    <col width="10" customWidth="1" min="340" max="340"/>
    <col width="11" customWidth="1" min="341" max="341"/>
    <col width="13" customWidth="1" min="342" max="342"/>
    <col width="12" customWidth="1" min="344" max="344"/>
    <col width="10" customWidth="1" min="345" max="345"/>
    <col width="10" customWidth="1" min="346" max="346"/>
    <col width="10" customWidth="1" min="347" max="347"/>
    <col width="10" customWidth="1" min="348" max="348"/>
    <col width="11" customWidth="1" min="349" max="349"/>
    <col width="11" customWidth="1" min="350" max="350"/>
    <col width="10" customWidth="1" min="351" max="351"/>
    <col width="10" customWidth="1" min="352" max="352"/>
    <col width="10" customWidth="1" min="353" max="353"/>
    <col width="10" customWidth="1" min="354" max="354"/>
    <col width="11" customWidth="1" min="355" max="355"/>
    <col width="11" customWidth="1" min="356" max="356"/>
    <col width="10" customWidth="1" min="357" max="357"/>
    <col width="11" customWidth="1" min="358" max="358"/>
    <col width="13" customWidth="1" min="359" max="359"/>
    <col width="12" customWidth="1" min="361" max="361"/>
    <col width="10" customWidth="1" min="362" max="362"/>
    <col width="10" customWidth="1" min="363" max="363"/>
    <col width="10" customWidth="1" min="364" max="364"/>
    <col width="10" customWidth="1" min="365" max="365"/>
    <col width="11" customWidth="1" min="366" max="366"/>
    <col width="11" customWidth="1" min="367" max="367"/>
    <col width="10" customWidth="1" min="368" max="368"/>
    <col width="10" customWidth="1" min="369" max="369"/>
    <col width="10" customWidth="1" min="370" max="370"/>
    <col width="10" customWidth="1" min="371" max="371"/>
    <col width="11" customWidth="1" min="372" max="372"/>
    <col width="11" customWidth="1" min="373" max="373"/>
    <col width="10" customWidth="1" min="374" max="374"/>
    <col width="11" customWidth="1" min="375" max="375"/>
    <col width="13" customWidth="1" min="376" max="376"/>
  </cols>
  <sheetData>
    <row r="1">
      <c r="A1" s="2" t="inlineStr">
        <is>
          <t>Month</t>
        </is>
      </c>
      <c r="B1" s="9" t="n">
        <v>6</v>
      </c>
      <c r="D1" s="2">
        <f>IF(ISNUMBER(B$7),"DAL US "&amp;TEXT(B$3,"mm/dd/yy")&amp;" C"&amp;(B$7-5*B$6)&amp;" Equity","")</f>
        <v/>
      </c>
      <c r="U1" s="2">
        <f>IF(ISNUMBER(B$7),"DAL US "&amp;TEXT(B$3,"mm/dd/yy")&amp;" P"&amp;(B$7-5*B$6)&amp;" Equity","")</f>
        <v/>
      </c>
      <c r="AL1" s="2">
        <f>IF(ISNUMBER(B$7),"DAL US "&amp;TEXT(B$3,"mm/dd/yy")&amp;" C"&amp;(B$7-4*B$6)&amp;" Equity","")</f>
        <v/>
      </c>
      <c r="BC1" s="2">
        <f>IF(ISNUMBER(B$7),"DAL US "&amp;TEXT(B$3,"mm/dd/yy")&amp;" P"&amp;(B$7-4*B$6)&amp;" Equity","")</f>
        <v/>
      </c>
      <c r="BT1" s="2">
        <f>IF(ISNUMBER(B$7),"DAL US "&amp;TEXT(B$3,"mm/dd/yy")&amp;" C"&amp;(B$7-3*B$6)&amp;" Equity","")</f>
        <v/>
      </c>
      <c r="CK1" s="2">
        <f>IF(ISNUMBER(B$7),"DAL US "&amp;TEXT(B$3,"mm/dd/yy")&amp;" P"&amp;(B$7-3*B$6)&amp;" Equity","")</f>
        <v/>
      </c>
      <c r="DB1" s="2">
        <f>IF(ISNUMBER(B$7),"DAL US "&amp;TEXT(B$3,"mm/dd/yy")&amp;" C"&amp;(B$7-2*B$6)&amp;" Equity","")</f>
        <v/>
      </c>
      <c r="DS1" s="2">
        <f>IF(ISNUMBER(B$7),"DAL US "&amp;TEXT(B$3,"mm/dd/yy")&amp;" P"&amp;(B$7-2*B$6)&amp;" Equity","")</f>
        <v/>
      </c>
      <c r="EJ1" s="2">
        <f>IF(ISNUMBER(B$7),"DAL US "&amp;TEXT(B$3,"mm/dd/yy")&amp;" C"&amp;(B$7-1*B$6)&amp;" Equity","")</f>
        <v/>
      </c>
      <c r="FA1" s="2">
        <f>IF(ISNUMBER(B$7),"DAL US "&amp;TEXT(B$3,"mm/dd/yy")&amp;" P"&amp;(B$7-1*B$6)&amp;" Equity","")</f>
        <v/>
      </c>
      <c r="FR1" s="2">
        <f>IF(ISNUMBER(B$7),"DAL US "&amp;TEXT(B$3,"mm/dd/yy")&amp;" C"&amp;B$7&amp;" Equity","")</f>
        <v/>
      </c>
      <c r="GI1" s="2">
        <f>IF(ISNUMBER(B$7),"DAL US "&amp;TEXT(B$3,"mm/dd/yy")&amp;" P"&amp;B$7&amp;" Equity","")</f>
        <v/>
      </c>
      <c r="GZ1" s="2">
        <f>IF(ISNUMBER(B$7),"DAL US "&amp;TEXT(B$3,"mm/dd/yy")&amp;" C"&amp;(B$7+1*B$6)&amp;" Equity","")</f>
        <v/>
      </c>
      <c r="HQ1" s="2">
        <f>IF(ISNUMBER(B$7),"DAL US "&amp;TEXT(B$3,"mm/dd/yy")&amp;" P"&amp;(B$7+1*B$6)&amp;" Equity","")</f>
        <v/>
      </c>
      <c r="IH1" s="2">
        <f>IF(ISNUMBER(B$7),"DAL US "&amp;TEXT(B$3,"mm/dd/yy")&amp;" C"&amp;(B$7+2*B$6)&amp;" Equity","")</f>
        <v/>
      </c>
      <c r="IY1" s="2">
        <f>IF(ISNUMBER(B$7),"DAL US "&amp;TEXT(B$3,"mm/dd/yy")&amp;" P"&amp;(B$7+2*B$6)&amp;" Equity","")</f>
        <v/>
      </c>
      <c r="JP1" s="2">
        <f>IF(ISNUMBER(B$7),"DAL US "&amp;TEXT(B$3,"mm/dd/yy")&amp;" C"&amp;(B$7+3*B$6)&amp;" Equity","")</f>
        <v/>
      </c>
      <c r="KG1" s="2">
        <f>IF(ISNUMBER(B$7),"DAL US "&amp;TEXT(B$3,"mm/dd/yy")&amp;" P"&amp;(B$7+3*B$6)&amp;" Equity","")</f>
        <v/>
      </c>
      <c r="KX1" s="2">
        <f>IF(ISNUMBER(B$7),"DAL US "&amp;TEXT(B$3,"mm/dd/yy")&amp;" C"&amp;(B$7+4*B$6)&amp;" Equity","")</f>
        <v/>
      </c>
      <c r="LO1" s="2">
        <f>IF(ISNUMBER(B$7),"DAL US "&amp;TEXT(B$3,"mm/dd/yy")&amp;" P"&amp;(B$7+4*B$6)&amp;" Equity","")</f>
        <v/>
      </c>
      <c r="MF1" s="2">
        <f>IF(ISNUMBER(B$7),"DAL US "&amp;TEXT(B$3,"mm/dd/yy")&amp;" C"&amp;(B$7+5*B$6)&amp;" Equity","")</f>
        <v/>
      </c>
      <c r="MW1" s="2">
        <f>IF(ISNUMBER(B$7),"DAL US "&amp;TEXT(B$3,"mm/dd/yy")&amp;" P"&amp;(B$7+5*B$6)&amp;" Equity","")</f>
        <v/>
      </c>
    </row>
    <row r="2">
      <c r="A2" s="2" t="inlineStr">
        <is>
          <t>Underlying</t>
        </is>
      </c>
      <c r="B2" s="4">
        <f>IF(Settings!$B$19="Y","DAL US Equity","")</f>
        <v/>
      </c>
      <c r="D2" s="4" t="inlineStr">
        <is>
          <t>call -5 from ATM</t>
        </is>
      </c>
      <c r="U2" s="4" t="inlineStr">
        <is>
          <t>put -5 from ATM</t>
        </is>
      </c>
      <c r="AL2" s="4" t="inlineStr">
        <is>
          <t>call -4 from ATM</t>
        </is>
      </c>
      <c r="BC2" s="4" t="inlineStr">
        <is>
          <t>put -4 from ATM</t>
        </is>
      </c>
      <c r="BT2" s="4" t="inlineStr">
        <is>
          <t>call -3 from ATM</t>
        </is>
      </c>
      <c r="CK2" s="4" t="inlineStr">
        <is>
          <t>put -3 from ATM</t>
        </is>
      </c>
      <c r="DB2" s="4" t="inlineStr">
        <is>
          <t>call -2 from ATM</t>
        </is>
      </c>
      <c r="DS2" s="4" t="inlineStr">
        <is>
          <t>put -2 from ATM</t>
        </is>
      </c>
      <c r="EJ2" s="4" t="inlineStr">
        <is>
          <t>call -1 from ATM</t>
        </is>
      </c>
      <c r="FA2" s="4" t="inlineStr">
        <is>
          <t>put -1 from ATM</t>
        </is>
      </c>
      <c r="FR2" s="4" t="inlineStr">
        <is>
          <t>call +0 from ATM</t>
        </is>
      </c>
      <c r="GI2" s="4" t="inlineStr">
        <is>
          <t>put +0 from ATM</t>
        </is>
      </c>
      <c r="GZ2" s="4" t="inlineStr">
        <is>
          <t>call +1 from ATM</t>
        </is>
      </c>
      <c r="HQ2" s="4" t="inlineStr">
        <is>
          <t>put +1 from ATM</t>
        </is>
      </c>
      <c r="IH2" s="4" t="inlineStr">
        <is>
          <t>call +2 from ATM</t>
        </is>
      </c>
      <c r="IY2" s="4" t="inlineStr">
        <is>
          <t>put +2 from ATM</t>
        </is>
      </c>
      <c r="JP2" s="4" t="inlineStr">
        <is>
          <t>call +3 from ATM</t>
        </is>
      </c>
      <c r="KG2" s="4" t="inlineStr">
        <is>
          <t>put +3 from ATM</t>
        </is>
      </c>
      <c r="KX2" s="4" t="inlineStr">
        <is>
          <t>call +4 from ATM</t>
        </is>
      </c>
      <c r="LO2" s="4" t="inlineStr">
        <is>
          <t>put +4 from ATM</t>
        </is>
      </c>
      <c r="MF2" s="4" t="inlineStr">
        <is>
          <t>call +5 from ATM</t>
        </is>
      </c>
      <c r="MW2" s="4" t="inlineStr">
        <is>
          <t>put +5 from ATM</t>
        </is>
      </c>
    </row>
    <row r="3">
      <c r="A3" s="2" t="inlineStr">
        <is>
          <t>Expiry (3rd Friday)</t>
        </is>
      </c>
      <c r="B3" s="3">
        <f>DATE(Settings!$E$19,B1,15)+MOD(6-WEEKDAY(DATE(Settings!$E$19,B1,15)),7)</f>
        <v/>
      </c>
      <c r="D3" s="5" t="inlineStr">
        <is>
          <t>Date</t>
        </is>
      </c>
      <c r="E3" s="5" t="inlineStr">
        <is>
          <t>PX_BID</t>
        </is>
      </c>
      <c r="F3" s="5" t="inlineStr">
        <is>
          <t>PX_ASK</t>
        </is>
      </c>
      <c r="G3" s="5" t="inlineStr">
        <is>
          <t>PX_MID</t>
        </is>
      </c>
      <c r="H3" s="5" t="inlineStr">
        <is>
          <t>PX_LAST</t>
        </is>
      </c>
      <c r="I3" s="5" t="inlineStr">
        <is>
          <t>PX_SETTLE</t>
        </is>
      </c>
      <c r="J3" s="5" t="inlineStr">
        <is>
          <t>PX_VOLUME</t>
        </is>
      </c>
      <c r="K3" s="5" t="inlineStr">
        <is>
          <t>OPEN_INT</t>
        </is>
      </c>
      <c r="L3" s="5" t="inlineStr">
        <is>
          <t>IVOL_MID</t>
        </is>
      </c>
      <c r="M3" s="5" t="inlineStr">
        <is>
          <t>IVOL_BID</t>
        </is>
      </c>
      <c r="N3" s="5" t="inlineStr">
        <is>
          <t>IVOL_ASK</t>
        </is>
      </c>
      <c r="O3" s="5" t="inlineStr">
        <is>
          <t>DELTA_MID</t>
        </is>
      </c>
      <c r="P3" s="5" t="inlineStr">
        <is>
          <t>GAMMA_MID</t>
        </is>
      </c>
      <c r="Q3" s="5" t="inlineStr">
        <is>
          <t>VEGA_MID</t>
        </is>
      </c>
      <c r="R3" s="5" t="inlineStr">
        <is>
          <t>THETA_MID</t>
        </is>
      </c>
      <c r="S3" s="5" t="inlineStr">
        <is>
          <t>OPT_UNDL_PX</t>
        </is>
      </c>
      <c r="U3" s="5" t="inlineStr">
        <is>
          <t>Date</t>
        </is>
      </c>
      <c r="V3" s="5" t="inlineStr">
        <is>
          <t>PX_BID</t>
        </is>
      </c>
      <c r="W3" s="5" t="inlineStr">
        <is>
          <t>PX_ASK</t>
        </is>
      </c>
      <c r="X3" s="5" t="inlineStr">
        <is>
          <t>PX_MID</t>
        </is>
      </c>
      <c r="Y3" s="5" t="inlineStr">
        <is>
          <t>PX_LAST</t>
        </is>
      </c>
      <c r="Z3" s="5" t="inlineStr">
        <is>
          <t>PX_SETTLE</t>
        </is>
      </c>
      <c r="AA3" s="5" t="inlineStr">
        <is>
          <t>PX_VOLUME</t>
        </is>
      </c>
      <c r="AB3" s="5" t="inlineStr">
        <is>
          <t>OPEN_INT</t>
        </is>
      </c>
      <c r="AC3" s="5" t="inlineStr">
        <is>
          <t>IVOL_MID</t>
        </is>
      </c>
      <c r="AD3" s="5" t="inlineStr">
        <is>
          <t>IVOL_BID</t>
        </is>
      </c>
      <c r="AE3" s="5" t="inlineStr">
        <is>
          <t>IVOL_ASK</t>
        </is>
      </c>
      <c r="AF3" s="5" t="inlineStr">
        <is>
          <t>DELTA_MID</t>
        </is>
      </c>
      <c r="AG3" s="5" t="inlineStr">
        <is>
          <t>GAMMA_MID</t>
        </is>
      </c>
      <c r="AH3" s="5" t="inlineStr">
        <is>
          <t>VEGA_MID</t>
        </is>
      </c>
      <c r="AI3" s="5" t="inlineStr">
        <is>
          <t>THETA_MID</t>
        </is>
      </c>
      <c r="AJ3" s="5" t="inlineStr">
        <is>
          <t>OPT_UNDL_PX</t>
        </is>
      </c>
      <c r="AL3" s="5" t="inlineStr">
        <is>
          <t>Date</t>
        </is>
      </c>
      <c r="AM3" s="5" t="inlineStr">
        <is>
          <t>PX_BID</t>
        </is>
      </c>
      <c r="AN3" s="5" t="inlineStr">
        <is>
          <t>PX_ASK</t>
        </is>
      </c>
      <c r="AO3" s="5" t="inlineStr">
        <is>
          <t>PX_MID</t>
        </is>
      </c>
      <c r="AP3" s="5" t="inlineStr">
        <is>
          <t>PX_LAST</t>
        </is>
      </c>
      <c r="AQ3" s="5" t="inlineStr">
        <is>
          <t>PX_SETTLE</t>
        </is>
      </c>
      <c r="AR3" s="5" t="inlineStr">
        <is>
          <t>PX_VOLUME</t>
        </is>
      </c>
      <c r="AS3" s="5" t="inlineStr">
        <is>
          <t>OPEN_INT</t>
        </is>
      </c>
      <c r="AT3" s="5" t="inlineStr">
        <is>
          <t>IVOL_MID</t>
        </is>
      </c>
      <c r="AU3" s="5" t="inlineStr">
        <is>
          <t>IVOL_BID</t>
        </is>
      </c>
      <c r="AV3" s="5" t="inlineStr">
        <is>
          <t>IVOL_ASK</t>
        </is>
      </c>
      <c r="AW3" s="5" t="inlineStr">
        <is>
          <t>DELTA_MID</t>
        </is>
      </c>
      <c r="AX3" s="5" t="inlineStr">
        <is>
          <t>GAMMA_MID</t>
        </is>
      </c>
      <c r="AY3" s="5" t="inlineStr">
        <is>
          <t>VEGA_MID</t>
        </is>
      </c>
      <c r="AZ3" s="5" t="inlineStr">
        <is>
          <t>THETA_MID</t>
        </is>
      </c>
      <c r="BA3" s="5" t="inlineStr">
        <is>
          <t>OPT_UNDL_PX</t>
        </is>
      </c>
      <c r="BC3" s="5" t="inlineStr">
        <is>
          <t>Date</t>
        </is>
      </c>
      <c r="BD3" s="5" t="inlineStr">
        <is>
          <t>PX_BID</t>
        </is>
      </c>
      <c r="BE3" s="5" t="inlineStr">
        <is>
          <t>PX_ASK</t>
        </is>
      </c>
      <c r="BF3" s="5" t="inlineStr">
        <is>
          <t>PX_MID</t>
        </is>
      </c>
      <c r="BG3" s="5" t="inlineStr">
        <is>
          <t>PX_LAST</t>
        </is>
      </c>
      <c r="BH3" s="5" t="inlineStr">
        <is>
          <t>PX_SETTLE</t>
        </is>
      </c>
      <c r="BI3" s="5" t="inlineStr">
        <is>
          <t>PX_VOLUME</t>
        </is>
      </c>
      <c r="BJ3" s="5" t="inlineStr">
        <is>
          <t>OPEN_INT</t>
        </is>
      </c>
      <c r="BK3" s="5" t="inlineStr">
        <is>
          <t>IVOL_MID</t>
        </is>
      </c>
      <c r="BL3" s="5" t="inlineStr">
        <is>
          <t>IVOL_BID</t>
        </is>
      </c>
      <c r="BM3" s="5" t="inlineStr">
        <is>
          <t>IVOL_ASK</t>
        </is>
      </c>
      <c r="BN3" s="5" t="inlineStr">
        <is>
          <t>DELTA_MID</t>
        </is>
      </c>
      <c r="BO3" s="5" t="inlineStr">
        <is>
          <t>GAMMA_MID</t>
        </is>
      </c>
      <c r="BP3" s="5" t="inlineStr">
        <is>
          <t>VEGA_MID</t>
        </is>
      </c>
      <c r="BQ3" s="5" t="inlineStr">
        <is>
          <t>THETA_MID</t>
        </is>
      </c>
      <c r="BR3" s="5" t="inlineStr">
        <is>
          <t>OPT_UNDL_PX</t>
        </is>
      </c>
      <c r="BT3" s="5" t="inlineStr">
        <is>
          <t>Date</t>
        </is>
      </c>
      <c r="BU3" s="5" t="inlineStr">
        <is>
          <t>PX_BID</t>
        </is>
      </c>
      <c r="BV3" s="5" t="inlineStr">
        <is>
          <t>PX_ASK</t>
        </is>
      </c>
      <c r="BW3" s="5" t="inlineStr">
        <is>
          <t>PX_MID</t>
        </is>
      </c>
      <c r="BX3" s="5" t="inlineStr">
        <is>
          <t>PX_LAST</t>
        </is>
      </c>
      <c r="BY3" s="5" t="inlineStr">
        <is>
          <t>PX_SETTLE</t>
        </is>
      </c>
      <c r="BZ3" s="5" t="inlineStr">
        <is>
          <t>PX_VOLUME</t>
        </is>
      </c>
      <c r="CA3" s="5" t="inlineStr">
        <is>
          <t>OPEN_INT</t>
        </is>
      </c>
      <c r="CB3" s="5" t="inlineStr">
        <is>
          <t>IVOL_MID</t>
        </is>
      </c>
      <c r="CC3" s="5" t="inlineStr">
        <is>
          <t>IVOL_BID</t>
        </is>
      </c>
      <c r="CD3" s="5" t="inlineStr">
        <is>
          <t>IVOL_ASK</t>
        </is>
      </c>
      <c r="CE3" s="5" t="inlineStr">
        <is>
          <t>DELTA_MID</t>
        </is>
      </c>
      <c r="CF3" s="5" t="inlineStr">
        <is>
          <t>GAMMA_MID</t>
        </is>
      </c>
      <c r="CG3" s="5" t="inlineStr">
        <is>
          <t>VEGA_MID</t>
        </is>
      </c>
      <c r="CH3" s="5" t="inlineStr">
        <is>
          <t>THETA_MID</t>
        </is>
      </c>
      <c r="CI3" s="5" t="inlineStr">
        <is>
          <t>OPT_UNDL_PX</t>
        </is>
      </c>
      <c r="CK3" s="5" t="inlineStr">
        <is>
          <t>Date</t>
        </is>
      </c>
      <c r="CL3" s="5" t="inlineStr">
        <is>
          <t>PX_BID</t>
        </is>
      </c>
      <c r="CM3" s="5" t="inlineStr">
        <is>
          <t>PX_ASK</t>
        </is>
      </c>
      <c r="CN3" s="5" t="inlineStr">
        <is>
          <t>PX_MID</t>
        </is>
      </c>
      <c r="CO3" s="5" t="inlineStr">
        <is>
          <t>PX_LAST</t>
        </is>
      </c>
      <c r="CP3" s="5" t="inlineStr">
        <is>
          <t>PX_SETTLE</t>
        </is>
      </c>
      <c r="CQ3" s="5" t="inlineStr">
        <is>
          <t>PX_VOLUME</t>
        </is>
      </c>
      <c r="CR3" s="5" t="inlineStr">
        <is>
          <t>OPEN_INT</t>
        </is>
      </c>
      <c r="CS3" s="5" t="inlineStr">
        <is>
          <t>IVOL_MID</t>
        </is>
      </c>
      <c r="CT3" s="5" t="inlineStr">
        <is>
          <t>IVOL_BID</t>
        </is>
      </c>
      <c r="CU3" s="5" t="inlineStr">
        <is>
          <t>IVOL_ASK</t>
        </is>
      </c>
      <c r="CV3" s="5" t="inlineStr">
        <is>
          <t>DELTA_MID</t>
        </is>
      </c>
      <c r="CW3" s="5" t="inlineStr">
        <is>
          <t>GAMMA_MID</t>
        </is>
      </c>
      <c r="CX3" s="5" t="inlineStr">
        <is>
          <t>VEGA_MID</t>
        </is>
      </c>
      <c r="CY3" s="5" t="inlineStr">
        <is>
          <t>THETA_MID</t>
        </is>
      </c>
      <c r="CZ3" s="5" t="inlineStr">
        <is>
          <t>OPT_UNDL_PX</t>
        </is>
      </c>
      <c r="DB3" s="5" t="inlineStr">
        <is>
          <t>Date</t>
        </is>
      </c>
      <c r="DC3" s="5" t="inlineStr">
        <is>
          <t>PX_BID</t>
        </is>
      </c>
      <c r="DD3" s="5" t="inlineStr">
        <is>
          <t>PX_ASK</t>
        </is>
      </c>
      <c r="DE3" s="5" t="inlineStr">
        <is>
          <t>PX_MID</t>
        </is>
      </c>
      <c r="DF3" s="5" t="inlineStr">
        <is>
          <t>PX_LAST</t>
        </is>
      </c>
      <c r="DG3" s="5" t="inlineStr">
        <is>
          <t>PX_SETTLE</t>
        </is>
      </c>
      <c r="DH3" s="5" t="inlineStr">
        <is>
          <t>PX_VOLUME</t>
        </is>
      </c>
      <c r="DI3" s="5" t="inlineStr">
        <is>
          <t>OPEN_INT</t>
        </is>
      </c>
      <c r="DJ3" s="5" t="inlineStr">
        <is>
          <t>IVOL_MID</t>
        </is>
      </c>
      <c r="DK3" s="5" t="inlineStr">
        <is>
          <t>IVOL_BID</t>
        </is>
      </c>
      <c r="DL3" s="5" t="inlineStr">
        <is>
          <t>IVOL_ASK</t>
        </is>
      </c>
      <c r="DM3" s="5" t="inlineStr">
        <is>
          <t>DELTA_MID</t>
        </is>
      </c>
      <c r="DN3" s="5" t="inlineStr">
        <is>
          <t>GAMMA_MID</t>
        </is>
      </c>
      <c r="DO3" s="5" t="inlineStr">
        <is>
          <t>VEGA_MID</t>
        </is>
      </c>
      <c r="DP3" s="5" t="inlineStr">
        <is>
          <t>THETA_MID</t>
        </is>
      </c>
      <c r="DQ3" s="5" t="inlineStr">
        <is>
          <t>OPT_UNDL_PX</t>
        </is>
      </c>
      <c r="DS3" s="5" t="inlineStr">
        <is>
          <t>Date</t>
        </is>
      </c>
      <c r="DT3" s="5" t="inlineStr">
        <is>
          <t>PX_BID</t>
        </is>
      </c>
      <c r="DU3" s="5" t="inlineStr">
        <is>
          <t>PX_ASK</t>
        </is>
      </c>
      <c r="DV3" s="5" t="inlineStr">
        <is>
          <t>PX_MID</t>
        </is>
      </c>
      <c r="DW3" s="5" t="inlineStr">
        <is>
          <t>PX_LAST</t>
        </is>
      </c>
      <c r="DX3" s="5" t="inlineStr">
        <is>
          <t>PX_SETTLE</t>
        </is>
      </c>
      <c r="DY3" s="5" t="inlineStr">
        <is>
          <t>PX_VOLUME</t>
        </is>
      </c>
      <c r="DZ3" s="5" t="inlineStr">
        <is>
          <t>OPEN_INT</t>
        </is>
      </c>
      <c r="EA3" s="5" t="inlineStr">
        <is>
          <t>IVOL_MID</t>
        </is>
      </c>
      <c r="EB3" s="5" t="inlineStr">
        <is>
          <t>IVOL_BID</t>
        </is>
      </c>
      <c r="EC3" s="5" t="inlineStr">
        <is>
          <t>IVOL_ASK</t>
        </is>
      </c>
      <c r="ED3" s="5" t="inlineStr">
        <is>
          <t>DELTA_MID</t>
        </is>
      </c>
      <c r="EE3" s="5" t="inlineStr">
        <is>
          <t>GAMMA_MID</t>
        </is>
      </c>
      <c r="EF3" s="5" t="inlineStr">
        <is>
          <t>VEGA_MID</t>
        </is>
      </c>
      <c r="EG3" s="5" t="inlineStr">
        <is>
          <t>THETA_MID</t>
        </is>
      </c>
      <c r="EH3" s="5" t="inlineStr">
        <is>
          <t>OPT_UNDL_PX</t>
        </is>
      </c>
      <c r="EJ3" s="5" t="inlineStr">
        <is>
          <t>Date</t>
        </is>
      </c>
      <c r="EK3" s="5" t="inlineStr">
        <is>
          <t>PX_BID</t>
        </is>
      </c>
      <c r="EL3" s="5" t="inlineStr">
        <is>
          <t>PX_ASK</t>
        </is>
      </c>
      <c r="EM3" s="5" t="inlineStr">
        <is>
          <t>PX_MID</t>
        </is>
      </c>
      <c r="EN3" s="5" t="inlineStr">
        <is>
          <t>PX_LAST</t>
        </is>
      </c>
      <c r="EO3" s="5" t="inlineStr">
        <is>
          <t>PX_SETTLE</t>
        </is>
      </c>
      <c r="EP3" s="5" t="inlineStr">
        <is>
          <t>PX_VOLUME</t>
        </is>
      </c>
      <c r="EQ3" s="5" t="inlineStr">
        <is>
          <t>OPEN_INT</t>
        </is>
      </c>
      <c r="ER3" s="5" t="inlineStr">
        <is>
          <t>IVOL_MID</t>
        </is>
      </c>
      <c r="ES3" s="5" t="inlineStr">
        <is>
          <t>IVOL_BID</t>
        </is>
      </c>
      <c r="ET3" s="5" t="inlineStr">
        <is>
          <t>IVOL_ASK</t>
        </is>
      </c>
      <c r="EU3" s="5" t="inlineStr">
        <is>
          <t>DELTA_MID</t>
        </is>
      </c>
      <c r="EV3" s="5" t="inlineStr">
        <is>
          <t>GAMMA_MID</t>
        </is>
      </c>
      <c r="EW3" s="5" t="inlineStr">
        <is>
          <t>VEGA_MID</t>
        </is>
      </c>
      <c r="EX3" s="5" t="inlineStr">
        <is>
          <t>THETA_MID</t>
        </is>
      </c>
      <c r="EY3" s="5" t="inlineStr">
        <is>
          <t>OPT_UNDL_PX</t>
        </is>
      </c>
      <c r="FA3" s="5" t="inlineStr">
        <is>
          <t>Date</t>
        </is>
      </c>
      <c r="FB3" s="5" t="inlineStr">
        <is>
          <t>PX_BID</t>
        </is>
      </c>
      <c r="FC3" s="5" t="inlineStr">
        <is>
          <t>PX_ASK</t>
        </is>
      </c>
      <c r="FD3" s="5" t="inlineStr">
        <is>
          <t>PX_MID</t>
        </is>
      </c>
      <c r="FE3" s="5" t="inlineStr">
        <is>
          <t>PX_LAST</t>
        </is>
      </c>
      <c r="FF3" s="5" t="inlineStr">
        <is>
          <t>PX_SETTLE</t>
        </is>
      </c>
      <c r="FG3" s="5" t="inlineStr">
        <is>
          <t>PX_VOLUME</t>
        </is>
      </c>
      <c r="FH3" s="5" t="inlineStr">
        <is>
          <t>OPEN_INT</t>
        </is>
      </c>
      <c r="FI3" s="5" t="inlineStr">
        <is>
          <t>IVOL_MID</t>
        </is>
      </c>
      <c r="FJ3" s="5" t="inlineStr">
        <is>
          <t>IVOL_BID</t>
        </is>
      </c>
      <c r="FK3" s="5" t="inlineStr">
        <is>
          <t>IVOL_ASK</t>
        </is>
      </c>
      <c r="FL3" s="5" t="inlineStr">
        <is>
          <t>DELTA_MID</t>
        </is>
      </c>
      <c r="FM3" s="5" t="inlineStr">
        <is>
          <t>GAMMA_MID</t>
        </is>
      </c>
      <c r="FN3" s="5" t="inlineStr">
        <is>
          <t>VEGA_MID</t>
        </is>
      </c>
      <c r="FO3" s="5" t="inlineStr">
        <is>
          <t>THETA_MID</t>
        </is>
      </c>
      <c r="FP3" s="5" t="inlineStr">
        <is>
          <t>OPT_UNDL_PX</t>
        </is>
      </c>
      <c r="FR3" s="5" t="inlineStr">
        <is>
          <t>Date</t>
        </is>
      </c>
      <c r="FS3" s="5" t="inlineStr">
        <is>
          <t>PX_BID</t>
        </is>
      </c>
      <c r="FT3" s="5" t="inlineStr">
        <is>
          <t>PX_ASK</t>
        </is>
      </c>
      <c r="FU3" s="5" t="inlineStr">
        <is>
          <t>PX_MID</t>
        </is>
      </c>
      <c r="FV3" s="5" t="inlineStr">
        <is>
          <t>PX_LAST</t>
        </is>
      </c>
      <c r="FW3" s="5" t="inlineStr">
        <is>
          <t>PX_SETTLE</t>
        </is>
      </c>
      <c r="FX3" s="5" t="inlineStr">
        <is>
          <t>PX_VOLUME</t>
        </is>
      </c>
      <c r="FY3" s="5" t="inlineStr">
        <is>
          <t>OPEN_INT</t>
        </is>
      </c>
      <c r="FZ3" s="5" t="inlineStr">
        <is>
          <t>IVOL_MID</t>
        </is>
      </c>
      <c r="GA3" s="5" t="inlineStr">
        <is>
          <t>IVOL_BID</t>
        </is>
      </c>
      <c r="GB3" s="5" t="inlineStr">
        <is>
          <t>IVOL_ASK</t>
        </is>
      </c>
      <c r="GC3" s="5" t="inlineStr">
        <is>
          <t>DELTA_MID</t>
        </is>
      </c>
      <c r="GD3" s="5" t="inlineStr">
        <is>
          <t>GAMMA_MID</t>
        </is>
      </c>
      <c r="GE3" s="5" t="inlineStr">
        <is>
          <t>VEGA_MID</t>
        </is>
      </c>
      <c r="GF3" s="5" t="inlineStr">
        <is>
          <t>THETA_MID</t>
        </is>
      </c>
      <c r="GG3" s="5" t="inlineStr">
        <is>
          <t>OPT_UNDL_PX</t>
        </is>
      </c>
      <c r="GI3" s="5" t="inlineStr">
        <is>
          <t>Date</t>
        </is>
      </c>
      <c r="GJ3" s="5" t="inlineStr">
        <is>
          <t>PX_BID</t>
        </is>
      </c>
      <c r="GK3" s="5" t="inlineStr">
        <is>
          <t>PX_ASK</t>
        </is>
      </c>
      <c r="GL3" s="5" t="inlineStr">
        <is>
          <t>PX_MID</t>
        </is>
      </c>
      <c r="GM3" s="5" t="inlineStr">
        <is>
          <t>PX_LAST</t>
        </is>
      </c>
      <c r="GN3" s="5" t="inlineStr">
        <is>
          <t>PX_SETTLE</t>
        </is>
      </c>
      <c r="GO3" s="5" t="inlineStr">
        <is>
          <t>PX_VOLUME</t>
        </is>
      </c>
      <c r="GP3" s="5" t="inlineStr">
        <is>
          <t>OPEN_INT</t>
        </is>
      </c>
      <c r="GQ3" s="5" t="inlineStr">
        <is>
          <t>IVOL_MID</t>
        </is>
      </c>
      <c r="GR3" s="5" t="inlineStr">
        <is>
          <t>IVOL_BID</t>
        </is>
      </c>
      <c r="GS3" s="5" t="inlineStr">
        <is>
          <t>IVOL_ASK</t>
        </is>
      </c>
      <c r="GT3" s="5" t="inlineStr">
        <is>
          <t>DELTA_MID</t>
        </is>
      </c>
      <c r="GU3" s="5" t="inlineStr">
        <is>
          <t>GAMMA_MID</t>
        </is>
      </c>
      <c r="GV3" s="5" t="inlineStr">
        <is>
          <t>VEGA_MID</t>
        </is>
      </c>
      <c r="GW3" s="5" t="inlineStr">
        <is>
          <t>THETA_MID</t>
        </is>
      </c>
      <c r="GX3" s="5" t="inlineStr">
        <is>
          <t>OPT_UNDL_PX</t>
        </is>
      </c>
      <c r="GZ3" s="5" t="inlineStr">
        <is>
          <t>Date</t>
        </is>
      </c>
      <c r="HA3" s="5" t="inlineStr">
        <is>
          <t>PX_BID</t>
        </is>
      </c>
      <c r="HB3" s="5" t="inlineStr">
        <is>
          <t>PX_ASK</t>
        </is>
      </c>
      <c r="HC3" s="5" t="inlineStr">
        <is>
          <t>PX_MID</t>
        </is>
      </c>
      <c r="HD3" s="5" t="inlineStr">
        <is>
          <t>PX_LAST</t>
        </is>
      </c>
      <c r="HE3" s="5" t="inlineStr">
        <is>
          <t>PX_SETTLE</t>
        </is>
      </c>
      <c r="HF3" s="5" t="inlineStr">
        <is>
          <t>PX_VOLUME</t>
        </is>
      </c>
      <c r="HG3" s="5" t="inlineStr">
        <is>
          <t>OPEN_INT</t>
        </is>
      </c>
      <c r="HH3" s="5" t="inlineStr">
        <is>
          <t>IVOL_MID</t>
        </is>
      </c>
      <c r="HI3" s="5" t="inlineStr">
        <is>
          <t>IVOL_BID</t>
        </is>
      </c>
      <c r="HJ3" s="5" t="inlineStr">
        <is>
          <t>IVOL_ASK</t>
        </is>
      </c>
      <c r="HK3" s="5" t="inlineStr">
        <is>
          <t>DELTA_MID</t>
        </is>
      </c>
      <c r="HL3" s="5" t="inlineStr">
        <is>
          <t>GAMMA_MID</t>
        </is>
      </c>
      <c r="HM3" s="5" t="inlineStr">
        <is>
          <t>VEGA_MID</t>
        </is>
      </c>
      <c r="HN3" s="5" t="inlineStr">
        <is>
          <t>THETA_MID</t>
        </is>
      </c>
      <c r="HO3" s="5" t="inlineStr">
        <is>
          <t>OPT_UNDL_PX</t>
        </is>
      </c>
      <c r="HQ3" s="5" t="inlineStr">
        <is>
          <t>Date</t>
        </is>
      </c>
      <c r="HR3" s="5" t="inlineStr">
        <is>
          <t>PX_BID</t>
        </is>
      </c>
      <c r="HS3" s="5" t="inlineStr">
        <is>
          <t>PX_ASK</t>
        </is>
      </c>
      <c r="HT3" s="5" t="inlineStr">
        <is>
          <t>PX_MID</t>
        </is>
      </c>
      <c r="HU3" s="5" t="inlineStr">
        <is>
          <t>PX_LAST</t>
        </is>
      </c>
      <c r="HV3" s="5" t="inlineStr">
        <is>
          <t>PX_SETTLE</t>
        </is>
      </c>
      <c r="HW3" s="5" t="inlineStr">
        <is>
          <t>PX_VOLUME</t>
        </is>
      </c>
      <c r="HX3" s="5" t="inlineStr">
        <is>
          <t>OPEN_INT</t>
        </is>
      </c>
      <c r="HY3" s="5" t="inlineStr">
        <is>
          <t>IVOL_MID</t>
        </is>
      </c>
      <c r="HZ3" s="5" t="inlineStr">
        <is>
          <t>IVOL_BID</t>
        </is>
      </c>
      <c r="IA3" s="5" t="inlineStr">
        <is>
          <t>IVOL_ASK</t>
        </is>
      </c>
      <c r="IB3" s="5" t="inlineStr">
        <is>
          <t>DELTA_MID</t>
        </is>
      </c>
      <c r="IC3" s="5" t="inlineStr">
        <is>
          <t>GAMMA_MID</t>
        </is>
      </c>
      <c r="ID3" s="5" t="inlineStr">
        <is>
          <t>VEGA_MID</t>
        </is>
      </c>
      <c r="IE3" s="5" t="inlineStr">
        <is>
          <t>THETA_MID</t>
        </is>
      </c>
      <c r="IF3" s="5" t="inlineStr">
        <is>
          <t>OPT_UNDL_PX</t>
        </is>
      </c>
      <c r="IH3" s="5" t="inlineStr">
        <is>
          <t>Date</t>
        </is>
      </c>
      <c r="II3" s="5" t="inlineStr">
        <is>
          <t>PX_BID</t>
        </is>
      </c>
      <c r="IJ3" s="5" t="inlineStr">
        <is>
          <t>PX_ASK</t>
        </is>
      </c>
      <c r="IK3" s="5" t="inlineStr">
        <is>
          <t>PX_MID</t>
        </is>
      </c>
      <c r="IL3" s="5" t="inlineStr">
        <is>
          <t>PX_LAST</t>
        </is>
      </c>
      <c r="IM3" s="5" t="inlineStr">
        <is>
          <t>PX_SETTLE</t>
        </is>
      </c>
      <c r="IN3" s="5" t="inlineStr">
        <is>
          <t>PX_VOLUME</t>
        </is>
      </c>
      <c r="IO3" s="5" t="inlineStr">
        <is>
          <t>OPEN_INT</t>
        </is>
      </c>
      <c r="IP3" s="5" t="inlineStr">
        <is>
          <t>IVOL_MID</t>
        </is>
      </c>
      <c r="IQ3" s="5" t="inlineStr">
        <is>
          <t>IVOL_BID</t>
        </is>
      </c>
      <c r="IR3" s="5" t="inlineStr">
        <is>
          <t>IVOL_ASK</t>
        </is>
      </c>
      <c r="IS3" s="5" t="inlineStr">
        <is>
          <t>DELTA_MID</t>
        </is>
      </c>
      <c r="IT3" s="5" t="inlineStr">
        <is>
          <t>GAMMA_MID</t>
        </is>
      </c>
      <c r="IU3" s="5" t="inlineStr">
        <is>
          <t>VEGA_MID</t>
        </is>
      </c>
      <c r="IV3" s="5" t="inlineStr">
        <is>
          <t>THETA_MID</t>
        </is>
      </c>
      <c r="IW3" s="5" t="inlineStr">
        <is>
          <t>OPT_UNDL_PX</t>
        </is>
      </c>
      <c r="IY3" s="5" t="inlineStr">
        <is>
          <t>Date</t>
        </is>
      </c>
      <c r="IZ3" s="5" t="inlineStr">
        <is>
          <t>PX_BID</t>
        </is>
      </c>
      <c r="JA3" s="5" t="inlineStr">
        <is>
          <t>PX_ASK</t>
        </is>
      </c>
      <c r="JB3" s="5" t="inlineStr">
        <is>
          <t>PX_MID</t>
        </is>
      </c>
      <c r="JC3" s="5" t="inlineStr">
        <is>
          <t>PX_LAST</t>
        </is>
      </c>
      <c r="JD3" s="5" t="inlineStr">
        <is>
          <t>PX_SETTLE</t>
        </is>
      </c>
      <c r="JE3" s="5" t="inlineStr">
        <is>
          <t>PX_VOLUME</t>
        </is>
      </c>
      <c r="JF3" s="5" t="inlineStr">
        <is>
          <t>OPEN_INT</t>
        </is>
      </c>
      <c r="JG3" s="5" t="inlineStr">
        <is>
          <t>IVOL_MID</t>
        </is>
      </c>
      <c r="JH3" s="5" t="inlineStr">
        <is>
          <t>IVOL_BID</t>
        </is>
      </c>
      <c r="JI3" s="5" t="inlineStr">
        <is>
          <t>IVOL_ASK</t>
        </is>
      </c>
      <c r="JJ3" s="5" t="inlineStr">
        <is>
          <t>DELTA_MID</t>
        </is>
      </c>
      <c r="JK3" s="5" t="inlineStr">
        <is>
          <t>GAMMA_MID</t>
        </is>
      </c>
      <c r="JL3" s="5" t="inlineStr">
        <is>
          <t>VEGA_MID</t>
        </is>
      </c>
      <c r="JM3" s="5" t="inlineStr">
        <is>
          <t>THETA_MID</t>
        </is>
      </c>
      <c r="JN3" s="5" t="inlineStr">
        <is>
          <t>OPT_UNDL_PX</t>
        </is>
      </c>
      <c r="JP3" s="5" t="inlineStr">
        <is>
          <t>Date</t>
        </is>
      </c>
      <c r="JQ3" s="5" t="inlineStr">
        <is>
          <t>PX_BID</t>
        </is>
      </c>
      <c r="JR3" s="5" t="inlineStr">
        <is>
          <t>PX_ASK</t>
        </is>
      </c>
      <c r="JS3" s="5" t="inlineStr">
        <is>
          <t>PX_MID</t>
        </is>
      </c>
      <c r="JT3" s="5" t="inlineStr">
        <is>
          <t>PX_LAST</t>
        </is>
      </c>
      <c r="JU3" s="5" t="inlineStr">
        <is>
          <t>PX_SETTLE</t>
        </is>
      </c>
      <c r="JV3" s="5" t="inlineStr">
        <is>
          <t>PX_VOLUME</t>
        </is>
      </c>
      <c r="JW3" s="5" t="inlineStr">
        <is>
          <t>OPEN_INT</t>
        </is>
      </c>
      <c r="JX3" s="5" t="inlineStr">
        <is>
          <t>IVOL_MID</t>
        </is>
      </c>
      <c r="JY3" s="5" t="inlineStr">
        <is>
          <t>IVOL_BID</t>
        </is>
      </c>
      <c r="JZ3" s="5" t="inlineStr">
        <is>
          <t>IVOL_ASK</t>
        </is>
      </c>
      <c r="KA3" s="5" t="inlineStr">
        <is>
          <t>DELTA_MID</t>
        </is>
      </c>
      <c r="KB3" s="5" t="inlineStr">
        <is>
          <t>GAMMA_MID</t>
        </is>
      </c>
      <c r="KC3" s="5" t="inlineStr">
        <is>
          <t>VEGA_MID</t>
        </is>
      </c>
      <c r="KD3" s="5" t="inlineStr">
        <is>
          <t>THETA_MID</t>
        </is>
      </c>
      <c r="KE3" s="5" t="inlineStr">
        <is>
          <t>OPT_UNDL_PX</t>
        </is>
      </c>
      <c r="KG3" s="5" t="inlineStr">
        <is>
          <t>Date</t>
        </is>
      </c>
      <c r="KH3" s="5" t="inlineStr">
        <is>
          <t>PX_BID</t>
        </is>
      </c>
      <c r="KI3" s="5" t="inlineStr">
        <is>
          <t>PX_ASK</t>
        </is>
      </c>
      <c r="KJ3" s="5" t="inlineStr">
        <is>
          <t>PX_MID</t>
        </is>
      </c>
      <c r="KK3" s="5" t="inlineStr">
        <is>
          <t>PX_LAST</t>
        </is>
      </c>
      <c r="KL3" s="5" t="inlineStr">
        <is>
          <t>PX_SETTLE</t>
        </is>
      </c>
      <c r="KM3" s="5" t="inlineStr">
        <is>
          <t>PX_VOLUME</t>
        </is>
      </c>
      <c r="KN3" s="5" t="inlineStr">
        <is>
          <t>OPEN_INT</t>
        </is>
      </c>
      <c r="KO3" s="5" t="inlineStr">
        <is>
          <t>IVOL_MID</t>
        </is>
      </c>
      <c r="KP3" s="5" t="inlineStr">
        <is>
          <t>IVOL_BID</t>
        </is>
      </c>
      <c r="KQ3" s="5" t="inlineStr">
        <is>
          <t>IVOL_ASK</t>
        </is>
      </c>
      <c r="KR3" s="5" t="inlineStr">
        <is>
          <t>DELTA_MID</t>
        </is>
      </c>
      <c r="KS3" s="5" t="inlineStr">
        <is>
          <t>GAMMA_MID</t>
        </is>
      </c>
      <c r="KT3" s="5" t="inlineStr">
        <is>
          <t>VEGA_MID</t>
        </is>
      </c>
      <c r="KU3" s="5" t="inlineStr">
        <is>
          <t>THETA_MID</t>
        </is>
      </c>
      <c r="KV3" s="5" t="inlineStr">
        <is>
          <t>OPT_UNDL_PX</t>
        </is>
      </c>
      <c r="KX3" s="5" t="inlineStr">
        <is>
          <t>Date</t>
        </is>
      </c>
      <c r="KY3" s="5" t="inlineStr">
        <is>
          <t>PX_BID</t>
        </is>
      </c>
      <c r="KZ3" s="5" t="inlineStr">
        <is>
          <t>PX_ASK</t>
        </is>
      </c>
      <c r="LA3" s="5" t="inlineStr">
        <is>
          <t>PX_MID</t>
        </is>
      </c>
      <c r="LB3" s="5" t="inlineStr">
        <is>
          <t>PX_LAST</t>
        </is>
      </c>
      <c r="LC3" s="5" t="inlineStr">
        <is>
          <t>PX_SETTLE</t>
        </is>
      </c>
      <c r="LD3" s="5" t="inlineStr">
        <is>
          <t>PX_VOLUME</t>
        </is>
      </c>
      <c r="LE3" s="5" t="inlineStr">
        <is>
          <t>OPEN_INT</t>
        </is>
      </c>
      <c r="LF3" s="5" t="inlineStr">
        <is>
          <t>IVOL_MID</t>
        </is>
      </c>
      <c r="LG3" s="5" t="inlineStr">
        <is>
          <t>IVOL_BID</t>
        </is>
      </c>
      <c r="LH3" s="5" t="inlineStr">
        <is>
          <t>IVOL_ASK</t>
        </is>
      </c>
      <c r="LI3" s="5" t="inlineStr">
        <is>
          <t>DELTA_MID</t>
        </is>
      </c>
      <c r="LJ3" s="5" t="inlineStr">
        <is>
          <t>GAMMA_MID</t>
        </is>
      </c>
      <c r="LK3" s="5" t="inlineStr">
        <is>
          <t>VEGA_MID</t>
        </is>
      </c>
      <c r="LL3" s="5" t="inlineStr">
        <is>
          <t>THETA_MID</t>
        </is>
      </c>
      <c r="LM3" s="5" t="inlineStr">
        <is>
          <t>OPT_UNDL_PX</t>
        </is>
      </c>
      <c r="LO3" s="5" t="inlineStr">
        <is>
          <t>Date</t>
        </is>
      </c>
      <c r="LP3" s="5" t="inlineStr">
        <is>
          <t>PX_BID</t>
        </is>
      </c>
      <c r="LQ3" s="5" t="inlineStr">
        <is>
          <t>PX_ASK</t>
        </is>
      </c>
      <c r="LR3" s="5" t="inlineStr">
        <is>
          <t>PX_MID</t>
        </is>
      </c>
      <c r="LS3" s="5" t="inlineStr">
        <is>
          <t>PX_LAST</t>
        </is>
      </c>
      <c r="LT3" s="5" t="inlineStr">
        <is>
          <t>PX_SETTLE</t>
        </is>
      </c>
      <c r="LU3" s="5" t="inlineStr">
        <is>
          <t>PX_VOLUME</t>
        </is>
      </c>
      <c r="LV3" s="5" t="inlineStr">
        <is>
          <t>OPEN_INT</t>
        </is>
      </c>
      <c r="LW3" s="5" t="inlineStr">
        <is>
          <t>IVOL_MID</t>
        </is>
      </c>
      <c r="LX3" s="5" t="inlineStr">
        <is>
          <t>IVOL_BID</t>
        </is>
      </c>
      <c r="LY3" s="5" t="inlineStr">
        <is>
          <t>IVOL_ASK</t>
        </is>
      </c>
      <c r="LZ3" s="5" t="inlineStr">
        <is>
          <t>DELTA_MID</t>
        </is>
      </c>
      <c r="MA3" s="5" t="inlineStr">
        <is>
          <t>GAMMA_MID</t>
        </is>
      </c>
      <c r="MB3" s="5" t="inlineStr">
        <is>
          <t>VEGA_MID</t>
        </is>
      </c>
      <c r="MC3" s="5" t="inlineStr">
        <is>
          <t>THETA_MID</t>
        </is>
      </c>
      <c r="MD3" s="5" t="inlineStr">
        <is>
          <t>OPT_UNDL_PX</t>
        </is>
      </c>
      <c r="MF3" s="5" t="inlineStr">
        <is>
          <t>Date</t>
        </is>
      </c>
      <c r="MG3" s="5" t="inlineStr">
        <is>
          <t>PX_BID</t>
        </is>
      </c>
      <c r="MH3" s="5" t="inlineStr">
        <is>
          <t>PX_ASK</t>
        </is>
      </c>
      <c r="MI3" s="5" t="inlineStr">
        <is>
          <t>PX_MID</t>
        </is>
      </c>
      <c r="MJ3" s="5" t="inlineStr">
        <is>
          <t>PX_LAST</t>
        </is>
      </c>
      <c r="MK3" s="5" t="inlineStr">
        <is>
          <t>PX_SETTLE</t>
        </is>
      </c>
      <c r="ML3" s="5" t="inlineStr">
        <is>
          <t>PX_VOLUME</t>
        </is>
      </c>
      <c r="MM3" s="5" t="inlineStr">
        <is>
          <t>OPEN_INT</t>
        </is>
      </c>
      <c r="MN3" s="5" t="inlineStr">
        <is>
          <t>IVOL_MID</t>
        </is>
      </c>
      <c r="MO3" s="5" t="inlineStr">
        <is>
          <t>IVOL_BID</t>
        </is>
      </c>
      <c r="MP3" s="5" t="inlineStr">
        <is>
          <t>IVOL_ASK</t>
        </is>
      </c>
      <c r="MQ3" s="5" t="inlineStr">
        <is>
          <t>DELTA_MID</t>
        </is>
      </c>
      <c r="MR3" s="5" t="inlineStr">
        <is>
          <t>GAMMA_MID</t>
        </is>
      </c>
      <c r="MS3" s="5" t="inlineStr">
        <is>
          <t>VEGA_MID</t>
        </is>
      </c>
      <c r="MT3" s="5" t="inlineStr">
        <is>
          <t>THETA_MID</t>
        </is>
      </c>
      <c r="MU3" s="5" t="inlineStr">
        <is>
          <t>OPT_UNDL_PX</t>
        </is>
      </c>
      <c r="MW3" s="5" t="inlineStr">
        <is>
          <t>Date</t>
        </is>
      </c>
      <c r="MX3" s="5" t="inlineStr">
        <is>
          <t>PX_BID</t>
        </is>
      </c>
      <c r="MY3" s="5" t="inlineStr">
        <is>
          <t>PX_ASK</t>
        </is>
      </c>
      <c r="MZ3" s="5" t="inlineStr">
        <is>
          <t>PX_MID</t>
        </is>
      </c>
      <c r="NA3" s="5" t="inlineStr">
        <is>
          <t>PX_LAST</t>
        </is>
      </c>
      <c r="NB3" s="5" t="inlineStr">
        <is>
          <t>PX_SETTLE</t>
        </is>
      </c>
      <c r="NC3" s="5" t="inlineStr">
        <is>
          <t>PX_VOLUME</t>
        </is>
      </c>
      <c r="ND3" s="5" t="inlineStr">
        <is>
          <t>OPEN_INT</t>
        </is>
      </c>
      <c r="NE3" s="5" t="inlineStr">
        <is>
          <t>IVOL_MID</t>
        </is>
      </c>
      <c r="NF3" s="5" t="inlineStr">
        <is>
          <t>IVOL_BID</t>
        </is>
      </c>
      <c r="NG3" s="5" t="inlineStr">
        <is>
          <t>IVOL_ASK</t>
        </is>
      </c>
      <c r="NH3" s="5" t="inlineStr">
        <is>
          <t>DELTA_MID</t>
        </is>
      </c>
      <c r="NI3" s="5" t="inlineStr">
        <is>
          <t>GAMMA_MID</t>
        </is>
      </c>
      <c r="NJ3" s="5" t="inlineStr">
        <is>
          <t>VEGA_MID</t>
        </is>
      </c>
      <c r="NK3" s="5" t="inlineStr">
        <is>
          <t>THETA_MID</t>
        </is>
      </c>
      <c r="NL3" s="5" t="inlineStr">
        <is>
          <t>OPT_UNDL_PX</t>
        </is>
      </c>
    </row>
    <row r="4">
      <c r="A4" s="2" t="inlineStr">
        <is>
          <t>Strike reference date</t>
        </is>
      </c>
      <c r="B4" s="8">
        <f>B3-45</f>
        <v/>
      </c>
      <c r="D4" s="4">
        <f>BDH(D$1,E$3:S$3,$B$8,$B$9,"Dir=V","Dts=S","Sort=A","Days=T","Fill=B")</f>
        <v/>
      </c>
      <c r="U4" s="4">
        <f>BDH(U$1,V$3:AJ$3,$B$8,$B$9,"Dir=V","Dts=S","Sort=A","Days=T","Fill=B")</f>
        <v/>
      </c>
      <c r="AL4" s="4">
        <f>BDH(AL$1,AM$3:BA$3,$B$8,$B$9,"Dir=V","Dts=S","Sort=A","Days=T","Fill=B")</f>
        <v/>
      </c>
      <c r="BC4" s="4">
        <f>BDH(BC$1,BD$3:BR$3,$B$8,$B$9,"Dir=V","Dts=S","Sort=A","Days=T","Fill=B")</f>
        <v/>
      </c>
      <c r="BT4" s="4">
        <f>BDH(BT$1,BU$3:CI$3,$B$8,$B$9,"Dir=V","Dts=S","Sort=A","Days=T","Fill=B")</f>
        <v/>
      </c>
      <c r="CK4" s="4">
        <f>BDH(CK$1,CL$3:CZ$3,$B$8,$B$9,"Dir=V","Dts=S","Sort=A","Days=T","Fill=B")</f>
        <v/>
      </c>
      <c r="DB4" s="4">
        <f>BDH(DB$1,DC$3:DQ$3,$B$8,$B$9,"Dir=V","Dts=S","Sort=A","Days=T","Fill=B")</f>
        <v/>
      </c>
      <c r="DS4" s="4">
        <f>BDH(DS$1,DT$3:EH$3,$B$8,$B$9,"Dir=V","Dts=S","Sort=A","Days=T","Fill=B")</f>
        <v/>
      </c>
      <c r="EJ4" s="4">
        <f>BDH(EJ$1,EK$3:EY$3,$B$8,$B$9,"Dir=V","Dts=S","Sort=A","Days=T","Fill=B")</f>
        <v/>
      </c>
      <c r="FA4" s="4">
        <f>BDH(FA$1,FB$3:FP$3,$B$8,$B$9,"Dir=V","Dts=S","Sort=A","Days=T","Fill=B")</f>
        <v/>
      </c>
      <c r="FR4" s="4">
        <f>BDH(FR$1,FS$3:GG$3,$B$8,$B$9,"Dir=V","Dts=S","Sort=A","Days=T","Fill=B")</f>
        <v/>
      </c>
      <c r="GI4" s="4">
        <f>BDH(GI$1,GJ$3:GX$3,$B$8,$B$9,"Dir=V","Dts=S","Sort=A","Days=T","Fill=B")</f>
        <v/>
      </c>
      <c r="GZ4" s="4">
        <f>BDH(GZ$1,HA$3:HO$3,$B$8,$B$9,"Dir=V","Dts=S","Sort=A","Days=T","Fill=B")</f>
        <v/>
      </c>
      <c r="HQ4" s="4">
        <f>BDH(HQ$1,HR$3:IF$3,$B$8,$B$9,"Dir=V","Dts=S","Sort=A","Days=T","Fill=B")</f>
        <v/>
      </c>
      <c r="IH4" s="4">
        <f>BDH(IH$1,II$3:IW$3,$B$8,$B$9,"Dir=V","Dts=S","Sort=A","Days=T","Fill=B")</f>
        <v/>
      </c>
      <c r="IY4" s="4">
        <f>BDH(IY$1,IZ$3:JN$3,$B$8,$B$9,"Dir=V","Dts=S","Sort=A","Days=T","Fill=B")</f>
        <v/>
      </c>
      <c r="JP4" s="4">
        <f>BDH(JP$1,JQ$3:KE$3,$B$8,$B$9,"Dir=V","Dts=S","Sort=A","Days=T","Fill=B")</f>
        <v/>
      </c>
      <c r="KG4" s="4">
        <f>BDH(KG$1,KH$3:KV$3,$B$8,$B$9,"Dir=V","Dts=S","Sort=A","Days=T","Fill=B")</f>
        <v/>
      </c>
      <c r="KX4" s="4">
        <f>BDH(KX$1,KY$3:LM$3,$B$8,$B$9,"Dir=V","Dts=S","Sort=A","Days=T","Fill=B")</f>
        <v/>
      </c>
      <c r="LO4" s="4">
        <f>BDH(LO$1,LP$3:MD$3,$B$8,$B$9,"Dir=V","Dts=S","Sort=A","Days=T","Fill=B")</f>
        <v/>
      </c>
      <c r="MF4" s="4">
        <f>BDH(MF$1,MG$3:MU$3,$B$8,$B$9,"Dir=V","Dts=S","Sort=A","Days=T","Fill=B")</f>
        <v/>
      </c>
      <c r="MW4" s="4">
        <f>BDH(MW$1,MX$3:NL$3,$B$8,$B$9,"Dir=V","Dts=S","Sort=A","Days=T","Fill=B")</f>
        <v/>
      </c>
    </row>
    <row r="5">
      <c r="A5" s="2" t="inlineStr">
        <is>
          <t>Unadjusted close then</t>
        </is>
      </c>
      <c r="B5" s="10">
        <f>IF(B2="","",BDH(B2,"PX_LAST",B4,B4,"Days=A","Fill=P","Dts=H","CshAdjNormal=N","CshAdjAbnormal=N","CapChg=N"))</f>
        <v/>
      </c>
    </row>
    <row r="6">
      <c r="A6" s="2" t="inlineStr">
        <is>
          <t>Strike step</t>
        </is>
      </c>
      <c r="B6" s="11">
        <f>IF(ISNUMBER(B5),IF(B5&lt;25,0.5,IF(B5&lt;250,1,5)),"")</f>
        <v/>
      </c>
    </row>
    <row r="7">
      <c r="A7" s="2" t="inlineStr">
        <is>
          <t>ATM strike</t>
        </is>
      </c>
      <c r="B7" s="11">
        <f>IF(ISNUMBER(B5),ROUND(B5/B6,0)*B6,"")</f>
        <v/>
      </c>
    </row>
    <row r="8">
      <c r="A8" s="2" t="inlineStr">
        <is>
          <t>History start</t>
        </is>
      </c>
      <c r="B8" s="8">
        <f>B3-100</f>
        <v/>
      </c>
    </row>
    <row r="9">
      <c r="A9" s="2" t="inlineStr">
        <is>
          <t>History end</t>
        </is>
      </c>
      <c r="B9" s="8">
        <f>B3</f>
        <v/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NL9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2" customWidth="1" min="2" max="2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1" customWidth="1" min="15" max="15"/>
    <col width="11" customWidth="1" min="16" max="16"/>
    <col width="10" customWidth="1" min="17" max="17"/>
    <col width="11" customWidth="1" min="18" max="18"/>
    <col width="13" customWidth="1" min="19" max="19"/>
    <col width="12" customWidth="1" min="21" max="21"/>
    <col width="10" customWidth="1" min="22" max="22"/>
    <col width="10" customWidth="1" min="23" max="23"/>
    <col width="10" customWidth="1" min="24" max="24"/>
    <col width="10" customWidth="1" min="25" max="25"/>
    <col width="11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1" customWidth="1" min="32" max="32"/>
    <col width="11" customWidth="1" min="33" max="33"/>
    <col width="10" customWidth="1" min="34" max="34"/>
    <col width="11" customWidth="1" min="35" max="35"/>
    <col width="13" customWidth="1" min="36" max="36"/>
    <col width="12" customWidth="1" min="38" max="38"/>
    <col width="10" customWidth="1" min="39" max="39"/>
    <col width="10" customWidth="1" min="40" max="40"/>
    <col width="10" customWidth="1" min="41" max="41"/>
    <col width="10" customWidth="1" min="42" max="42"/>
    <col width="11" customWidth="1" min="43" max="43"/>
    <col width="11" customWidth="1" min="44" max="44"/>
    <col width="10" customWidth="1" min="45" max="45"/>
    <col width="10" customWidth="1" min="46" max="46"/>
    <col width="10" customWidth="1" min="47" max="47"/>
    <col width="10" customWidth="1" min="48" max="48"/>
    <col width="11" customWidth="1" min="49" max="49"/>
    <col width="11" customWidth="1" min="50" max="50"/>
    <col width="10" customWidth="1" min="51" max="51"/>
    <col width="11" customWidth="1" min="52" max="52"/>
    <col width="13" customWidth="1" min="53" max="53"/>
    <col width="12" customWidth="1" min="55" max="55"/>
    <col width="10" customWidth="1" min="56" max="56"/>
    <col width="10" customWidth="1" min="57" max="57"/>
    <col width="10" customWidth="1" min="58" max="58"/>
    <col width="10" customWidth="1" min="59" max="59"/>
    <col width="11" customWidth="1" min="60" max="60"/>
    <col width="11" customWidth="1" min="61" max="61"/>
    <col width="10" customWidth="1" min="62" max="62"/>
    <col width="10" customWidth="1" min="63" max="63"/>
    <col width="10" customWidth="1" min="64" max="64"/>
    <col width="10" customWidth="1" min="65" max="65"/>
    <col width="11" customWidth="1" min="66" max="66"/>
    <col width="11" customWidth="1" min="67" max="67"/>
    <col width="10" customWidth="1" min="68" max="68"/>
    <col width="11" customWidth="1" min="69" max="69"/>
    <col width="13" customWidth="1" min="70" max="70"/>
    <col width="12" customWidth="1" min="72" max="72"/>
    <col width="10" customWidth="1" min="73" max="73"/>
    <col width="10" customWidth="1" min="74" max="74"/>
    <col width="10" customWidth="1" min="75" max="75"/>
    <col width="10" customWidth="1" min="76" max="76"/>
    <col width="11" customWidth="1" min="77" max="77"/>
    <col width="11" customWidth="1" min="78" max="78"/>
    <col width="10" customWidth="1" min="79" max="79"/>
    <col width="10" customWidth="1" min="80" max="80"/>
    <col width="10" customWidth="1" min="81" max="81"/>
    <col width="10" customWidth="1" min="82" max="82"/>
    <col width="11" customWidth="1" min="83" max="83"/>
    <col width="11" customWidth="1" min="84" max="84"/>
    <col width="10" customWidth="1" min="85" max="85"/>
    <col width="11" customWidth="1" min="86" max="86"/>
    <col width="13" customWidth="1" min="87" max="87"/>
    <col width="12" customWidth="1" min="89" max="89"/>
    <col width="10" customWidth="1" min="90" max="90"/>
    <col width="10" customWidth="1" min="91" max="91"/>
    <col width="10" customWidth="1" min="92" max="92"/>
    <col width="10" customWidth="1" min="93" max="93"/>
    <col width="11" customWidth="1" min="94" max="94"/>
    <col width="11" customWidth="1" min="95" max="95"/>
    <col width="10" customWidth="1" min="96" max="96"/>
    <col width="10" customWidth="1" min="97" max="97"/>
    <col width="10" customWidth="1" min="98" max="98"/>
    <col width="10" customWidth="1" min="99" max="99"/>
    <col width="11" customWidth="1" min="100" max="100"/>
    <col width="11" customWidth="1" min="101" max="101"/>
    <col width="10" customWidth="1" min="102" max="102"/>
    <col width="11" customWidth="1" min="103" max="103"/>
    <col width="13" customWidth="1" min="104" max="104"/>
    <col width="12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1" customWidth="1" min="111" max="111"/>
    <col width="11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1" customWidth="1" min="117" max="117"/>
    <col width="11" customWidth="1" min="118" max="118"/>
    <col width="10" customWidth="1" min="119" max="119"/>
    <col width="11" customWidth="1" min="120" max="120"/>
    <col width="13" customWidth="1" min="121" max="121"/>
    <col width="12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1" customWidth="1" min="128" max="128"/>
    <col width="11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1" customWidth="1" min="134" max="134"/>
    <col width="11" customWidth="1" min="135" max="135"/>
    <col width="10" customWidth="1" min="136" max="136"/>
    <col width="11" customWidth="1" min="137" max="137"/>
    <col width="13" customWidth="1" min="138" max="138"/>
    <col width="12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1" customWidth="1" min="145" max="145"/>
    <col width="11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1" customWidth="1" min="151" max="151"/>
    <col width="11" customWidth="1" min="152" max="152"/>
    <col width="10" customWidth="1" min="153" max="153"/>
    <col width="11" customWidth="1" min="154" max="154"/>
    <col width="13" customWidth="1" min="155" max="155"/>
    <col width="12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1" customWidth="1" min="162" max="162"/>
    <col width="11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1" customWidth="1" min="168" max="168"/>
    <col width="11" customWidth="1" min="169" max="169"/>
    <col width="10" customWidth="1" min="170" max="170"/>
    <col width="11" customWidth="1" min="171" max="171"/>
    <col width="13" customWidth="1" min="172" max="172"/>
    <col width="12" customWidth="1" min="174" max="174"/>
    <col width="10" customWidth="1" min="175" max="175"/>
    <col width="10" customWidth="1" min="176" max="176"/>
    <col width="10" customWidth="1" min="177" max="177"/>
    <col width="10" customWidth="1" min="178" max="178"/>
    <col width="11" customWidth="1" min="179" max="179"/>
    <col width="11" customWidth="1" min="180" max="180"/>
    <col width="10" customWidth="1" min="181" max="181"/>
    <col width="10" customWidth="1" min="182" max="182"/>
    <col width="10" customWidth="1" min="183" max="183"/>
    <col width="10" customWidth="1" min="184" max="184"/>
    <col width="11" customWidth="1" min="185" max="185"/>
    <col width="11" customWidth="1" min="186" max="186"/>
    <col width="10" customWidth="1" min="187" max="187"/>
    <col width="11" customWidth="1" min="188" max="188"/>
    <col width="13" customWidth="1" min="189" max="189"/>
    <col width="12" customWidth="1" min="191" max="191"/>
    <col width="10" customWidth="1" min="192" max="192"/>
    <col width="10" customWidth="1" min="193" max="193"/>
    <col width="10" customWidth="1" min="194" max="194"/>
    <col width="10" customWidth="1" min="195" max="195"/>
    <col width="11" customWidth="1" min="196" max="196"/>
    <col width="11" customWidth="1" min="197" max="197"/>
    <col width="10" customWidth="1" min="198" max="198"/>
    <col width="10" customWidth="1" min="199" max="199"/>
    <col width="10" customWidth="1" min="200" max="200"/>
    <col width="10" customWidth="1" min="201" max="201"/>
    <col width="11" customWidth="1" min="202" max="202"/>
    <col width="11" customWidth="1" min="203" max="203"/>
    <col width="10" customWidth="1" min="204" max="204"/>
    <col width="11" customWidth="1" min="205" max="205"/>
    <col width="13" customWidth="1" min="206" max="206"/>
    <col width="12" customWidth="1" min="208" max="208"/>
    <col width="10" customWidth="1" min="209" max="209"/>
    <col width="10" customWidth="1" min="210" max="210"/>
    <col width="10" customWidth="1" min="211" max="211"/>
    <col width="10" customWidth="1" min="212" max="212"/>
    <col width="11" customWidth="1" min="213" max="213"/>
    <col width="11" customWidth="1" min="214" max="214"/>
    <col width="10" customWidth="1" min="215" max="215"/>
    <col width="10" customWidth="1" min="216" max="216"/>
    <col width="10" customWidth="1" min="217" max="217"/>
    <col width="10" customWidth="1" min="218" max="218"/>
    <col width="11" customWidth="1" min="219" max="219"/>
    <col width="11" customWidth="1" min="220" max="220"/>
    <col width="10" customWidth="1" min="221" max="221"/>
    <col width="11" customWidth="1" min="222" max="222"/>
    <col width="13" customWidth="1" min="223" max="223"/>
    <col width="12" customWidth="1" min="225" max="225"/>
    <col width="10" customWidth="1" min="226" max="226"/>
    <col width="10" customWidth="1" min="227" max="227"/>
    <col width="10" customWidth="1" min="228" max="228"/>
    <col width="10" customWidth="1" min="229" max="229"/>
    <col width="11" customWidth="1" min="230" max="230"/>
    <col width="11" customWidth="1" min="231" max="231"/>
    <col width="10" customWidth="1" min="232" max="232"/>
    <col width="10" customWidth="1" min="233" max="233"/>
    <col width="10" customWidth="1" min="234" max="234"/>
    <col width="10" customWidth="1" min="235" max="235"/>
    <col width="11" customWidth="1" min="236" max="236"/>
    <col width="11" customWidth="1" min="237" max="237"/>
    <col width="10" customWidth="1" min="238" max="238"/>
    <col width="11" customWidth="1" min="239" max="239"/>
    <col width="13" customWidth="1" min="240" max="240"/>
    <col width="12" customWidth="1" min="242" max="242"/>
    <col width="10" customWidth="1" min="243" max="243"/>
    <col width="10" customWidth="1" min="244" max="244"/>
    <col width="10" customWidth="1" min="245" max="245"/>
    <col width="10" customWidth="1" min="246" max="246"/>
    <col width="11" customWidth="1" min="247" max="247"/>
    <col width="11" customWidth="1" min="248" max="248"/>
    <col width="10" customWidth="1" min="249" max="249"/>
    <col width="10" customWidth="1" min="250" max="250"/>
    <col width="10" customWidth="1" min="251" max="251"/>
    <col width="10" customWidth="1" min="252" max="252"/>
    <col width="11" customWidth="1" min="253" max="253"/>
    <col width="11" customWidth="1" min="254" max="254"/>
    <col width="10" customWidth="1" min="255" max="255"/>
    <col width="11" customWidth="1" min="256" max="256"/>
    <col width="13" customWidth="1" min="257" max="257"/>
    <col width="12" customWidth="1" min="259" max="259"/>
    <col width="10" customWidth="1" min="260" max="260"/>
    <col width="10" customWidth="1" min="261" max="261"/>
    <col width="10" customWidth="1" min="262" max="262"/>
    <col width="10" customWidth="1" min="263" max="263"/>
    <col width="11" customWidth="1" min="264" max="264"/>
    <col width="11" customWidth="1" min="265" max="265"/>
    <col width="10" customWidth="1" min="266" max="266"/>
    <col width="10" customWidth="1" min="267" max="267"/>
    <col width="10" customWidth="1" min="268" max="268"/>
    <col width="10" customWidth="1" min="269" max="269"/>
    <col width="11" customWidth="1" min="270" max="270"/>
    <col width="11" customWidth="1" min="271" max="271"/>
    <col width="10" customWidth="1" min="272" max="272"/>
    <col width="11" customWidth="1" min="273" max="273"/>
    <col width="13" customWidth="1" min="274" max="274"/>
    <col width="12" customWidth="1" min="276" max="276"/>
    <col width="10" customWidth="1" min="277" max="277"/>
    <col width="10" customWidth="1" min="278" max="278"/>
    <col width="10" customWidth="1" min="279" max="279"/>
    <col width="10" customWidth="1" min="280" max="280"/>
    <col width="11" customWidth="1" min="281" max="281"/>
    <col width="11" customWidth="1" min="282" max="282"/>
    <col width="10" customWidth="1" min="283" max="283"/>
    <col width="10" customWidth="1" min="284" max="284"/>
    <col width="10" customWidth="1" min="285" max="285"/>
    <col width="10" customWidth="1" min="286" max="286"/>
    <col width="11" customWidth="1" min="287" max="287"/>
    <col width="11" customWidth="1" min="288" max="288"/>
    <col width="10" customWidth="1" min="289" max="289"/>
    <col width="11" customWidth="1" min="290" max="290"/>
    <col width="13" customWidth="1" min="291" max="291"/>
    <col width="12" customWidth="1" min="293" max="293"/>
    <col width="10" customWidth="1" min="294" max="294"/>
    <col width="10" customWidth="1" min="295" max="295"/>
    <col width="10" customWidth="1" min="296" max="296"/>
    <col width="10" customWidth="1" min="297" max="297"/>
    <col width="11" customWidth="1" min="298" max="298"/>
    <col width="11" customWidth="1" min="299" max="299"/>
    <col width="10" customWidth="1" min="300" max="300"/>
    <col width="10" customWidth="1" min="301" max="301"/>
    <col width="10" customWidth="1" min="302" max="302"/>
    <col width="10" customWidth="1" min="303" max="303"/>
    <col width="11" customWidth="1" min="304" max="304"/>
    <col width="11" customWidth="1" min="305" max="305"/>
    <col width="10" customWidth="1" min="306" max="306"/>
    <col width="11" customWidth="1" min="307" max="307"/>
    <col width="13" customWidth="1" min="308" max="308"/>
    <col width="12" customWidth="1" min="310" max="310"/>
    <col width="10" customWidth="1" min="311" max="311"/>
    <col width="10" customWidth="1" min="312" max="312"/>
    <col width="10" customWidth="1" min="313" max="313"/>
    <col width="10" customWidth="1" min="314" max="314"/>
    <col width="11" customWidth="1" min="315" max="315"/>
    <col width="11" customWidth="1" min="316" max="316"/>
    <col width="10" customWidth="1" min="317" max="317"/>
    <col width="10" customWidth="1" min="318" max="318"/>
    <col width="10" customWidth="1" min="319" max="319"/>
    <col width="10" customWidth="1" min="320" max="320"/>
    <col width="11" customWidth="1" min="321" max="321"/>
    <col width="11" customWidth="1" min="322" max="322"/>
    <col width="10" customWidth="1" min="323" max="323"/>
    <col width="11" customWidth="1" min="324" max="324"/>
    <col width="13" customWidth="1" min="325" max="325"/>
    <col width="12" customWidth="1" min="327" max="327"/>
    <col width="10" customWidth="1" min="328" max="328"/>
    <col width="10" customWidth="1" min="329" max="329"/>
    <col width="10" customWidth="1" min="330" max="330"/>
    <col width="10" customWidth="1" min="331" max="331"/>
    <col width="11" customWidth="1" min="332" max="332"/>
    <col width="11" customWidth="1" min="333" max="333"/>
    <col width="10" customWidth="1" min="334" max="334"/>
    <col width="10" customWidth="1" min="335" max="335"/>
    <col width="10" customWidth="1" min="336" max="336"/>
    <col width="10" customWidth="1" min="337" max="337"/>
    <col width="11" customWidth="1" min="338" max="338"/>
    <col width="11" customWidth="1" min="339" max="339"/>
    <col width="10" customWidth="1" min="340" max="340"/>
    <col width="11" customWidth="1" min="341" max="341"/>
    <col width="13" customWidth="1" min="342" max="342"/>
    <col width="12" customWidth="1" min="344" max="344"/>
    <col width="10" customWidth="1" min="345" max="345"/>
    <col width="10" customWidth="1" min="346" max="346"/>
    <col width="10" customWidth="1" min="347" max="347"/>
    <col width="10" customWidth="1" min="348" max="348"/>
    <col width="11" customWidth="1" min="349" max="349"/>
    <col width="11" customWidth="1" min="350" max="350"/>
    <col width="10" customWidth="1" min="351" max="351"/>
    <col width="10" customWidth="1" min="352" max="352"/>
    <col width="10" customWidth="1" min="353" max="353"/>
    <col width="10" customWidth="1" min="354" max="354"/>
    <col width="11" customWidth="1" min="355" max="355"/>
    <col width="11" customWidth="1" min="356" max="356"/>
    <col width="10" customWidth="1" min="357" max="357"/>
    <col width="11" customWidth="1" min="358" max="358"/>
    <col width="13" customWidth="1" min="359" max="359"/>
    <col width="12" customWidth="1" min="361" max="361"/>
    <col width="10" customWidth="1" min="362" max="362"/>
    <col width="10" customWidth="1" min="363" max="363"/>
    <col width="10" customWidth="1" min="364" max="364"/>
    <col width="10" customWidth="1" min="365" max="365"/>
    <col width="11" customWidth="1" min="366" max="366"/>
    <col width="11" customWidth="1" min="367" max="367"/>
    <col width="10" customWidth="1" min="368" max="368"/>
    <col width="10" customWidth="1" min="369" max="369"/>
    <col width="10" customWidth="1" min="370" max="370"/>
    <col width="10" customWidth="1" min="371" max="371"/>
    <col width="11" customWidth="1" min="372" max="372"/>
    <col width="11" customWidth="1" min="373" max="373"/>
    <col width="10" customWidth="1" min="374" max="374"/>
    <col width="11" customWidth="1" min="375" max="375"/>
    <col width="13" customWidth="1" min="376" max="376"/>
  </cols>
  <sheetData>
    <row r="1">
      <c r="A1" s="2" t="inlineStr">
        <is>
          <t>Month</t>
        </is>
      </c>
      <c r="B1" s="9" t="n">
        <v>7</v>
      </c>
      <c r="D1" s="2">
        <f>IF(ISNUMBER(B$7),"DAL US "&amp;TEXT(B$3,"mm/dd/yy")&amp;" C"&amp;(B$7-5*B$6)&amp;" Equity","")</f>
        <v/>
      </c>
      <c r="U1" s="2">
        <f>IF(ISNUMBER(B$7),"DAL US "&amp;TEXT(B$3,"mm/dd/yy")&amp;" P"&amp;(B$7-5*B$6)&amp;" Equity","")</f>
        <v/>
      </c>
      <c r="AL1" s="2">
        <f>IF(ISNUMBER(B$7),"DAL US "&amp;TEXT(B$3,"mm/dd/yy")&amp;" C"&amp;(B$7-4*B$6)&amp;" Equity","")</f>
        <v/>
      </c>
      <c r="BC1" s="2">
        <f>IF(ISNUMBER(B$7),"DAL US "&amp;TEXT(B$3,"mm/dd/yy")&amp;" P"&amp;(B$7-4*B$6)&amp;" Equity","")</f>
        <v/>
      </c>
      <c r="BT1" s="2">
        <f>IF(ISNUMBER(B$7),"DAL US "&amp;TEXT(B$3,"mm/dd/yy")&amp;" C"&amp;(B$7-3*B$6)&amp;" Equity","")</f>
        <v/>
      </c>
      <c r="CK1" s="2">
        <f>IF(ISNUMBER(B$7),"DAL US "&amp;TEXT(B$3,"mm/dd/yy")&amp;" P"&amp;(B$7-3*B$6)&amp;" Equity","")</f>
        <v/>
      </c>
      <c r="DB1" s="2">
        <f>IF(ISNUMBER(B$7),"DAL US "&amp;TEXT(B$3,"mm/dd/yy")&amp;" C"&amp;(B$7-2*B$6)&amp;" Equity","")</f>
        <v/>
      </c>
      <c r="DS1" s="2">
        <f>IF(ISNUMBER(B$7),"DAL US "&amp;TEXT(B$3,"mm/dd/yy")&amp;" P"&amp;(B$7-2*B$6)&amp;" Equity","")</f>
        <v/>
      </c>
      <c r="EJ1" s="2">
        <f>IF(ISNUMBER(B$7),"DAL US "&amp;TEXT(B$3,"mm/dd/yy")&amp;" C"&amp;(B$7-1*B$6)&amp;" Equity","")</f>
        <v/>
      </c>
      <c r="FA1" s="2">
        <f>IF(ISNUMBER(B$7),"DAL US "&amp;TEXT(B$3,"mm/dd/yy")&amp;" P"&amp;(B$7-1*B$6)&amp;" Equity","")</f>
        <v/>
      </c>
      <c r="FR1" s="2">
        <f>IF(ISNUMBER(B$7),"DAL US "&amp;TEXT(B$3,"mm/dd/yy")&amp;" C"&amp;B$7&amp;" Equity","")</f>
        <v/>
      </c>
      <c r="GI1" s="2">
        <f>IF(ISNUMBER(B$7),"DAL US "&amp;TEXT(B$3,"mm/dd/yy")&amp;" P"&amp;B$7&amp;" Equity","")</f>
        <v/>
      </c>
      <c r="GZ1" s="2">
        <f>IF(ISNUMBER(B$7),"DAL US "&amp;TEXT(B$3,"mm/dd/yy")&amp;" C"&amp;(B$7+1*B$6)&amp;" Equity","")</f>
        <v/>
      </c>
      <c r="HQ1" s="2">
        <f>IF(ISNUMBER(B$7),"DAL US "&amp;TEXT(B$3,"mm/dd/yy")&amp;" P"&amp;(B$7+1*B$6)&amp;" Equity","")</f>
        <v/>
      </c>
      <c r="IH1" s="2">
        <f>IF(ISNUMBER(B$7),"DAL US "&amp;TEXT(B$3,"mm/dd/yy")&amp;" C"&amp;(B$7+2*B$6)&amp;" Equity","")</f>
        <v/>
      </c>
      <c r="IY1" s="2">
        <f>IF(ISNUMBER(B$7),"DAL US "&amp;TEXT(B$3,"mm/dd/yy")&amp;" P"&amp;(B$7+2*B$6)&amp;" Equity","")</f>
        <v/>
      </c>
      <c r="JP1" s="2">
        <f>IF(ISNUMBER(B$7),"DAL US "&amp;TEXT(B$3,"mm/dd/yy")&amp;" C"&amp;(B$7+3*B$6)&amp;" Equity","")</f>
        <v/>
      </c>
      <c r="KG1" s="2">
        <f>IF(ISNUMBER(B$7),"DAL US "&amp;TEXT(B$3,"mm/dd/yy")&amp;" P"&amp;(B$7+3*B$6)&amp;" Equity","")</f>
        <v/>
      </c>
      <c r="KX1" s="2">
        <f>IF(ISNUMBER(B$7),"DAL US "&amp;TEXT(B$3,"mm/dd/yy")&amp;" C"&amp;(B$7+4*B$6)&amp;" Equity","")</f>
        <v/>
      </c>
      <c r="LO1" s="2">
        <f>IF(ISNUMBER(B$7),"DAL US "&amp;TEXT(B$3,"mm/dd/yy")&amp;" P"&amp;(B$7+4*B$6)&amp;" Equity","")</f>
        <v/>
      </c>
      <c r="MF1" s="2">
        <f>IF(ISNUMBER(B$7),"DAL US "&amp;TEXT(B$3,"mm/dd/yy")&amp;" C"&amp;(B$7+5*B$6)&amp;" Equity","")</f>
        <v/>
      </c>
      <c r="MW1" s="2">
        <f>IF(ISNUMBER(B$7),"DAL US "&amp;TEXT(B$3,"mm/dd/yy")&amp;" P"&amp;(B$7+5*B$6)&amp;" Equity","")</f>
        <v/>
      </c>
    </row>
    <row r="2">
      <c r="A2" s="2" t="inlineStr">
        <is>
          <t>Underlying</t>
        </is>
      </c>
      <c r="B2" s="4">
        <f>IF(Settings!$B$19="Y","DAL US Equity","")</f>
        <v/>
      </c>
      <c r="D2" s="4" t="inlineStr">
        <is>
          <t>call -5 from ATM</t>
        </is>
      </c>
      <c r="U2" s="4" t="inlineStr">
        <is>
          <t>put -5 from ATM</t>
        </is>
      </c>
      <c r="AL2" s="4" t="inlineStr">
        <is>
          <t>call -4 from ATM</t>
        </is>
      </c>
      <c r="BC2" s="4" t="inlineStr">
        <is>
          <t>put -4 from ATM</t>
        </is>
      </c>
      <c r="BT2" s="4" t="inlineStr">
        <is>
          <t>call -3 from ATM</t>
        </is>
      </c>
      <c r="CK2" s="4" t="inlineStr">
        <is>
          <t>put -3 from ATM</t>
        </is>
      </c>
      <c r="DB2" s="4" t="inlineStr">
        <is>
          <t>call -2 from ATM</t>
        </is>
      </c>
      <c r="DS2" s="4" t="inlineStr">
        <is>
          <t>put -2 from ATM</t>
        </is>
      </c>
      <c r="EJ2" s="4" t="inlineStr">
        <is>
          <t>call -1 from ATM</t>
        </is>
      </c>
      <c r="FA2" s="4" t="inlineStr">
        <is>
          <t>put -1 from ATM</t>
        </is>
      </c>
      <c r="FR2" s="4" t="inlineStr">
        <is>
          <t>call +0 from ATM</t>
        </is>
      </c>
      <c r="GI2" s="4" t="inlineStr">
        <is>
          <t>put +0 from ATM</t>
        </is>
      </c>
      <c r="GZ2" s="4" t="inlineStr">
        <is>
          <t>call +1 from ATM</t>
        </is>
      </c>
      <c r="HQ2" s="4" t="inlineStr">
        <is>
          <t>put +1 from ATM</t>
        </is>
      </c>
      <c r="IH2" s="4" t="inlineStr">
        <is>
          <t>call +2 from ATM</t>
        </is>
      </c>
      <c r="IY2" s="4" t="inlineStr">
        <is>
          <t>put +2 from ATM</t>
        </is>
      </c>
      <c r="JP2" s="4" t="inlineStr">
        <is>
          <t>call +3 from ATM</t>
        </is>
      </c>
      <c r="KG2" s="4" t="inlineStr">
        <is>
          <t>put +3 from ATM</t>
        </is>
      </c>
      <c r="KX2" s="4" t="inlineStr">
        <is>
          <t>call +4 from ATM</t>
        </is>
      </c>
      <c r="LO2" s="4" t="inlineStr">
        <is>
          <t>put +4 from ATM</t>
        </is>
      </c>
      <c r="MF2" s="4" t="inlineStr">
        <is>
          <t>call +5 from ATM</t>
        </is>
      </c>
      <c r="MW2" s="4" t="inlineStr">
        <is>
          <t>put +5 from ATM</t>
        </is>
      </c>
    </row>
    <row r="3">
      <c r="A3" s="2" t="inlineStr">
        <is>
          <t>Expiry (3rd Friday)</t>
        </is>
      </c>
      <c r="B3" s="3">
        <f>DATE(Settings!$E$19,B1,15)+MOD(6-WEEKDAY(DATE(Settings!$E$19,B1,15)),7)</f>
        <v/>
      </c>
      <c r="D3" s="5" t="inlineStr">
        <is>
          <t>Date</t>
        </is>
      </c>
      <c r="E3" s="5" t="inlineStr">
        <is>
          <t>PX_BID</t>
        </is>
      </c>
      <c r="F3" s="5" t="inlineStr">
        <is>
          <t>PX_ASK</t>
        </is>
      </c>
      <c r="G3" s="5" t="inlineStr">
        <is>
          <t>PX_MID</t>
        </is>
      </c>
      <c r="H3" s="5" t="inlineStr">
        <is>
          <t>PX_LAST</t>
        </is>
      </c>
      <c r="I3" s="5" t="inlineStr">
        <is>
          <t>PX_SETTLE</t>
        </is>
      </c>
      <c r="J3" s="5" t="inlineStr">
        <is>
          <t>PX_VOLUME</t>
        </is>
      </c>
      <c r="K3" s="5" t="inlineStr">
        <is>
          <t>OPEN_INT</t>
        </is>
      </c>
      <c r="L3" s="5" t="inlineStr">
        <is>
          <t>IVOL_MID</t>
        </is>
      </c>
      <c r="M3" s="5" t="inlineStr">
        <is>
          <t>IVOL_BID</t>
        </is>
      </c>
      <c r="N3" s="5" t="inlineStr">
        <is>
          <t>IVOL_ASK</t>
        </is>
      </c>
      <c r="O3" s="5" t="inlineStr">
        <is>
          <t>DELTA_MID</t>
        </is>
      </c>
      <c r="P3" s="5" t="inlineStr">
        <is>
          <t>GAMMA_MID</t>
        </is>
      </c>
      <c r="Q3" s="5" t="inlineStr">
        <is>
          <t>VEGA_MID</t>
        </is>
      </c>
      <c r="R3" s="5" t="inlineStr">
        <is>
          <t>THETA_MID</t>
        </is>
      </c>
      <c r="S3" s="5" t="inlineStr">
        <is>
          <t>OPT_UNDL_PX</t>
        </is>
      </c>
      <c r="U3" s="5" t="inlineStr">
        <is>
          <t>Date</t>
        </is>
      </c>
      <c r="V3" s="5" t="inlineStr">
        <is>
          <t>PX_BID</t>
        </is>
      </c>
      <c r="W3" s="5" t="inlineStr">
        <is>
          <t>PX_ASK</t>
        </is>
      </c>
      <c r="X3" s="5" t="inlineStr">
        <is>
          <t>PX_MID</t>
        </is>
      </c>
      <c r="Y3" s="5" t="inlineStr">
        <is>
          <t>PX_LAST</t>
        </is>
      </c>
      <c r="Z3" s="5" t="inlineStr">
        <is>
          <t>PX_SETTLE</t>
        </is>
      </c>
      <c r="AA3" s="5" t="inlineStr">
        <is>
          <t>PX_VOLUME</t>
        </is>
      </c>
      <c r="AB3" s="5" t="inlineStr">
        <is>
          <t>OPEN_INT</t>
        </is>
      </c>
      <c r="AC3" s="5" t="inlineStr">
        <is>
          <t>IVOL_MID</t>
        </is>
      </c>
      <c r="AD3" s="5" t="inlineStr">
        <is>
          <t>IVOL_BID</t>
        </is>
      </c>
      <c r="AE3" s="5" t="inlineStr">
        <is>
          <t>IVOL_ASK</t>
        </is>
      </c>
      <c r="AF3" s="5" t="inlineStr">
        <is>
          <t>DELTA_MID</t>
        </is>
      </c>
      <c r="AG3" s="5" t="inlineStr">
        <is>
          <t>GAMMA_MID</t>
        </is>
      </c>
      <c r="AH3" s="5" t="inlineStr">
        <is>
          <t>VEGA_MID</t>
        </is>
      </c>
      <c r="AI3" s="5" t="inlineStr">
        <is>
          <t>THETA_MID</t>
        </is>
      </c>
      <c r="AJ3" s="5" t="inlineStr">
        <is>
          <t>OPT_UNDL_PX</t>
        </is>
      </c>
      <c r="AL3" s="5" t="inlineStr">
        <is>
          <t>Date</t>
        </is>
      </c>
      <c r="AM3" s="5" t="inlineStr">
        <is>
          <t>PX_BID</t>
        </is>
      </c>
      <c r="AN3" s="5" t="inlineStr">
        <is>
          <t>PX_ASK</t>
        </is>
      </c>
      <c r="AO3" s="5" t="inlineStr">
        <is>
          <t>PX_MID</t>
        </is>
      </c>
      <c r="AP3" s="5" t="inlineStr">
        <is>
          <t>PX_LAST</t>
        </is>
      </c>
      <c r="AQ3" s="5" t="inlineStr">
        <is>
          <t>PX_SETTLE</t>
        </is>
      </c>
      <c r="AR3" s="5" t="inlineStr">
        <is>
          <t>PX_VOLUME</t>
        </is>
      </c>
      <c r="AS3" s="5" t="inlineStr">
        <is>
          <t>OPEN_INT</t>
        </is>
      </c>
      <c r="AT3" s="5" t="inlineStr">
        <is>
          <t>IVOL_MID</t>
        </is>
      </c>
      <c r="AU3" s="5" t="inlineStr">
        <is>
          <t>IVOL_BID</t>
        </is>
      </c>
      <c r="AV3" s="5" t="inlineStr">
        <is>
          <t>IVOL_ASK</t>
        </is>
      </c>
      <c r="AW3" s="5" t="inlineStr">
        <is>
          <t>DELTA_MID</t>
        </is>
      </c>
      <c r="AX3" s="5" t="inlineStr">
        <is>
          <t>GAMMA_MID</t>
        </is>
      </c>
      <c r="AY3" s="5" t="inlineStr">
        <is>
          <t>VEGA_MID</t>
        </is>
      </c>
      <c r="AZ3" s="5" t="inlineStr">
        <is>
          <t>THETA_MID</t>
        </is>
      </c>
      <c r="BA3" s="5" t="inlineStr">
        <is>
          <t>OPT_UNDL_PX</t>
        </is>
      </c>
      <c r="BC3" s="5" t="inlineStr">
        <is>
          <t>Date</t>
        </is>
      </c>
      <c r="BD3" s="5" t="inlineStr">
        <is>
          <t>PX_BID</t>
        </is>
      </c>
      <c r="BE3" s="5" t="inlineStr">
        <is>
          <t>PX_ASK</t>
        </is>
      </c>
      <c r="BF3" s="5" t="inlineStr">
        <is>
          <t>PX_MID</t>
        </is>
      </c>
      <c r="BG3" s="5" t="inlineStr">
        <is>
          <t>PX_LAST</t>
        </is>
      </c>
      <c r="BH3" s="5" t="inlineStr">
        <is>
          <t>PX_SETTLE</t>
        </is>
      </c>
      <c r="BI3" s="5" t="inlineStr">
        <is>
          <t>PX_VOLUME</t>
        </is>
      </c>
      <c r="BJ3" s="5" t="inlineStr">
        <is>
          <t>OPEN_INT</t>
        </is>
      </c>
      <c r="BK3" s="5" t="inlineStr">
        <is>
          <t>IVOL_MID</t>
        </is>
      </c>
      <c r="BL3" s="5" t="inlineStr">
        <is>
          <t>IVOL_BID</t>
        </is>
      </c>
      <c r="BM3" s="5" t="inlineStr">
        <is>
          <t>IVOL_ASK</t>
        </is>
      </c>
      <c r="BN3" s="5" t="inlineStr">
        <is>
          <t>DELTA_MID</t>
        </is>
      </c>
      <c r="BO3" s="5" t="inlineStr">
        <is>
          <t>GAMMA_MID</t>
        </is>
      </c>
      <c r="BP3" s="5" t="inlineStr">
        <is>
          <t>VEGA_MID</t>
        </is>
      </c>
      <c r="BQ3" s="5" t="inlineStr">
        <is>
          <t>THETA_MID</t>
        </is>
      </c>
      <c r="BR3" s="5" t="inlineStr">
        <is>
          <t>OPT_UNDL_PX</t>
        </is>
      </c>
      <c r="BT3" s="5" t="inlineStr">
        <is>
          <t>Date</t>
        </is>
      </c>
      <c r="BU3" s="5" t="inlineStr">
        <is>
          <t>PX_BID</t>
        </is>
      </c>
      <c r="BV3" s="5" t="inlineStr">
        <is>
          <t>PX_ASK</t>
        </is>
      </c>
      <c r="BW3" s="5" t="inlineStr">
        <is>
          <t>PX_MID</t>
        </is>
      </c>
      <c r="BX3" s="5" t="inlineStr">
        <is>
          <t>PX_LAST</t>
        </is>
      </c>
      <c r="BY3" s="5" t="inlineStr">
        <is>
          <t>PX_SETTLE</t>
        </is>
      </c>
      <c r="BZ3" s="5" t="inlineStr">
        <is>
          <t>PX_VOLUME</t>
        </is>
      </c>
      <c r="CA3" s="5" t="inlineStr">
        <is>
          <t>OPEN_INT</t>
        </is>
      </c>
      <c r="CB3" s="5" t="inlineStr">
        <is>
          <t>IVOL_MID</t>
        </is>
      </c>
      <c r="CC3" s="5" t="inlineStr">
        <is>
          <t>IVOL_BID</t>
        </is>
      </c>
      <c r="CD3" s="5" t="inlineStr">
        <is>
          <t>IVOL_ASK</t>
        </is>
      </c>
      <c r="CE3" s="5" t="inlineStr">
        <is>
          <t>DELTA_MID</t>
        </is>
      </c>
      <c r="CF3" s="5" t="inlineStr">
        <is>
          <t>GAMMA_MID</t>
        </is>
      </c>
      <c r="CG3" s="5" t="inlineStr">
        <is>
          <t>VEGA_MID</t>
        </is>
      </c>
      <c r="CH3" s="5" t="inlineStr">
        <is>
          <t>THETA_MID</t>
        </is>
      </c>
      <c r="CI3" s="5" t="inlineStr">
        <is>
          <t>OPT_UNDL_PX</t>
        </is>
      </c>
      <c r="CK3" s="5" t="inlineStr">
        <is>
          <t>Date</t>
        </is>
      </c>
      <c r="CL3" s="5" t="inlineStr">
        <is>
          <t>PX_BID</t>
        </is>
      </c>
      <c r="CM3" s="5" t="inlineStr">
        <is>
          <t>PX_ASK</t>
        </is>
      </c>
      <c r="CN3" s="5" t="inlineStr">
        <is>
          <t>PX_MID</t>
        </is>
      </c>
      <c r="CO3" s="5" t="inlineStr">
        <is>
          <t>PX_LAST</t>
        </is>
      </c>
      <c r="CP3" s="5" t="inlineStr">
        <is>
          <t>PX_SETTLE</t>
        </is>
      </c>
      <c r="CQ3" s="5" t="inlineStr">
        <is>
          <t>PX_VOLUME</t>
        </is>
      </c>
      <c r="CR3" s="5" t="inlineStr">
        <is>
          <t>OPEN_INT</t>
        </is>
      </c>
      <c r="CS3" s="5" t="inlineStr">
        <is>
          <t>IVOL_MID</t>
        </is>
      </c>
      <c r="CT3" s="5" t="inlineStr">
        <is>
          <t>IVOL_BID</t>
        </is>
      </c>
      <c r="CU3" s="5" t="inlineStr">
        <is>
          <t>IVOL_ASK</t>
        </is>
      </c>
      <c r="CV3" s="5" t="inlineStr">
        <is>
          <t>DELTA_MID</t>
        </is>
      </c>
      <c r="CW3" s="5" t="inlineStr">
        <is>
          <t>GAMMA_MID</t>
        </is>
      </c>
      <c r="CX3" s="5" t="inlineStr">
        <is>
          <t>VEGA_MID</t>
        </is>
      </c>
      <c r="CY3" s="5" t="inlineStr">
        <is>
          <t>THETA_MID</t>
        </is>
      </c>
      <c r="CZ3" s="5" t="inlineStr">
        <is>
          <t>OPT_UNDL_PX</t>
        </is>
      </c>
      <c r="DB3" s="5" t="inlineStr">
        <is>
          <t>Date</t>
        </is>
      </c>
      <c r="DC3" s="5" t="inlineStr">
        <is>
          <t>PX_BID</t>
        </is>
      </c>
      <c r="DD3" s="5" t="inlineStr">
        <is>
          <t>PX_ASK</t>
        </is>
      </c>
      <c r="DE3" s="5" t="inlineStr">
        <is>
          <t>PX_MID</t>
        </is>
      </c>
      <c r="DF3" s="5" t="inlineStr">
        <is>
          <t>PX_LAST</t>
        </is>
      </c>
      <c r="DG3" s="5" t="inlineStr">
        <is>
          <t>PX_SETTLE</t>
        </is>
      </c>
      <c r="DH3" s="5" t="inlineStr">
        <is>
          <t>PX_VOLUME</t>
        </is>
      </c>
      <c r="DI3" s="5" t="inlineStr">
        <is>
          <t>OPEN_INT</t>
        </is>
      </c>
      <c r="DJ3" s="5" t="inlineStr">
        <is>
          <t>IVOL_MID</t>
        </is>
      </c>
      <c r="DK3" s="5" t="inlineStr">
        <is>
          <t>IVOL_BID</t>
        </is>
      </c>
      <c r="DL3" s="5" t="inlineStr">
        <is>
          <t>IVOL_ASK</t>
        </is>
      </c>
      <c r="DM3" s="5" t="inlineStr">
        <is>
          <t>DELTA_MID</t>
        </is>
      </c>
      <c r="DN3" s="5" t="inlineStr">
        <is>
          <t>GAMMA_MID</t>
        </is>
      </c>
      <c r="DO3" s="5" t="inlineStr">
        <is>
          <t>VEGA_MID</t>
        </is>
      </c>
      <c r="DP3" s="5" t="inlineStr">
        <is>
          <t>THETA_MID</t>
        </is>
      </c>
      <c r="DQ3" s="5" t="inlineStr">
        <is>
          <t>OPT_UNDL_PX</t>
        </is>
      </c>
      <c r="DS3" s="5" t="inlineStr">
        <is>
          <t>Date</t>
        </is>
      </c>
      <c r="DT3" s="5" t="inlineStr">
        <is>
          <t>PX_BID</t>
        </is>
      </c>
      <c r="DU3" s="5" t="inlineStr">
        <is>
          <t>PX_ASK</t>
        </is>
      </c>
      <c r="DV3" s="5" t="inlineStr">
        <is>
          <t>PX_MID</t>
        </is>
      </c>
      <c r="DW3" s="5" t="inlineStr">
        <is>
          <t>PX_LAST</t>
        </is>
      </c>
      <c r="DX3" s="5" t="inlineStr">
        <is>
          <t>PX_SETTLE</t>
        </is>
      </c>
      <c r="DY3" s="5" t="inlineStr">
        <is>
          <t>PX_VOLUME</t>
        </is>
      </c>
      <c r="DZ3" s="5" t="inlineStr">
        <is>
          <t>OPEN_INT</t>
        </is>
      </c>
      <c r="EA3" s="5" t="inlineStr">
        <is>
          <t>IVOL_MID</t>
        </is>
      </c>
      <c r="EB3" s="5" t="inlineStr">
        <is>
          <t>IVOL_BID</t>
        </is>
      </c>
      <c r="EC3" s="5" t="inlineStr">
        <is>
          <t>IVOL_ASK</t>
        </is>
      </c>
      <c r="ED3" s="5" t="inlineStr">
        <is>
          <t>DELTA_MID</t>
        </is>
      </c>
      <c r="EE3" s="5" t="inlineStr">
        <is>
          <t>GAMMA_MID</t>
        </is>
      </c>
      <c r="EF3" s="5" t="inlineStr">
        <is>
          <t>VEGA_MID</t>
        </is>
      </c>
      <c r="EG3" s="5" t="inlineStr">
        <is>
          <t>THETA_MID</t>
        </is>
      </c>
      <c r="EH3" s="5" t="inlineStr">
        <is>
          <t>OPT_UNDL_PX</t>
        </is>
      </c>
      <c r="EJ3" s="5" t="inlineStr">
        <is>
          <t>Date</t>
        </is>
      </c>
      <c r="EK3" s="5" t="inlineStr">
        <is>
          <t>PX_BID</t>
        </is>
      </c>
      <c r="EL3" s="5" t="inlineStr">
        <is>
          <t>PX_ASK</t>
        </is>
      </c>
      <c r="EM3" s="5" t="inlineStr">
        <is>
          <t>PX_MID</t>
        </is>
      </c>
      <c r="EN3" s="5" t="inlineStr">
        <is>
          <t>PX_LAST</t>
        </is>
      </c>
      <c r="EO3" s="5" t="inlineStr">
        <is>
          <t>PX_SETTLE</t>
        </is>
      </c>
      <c r="EP3" s="5" t="inlineStr">
        <is>
          <t>PX_VOLUME</t>
        </is>
      </c>
      <c r="EQ3" s="5" t="inlineStr">
        <is>
          <t>OPEN_INT</t>
        </is>
      </c>
      <c r="ER3" s="5" t="inlineStr">
        <is>
          <t>IVOL_MID</t>
        </is>
      </c>
      <c r="ES3" s="5" t="inlineStr">
        <is>
          <t>IVOL_BID</t>
        </is>
      </c>
      <c r="ET3" s="5" t="inlineStr">
        <is>
          <t>IVOL_ASK</t>
        </is>
      </c>
      <c r="EU3" s="5" t="inlineStr">
        <is>
          <t>DELTA_MID</t>
        </is>
      </c>
      <c r="EV3" s="5" t="inlineStr">
        <is>
          <t>GAMMA_MID</t>
        </is>
      </c>
      <c r="EW3" s="5" t="inlineStr">
        <is>
          <t>VEGA_MID</t>
        </is>
      </c>
      <c r="EX3" s="5" t="inlineStr">
        <is>
          <t>THETA_MID</t>
        </is>
      </c>
      <c r="EY3" s="5" t="inlineStr">
        <is>
          <t>OPT_UNDL_PX</t>
        </is>
      </c>
      <c r="FA3" s="5" t="inlineStr">
        <is>
          <t>Date</t>
        </is>
      </c>
      <c r="FB3" s="5" t="inlineStr">
        <is>
          <t>PX_BID</t>
        </is>
      </c>
      <c r="FC3" s="5" t="inlineStr">
        <is>
          <t>PX_ASK</t>
        </is>
      </c>
      <c r="FD3" s="5" t="inlineStr">
        <is>
          <t>PX_MID</t>
        </is>
      </c>
      <c r="FE3" s="5" t="inlineStr">
        <is>
          <t>PX_LAST</t>
        </is>
      </c>
      <c r="FF3" s="5" t="inlineStr">
        <is>
          <t>PX_SETTLE</t>
        </is>
      </c>
      <c r="FG3" s="5" t="inlineStr">
        <is>
          <t>PX_VOLUME</t>
        </is>
      </c>
      <c r="FH3" s="5" t="inlineStr">
        <is>
          <t>OPEN_INT</t>
        </is>
      </c>
      <c r="FI3" s="5" t="inlineStr">
        <is>
          <t>IVOL_MID</t>
        </is>
      </c>
      <c r="FJ3" s="5" t="inlineStr">
        <is>
          <t>IVOL_BID</t>
        </is>
      </c>
      <c r="FK3" s="5" t="inlineStr">
        <is>
          <t>IVOL_ASK</t>
        </is>
      </c>
      <c r="FL3" s="5" t="inlineStr">
        <is>
          <t>DELTA_MID</t>
        </is>
      </c>
      <c r="FM3" s="5" t="inlineStr">
        <is>
          <t>GAMMA_MID</t>
        </is>
      </c>
      <c r="FN3" s="5" t="inlineStr">
        <is>
          <t>VEGA_MID</t>
        </is>
      </c>
      <c r="FO3" s="5" t="inlineStr">
        <is>
          <t>THETA_MID</t>
        </is>
      </c>
      <c r="FP3" s="5" t="inlineStr">
        <is>
          <t>OPT_UNDL_PX</t>
        </is>
      </c>
      <c r="FR3" s="5" t="inlineStr">
        <is>
          <t>Date</t>
        </is>
      </c>
      <c r="FS3" s="5" t="inlineStr">
        <is>
          <t>PX_BID</t>
        </is>
      </c>
      <c r="FT3" s="5" t="inlineStr">
        <is>
          <t>PX_ASK</t>
        </is>
      </c>
      <c r="FU3" s="5" t="inlineStr">
        <is>
          <t>PX_MID</t>
        </is>
      </c>
      <c r="FV3" s="5" t="inlineStr">
        <is>
          <t>PX_LAST</t>
        </is>
      </c>
      <c r="FW3" s="5" t="inlineStr">
        <is>
          <t>PX_SETTLE</t>
        </is>
      </c>
      <c r="FX3" s="5" t="inlineStr">
        <is>
          <t>PX_VOLUME</t>
        </is>
      </c>
      <c r="FY3" s="5" t="inlineStr">
        <is>
          <t>OPEN_INT</t>
        </is>
      </c>
      <c r="FZ3" s="5" t="inlineStr">
        <is>
          <t>IVOL_MID</t>
        </is>
      </c>
      <c r="GA3" s="5" t="inlineStr">
        <is>
          <t>IVOL_BID</t>
        </is>
      </c>
      <c r="GB3" s="5" t="inlineStr">
        <is>
          <t>IVOL_ASK</t>
        </is>
      </c>
      <c r="GC3" s="5" t="inlineStr">
        <is>
          <t>DELTA_MID</t>
        </is>
      </c>
      <c r="GD3" s="5" t="inlineStr">
        <is>
          <t>GAMMA_MID</t>
        </is>
      </c>
      <c r="GE3" s="5" t="inlineStr">
        <is>
          <t>VEGA_MID</t>
        </is>
      </c>
      <c r="GF3" s="5" t="inlineStr">
        <is>
          <t>THETA_MID</t>
        </is>
      </c>
      <c r="GG3" s="5" t="inlineStr">
        <is>
          <t>OPT_UNDL_PX</t>
        </is>
      </c>
      <c r="GI3" s="5" t="inlineStr">
        <is>
          <t>Date</t>
        </is>
      </c>
      <c r="GJ3" s="5" t="inlineStr">
        <is>
          <t>PX_BID</t>
        </is>
      </c>
      <c r="GK3" s="5" t="inlineStr">
        <is>
          <t>PX_ASK</t>
        </is>
      </c>
      <c r="GL3" s="5" t="inlineStr">
        <is>
          <t>PX_MID</t>
        </is>
      </c>
      <c r="GM3" s="5" t="inlineStr">
        <is>
          <t>PX_LAST</t>
        </is>
      </c>
      <c r="GN3" s="5" t="inlineStr">
        <is>
          <t>PX_SETTLE</t>
        </is>
      </c>
      <c r="GO3" s="5" t="inlineStr">
        <is>
          <t>PX_VOLUME</t>
        </is>
      </c>
      <c r="GP3" s="5" t="inlineStr">
        <is>
          <t>OPEN_INT</t>
        </is>
      </c>
      <c r="GQ3" s="5" t="inlineStr">
        <is>
          <t>IVOL_MID</t>
        </is>
      </c>
      <c r="GR3" s="5" t="inlineStr">
        <is>
          <t>IVOL_BID</t>
        </is>
      </c>
      <c r="GS3" s="5" t="inlineStr">
        <is>
          <t>IVOL_ASK</t>
        </is>
      </c>
      <c r="GT3" s="5" t="inlineStr">
        <is>
          <t>DELTA_MID</t>
        </is>
      </c>
      <c r="GU3" s="5" t="inlineStr">
        <is>
          <t>GAMMA_MID</t>
        </is>
      </c>
      <c r="GV3" s="5" t="inlineStr">
        <is>
          <t>VEGA_MID</t>
        </is>
      </c>
      <c r="GW3" s="5" t="inlineStr">
        <is>
          <t>THETA_MID</t>
        </is>
      </c>
      <c r="GX3" s="5" t="inlineStr">
        <is>
          <t>OPT_UNDL_PX</t>
        </is>
      </c>
      <c r="GZ3" s="5" t="inlineStr">
        <is>
          <t>Date</t>
        </is>
      </c>
      <c r="HA3" s="5" t="inlineStr">
        <is>
          <t>PX_BID</t>
        </is>
      </c>
      <c r="HB3" s="5" t="inlineStr">
        <is>
          <t>PX_ASK</t>
        </is>
      </c>
      <c r="HC3" s="5" t="inlineStr">
        <is>
          <t>PX_MID</t>
        </is>
      </c>
      <c r="HD3" s="5" t="inlineStr">
        <is>
          <t>PX_LAST</t>
        </is>
      </c>
      <c r="HE3" s="5" t="inlineStr">
        <is>
          <t>PX_SETTLE</t>
        </is>
      </c>
      <c r="HF3" s="5" t="inlineStr">
        <is>
          <t>PX_VOLUME</t>
        </is>
      </c>
      <c r="HG3" s="5" t="inlineStr">
        <is>
          <t>OPEN_INT</t>
        </is>
      </c>
      <c r="HH3" s="5" t="inlineStr">
        <is>
          <t>IVOL_MID</t>
        </is>
      </c>
      <c r="HI3" s="5" t="inlineStr">
        <is>
          <t>IVOL_BID</t>
        </is>
      </c>
      <c r="HJ3" s="5" t="inlineStr">
        <is>
          <t>IVOL_ASK</t>
        </is>
      </c>
      <c r="HK3" s="5" t="inlineStr">
        <is>
          <t>DELTA_MID</t>
        </is>
      </c>
      <c r="HL3" s="5" t="inlineStr">
        <is>
          <t>GAMMA_MID</t>
        </is>
      </c>
      <c r="HM3" s="5" t="inlineStr">
        <is>
          <t>VEGA_MID</t>
        </is>
      </c>
      <c r="HN3" s="5" t="inlineStr">
        <is>
          <t>THETA_MID</t>
        </is>
      </c>
      <c r="HO3" s="5" t="inlineStr">
        <is>
          <t>OPT_UNDL_PX</t>
        </is>
      </c>
      <c r="HQ3" s="5" t="inlineStr">
        <is>
          <t>Date</t>
        </is>
      </c>
      <c r="HR3" s="5" t="inlineStr">
        <is>
          <t>PX_BID</t>
        </is>
      </c>
      <c r="HS3" s="5" t="inlineStr">
        <is>
          <t>PX_ASK</t>
        </is>
      </c>
      <c r="HT3" s="5" t="inlineStr">
        <is>
          <t>PX_MID</t>
        </is>
      </c>
      <c r="HU3" s="5" t="inlineStr">
        <is>
          <t>PX_LAST</t>
        </is>
      </c>
      <c r="HV3" s="5" t="inlineStr">
        <is>
          <t>PX_SETTLE</t>
        </is>
      </c>
      <c r="HW3" s="5" t="inlineStr">
        <is>
          <t>PX_VOLUME</t>
        </is>
      </c>
      <c r="HX3" s="5" t="inlineStr">
        <is>
          <t>OPEN_INT</t>
        </is>
      </c>
      <c r="HY3" s="5" t="inlineStr">
        <is>
          <t>IVOL_MID</t>
        </is>
      </c>
      <c r="HZ3" s="5" t="inlineStr">
        <is>
          <t>IVOL_BID</t>
        </is>
      </c>
      <c r="IA3" s="5" t="inlineStr">
        <is>
          <t>IVOL_ASK</t>
        </is>
      </c>
      <c r="IB3" s="5" t="inlineStr">
        <is>
          <t>DELTA_MID</t>
        </is>
      </c>
      <c r="IC3" s="5" t="inlineStr">
        <is>
          <t>GAMMA_MID</t>
        </is>
      </c>
      <c r="ID3" s="5" t="inlineStr">
        <is>
          <t>VEGA_MID</t>
        </is>
      </c>
      <c r="IE3" s="5" t="inlineStr">
        <is>
          <t>THETA_MID</t>
        </is>
      </c>
      <c r="IF3" s="5" t="inlineStr">
        <is>
          <t>OPT_UNDL_PX</t>
        </is>
      </c>
      <c r="IH3" s="5" t="inlineStr">
        <is>
          <t>Date</t>
        </is>
      </c>
      <c r="II3" s="5" t="inlineStr">
        <is>
          <t>PX_BID</t>
        </is>
      </c>
      <c r="IJ3" s="5" t="inlineStr">
        <is>
          <t>PX_ASK</t>
        </is>
      </c>
      <c r="IK3" s="5" t="inlineStr">
        <is>
          <t>PX_MID</t>
        </is>
      </c>
      <c r="IL3" s="5" t="inlineStr">
        <is>
          <t>PX_LAST</t>
        </is>
      </c>
      <c r="IM3" s="5" t="inlineStr">
        <is>
          <t>PX_SETTLE</t>
        </is>
      </c>
      <c r="IN3" s="5" t="inlineStr">
        <is>
          <t>PX_VOLUME</t>
        </is>
      </c>
      <c r="IO3" s="5" t="inlineStr">
        <is>
          <t>OPEN_INT</t>
        </is>
      </c>
      <c r="IP3" s="5" t="inlineStr">
        <is>
          <t>IVOL_MID</t>
        </is>
      </c>
      <c r="IQ3" s="5" t="inlineStr">
        <is>
          <t>IVOL_BID</t>
        </is>
      </c>
      <c r="IR3" s="5" t="inlineStr">
        <is>
          <t>IVOL_ASK</t>
        </is>
      </c>
      <c r="IS3" s="5" t="inlineStr">
        <is>
          <t>DELTA_MID</t>
        </is>
      </c>
      <c r="IT3" s="5" t="inlineStr">
        <is>
          <t>GAMMA_MID</t>
        </is>
      </c>
      <c r="IU3" s="5" t="inlineStr">
        <is>
          <t>VEGA_MID</t>
        </is>
      </c>
      <c r="IV3" s="5" t="inlineStr">
        <is>
          <t>THETA_MID</t>
        </is>
      </c>
      <c r="IW3" s="5" t="inlineStr">
        <is>
          <t>OPT_UNDL_PX</t>
        </is>
      </c>
      <c r="IY3" s="5" t="inlineStr">
        <is>
          <t>Date</t>
        </is>
      </c>
      <c r="IZ3" s="5" t="inlineStr">
        <is>
          <t>PX_BID</t>
        </is>
      </c>
      <c r="JA3" s="5" t="inlineStr">
        <is>
          <t>PX_ASK</t>
        </is>
      </c>
      <c r="JB3" s="5" t="inlineStr">
        <is>
          <t>PX_MID</t>
        </is>
      </c>
      <c r="JC3" s="5" t="inlineStr">
        <is>
          <t>PX_LAST</t>
        </is>
      </c>
      <c r="JD3" s="5" t="inlineStr">
        <is>
          <t>PX_SETTLE</t>
        </is>
      </c>
      <c r="JE3" s="5" t="inlineStr">
        <is>
          <t>PX_VOLUME</t>
        </is>
      </c>
      <c r="JF3" s="5" t="inlineStr">
        <is>
          <t>OPEN_INT</t>
        </is>
      </c>
      <c r="JG3" s="5" t="inlineStr">
        <is>
          <t>IVOL_MID</t>
        </is>
      </c>
      <c r="JH3" s="5" t="inlineStr">
        <is>
          <t>IVOL_BID</t>
        </is>
      </c>
      <c r="JI3" s="5" t="inlineStr">
        <is>
          <t>IVOL_ASK</t>
        </is>
      </c>
      <c r="JJ3" s="5" t="inlineStr">
        <is>
          <t>DELTA_MID</t>
        </is>
      </c>
      <c r="JK3" s="5" t="inlineStr">
        <is>
          <t>GAMMA_MID</t>
        </is>
      </c>
      <c r="JL3" s="5" t="inlineStr">
        <is>
          <t>VEGA_MID</t>
        </is>
      </c>
      <c r="JM3" s="5" t="inlineStr">
        <is>
          <t>THETA_MID</t>
        </is>
      </c>
      <c r="JN3" s="5" t="inlineStr">
        <is>
          <t>OPT_UNDL_PX</t>
        </is>
      </c>
      <c r="JP3" s="5" t="inlineStr">
        <is>
          <t>Date</t>
        </is>
      </c>
      <c r="JQ3" s="5" t="inlineStr">
        <is>
          <t>PX_BID</t>
        </is>
      </c>
      <c r="JR3" s="5" t="inlineStr">
        <is>
          <t>PX_ASK</t>
        </is>
      </c>
      <c r="JS3" s="5" t="inlineStr">
        <is>
          <t>PX_MID</t>
        </is>
      </c>
      <c r="JT3" s="5" t="inlineStr">
        <is>
          <t>PX_LAST</t>
        </is>
      </c>
      <c r="JU3" s="5" t="inlineStr">
        <is>
          <t>PX_SETTLE</t>
        </is>
      </c>
      <c r="JV3" s="5" t="inlineStr">
        <is>
          <t>PX_VOLUME</t>
        </is>
      </c>
      <c r="JW3" s="5" t="inlineStr">
        <is>
          <t>OPEN_INT</t>
        </is>
      </c>
      <c r="JX3" s="5" t="inlineStr">
        <is>
          <t>IVOL_MID</t>
        </is>
      </c>
      <c r="JY3" s="5" t="inlineStr">
        <is>
          <t>IVOL_BID</t>
        </is>
      </c>
      <c r="JZ3" s="5" t="inlineStr">
        <is>
          <t>IVOL_ASK</t>
        </is>
      </c>
      <c r="KA3" s="5" t="inlineStr">
        <is>
          <t>DELTA_MID</t>
        </is>
      </c>
      <c r="KB3" s="5" t="inlineStr">
        <is>
          <t>GAMMA_MID</t>
        </is>
      </c>
      <c r="KC3" s="5" t="inlineStr">
        <is>
          <t>VEGA_MID</t>
        </is>
      </c>
      <c r="KD3" s="5" t="inlineStr">
        <is>
          <t>THETA_MID</t>
        </is>
      </c>
      <c r="KE3" s="5" t="inlineStr">
        <is>
          <t>OPT_UNDL_PX</t>
        </is>
      </c>
      <c r="KG3" s="5" t="inlineStr">
        <is>
          <t>Date</t>
        </is>
      </c>
      <c r="KH3" s="5" t="inlineStr">
        <is>
          <t>PX_BID</t>
        </is>
      </c>
      <c r="KI3" s="5" t="inlineStr">
        <is>
          <t>PX_ASK</t>
        </is>
      </c>
      <c r="KJ3" s="5" t="inlineStr">
        <is>
          <t>PX_MID</t>
        </is>
      </c>
      <c r="KK3" s="5" t="inlineStr">
        <is>
          <t>PX_LAST</t>
        </is>
      </c>
      <c r="KL3" s="5" t="inlineStr">
        <is>
          <t>PX_SETTLE</t>
        </is>
      </c>
      <c r="KM3" s="5" t="inlineStr">
        <is>
          <t>PX_VOLUME</t>
        </is>
      </c>
      <c r="KN3" s="5" t="inlineStr">
        <is>
          <t>OPEN_INT</t>
        </is>
      </c>
      <c r="KO3" s="5" t="inlineStr">
        <is>
          <t>IVOL_MID</t>
        </is>
      </c>
      <c r="KP3" s="5" t="inlineStr">
        <is>
          <t>IVOL_BID</t>
        </is>
      </c>
      <c r="KQ3" s="5" t="inlineStr">
        <is>
          <t>IVOL_ASK</t>
        </is>
      </c>
      <c r="KR3" s="5" t="inlineStr">
        <is>
          <t>DELTA_MID</t>
        </is>
      </c>
      <c r="KS3" s="5" t="inlineStr">
        <is>
          <t>GAMMA_MID</t>
        </is>
      </c>
      <c r="KT3" s="5" t="inlineStr">
        <is>
          <t>VEGA_MID</t>
        </is>
      </c>
      <c r="KU3" s="5" t="inlineStr">
        <is>
          <t>THETA_MID</t>
        </is>
      </c>
      <c r="KV3" s="5" t="inlineStr">
        <is>
          <t>OPT_UNDL_PX</t>
        </is>
      </c>
      <c r="KX3" s="5" t="inlineStr">
        <is>
          <t>Date</t>
        </is>
      </c>
      <c r="KY3" s="5" t="inlineStr">
        <is>
          <t>PX_BID</t>
        </is>
      </c>
      <c r="KZ3" s="5" t="inlineStr">
        <is>
          <t>PX_ASK</t>
        </is>
      </c>
      <c r="LA3" s="5" t="inlineStr">
        <is>
          <t>PX_MID</t>
        </is>
      </c>
      <c r="LB3" s="5" t="inlineStr">
        <is>
          <t>PX_LAST</t>
        </is>
      </c>
      <c r="LC3" s="5" t="inlineStr">
        <is>
          <t>PX_SETTLE</t>
        </is>
      </c>
      <c r="LD3" s="5" t="inlineStr">
        <is>
          <t>PX_VOLUME</t>
        </is>
      </c>
      <c r="LE3" s="5" t="inlineStr">
        <is>
          <t>OPEN_INT</t>
        </is>
      </c>
      <c r="LF3" s="5" t="inlineStr">
        <is>
          <t>IVOL_MID</t>
        </is>
      </c>
      <c r="LG3" s="5" t="inlineStr">
        <is>
          <t>IVOL_BID</t>
        </is>
      </c>
      <c r="LH3" s="5" t="inlineStr">
        <is>
          <t>IVOL_ASK</t>
        </is>
      </c>
      <c r="LI3" s="5" t="inlineStr">
        <is>
          <t>DELTA_MID</t>
        </is>
      </c>
      <c r="LJ3" s="5" t="inlineStr">
        <is>
          <t>GAMMA_MID</t>
        </is>
      </c>
      <c r="LK3" s="5" t="inlineStr">
        <is>
          <t>VEGA_MID</t>
        </is>
      </c>
      <c r="LL3" s="5" t="inlineStr">
        <is>
          <t>THETA_MID</t>
        </is>
      </c>
      <c r="LM3" s="5" t="inlineStr">
        <is>
          <t>OPT_UNDL_PX</t>
        </is>
      </c>
      <c r="LO3" s="5" t="inlineStr">
        <is>
          <t>Date</t>
        </is>
      </c>
      <c r="LP3" s="5" t="inlineStr">
        <is>
          <t>PX_BID</t>
        </is>
      </c>
      <c r="LQ3" s="5" t="inlineStr">
        <is>
          <t>PX_ASK</t>
        </is>
      </c>
      <c r="LR3" s="5" t="inlineStr">
        <is>
          <t>PX_MID</t>
        </is>
      </c>
      <c r="LS3" s="5" t="inlineStr">
        <is>
          <t>PX_LAST</t>
        </is>
      </c>
      <c r="LT3" s="5" t="inlineStr">
        <is>
          <t>PX_SETTLE</t>
        </is>
      </c>
      <c r="LU3" s="5" t="inlineStr">
        <is>
          <t>PX_VOLUME</t>
        </is>
      </c>
      <c r="LV3" s="5" t="inlineStr">
        <is>
          <t>OPEN_INT</t>
        </is>
      </c>
      <c r="LW3" s="5" t="inlineStr">
        <is>
          <t>IVOL_MID</t>
        </is>
      </c>
      <c r="LX3" s="5" t="inlineStr">
        <is>
          <t>IVOL_BID</t>
        </is>
      </c>
      <c r="LY3" s="5" t="inlineStr">
        <is>
          <t>IVOL_ASK</t>
        </is>
      </c>
      <c r="LZ3" s="5" t="inlineStr">
        <is>
          <t>DELTA_MID</t>
        </is>
      </c>
      <c r="MA3" s="5" t="inlineStr">
        <is>
          <t>GAMMA_MID</t>
        </is>
      </c>
      <c r="MB3" s="5" t="inlineStr">
        <is>
          <t>VEGA_MID</t>
        </is>
      </c>
      <c r="MC3" s="5" t="inlineStr">
        <is>
          <t>THETA_MID</t>
        </is>
      </c>
      <c r="MD3" s="5" t="inlineStr">
        <is>
          <t>OPT_UNDL_PX</t>
        </is>
      </c>
      <c r="MF3" s="5" t="inlineStr">
        <is>
          <t>Date</t>
        </is>
      </c>
      <c r="MG3" s="5" t="inlineStr">
        <is>
          <t>PX_BID</t>
        </is>
      </c>
      <c r="MH3" s="5" t="inlineStr">
        <is>
          <t>PX_ASK</t>
        </is>
      </c>
      <c r="MI3" s="5" t="inlineStr">
        <is>
          <t>PX_MID</t>
        </is>
      </c>
      <c r="MJ3" s="5" t="inlineStr">
        <is>
          <t>PX_LAST</t>
        </is>
      </c>
      <c r="MK3" s="5" t="inlineStr">
        <is>
          <t>PX_SETTLE</t>
        </is>
      </c>
      <c r="ML3" s="5" t="inlineStr">
        <is>
          <t>PX_VOLUME</t>
        </is>
      </c>
      <c r="MM3" s="5" t="inlineStr">
        <is>
          <t>OPEN_INT</t>
        </is>
      </c>
      <c r="MN3" s="5" t="inlineStr">
        <is>
          <t>IVOL_MID</t>
        </is>
      </c>
      <c r="MO3" s="5" t="inlineStr">
        <is>
          <t>IVOL_BID</t>
        </is>
      </c>
      <c r="MP3" s="5" t="inlineStr">
        <is>
          <t>IVOL_ASK</t>
        </is>
      </c>
      <c r="MQ3" s="5" t="inlineStr">
        <is>
          <t>DELTA_MID</t>
        </is>
      </c>
      <c r="MR3" s="5" t="inlineStr">
        <is>
          <t>GAMMA_MID</t>
        </is>
      </c>
      <c r="MS3" s="5" t="inlineStr">
        <is>
          <t>VEGA_MID</t>
        </is>
      </c>
      <c r="MT3" s="5" t="inlineStr">
        <is>
          <t>THETA_MID</t>
        </is>
      </c>
      <c r="MU3" s="5" t="inlineStr">
        <is>
          <t>OPT_UNDL_PX</t>
        </is>
      </c>
      <c r="MW3" s="5" t="inlineStr">
        <is>
          <t>Date</t>
        </is>
      </c>
      <c r="MX3" s="5" t="inlineStr">
        <is>
          <t>PX_BID</t>
        </is>
      </c>
      <c r="MY3" s="5" t="inlineStr">
        <is>
          <t>PX_ASK</t>
        </is>
      </c>
      <c r="MZ3" s="5" t="inlineStr">
        <is>
          <t>PX_MID</t>
        </is>
      </c>
      <c r="NA3" s="5" t="inlineStr">
        <is>
          <t>PX_LAST</t>
        </is>
      </c>
      <c r="NB3" s="5" t="inlineStr">
        <is>
          <t>PX_SETTLE</t>
        </is>
      </c>
      <c r="NC3" s="5" t="inlineStr">
        <is>
          <t>PX_VOLUME</t>
        </is>
      </c>
      <c r="ND3" s="5" t="inlineStr">
        <is>
          <t>OPEN_INT</t>
        </is>
      </c>
      <c r="NE3" s="5" t="inlineStr">
        <is>
          <t>IVOL_MID</t>
        </is>
      </c>
      <c r="NF3" s="5" t="inlineStr">
        <is>
          <t>IVOL_BID</t>
        </is>
      </c>
      <c r="NG3" s="5" t="inlineStr">
        <is>
          <t>IVOL_ASK</t>
        </is>
      </c>
      <c r="NH3" s="5" t="inlineStr">
        <is>
          <t>DELTA_MID</t>
        </is>
      </c>
      <c r="NI3" s="5" t="inlineStr">
        <is>
          <t>GAMMA_MID</t>
        </is>
      </c>
      <c r="NJ3" s="5" t="inlineStr">
        <is>
          <t>VEGA_MID</t>
        </is>
      </c>
      <c r="NK3" s="5" t="inlineStr">
        <is>
          <t>THETA_MID</t>
        </is>
      </c>
      <c r="NL3" s="5" t="inlineStr">
        <is>
          <t>OPT_UNDL_PX</t>
        </is>
      </c>
    </row>
    <row r="4">
      <c r="A4" s="2" t="inlineStr">
        <is>
          <t>Strike reference date</t>
        </is>
      </c>
      <c r="B4" s="8">
        <f>B3-45</f>
        <v/>
      </c>
      <c r="D4" s="4">
        <f>BDH(D$1,E$3:S$3,$B$8,$B$9,"Dir=V","Dts=S","Sort=A","Days=T","Fill=B")</f>
        <v/>
      </c>
      <c r="U4" s="4">
        <f>BDH(U$1,V$3:AJ$3,$B$8,$B$9,"Dir=V","Dts=S","Sort=A","Days=T","Fill=B")</f>
        <v/>
      </c>
      <c r="AL4" s="4">
        <f>BDH(AL$1,AM$3:BA$3,$B$8,$B$9,"Dir=V","Dts=S","Sort=A","Days=T","Fill=B")</f>
        <v/>
      </c>
      <c r="BC4" s="4">
        <f>BDH(BC$1,BD$3:BR$3,$B$8,$B$9,"Dir=V","Dts=S","Sort=A","Days=T","Fill=B")</f>
        <v/>
      </c>
      <c r="BT4" s="4">
        <f>BDH(BT$1,BU$3:CI$3,$B$8,$B$9,"Dir=V","Dts=S","Sort=A","Days=T","Fill=B")</f>
        <v/>
      </c>
      <c r="CK4" s="4">
        <f>BDH(CK$1,CL$3:CZ$3,$B$8,$B$9,"Dir=V","Dts=S","Sort=A","Days=T","Fill=B")</f>
        <v/>
      </c>
      <c r="DB4" s="4">
        <f>BDH(DB$1,DC$3:DQ$3,$B$8,$B$9,"Dir=V","Dts=S","Sort=A","Days=T","Fill=B")</f>
        <v/>
      </c>
      <c r="DS4" s="4">
        <f>BDH(DS$1,DT$3:EH$3,$B$8,$B$9,"Dir=V","Dts=S","Sort=A","Days=T","Fill=B")</f>
        <v/>
      </c>
      <c r="EJ4" s="4">
        <f>BDH(EJ$1,EK$3:EY$3,$B$8,$B$9,"Dir=V","Dts=S","Sort=A","Days=T","Fill=B")</f>
        <v/>
      </c>
      <c r="FA4" s="4">
        <f>BDH(FA$1,FB$3:FP$3,$B$8,$B$9,"Dir=V","Dts=S","Sort=A","Days=T","Fill=B")</f>
        <v/>
      </c>
      <c r="FR4" s="4">
        <f>BDH(FR$1,FS$3:GG$3,$B$8,$B$9,"Dir=V","Dts=S","Sort=A","Days=T","Fill=B")</f>
        <v/>
      </c>
      <c r="GI4" s="4">
        <f>BDH(GI$1,GJ$3:GX$3,$B$8,$B$9,"Dir=V","Dts=S","Sort=A","Days=T","Fill=B")</f>
        <v/>
      </c>
      <c r="GZ4" s="4">
        <f>BDH(GZ$1,HA$3:HO$3,$B$8,$B$9,"Dir=V","Dts=S","Sort=A","Days=T","Fill=B")</f>
        <v/>
      </c>
      <c r="HQ4" s="4">
        <f>BDH(HQ$1,HR$3:IF$3,$B$8,$B$9,"Dir=V","Dts=S","Sort=A","Days=T","Fill=B")</f>
        <v/>
      </c>
      <c r="IH4" s="4">
        <f>BDH(IH$1,II$3:IW$3,$B$8,$B$9,"Dir=V","Dts=S","Sort=A","Days=T","Fill=B")</f>
        <v/>
      </c>
      <c r="IY4" s="4">
        <f>BDH(IY$1,IZ$3:JN$3,$B$8,$B$9,"Dir=V","Dts=S","Sort=A","Days=T","Fill=B")</f>
        <v/>
      </c>
      <c r="JP4" s="4">
        <f>BDH(JP$1,JQ$3:KE$3,$B$8,$B$9,"Dir=V","Dts=S","Sort=A","Days=T","Fill=B")</f>
        <v/>
      </c>
      <c r="KG4" s="4">
        <f>BDH(KG$1,KH$3:KV$3,$B$8,$B$9,"Dir=V","Dts=S","Sort=A","Days=T","Fill=B")</f>
        <v/>
      </c>
      <c r="KX4" s="4">
        <f>BDH(KX$1,KY$3:LM$3,$B$8,$B$9,"Dir=V","Dts=S","Sort=A","Days=T","Fill=B")</f>
        <v/>
      </c>
      <c r="LO4" s="4">
        <f>BDH(LO$1,LP$3:MD$3,$B$8,$B$9,"Dir=V","Dts=S","Sort=A","Days=T","Fill=B")</f>
        <v/>
      </c>
      <c r="MF4" s="4">
        <f>BDH(MF$1,MG$3:MU$3,$B$8,$B$9,"Dir=V","Dts=S","Sort=A","Days=T","Fill=B")</f>
        <v/>
      </c>
      <c r="MW4" s="4">
        <f>BDH(MW$1,MX$3:NL$3,$B$8,$B$9,"Dir=V","Dts=S","Sort=A","Days=T","Fill=B")</f>
        <v/>
      </c>
    </row>
    <row r="5">
      <c r="A5" s="2" t="inlineStr">
        <is>
          <t>Unadjusted close then</t>
        </is>
      </c>
      <c r="B5" s="10">
        <f>IF(B2="","",BDH(B2,"PX_LAST",B4,B4,"Days=A","Fill=P","Dts=H","CshAdjNormal=N","CshAdjAbnormal=N","CapChg=N"))</f>
        <v/>
      </c>
    </row>
    <row r="6">
      <c r="A6" s="2" t="inlineStr">
        <is>
          <t>Strike step</t>
        </is>
      </c>
      <c r="B6" s="11">
        <f>IF(ISNUMBER(B5),IF(B5&lt;25,0.5,IF(B5&lt;250,1,5)),"")</f>
        <v/>
      </c>
    </row>
    <row r="7">
      <c r="A7" s="2" t="inlineStr">
        <is>
          <t>ATM strike</t>
        </is>
      </c>
      <c r="B7" s="11">
        <f>IF(ISNUMBER(B5),ROUND(B5/B6,0)*B6,"")</f>
        <v/>
      </c>
    </row>
    <row r="8">
      <c r="A8" s="2" t="inlineStr">
        <is>
          <t>History start</t>
        </is>
      </c>
      <c r="B8" s="8">
        <f>B3-100</f>
        <v/>
      </c>
    </row>
    <row r="9">
      <c r="A9" s="2" t="inlineStr">
        <is>
          <t>History end</t>
        </is>
      </c>
      <c r="B9" s="8">
        <f>B3</f>
        <v/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NL9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2" customWidth="1" min="2" max="2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1" customWidth="1" min="15" max="15"/>
    <col width="11" customWidth="1" min="16" max="16"/>
    <col width="10" customWidth="1" min="17" max="17"/>
    <col width="11" customWidth="1" min="18" max="18"/>
    <col width="13" customWidth="1" min="19" max="19"/>
    <col width="12" customWidth="1" min="21" max="21"/>
    <col width="10" customWidth="1" min="22" max="22"/>
    <col width="10" customWidth="1" min="23" max="23"/>
    <col width="10" customWidth="1" min="24" max="24"/>
    <col width="10" customWidth="1" min="25" max="25"/>
    <col width="11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1" customWidth="1" min="32" max="32"/>
    <col width="11" customWidth="1" min="33" max="33"/>
    <col width="10" customWidth="1" min="34" max="34"/>
    <col width="11" customWidth="1" min="35" max="35"/>
    <col width="13" customWidth="1" min="36" max="36"/>
    <col width="12" customWidth="1" min="38" max="38"/>
    <col width="10" customWidth="1" min="39" max="39"/>
    <col width="10" customWidth="1" min="40" max="40"/>
    <col width="10" customWidth="1" min="41" max="41"/>
    <col width="10" customWidth="1" min="42" max="42"/>
    <col width="11" customWidth="1" min="43" max="43"/>
    <col width="11" customWidth="1" min="44" max="44"/>
    <col width="10" customWidth="1" min="45" max="45"/>
    <col width="10" customWidth="1" min="46" max="46"/>
    <col width="10" customWidth="1" min="47" max="47"/>
    <col width="10" customWidth="1" min="48" max="48"/>
    <col width="11" customWidth="1" min="49" max="49"/>
    <col width="11" customWidth="1" min="50" max="50"/>
    <col width="10" customWidth="1" min="51" max="51"/>
    <col width="11" customWidth="1" min="52" max="52"/>
    <col width="13" customWidth="1" min="53" max="53"/>
    <col width="12" customWidth="1" min="55" max="55"/>
    <col width="10" customWidth="1" min="56" max="56"/>
    <col width="10" customWidth="1" min="57" max="57"/>
    <col width="10" customWidth="1" min="58" max="58"/>
    <col width="10" customWidth="1" min="59" max="59"/>
    <col width="11" customWidth="1" min="60" max="60"/>
    <col width="11" customWidth="1" min="61" max="61"/>
    <col width="10" customWidth="1" min="62" max="62"/>
    <col width="10" customWidth="1" min="63" max="63"/>
    <col width="10" customWidth="1" min="64" max="64"/>
    <col width="10" customWidth="1" min="65" max="65"/>
    <col width="11" customWidth="1" min="66" max="66"/>
    <col width="11" customWidth="1" min="67" max="67"/>
    <col width="10" customWidth="1" min="68" max="68"/>
    <col width="11" customWidth="1" min="69" max="69"/>
    <col width="13" customWidth="1" min="70" max="70"/>
    <col width="12" customWidth="1" min="72" max="72"/>
    <col width="10" customWidth="1" min="73" max="73"/>
    <col width="10" customWidth="1" min="74" max="74"/>
    <col width="10" customWidth="1" min="75" max="75"/>
    <col width="10" customWidth="1" min="76" max="76"/>
    <col width="11" customWidth="1" min="77" max="77"/>
    <col width="11" customWidth="1" min="78" max="78"/>
    <col width="10" customWidth="1" min="79" max="79"/>
    <col width="10" customWidth="1" min="80" max="80"/>
    <col width="10" customWidth="1" min="81" max="81"/>
    <col width="10" customWidth="1" min="82" max="82"/>
    <col width="11" customWidth="1" min="83" max="83"/>
    <col width="11" customWidth="1" min="84" max="84"/>
    <col width="10" customWidth="1" min="85" max="85"/>
    <col width="11" customWidth="1" min="86" max="86"/>
    <col width="13" customWidth="1" min="87" max="87"/>
    <col width="12" customWidth="1" min="89" max="89"/>
    <col width="10" customWidth="1" min="90" max="90"/>
    <col width="10" customWidth="1" min="91" max="91"/>
    <col width="10" customWidth="1" min="92" max="92"/>
    <col width="10" customWidth="1" min="93" max="93"/>
    <col width="11" customWidth="1" min="94" max="94"/>
    <col width="11" customWidth="1" min="95" max="95"/>
    <col width="10" customWidth="1" min="96" max="96"/>
    <col width="10" customWidth="1" min="97" max="97"/>
    <col width="10" customWidth="1" min="98" max="98"/>
    <col width="10" customWidth="1" min="99" max="99"/>
    <col width="11" customWidth="1" min="100" max="100"/>
    <col width="11" customWidth="1" min="101" max="101"/>
    <col width="10" customWidth="1" min="102" max="102"/>
    <col width="11" customWidth="1" min="103" max="103"/>
    <col width="13" customWidth="1" min="104" max="104"/>
    <col width="12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1" customWidth="1" min="111" max="111"/>
    <col width="11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1" customWidth="1" min="117" max="117"/>
    <col width="11" customWidth="1" min="118" max="118"/>
    <col width="10" customWidth="1" min="119" max="119"/>
    <col width="11" customWidth="1" min="120" max="120"/>
    <col width="13" customWidth="1" min="121" max="121"/>
    <col width="12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1" customWidth="1" min="128" max="128"/>
    <col width="11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1" customWidth="1" min="134" max="134"/>
    <col width="11" customWidth="1" min="135" max="135"/>
    <col width="10" customWidth="1" min="136" max="136"/>
    <col width="11" customWidth="1" min="137" max="137"/>
    <col width="13" customWidth="1" min="138" max="138"/>
    <col width="12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1" customWidth="1" min="145" max="145"/>
    <col width="11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1" customWidth="1" min="151" max="151"/>
    <col width="11" customWidth="1" min="152" max="152"/>
    <col width="10" customWidth="1" min="153" max="153"/>
    <col width="11" customWidth="1" min="154" max="154"/>
    <col width="13" customWidth="1" min="155" max="155"/>
    <col width="12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1" customWidth="1" min="162" max="162"/>
    <col width="11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1" customWidth="1" min="168" max="168"/>
    <col width="11" customWidth="1" min="169" max="169"/>
    <col width="10" customWidth="1" min="170" max="170"/>
    <col width="11" customWidth="1" min="171" max="171"/>
    <col width="13" customWidth="1" min="172" max="172"/>
    <col width="12" customWidth="1" min="174" max="174"/>
    <col width="10" customWidth="1" min="175" max="175"/>
    <col width="10" customWidth="1" min="176" max="176"/>
    <col width="10" customWidth="1" min="177" max="177"/>
    <col width="10" customWidth="1" min="178" max="178"/>
    <col width="11" customWidth="1" min="179" max="179"/>
    <col width="11" customWidth="1" min="180" max="180"/>
    <col width="10" customWidth="1" min="181" max="181"/>
    <col width="10" customWidth="1" min="182" max="182"/>
    <col width="10" customWidth="1" min="183" max="183"/>
    <col width="10" customWidth="1" min="184" max="184"/>
    <col width="11" customWidth="1" min="185" max="185"/>
    <col width="11" customWidth="1" min="186" max="186"/>
    <col width="10" customWidth="1" min="187" max="187"/>
    <col width="11" customWidth="1" min="188" max="188"/>
    <col width="13" customWidth="1" min="189" max="189"/>
    <col width="12" customWidth="1" min="191" max="191"/>
    <col width="10" customWidth="1" min="192" max="192"/>
    <col width="10" customWidth="1" min="193" max="193"/>
    <col width="10" customWidth="1" min="194" max="194"/>
    <col width="10" customWidth="1" min="195" max="195"/>
    <col width="11" customWidth="1" min="196" max="196"/>
    <col width="11" customWidth="1" min="197" max="197"/>
    <col width="10" customWidth="1" min="198" max="198"/>
    <col width="10" customWidth="1" min="199" max="199"/>
    <col width="10" customWidth="1" min="200" max="200"/>
    <col width="10" customWidth="1" min="201" max="201"/>
    <col width="11" customWidth="1" min="202" max="202"/>
    <col width="11" customWidth="1" min="203" max="203"/>
    <col width="10" customWidth="1" min="204" max="204"/>
    <col width="11" customWidth="1" min="205" max="205"/>
    <col width="13" customWidth="1" min="206" max="206"/>
    <col width="12" customWidth="1" min="208" max="208"/>
    <col width="10" customWidth="1" min="209" max="209"/>
    <col width="10" customWidth="1" min="210" max="210"/>
    <col width="10" customWidth="1" min="211" max="211"/>
    <col width="10" customWidth="1" min="212" max="212"/>
    <col width="11" customWidth="1" min="213" max="213"/>
    <col width="11" customWidth="1" min="214" max="214"/>
    <col width="10" customWidth="1" min="215" max="215"/>
    <col width="10" customWidth="1" min="216" max="216"/>
    <col width="10" customWidth="1" min="217" max="217"/>
    <col width="10" customWidth="1" min="218" max="218"/>
    <col width="11" customWidth="1" min="219" max="219"/>
    <col width="11" customWidth="1" min="220" max="220"/>
    <col width="10" customWidth="1" min="221" max="221"/>
    <col width="11" customWidth="1" min="222" max="222"/>
    <col width="13" customWidth="1" min="223" max="223"/>
    <col width="12" customWidth="1" min="225" max="225"/>
    <col width="10" customWidth="1" min="226" max="226"/>
    <col width="10" customWidth="1" min="227" max="227"/>
    <col width="10" customWidth="1" min="228" max="228"/>
    <col width="10" customWidth="1" min="229" max="229"/>
    <col width="11" customWidth="1" min="230" max="230"/>
    <col width="11" customWidth="1" min="231" max="231"/>
    <col width="10" customWidth="1" min="232" max="232"/>
    <col width="10" customWidth="1" min="233" max="233"/>
    <col width="10" customWidth="1" min="234" max="234"/>
    <col width="10" customWidth="1" min="235" max="235"/>
    <col width="11" customWidth="1" min="236" max="236"/>
    <col width="11" customWidth="1" min="237" max="237"/>
    <col width="10" customWidth="1" min="238" max="238"/>
    <col width="11" customWidth="1" min="239" max="239"/>
    <col width="13" customWidth="1" min="240" max="240"/>
    <col width="12" customWidth="1" min="242" max="242"/>
    <col width="10" customWidth="1" min="243" max="243"/>
    <col width="10" customWidth="1" min="244" max="244"/>
    <col width="10" customWidth="1" min="245" max="245"/>
    <col width="10" customWidth="1" min="246" max="246"/>
    <col width="11" customWidth="1" min="247" max="247"/>
    <col width="11" customWidth="1" min="248" max="248"/>
    <col width="10" customWidth="1" min="249" max="249"/>
    <col width="10" customWidth="1" min="250" max="250"/>
    <col width="10" customWidth="1" min="251" max="251"/>
    <col width="10" customWidth="1" min="252" max="252"/>
    <col width="11" customWidth="1" min="253" max="253"/>
    <col width="11" customWidth="1" min="254" max="254"/>
    <col width="10" customWidth="1" min="255" max="255"/>
    <col width="11" customWidth="1" min="256" max="256"/>
    <col width="13" customWidth="1" min="257" max="257"/>
    <col width="12" customWidth="1" min="259" max="259"/>
    <col width="10" customWidth="1" min="260" max="260"/>
    <col width="10" customWidth="1" min="261" max="261"/>
    <col width="10" customWidth="1" min="262" max="262"/>
    <col width="10" customWidth="1" min="263" max="263"/>
    <col width="11" customWidth="1" min="264" max="264"/>
    <col width="11" customWidth="1" min="265" max="265"/>
    <col width="10" customWidth="1" min="266" max="266"/>
    <col width="10" customWidth="1" min="267" max="267"/>
    <col width="10" customWidth="1" min="268" max="268"/>
    <col width="10" customWidth="1" min="269" max="269"/>
    <col width="11" customWidth="1" min="270" max="270"/>
    <col width="11" customWidth="1" min="271" max="271"/>
    <col width="10" customWidth="1" min="272" max="272"/>
    <col width="11" customWidth="1" min="273" max="273"/>
    <col width="13" customWidth="1" min="274" max="274"/>
    <col width="12" customWidth="1" min="276" max="276"/>
    <col width="10" customWidth="1" min="277" max="277"/>
    <col width="10" customWidth="1" min="278" max="278"/>
    <col width="10" customWidth="1" min="279" max="279"/>
    <col width="10" customWidth="1" min="280" max="280"/>
    <col width="11" customWidth="1" min="281" max="281"/>
    <col width="11" customWidth="1" min="282" max="282"/>
    <col width="10" customWidth="1" min="283" max="283"/>
    <col width="10" customWidth="1" min="284" max="284"/>
    <col width="10" customWidth="1" min="285" max="285"/>
    <col width="10" customWidth="1" min="286" max="286"/>
    <col width="11" customWidth="1" min="287" max="287"/>
    <col width="11" customWidth="1" min="288" max="288"/>
    <col width="10" customWidth="1" min="289" max="289"/>
    <col width="11" customWidth="1" min="290" max="290"/>
    <col width="13" customWidth="1" min="291" max="291"/>
    <col width="12" customWidth="1" min="293" max="293"/>
    <col width="10" customWidth="1" min="294" max="294"/>
    <col width="10" customWidth="1" min="295" max="295"/>
    <col width="10" customWidth="1" min="296" max="296"/>
    <col width="10" customWidth="1" min="297" max="297"/>
    <col width="11" customWidth="1" min="298" max="298"/>
    <col width="11" customWidth="1" min="299" max="299"/>
    <col width="10" customWidth="1" min="300" max="300"/>
    <col width="10" customWidth="1" min="301" max="301"/>
    <col width="10" customWidth="1" min="302" max="302"/>
    <col width="10" customWidth="1" min="303" max="303"/>
    <col width="11" customWidth="1" min="304" max="304"/>
    <col width="11" customWidth="1" min="305" max="305"/>
    <col width="10" customWidth="1" min="306" max="306"/>
    <col width="11" customWidth="1" min="307" max="307"/>
    <col width="13" customWidth="1" min="308" max="308"/>
    <col width="12" customWidth="1" min="310" max="310"/>
    <col width="10" customWidth="1" min="311" max="311"/>
    <col width="10" customWidth="1" min="312" max="312"/>
    <col width="10" customWidth="1" min="313" max="313"/>
    <col width="10" customWidth="1" min="314" max="314"/>
    <col width="11" customWidth="1" min="315" max="315"/>
    <col width="11" customWidth="1" min="316" max="316"/>
    <col width="10" customWidth="1" min="317" max="317"/>
    <col width="10" customWidth="1" min="318" max="318"/>
    <col width="10" customWidth="1" min="319" max="319"/>
    <col width="10" customWidth="1" min="320" max="320"/>
    <col width="11" customWidth="1" min="321" max="321"/>
    <col width="11" customWidth="1" min="322" max="322"/>
    <col width="10" customWidth="1" min="323" max="323"/>
    <col width="11" customWidth="1" min="324" max="324"/>
    <col width="13" customWidth="1" min="325" max="325"/>
    <col width="12" customWidth="1" min="327" max="327"/>
    <col width="10" customWidth="1" min="328" max="328"/>
    <col width="10" customWidth="1" min="329" max="329"/>
    <col width="10" customWidth="1" min="330" max="330"/>
    <col width="10" customWidth="1" min="331" max="331"/>
    <col width="11" customWidth="1" min="332" max="332"/>
    <col width="11" customWidth="1" min="333" max="333"/>
    <col width="10" customWidth="1" min="334" max="334"/>
    <col width="10" customWidth="1" min="335" max="335"/>
    <col width="10" customWidth="1" min="336" max="336"/>
    <col width="10" customWidth="1" min="337" max="337"/>
    <col width="11" customWidth="1" min="338" max="338"/>
    <col width="11" customWidth="1" min="339" max="339"/>
    <col width="10" customWidth="1" min="340" max="340"/>
    <col width="11" customWidth="1" min="341" max="341"/>
    <col width="13" customWidth="1" min="342" max="342"/>
    <col width="12" customWidth="1" min="344" max="344"/>
    <col width="10" customWidth="1" min="345" max="345"/>
    <col width="10" customWidth="1" min="346" max="346"/>
    <col width="10" customWidth="1" min="347" max="347"/>
    <col width="10" customWidth="1" min="348" max="348"/>
    <col width="11" customWidth="1" min="349" max="349"/>
    <col width="11" customWidth="1" min="350" max="350"/>
    <col width="10" customWidth="1" min="351" max="351"/>
    <col width="10" customWidth="1" min="352" max="352"/>
    <col width="10" customWidth="1" min="353" max="353"/>
    <col width="10" customWidth="1" min="354" max="354"/>
    <col width="11" customWidth="1" min="355" max="355"/>
    <col width="11" customWidth="1" min="356" max="356"/>
    <col width="10" customWidth="1" min="357" max="357"/>
    <col width="11" customWidth="1" min="358" max="358"/>
    <col width="13" customWidth="1" min="359" max="359"/>
    <col width="12" customWidth="1" min="361" max="361"/>
    <col width="10" customWidth="1" min="362" max="362"/>
    <col width="10" customWidth="1" min="363" max="363"/>
    <col width="10" customWidth="1" min="364" max="364"/>
    <col width="10" customWidth="1" min="365" max="365"/>
    <col width="11" customWidth="1" min="366" max="366"/>
    <col width="11" customWidth="1" min="367" max="367"/>
    <col width="10" customWidth="1" min="368" max="368"/>
    <col width="10" customWidth="1" min="369" max="369"/>
    <col width="10" customWidth="1" min="370" max="370"/>
    <col width="10" customWidth="1" min="371" max="371"/>
    <col width="11" customWidth="1" min="372" max="372"/>
    <col width="11" customWidth="1" min="373" max="373"/>
    <col width="10" customWidth="1" min="374" max="374"/>
    <col width="11" customWidth="1" min="375" max="375"/>
    <col width="13" customWidth="1" min="376" max="376"/>
  </cols>
  <sheetData>
    <row r="1">
      <c r="A1" s="2" t="inlineStr">
        <is>
          <t>Month</t>
        </is>
      </c>
      <c r="B1" s="9" t="n">
        <v>8</v>
      </c>
      <c r="D1" s="2">
        <f>IF(ISNUMBER(B$7),"DAL US "&amp;TEXT(B$3,"mm/dd/yy")&amp;" C"&amp;(B$7-5*B$6)&amp;" Equity","")</f>
        <v/>
      </c>
      <c r="U1" s="2">
        <f>IF(ISNUMBER(B$7),"DAL US "&amp;TEXT(B$3,"mm/dd/yy")&amp;" P"&amp;(B$7-5*B$6)&amp;" Equity","")</f>
        <v/>
      </c>
      <c r="AL1" s="2">
        <f>IF(ISNUMBER(B$7),"DAL US "&amp;TEXT(B$3,"mm/dd/yy")&amp;" C"&amp;(B$7-4*B$6)&amp;" Equity","")</f>
        <v/>
      </c>
      <c r="BC1" s="2">
        <f>IF(ISNUMBER(B$7),"DAL US "&amp;TEXT(B$3,"mm/dd/yy")&amp;" P"&amp;(B$7-4*B$6)&amp;" Equity","")</f>
        <v/>
      </c>
      <c r="BT1" s="2">
        <f>IF(ISNUMBER(B$7),"DAL US "&amp;TEXT(B$3,"mm/dd/yy")&amp;" C"&amp;(B$7-3*B$6)&amp;" Equity","")</f>
        <v/>
      </c>
      <c r="CK1" s="2">
        <f>IF(ISNUMBER(B$7),"DAL US "&amp;TEXT(B$3,"mm/dd/yy")&amp;" P"&amp;(B$7-3*B$6)&amp;" Equity","")</f>
        <v/>
      </c>
      <c r="DB1" s="2">
        <f>IF(ISNUMBER(B$7),"DAL US "&amp;TEXT(B$3,"mm/dd/yy")&amp;" C"&amp;(B$7-2*B$6)&amp;" Equity","")</f>
        <v/>
      </c>
      <c r="DS1" s="2">
        <f>IF(ISNUMBER(B$7),"DAL US "&amp;TEXT(B$3,"mm/dd/yy")&amp;" P"&amp;(B$7-2*B$6)&amp;" Equity","")</f>
        <v/>
      </c>
      <c r="EJ1" s="2">
        <f>IF(ISNUMBER(B$7),"DAL US "&amp;TEXT(B$3,"mm/dd/yy")&amp;" C"&amp;(B$7-1*B$6)&amp;" Equity","")</f>
        <v/>
      </c>
      <c r="FA1" s="2">
        <f>IF(ISNUMBER(B$7),"DAL US "&amp;TEXT(B$3,"mm/dd/yy")&amp;" P"&amp;(B$7-1*B$6)&amp;" Equity","")</f>
        <v/>
      </c>
      <c r="FR1" s="2">
        <f>IF(ISNUMBER(B$7),"DAL US "&amp;TEXT(B$3,"mm/dd/yy")&amp;" C"&amp;B$7&amp;" Equity","")</f>
        <v/>
      </c>
      <c r="GI1" s="2">
        <f>IF(ISNUMBER(B$7),"DAL US "&amp;TEXT(B$3,"mm/dd/yy")&amp;" P"&amp;B$7&amp;" Equity","")</f>
        <v/>
      </c>
      <c r="GZ1" s="2">
        <f>IF(ISNUMBER(B$7),"DAL US "&amp;TEXT(B$3,"mm/dd/yy")&amp;" C"&amp;(B$7+1*B$6)&amp;" Equity","")</f>
        <v/>
      </c>
      <c r="HQ1" s="2">
        <f>IF(ISNUMBER(B$7),"DAL US "&amp;TEXT(B$3,"mm/dd/yy")&amp;" P"&amp;(B$7+1*B$6)&amp;" Equity","")</f>
        <v/>
      </c>
      <c r="IH1" s="2">
        <f>IF(ISNUMBER(B$7),"DAL US "&amp;TEXT(B$3,"mm/dd/yy")&amp;" C"&amp;(B$7+2*B$6)&amp;" Equity","")</f>
        <v/>
      </c>
      <c r="IY1" s="2">
        <f>IF(ISNUMBER(B$7),"DAL US "&amp;TEXT(B$3,"mm/dd/yy")&amp;" P"&amp;(B$7+2*B$6)&amp;" Equity","")</f>
        <v/>
      </c>
      <c r="JP1" s="2">
        <f>IF(ISNUMBER(B$7),"DAL US "&amp;TEXT(B$3,"mm/dd/yy")&amp;" C"&amp;(B$7+3*B$6)&amp;" Equity","")</f>
        <v/>
      </c>
      <c r="KG1" s="2">
        <f>IF(ISNUMBER(B$7),"DAL US "&amp;TEXT(B$3,"mm/dd/yy")&amp;" P"&amp;(B$7+3*B$6)&amp;" Equity","")</f>
        <v/>
      </c>
      <c r="KX1" s="2">
        <f>IF(ISNUMBER(B$7),"DAL US "&amp;TEXT(B$3,"mm/dd/yy")&amp;" C"&amp;(B$7+4*B$6)&amp;" Equity","")</f>
        <v/>
      </c>
      <c r="LO1" s="2">
        <f>IF(ISNUMBER(B$7),"DAL US "&amp;TEXT(B$3,"mm/dd/yy")&amp;" P"&amp;(B$7+4*B$6)&amp;" Equity","")</f>
        <v/>
      </c>
      <c r="MF1" s="2">
        <f>IF(ISNUMBER(B$7),"DAL US "&amp;TEXT(B$3,"mm/dd/yy")&amp;" C"&amp;(B$7+5*B$6)&amp;" Equity","")</f>
        <v/>
      </c>
      <c r="MW1" s="2">
        <f>IF(ISNUMBER(B$7),"DAL US "&amp;TEXT(B$3,"mm/dd/yy")&amp;" P"&amp;(B$7+5*B$6)&amp;" Equity","")</f>
        <v/>
      </c>
    </row>
    <row r="2">
      <c r="A2" s="2" t="inlineStr">
        <is>
          <t>Underlying</t>
        </is>
      </c>
      <c r="B2" s="4">
        <f>IF(Settings!$B$19="Y","DAL US Equity","")</f>
        <v/>
      </c>
      <c r="D2" s="4" t="inlineStr">
        <is>
          <t>call -5 from ATM</t>
        </is>
      </c>
      <c r="U2" s="4" t="inlineStr">
        <is>
          <t>put -5 from ATM</t>
        </is>
      </c>
      <c r="AL2" s="4" t="inlineStr">
        <is>
          <t>call -4 from ATM</t>
        </is>
      </c>
      <c r="BC2" s="4" t="inlineStr">
        <is>
          <t>put -4 from ATM</t>
        </is>
      </c>
      <c r="BT2" s="4" t="inlineStr">
        <is>
          <t>call -3 from ATM</t>
        </is>
      </c>
      <c r="CK2" s="4" t="inlineStr">
        <is>
          <t>put -3 from ATM</t>
        </is>
      </c>
      <c r="DB2" s="4" t="inlineStr">
        <is>
          <t>call -2 from ATM</t>
        </is>
      </c>
      <c r="DS2" s="4" t="inlineStr">
        <is>
          <t>put -2 from ATM</t>
        </is>
      </c>
      <c r="EJ2" s="4" t="inlineStr">
        <is>
          <t>call -1 from ATM</t>
        </is>
      </c>
      <c r="FA2" s="4" t="inlineStr">
        <is>
          <t>put -1 from ATM</t>
        </is>
      </c>
      <c r="FR2" s="4" t="inlineStr">
        <is>
          <t>call +0 from ATM</t>
        </is>
      </c>
      <c r="GI2" s="4" t="inlineStr">
        <is>
          <t>put +0 from ATM</t>
        </is>
      </c>
      <c r="GZ2" s="4" t="inlineStr">
        <is>
          <t>call +1 from ATM</t>
        </is>
      </c>
      <c r="HQ2" s="4" t="inlineStr">
        <is>
          <t>put +1 from ATM</t>
        </is>
      </c>
      <c r="IH2" s="4" t="inlineStr">
        <is>
          <t>call +2 from ATM</t>
        </is>
      </c>
      <c r="IY2" s="4" t="inlineStr">
        <is>
          <t>put +2 from ATM</t>
        </is>
      </c>
      <c r="JP2" s="4" t="inlineStr">
        <is>
          <t>call +3 from ATM</t>
        </is>
      </c>
      <c r="KG2" s="4" t="inlineStr">
        <is>
          <t>put +3 from ATM</t>
        </is>
      </c>
      <c r="KX2" s="4" t="inlineStr">
        <is>
          <t>call +4 from ATM</t>
        </is>
      </c>
      <c r="LO2" s="4" t="inlineStr">
        <is>
          <t>put +4 from ATM</t>
        </is>
      </c>
      <c r="MF2" s="4" t="inlineStr">
        <is>
          <t>call +5 from ATM</t>
        </is>
      </c>
      <c r="MW2" s="4" t="inlineStr">
        <is>
          <t>put +5 from ATM</t>
        </is>
      </c>
    </row>
    <row r="3">
      <c r="A3" s="2" t="inlineStr">
        <is>
          <t>Expiry (3rd Friday)</t>
        </is>
      </c>
      <c r="B3" s="3">
        <f>DATE(Settings!$E$19,B1,15)+MOD(6-WEEKDAY(DATE(Settings!$E$19,B1,15)),7)</f>
        <v/>
      </c>
      <c r="D3" s="5" t="inlineStr">
        <is>
          <t>Date</t>
        </is>
      </c>
      <c r="E3" s="5" t="inlineStr">
        <is>
          <t>PX_BID</t>
        </is>
      </c>
      <c r="F3" s="5" t="inlineStr">
        <is>
          <t>PX_ASK</t>
        </is>
      </c>
      <c r="G3" s="5" t="inlineStr">
        <is>
          <t>PX_MID</t>
        </is>
      </c>
      <c r="H3" s="5" t="inlineStr">
        <is>
          <t>PX_LAST</t>
        </is>
      </c>
      <c r="I3" s="5" t="inlineStr">
        <is>
          <t>PX_SETTLE</t>
        </is>
      </c>
      <c r="J3" s="5" t="inlineStr">
        <is>
          <t>PX_VOLUME</t>
        </is>
      </c>
      <c r="K3" s="5" t="inlineStr">
        <is>
          <t>OPEN_INT</t>
        </is>
      </c>
      <c r="L3" s="5" t="inlineStr">
        <is>
          <t>IVOL_MID</t>
        </is>
      </c>
      <c r="M3" s="5" t="inlineStr">
        <is>
          <t>IVOL_BID</t>
        </is>
      </c>
      <c r="N3" s="5" t="inlineStr">
        <is>
          <t>IVOL_ASK</t>
        </is>
      </c>
      <c r="O3" s="5" t="inlineStr">
        <is>
          <t>DELTA_MID</t>
        </is>
      </c>
      <c r="P3" s="5" t="inlineStr">
        <is>
          <t>GAMMA_MID</t>
        </is>
      </c>
      <c r="Q3" s="5" t="inlineStr">
        <is>
          <t>VEGA_MID</t>
        </is>
      </c>
      <c r="R3" s="5" t="inlineStr">
        <is>
          <t>THETA_MID</t>
        </is>
      </c>
      <c r="S3" s="5" t="inlineStr">
        <is>
          <t>OPT_UNDL_PX</t>
        </is>
      </c>
      <c r="U3" s="5" t="inlineStr">
        <is>
          <t>Date</t>
        </is>
      </c>
      <c r="V3" s="5" t="inlineStr">
        <is>
          <t>PX_BID</t>
        </is>
      </c>
      <c r="W3" s="5" t="inlineStr">
        <is>
          <t>PX_ASK</t>
        </is>
      </c>
      <c r="X3" s="5" t="inlineStr">
        <is>
          <t>PX_MID</t>
        </is>
      </c>
      <c r="Y3" s="5" t="inlineStr">
        <is>
          <t>PX_LAST</t>
        </is>
      </c>
      <c r="Z3" s="5" t="inlineStr">
        <is>
          <t>PX_SETTLE</t>
        </is>
      </c>
      <c r="AA3" s="5" t="inlineStr">
        <is>
          <t>PX_VOLUME</t>
        </is>
      </c>
      <c r="AB3" s="5" t="inlineStr">
        <is>
          <t>OPEN_INT</t>
        </is>
      </c>
      <c r="AC3" s="5" t="inlineStr">
        <is>
          <t>IVOL_MID</t>
        </is>
      </c>
      <c r="AD3" s="5" t="inlineStr">
        <is>
          <t>IVOL_BID</t>
        </is>
      </c>
      <c r="AE3" s="5" t="inlineStr">
        <is>
          <t>IVOL_ASK</t>
        </is>
      </c>
      <c r="AF3" s="5" t="inlineStr">
        <is>
          <t>DELTA_MID</t>
        </is>
      </c>
      <c r="AG3" s="5" t="inlineStr">
        <is>
          <t>GAMMA_MID</t>
        </is>
      </c>
      <c r="AH3" s="5" t="inlineStr">
        <is>
          <t>VEGA_MID</t>
        </is>
      </c>
      <c r="AI3" s="5" t="inlineStr">
        <is>
          <t>THETA_MID</t>
        </is>
      </c>
      <c r="AJ3" s="5" t="inlineStr">
        <is>
          <t>OPT_UNDL_PX</t>
        </is>
      </c>
      <c r="AL3" s="5" t="inlineStr">
        <is>
          <t>Date</t>
        </is>
      </c>
      <c r="AM3" s="5" t="inlineStr">
        <is>
          <t>PX_BID</t>
        </is>
      </c>
      <c r="AN3" s="5" t="inlineStr">
        <is>
          <t>PX_ASK</t>
        </is>
      </c>
      <c r="AO3" s="5" t="inlineStr">
        <is>
          <t>PX_MID</t>
        </is>
      </c>
      <c r="AP3" s="5" t="inlineStr">
        <is>
          <t>PX_LAST</t>
        </is>
      </c>
      <c r="AQ3" s="5" t="inlineStr">
        <is>
          <t>PX_SETTLE</t>
        </is>
      </c>
      <c r="AR3" s="5" t="inlineStr">
        <is>
          <t>PX_VOLUME</t>
        </is>
      </c>
      <c r="AS3" s="5" t="inlineStr">
        <is>
          <t>OPEN_INT</t>
        </is>
      </c>
      <c r="AT3" s="5" t="inlineStr">
        <is>
          <t>IVOL_MID</t>
        </is>
      </c>
      <c r="AU3" s="5" t="inlineStr">
        <is>
          <t>IVOL_BID</t>
        </is>
      </c>
      <c r="AV3" s="5" t="inlineStr">
        <is>
          <t>IVOL_ASK</t>
        </is>
      </c>
      <c r="AW3" s="5" t="inlineStr">
        <is>
          <t>DELTA_MID</t>
        </is>
      </c>
      <c r="AX3" s="5" t="inlineStr">
        <is>
          <t>GAMMA_MID</t>
        </is>
      </c>
      <c r="AY3" s="5" t="inlineStr">
        <is>
          <t>VEGA_MID</t>
        </is>
      </c>
      <c r="AZ3" s="5" t="inlineStr">
        <is>
          <t>THETA_MID</t>
        </is>
      </c>
      <c r="BA3" s="5" t="inlineStr">
        <is>
          <t>OPT_UNDL_PX</t>
        </is>
      </c>
      <c r="BC3" s="5" t="inlineStr">
        <is>
          <t>Date</t>
        </is>
      </c>
      <c r="BD3" s="5" t="inlineStr">
        <is>
          <t>PX_BID</t>
        </is>
      </c>
      <c r="BE3" s="5" t="inlineStr">
        <is>
          <t>PX_ASK</t>
        </is>
      </c>
      <c r="BF3" s="5" t="inlineStr">
        <is>
          <t>PX_MID</t>
        </is>
      </c>
      <c r="BG3" s="5" t="inlineStr">
        <is>
          <t>PX_LAST</t>
        </is>
      </c>
      <c r="BH3" s="5" t="inlineStr">
        <is>
          <t>PX_SETTLE</t>
        </is>
      </c>
      <c r="BI3" s="5" t="inlineStr">
        <is>
          <t>PX_VOLUME</t>
        </is>
      </c>
      <c r="BJ3" s="5" t="inlineStr">
        <is>
          <t>OPEN_INT</t>
        </is>
      </c>
      <c r="BK3" s="5" t="inlineStr">
        <is>
          <t>IVOL_MID</t>
        </is>
      </c>
      <c r="BL3" s="5" t="inlineStr">
        <is>
          <t>IVOL_BID</t>
        </is>
      </c>
      <c r="BM3" s="5" t="inlineStr">
        <is>
          <t>IVOL_ASK</t>
        </is>
      </c>
      <c r="BN3" s="5" t="inlineStr">
        <is>
          <t>DELTA_MID</t>
        </is>
      </c>
      <c r="BO3" s="5" t="inlineStr">
        <is>
          <t>GAMMA_MID</t>
        </is>
      </c>
      <c r="BP3" s="5" t="inlineStr">
        <is>
          <t>VEGA_MID</t>
        </is>
      </c>
      <c r="BQ3" s="5" t="inlineStr">
        <is>
          <t>THETA_MID</t>
        </is>
      </c>
      <c r="BR3" s="5" t="inlineStr">
        <is>
          <t>OPT_UNDL_PX</t>
        </is>
      </c>
      <c r="BT3" s="5" t="inlineStr">
        <is>
          <t>Date</t>
        </is>
      </c>
      <c r="BU3" s="5" t="inlineStr">
        <is>
          <t>PX_BID</t>
        </is>
      </c>
      <c r="BV3" s="5" t="inlineStr">
        <is>
          <t>PX_ASK</t>
        </is>
      </c>
      <c r="BW3" s="5" t="inlineStr">
        <is>
          <t>PX_MID</t>
        </is>
      </c>
      <c r="BX3" s="5" t="inlineStr">
        <is>
          <t>PX_LAST</t>
        </is>
      </c>
      <c r="BY3" s="5" t="inlineStr">
        <is>
          <t>PX_SETTLE</t>
        </is>
      </c>
      <c r="BZ3" s="5" t="inlineStr">
        <is>
          <t>PX_VOLUME</t>
        </is>
      </c>
      <c r="CA3" s="5" t="inlineStr">
        <is>
          <t>OPEN_INT</t>
        </is>
      </c>
      <c r="CB3" s="5" t="inlineStr">
        <is>
          <t>IVOL_MID</t>
        </is>
      </c>
      <c r="CC3" s="5" t="inlineStr">
        <is>
          <t>IVOL_BID</t>
        </is>
      </c>
      <c r="CD3" s="5" t="inlineStr">
        <is>
          <t>IVOL_ASK</t>
        </is>
      </c>
      <c r="CE3" s="5" t="inlineStr">
        <is>
          <t>DELTA_MID</t>
        </is>
      </c>
      <c r="CF3" s="5" t="inlineStr">
        <is>
          <t>GAMMA_MID</t>
        </is>
      </c>
      <c r="CG3" s="5" t="inlineStr">
        <is>
          <t>VEGA_MID</t>
        </is>
      </c>
      <c r="CH3" s="5" t="inlineStr">
        <is>
          <t>THETA_MID</t>
        </is>
      </c>
      <c r="CI3" s="5" t="inlineStr">
        <is>
          <t>OPT_UNDL_PX</t>
        </is>
      </c>
      <c r="CK3" s="5" t="inlineStr">
        <is>
          <t>Date</t>
        </is>
      </c>
      <c r="CL3" s="5" t="inlineStr">
        <is>
          <t>PX_BID</t>
        </is>
      </c>
      <c r="CM3" s="5" t="inlineStr">
        <is>
          <t>PX_ASK</t>
        </is>
      </c>
      <c r="CN3" s="5" t="inlineStr">
        <is>
          <t>PX_MID</t>
        </is>
      </c>
      <c r="CO3" s="5" t="inlineStr">
        <is>
          <t>PX_LAST</t>
        </is>
      </c>
      <c r="CP3" s="5" t="inlineStr">
        <is>
          <t>PX_SETTLE</t>
        </is>
      </c>
      <c r="CQ3" s="5" t="inlineStr">
        <is>
          <t>PX_VOLUME</t>
        </is>
      </c>
      <c r="CR3" s="5" t="inlineStr">
        <is>
          <t>OPEN_INT</t>
        </is>
      </c>
      <c r="CS3" s="5" t="inlineStr">
        <is>
          <t>IVOL_MID</t>
        </is>
      </c>
      <c r="CT3" s="5" t="inlineStr">
        <is>
          <t>IVOL_BID</t>
        </is>
      </c>
      <c r="CU3" s="5" t="inlineStr">
        <is>
          <t>IVOL_ASK</t>
        </is>
      </c>
      <c r="CV3" s="5" t="inlineStr">
        <is>
          <t>DELTA_MID</t>
        </is>
      </c>
      <c r="CW3" s="5" t="inlineStr">
        <is>
          <t>GAMMA_MID</t>
        </is>
      </c>
      <c r="CX3" s="5" t="inlineStr">
        <is>
          <t>VEGA_MID</t>
        </is>
      </c>
      <c r="CY3" s="5" t="inlineStr">
        <is>
          <t>THETA_MID</t>
        </is>
      </c>
      <c r="CZ3" s="5" t="inlineStr">
        <is>
          <t>OPT_UNDL_PX</t>
        </is>
      </c>
      <c r="DB3" s="5" t="inlineStr">
        <is>
          <t>Date</t>
        </is>
      </c>
      <c r="DC3" s="5" t="inlineStr">
        <is>
          <t>PX_BID</t>
        </is>
      </c>
      <c r="DD3" s="5" t="inlineStr">
        <is>
          <t>PX_ASK</t>
        </is>
      </c>
      <c r="DE3" s="5" t="inlineStr">
        <is>
          <t>PX_MID</t>
        </is>
      </c>
      <c r="DF3" s="5" t="inlineStr">
        <is>
          <t>PX_LAST</t>
        </is>
      </c>
      <c r="DG3" s="5" t="inlineStr">
        <is>
          <t>PX_SETTLE</t>
        </is>
      </c>
      <c r="DH3" s="5" t="inlineStr">
        <is>
          <t>PX_VOLUME</t>
        </is>
      </c>
      <c r="DI3" s="5" t="inlineStr">
        <is>
          <t>OPEN_INT</t>
        </is>
      </c>
      <c r="DJ3" s="5" t="inlineStr">
        <is>
          <t>IVOL_MID</t>
        </is>
      </c>
      <c r="DK3" s="5" t="inlineStr">
        <is>
          <t>IVOL_BID</t>
        </is>
      </c>
      <c r="DL3" s="5" t="inlineStr">
        <is>
          <t>IVOL_ASK</t>
        </is>
      </c>
      <c r="DM3" s="5" t="inlineStr">
        <is>
          <t>DELTA_MID</t>
        </is>
      </c>
      <c r="DN3" s="5" t="inlineStr">
        <is>
          <t>GAMMA_MID</t>
        </is>
      </c>
      <c r="DO3" s="5" t="inlineStr">
        <is>
          <t>VEGA_MID</t>
        </is>
      </c>
      <c r="DP3" s="5" t="inlineStr">
        <is>
          <t>THETA_MID</t>
        </is>
      </c>
      <c r="DQ3" s="5" t="inlineStr">
        <is>
          <t>OPT_UNDL_PX</t>
        </is>
      </c>
      <c r="DS3" s="5" t="inlineStr">
        <is>
          <t>Date</t>
        </is>
      </c>
      <c r="DT3" s="5" t="inlineStr">
        <is>
          <t>PX_BID</t>
        </is>
      </c>
      <c r="DU3" s="5" t="inlineStr">
        <is>
          <t>PX_ASK</t>
        </is>
      </c>
      <c r="DV3" s="5" t="inlineStr">
        <is>
          <t>PX_MID</t>
        </is>
      </c>
      <c r="DW3" s="5" t="inlineStr">
        <is>
          <t>PX_LAST</t>
        </is>
      </c>
      <c r="DX3" s="5" t="inlineStr">
        <is>
          <t>PX_SETTLE</t>
        </is>
      </c>
      <c r="DY3" s="5" t="inlineStr">
        <is>
          <t>PX_VOLUME</t>
        </is>
      </c>
      <c r="DZ3" s="5" t="inlineStr">
        <is>
          <t>OPEN_INT</t>
        </is>
      </c>
      <c r="EA3" s="5" t="inlineStr">
        <is>
          <t>IVOL_MID</t>
        </is>
      </c>
      <c r="EB3" s="5" t="inlineStr">
        <is>
          <t>IVOL_BID</t>
        </is>
      </c>
      <c r="EC3" s="5" t="inlineStr">
        <is>
          <t>IVOL_ASK</t>
        </is>
      </c>
      <c r="ED3" s="5" t="inlineStr">
        <is>
          <t>DELTA_MID</t>
        </is>
      </c>
      <c r="EE3" s="5" t="inlineStr">
        <is>
          <t>GAMMA_MID</t>
        </is>
      </c>
      <c r="EF3" s="5" t="inlineStr">
        <is>
          <t>VEGA_MID</t>
        </is>
      </c>
      <c r="EG3" s="5" t="inlineStr">
        <is>
          <t>THETA_MID</t>
        </is>
      </c>
      <c r="EH3" s="5" t="inlineStr">
        <is>
          <t>OPT_UNDL_PX</t>
        </is>
      </c>
      <c r="EJ3" s="5" t="inlineStr">
        <is>
          <t>Date</t>
        </is>
      </c>
      <c r="EK3" s="5" t="inlineStr">
        <is>
          <t>PX_BID</t>
        </is>
      </c>
      <c r="EL3" s="5" t="inlineStr">
        <is>
          <t>PX_ASK</t>
        </is>
      </c>
      <c r="EM3" s="5" t="inlineStr">
        <is>
          <t>PX_MID</t>
        </is>
      </c>
      <c r="EN3" s="5" t="inlineStr">
        <is>
          <t>PX_LAST</t>
        </is>
      </c>
      <c r="EO3" s="5" t="inlineStr">
        <is>
          <t>PX_SETTLE</t>
        </is>
      </c>
      <c r="EP3" s="5" t="inlineStr">
        <is>
          <t>PX_VOLUME</t>
        </is>
      </c>
      <c r="EQ3" s="5" t="inlineStr">
        <is>
          <t>OPEN_INT</t>
        </is>
      </c>
      <c r="ER3" s="5" t="inlineStr">
        <is>
          <t>IVOL_MID</t>
        </is>
      </c>
      <c r="ES3" s="5" t="inlineStr">
        <is>
          <t>IVOL_BID</t>
        </is>
      </c>
      <c r="ET3" s="5" t="inlineStr">
        <is>
          <t>IVOL_ASK</t>
        </is>
      </c>
      <c r="EU3" s="5" t="inlineStr">
        <is>
          <t>DELTA_MID</t>
        </is>
      </c>
      <c r="EV3" s="5" t="inlineStr">
        <is>
          <t>GAMMA_MID</t>
        </is>
      </c>
      <c r="EW3" s="5" t="inlineStr">
        <is>
          <t>VEGA_MID</t>
        </is>
      </c>
      <c r="EX3" s="5" t="inlineStr">
        <is>
          <t>THETA_MID</t>
        </is>
      </c>
      <c r="EY3" s="5" t="inlineStr">
        <is>
          <t>OPT_UNDL_PX</t>
        </is>
      </c>
      <c r="FA3" s="5" t="inlineStr">
        <is>
          <t>Date</t>
        </is>
      </c>
      <c r="FB3" s="5" t="inlineStr">
        <is>
          <t>PX_BID</t>
        </is>
      </c>
      <c r="FC3" s="5" t="inlineStr">
        <is>
          <t>PX_ASK</t>
        </is>
      </c>
      <c r="FD3" s="5" t="inlineStr">
        <is>
          <t>PX_MID</t>
        </is>
      </c>
      <c r="FE3" s="5" t="inlineStr">
        <is>
          <t>PX_LAST</t>
        </is>
      </c>
      <c r="FF3" s="5" t="inlineStr">
        <is>
          <t>PX_SETTLE</t>
        </is>
      </c>
      <c r="FG3" s="5" t="inlineStr">
        <is>
          <t>PX_VOLUME</t>
        </is>
      </c>
      <c r="FH3" s="5" t="inlineStr">
        <is>
          <t>OPEN_INT</t>
        </is>
      </c>
      <c r="FI3" s="5" t="inlineStr">
        <is>
          <t>IVOL_MID</t>
        </is>
      </c>
      <c r="FJ3" s="5" t="inlineStr">
        <is>
          <t>IVOL_BID</t>
        </is>
      </c>
      <c r="FK3" s="5" t="inlineStr">
        <is>
          <t>IVOL_ASK</t>
        </is>
      </c>
      <c r="FL3" s="5" t="inlineStr">
        <is>
          <t>DELTA_MID</t>
        </is>
      </c>
      <c r="FM3" s="5" t="inlineStr">
        <is>
          <t>GAMMA_MID</t>
        </is>
      </c>
      <c r="FN3" s="5" t="inlineStr">
        <is>
          <t>VEGA_MID</t>
        </is>
      </c>
      <c r="FO3" s="5" t="inlineStr">
        <is>
          <t>THETA_MID</t>
        </is>
      </c>
      <c r="FP3" s="5" t="inlineStr">
        <is>
          <t>OPT_UNDL_PX</t>
        </is>
      </c>
      <c r="FR3" s="5" t="inlineStr">
        <is>
          <t>Date</t>
        </is>
      </c>
      <c r="FS3" s="5" t="inlineStr">
        <is>
          <t>PX_BID</t>
        </is>
      </c>
      <c r="FT3" s="5" t="inlineStr">
        <is>
          <t>PX_ASK</t>
        </is>
      </c>
      <c r="FU3" s="5" t="inlineStr">
        <is>
          <t>PX_MID</t>
        </is>
      </c>
      <c r="FV3" s="5" t="inlineStr">
        <is>
          <t>PX_LAST</t>
        </is>
      </c>
      <c r="FW3" s="5" t="inlineStr">
        <is>
          <t>PX_SETTLE</t>
        </is>
      </c>
      <c r="FX3" s="5" t="inlineStr">
        <is>
          <t>PX_VOLUME</t>
        </is>
      </c>
      <c r="FY3" s="5" t="inlineStr">
        <is>
          <t>OPEN_INT</t>
        </is>
      </c>
      <c r="FZ3" s="5" t="inlineStr">
        <is>
          <t>IVOL_MID</t>
        </is>
      </c>
      <c r="GA3" s="5" t="inlineStr">
        <is>
          <t>IVOL_BID</t>
        </is>
      </c>
      <c r="GB3" s="5" t="inlineStr">
        <is>
          <t>IVOL_ASK</t>
        </is>
      </c>
      <c r="GC3" s="5" t="inlineStr">
        <is>
          <t>DELTA_MID</t>
        </is>
      </c>
      <c r="GD3" s="5" t="inlineStr">
        <is>
          <t>GAMMA_MID</t>
        </is>
      </c>
      <c r="GE3" s="5" t="inlineStr">
        <is>
          <t>VEGA_MID</t>
        </is>
      </c>
      <c r="GF3" s="5" t="inlineStr">
        <is>
          <t>THETA_MID</t>
        </is>
      </c>
      <c r="GG3" s="5" t="inlineStr">
        <is>
          <t>OPT_UNDL_PX</t>
        </is>
      </c>
      <c r="GI3" s="5" t="inlineStr">
        <is>
          <t>Date</t>
        </is>
      </c>
      <c r="GJ3" s="5" t="inlineStr">
        <is>
          <t>PX_BID</t>
        </is>
      </c>
      <c r="GK3" s="5" t="inlineStr">
        <is>
          <t>PX_ASK</t>
        </is>
      </c>
      <c r="GL3" s="5" t="inlineStr">
        <is>
          <t>PX_MID</t>
        </is>
      </c>
      <c r="GM3" s="5" t="inlineStr">
        <is>
          <t>PX_LAST</t>
        </is>
      </c>
      <c r="GN3" s="5" t="inlineStr">
        <is>
          <t>PX_SETTLE</t>
        </is>
      </c>
      <c r="GO3" s="5" t="inlineStr">
        <is>
          <t>PX_VOLUME</t>
        </is>
      </c>
      <c r="GP3" s="5" t="inlineStr">
        <is>
          <t>OPEN_INT</t>
        </is>
      </c>
      <c r="GQ3" s="5" t="inlineStr">
        <is>
          <t>IVOL_MID</t>
        </is>
      </c>
      <c r="GR3" s="5" t="inlineStr">
        <is>
          <t>IVOL_BID</t>
        </is>
      </c>
      <c r="GS3" s="5" t="inlineStr">
        <is>
          <t>IVOL_ASK</t>
        </is>
      </c>
      <c r="GT3" s="5" t="inlineStr">
        <is>
          <t>DELTA_MID</t>
        </is>
      </c>
      <c r="GU3" s="5" t="inlineStr">
        <is>
          <t>GAMMA_MID</t>
        </is>
      </c>
      <c r="GV3" s="5" t="inlineStr">
        <is>
          <t>VEGA_MID</t>
        </is>
      </c>
      <c r="GW3" s="5" t="inlineStr">
        <is>
          <t>THETA_MID</t>
        </is>
      </c>
      <c r="GX3" s="5" t="inlineStr">
        <is>
          <t>OPT_UNDL_PX</t>
        </is>
      </c>
      <c r="GZ3" s="5" t="inlineStr">
        <is>
          <t>Date</t>
        </is>
      </c>
      <c r="HA3" s="5" t="inlineStr">
        <is>
          <t>PX_BID</t>
        </is>
      </c>
      <c r="HB3" s="5" t="inlineStr">
        <is>
          <t>PX_ASK</t>
        </is>
      </c>
      <c r="HC3" s="5" t="inlineStr">
        <is>
          <t>PX_MID</t>
        </is>
      </c>
      <c r="HD3" s="5" t="inlineStr">
        <is>
          <t>PX_LAST</t>
        </is>
      </c>
      <c r="HE3" s="5" t="inlineStr">
        <is>
          <t>PX_SETTLE</t>
        </is>
      </c>
      <c r="HF3" s="5" t="inlineStr">
        <is>
          <t>PX_VOLUME</t>
        </is>
      </c>
      <c r="HG3" s="5" t="inlineStr">
        <is>
          <t>OPEN_INT</t>
        </is>
      </c>
      <c r="HH3" s="5" t="inlineStr">
        <is>
          <t>IVOL_MID</t>
        </is>
      </c>
      <c r="HI3" s="5" t="inlineStr">
        <is>
          <t>IVOL_BID</t>
        </is>
      </c>
      <c r="HJ3" s="5" t="inlineStr">
        <is>
          <t>IVOL_ASK</t>
        </is>
      </c>
      <c r="HK3" s="5" t="inlineStr">
        <is>
          <t>DELTA_MID</t>
        </is>
      </c>
      <c r="HL3" s="5" t="inlineStr">
        <is>
          <t>GAMMA_MID</t>
        </is>
      </c>
      <c r="HM3" s="5" t="inlineStr">
        <is>
          <t>VEGA_MID</t>
        </is>
      </c>
      <c r="HN3" s="5" t="inlineStr">
        <is>
          <t>THETA_MID</t>
        </is>
      </c>
      <c r="HO3" s="5" t="inlineStr">
        <is>
          <t>OPT_UNDL_PX</t>
        </is>
      </c>
      <c r="HQ3" s="5" t="inlineStr">
        <is>
          <t>Date</t>
        </is>
      </c>
      <c r="HR3" s="5" t="inlineStr">
        <is>
          <t>PX_BID</t>
        </is>
      </c>
      <c r="HS3" s="5" t="inlineStr">
        <is>
          <t>PX_ASK</t>
        </is>
      </c>
      <c r="HT3" s="5" t="inlineStr">
        <is>
          <t>PX_MID</t>
        </is>
      </c>
      <c r="HU3" s="5" t="inlineStr">
        <is>
          <t>PX_LAST</t>
        </is>
      </c>
      <c r="HV3" s="5" t="inlineStr">
        <is>
          <t>PX_SETTLE</t>
        </is>
      </c>
      <c r="HW3" s="5" t="inlineStr">
        <is>
          <t>PX_VOLUME</t>
        </is>
      </c>
      <c r="HX3" s="5" t="inlineStr">
        <is>
          <t>OPEN_INT</t>
        </is>
      </c>
      <c r="HY3" s="5" t="inlineStr">
        <is>
          <t>IVOL_MID</t>
        </is>
      </c>
      <c r="HZ3" s="5" t="inlineStr">
        <is>
          <t>IVOL_BID</t>
        </is>
      </c>
      <c r="IA3" s="5" t="inlineStr">
        <is>
          <t>IVOL_ASK</t>
        </is>
      </c>
      <c r="IB3" s="5" t="inlineStr">
        <is>
          <t>DELTA_MID</t>
        </is>
      </c>
      <c r="IC3" s="5" t="inlineStr">
        <is>
          <t>GAMMA_MID</t>
        </is>
      </c>
      <c r="ID3" s="5" t="inlineStr">
        <is>
          <t>VEGA_MID</t>
        </is>
      </c>
      <c r="IE3" s="5" t="inlineStr">
        <is>
          <t>THETA_MID</t>
        </is>
      </c>
      <c r="IF3" s="5" t="inlineStr">
        <is>
          <t>OPT_UNDL_PX</t>
        </is>
      </c>
      <c r="IH3" s="5" t="inlineStr">
        <is>
          <t>Date</t>
        </is>
      </c>
      <c r="II3" s="5" t="inlineStr">
        <is>
          <t>PX_BID</t>
        </is>
      </c>
      <c r="IJ3" s="5" t="inlineStr">
        <is>
          <t>PX_ASK</t>
        </is>
      </c>
      <c r="IK3" s="5" t="inlineStr">
        <is>
          <t>PX_MID</t>
        </is>
      </c>
      <c r="IL3" s="5" t="inlineStr">
        <is>
          <t>PX_LAST</t>
        </is>
      </c>
      <c r="IM3" s="5" t="inlineStr">
        <is>
          <t>PX_SETTLE</t>
        </is>
      </c>
      <c r="IN3" s="5" t="inlineStr">
        <is>
          <t>PX_VOLUME</t>
        </is>
      </c>
      <c r="IO3" s="5" t="inlineStr">
        <is>
          <t>OPEN_INT</t>
        </is>
      </c>
      <c r="IP3" s="5" t="inlineStr">
        <is>
          <t>IVOL_MID</t>
        </is>
      </c>
      <c r="IQ3" s="5" t="inlineStr">
        <is>
          <t>IVOL_BID</t>
        </is>
      </c>
      <c r="IR3" s="5" t="inlineStr">
        <is>
          <t>IVOL_ASK</t>
        </is>
      </c>
      <c r="IS3" s="5" t="inlineStr">
        <is>
          <t>DELTA_MID</t>
        </is>
      </c>
      <c r="IT3" s="5" t="inlineStr">
        <is>
          <t>GAMMA_MID</t>
        </is>
      </c>
      <c r="IU3" s="5" t="inlineStr">
        <is>
          <t>VEGA_MID</t>
        </is>
      </c>
      <c r="IV3" s="5" t="inlineStr">
        <is>
          <t>THETA_MID</t>
        </is>
      </c>
      <c r="IW3" s="5" t="inlineStr">
        <is>
          <t>OPT_UNDL_PX</t>
        </is>
      </c>
      <c r="IY3" s="5" t="inlineStr">
        <is>
          <t>Date</t>
        </is>
      </c>
      <c r="IZ3" s="5" t="inlineStr">
        <is>
          <t>PX_BID</t>
        </is>
      </c>
      <c r="JA3" s="5" t="inlineStr">
        <is>
          <t>PX_ASK</t>
        </is>
      </c>
      <c r="JB3" s="5" t="inlineStr">
        <is>
          <t>PX_MID</t>
        </is>
      </c>
      <c r="JC3" s="5" t="inlineStr">
        <is>
          <t>PX_LAST</t>
        </is>
      </c>
      <c r="JD3" s="5" t="inlineStr">
        <is>
          <t>PX_SETTLE</t>
        </is>
      </c>
      <c r="JE3" s="5" t="inlineStr">
        <is>
          <t>PX_VOLUME</t>
        </is>
      </c>
      <c r="JF3" s="5" t="inlineStr">
        <is>
          <t>OPEN_INT</t>
        </is>
      </c>
      <c r="JG3" s="5" t="inlineStr">
        <is>
          <t>IVOL_MID</t>
        </is>
      </c>
      <c r="JH3" s="5" t="inlineStr">
        <is>
          <t>IVOL_BID</t>
        </is>
      </c>
      <c r="JI3" s="5" t="inlineStr">
        <is>
          <t>IVOL_ASK</t>
        </is>
      </c>
      <c r="JJ3" s="5" t="inlineStr">
        <is>
          <t>DELTA_MID</t>
        </is>
      </c>
      <c r="JK3" s="5" t="inlineStr">
        <is>
          <t>GAMMA_MID</t>
        </is>
      </c>
      <c r="JL3" s="5" t="inlineStr">
        <is>
          <t>VEGA_MID</t>
        </is>
      </c>
      <c r="JM3" s="5" t="inlineStr">
        <is>
          <t>THETA_MID</t>
        </is>
      </c>
      <c r="JN3" s="5" t="inlineStr">
        <is>
          <t>OPT_UNDL_PX</t>
        </is>
      </c>
      <c r="JP3" s="5" t="inlineStr">
        <is>
          <t>Date</t>
        </is>
      </c>
      <c r="JQ3" s="5" t="inlineStr">
        <is>
          <t>PX_BID</t>
        </is>
      </c>
      <c r="JR3" s="5" t="inlineStr">
        <is>
          <t>PX_ASK</t>
        </is>
      </c>
      <c r="JS3" s="5" t="inlineStr">
        <is>
          <t>PX_MID</t>
        </is>
      </c>
      <c r="JT3" s="5" t="inlineStr">
        <is>
          <t>PX_LAST</t>
        </is>
      </c>
      <c r="JU3" s="5" t="inlineStr">
        <is>
          <t>PX_SETTLE</t>
        </is>
      </c>
      <c r="JV3" s="5" t="inlineStr">
        <is>
          <t>PX_VOLUME</t>
        </is>
      </c>
      <c r="JW3" s="5" t="inlineStr">
        <is>
          <t>OPEN_INT</t>
        </is>
      </c>
      <c r="JX3" s="5" t="inlineStr">
        <is>
          <t>IVOL_MID</t>
        </is>
      </c>
      <c r="JY3" s="5" t="inlineStr">
        <is>
          <t>IVOL_BID</t>
        </is>
      </c>
      <c r="JZ3" s="5" t="inlineStr">
        <is>
          <t>IVOL_ASK</t>
        </is>
      </c>
      <c r="KA3" s="5" t="inlineStr">
        <is>
          <t>DELTA_MID</t>
        </is>
      </c>
      <c r="KB3" s="5" t="inlineStr">
        <is>
          <t>GAMMA_MID</t>
        </is>
      </c>
      <c r="KC3" s="5" t="inlineStr">
        <is>
          <t>VEGA_MID</t>
        </is>
      </c>
      <c r="KD3" s="5" t="inlineStr">
        <is>
          <t>THETA_MID</t>
        </is>
      </c>
      <c r="KE3" s="5" t="inlineStr">
        <is>
          <t>OPT_UNDL_PX</t>
        </is>
      </c>
      <c r="KG3" s="5" t="inlineStr">
        <is>
          <t>Date</t>
        </is>
      </c>
      <c r="KH3" s="5" t="inlineStr">
        <is>
          <t>PX_BID</t>
        </is>
      </c>
      <c r="KI3" s="5" t="inlineStr">
        <is>
          <t>PX_ASK</t>
        </is>
      </c>
      <c r="KJ3" s="5" t="inlineStr">
        <is>
          <t>PX_MID</t>
        </is>
      </c>
      <c r="KK3" s="5" t="inlineStr">
        <is>
          <t>PX_LAST</t>
        </is>
      </c>
      <c r="KL3" s="5" t="inlineStr">
        <is>
          <t>PX_SETTLE</t>
        </is>
      </c>
      <c r="KM3" s="5" t="inlineStr">
        <is>
          <t>PX_VOLUME</t>
        </is>
      </c>
      <c r="KN3" s="5" t="inlineStr">
        <is>
          <t>OPEN_INT</t>
        </is>
      </c>
      <c r="KO3" s="5" t="inlineStr">
        <is>
          <t>IVOL_MID</t>
        </is>
      </c>
      <c r="KP3" s="5" t="inlineStr">
        <is>
          <t>IVOL_BID</t>
        </is>
      </c>
      <c r="KQ3" s="5" t="inlineStr">
        <is>
          <t>IVOL_ASK</t>
        </is>
      </c>
      <c r="KR3" s="5" t="inlineStr">
        <is>
          <t>DELTA_MID</t>
        </is>
      </c>
      <c r="KS3" s="5" t="inlineStr">
        <is>
          <t>GAMMA_MID</t>
        </is>
      </c>
      <c r="KT3" s="5" t="inlineStr">
        <is>
          <t>VEGA_MID</t>
        </is>
      </c>
      <c r="KU3" s="5" t="inlineStr">
        <is>
          <t>THETA_MID</t>
        </is>
      </c>
      <c r="KV3" s="5" t="inlineStr">
        <is>
          <t>OPT_UNDL_PX</t>
        </is>
      </c>
      <c r="KX3" s="5" t="inlineStr">
        <is>
          <t>Date</t>
        </is>
      </c>
      <c r="KY3" s="5" t="inlineStr">
        <is>
          <t>PX_BID</t>
        </is>
      </c>
      <c r="KZ3" s="5" t="inlineStr">
        <is>
          <t>PX_ASK</t>
        </is>
      </c>
      <c r="LA3" s="5" t="inlineStr">
        <is>
          <t>PX_MID</t>
        </is>
      </c>
      <c r="LB3" s="5" t="inlineStr">
        <is>
          <t>PX_LAST</t>
        </is>
      </c>
      <c r="LC3" s="5" t="inlineStr">
        <is>
          <t>PX_SETTLE</t>
        </is>
      </c>
      <c r="LD3" s="5" t="inlineStr">
        <is>
          <t>PX_VOLUME</t>
        </is>
      </c>
      <c r="LE3" s="5" t="inlineStr">
        <is>
          <t>OPEN_INT</t>
        </is>
      </c>
      <c r="LF3" s="5" t="inlineStr">
        <is>
          <t>IVOL_MID</t>
        </is>
      </c>
      <c r="LG3" s="5" t="inlineStr">
        <is>
          <t>IVOL_BID</t>
        </is>
      </c>
      <c r="LH3" s="5" t="inlineStr">
        <is>
          <t>IVOL_ASK</t>
        </is>
      </c>
      <c r="LI3" s="5" t="inlineStr">
        <is>
          <t>DELTA_MID</t>
        </is>
      </c>
      <c r="LJ3" s="5" t="inlineStr">
        <is>
          <t>GAMMA_MID</t>
        </is>
      </c>
      <c r="LK3" s="5" t="inlineStr">
        <is>
          <t>VEGA_MID</t>
        </is>
      </c>
      <c r="LL3" s="5" t="inlineStr">
        <is>
          <t>THETA_MID</t>
        </is>
      </c>
      <c r="LM3" s="5" t="inlineStr">
        <is>
          <t>OPT_UNDL_PX</t>
        </is>
      </c>
      <c r="LO3" s="5" t="inlineStr">
        <is>
          <t>Date</t>
        </is>
      </c>
      <c r="LP3" s="5" t="inlineStr">
        <is>
          <t>PX_BID</t>
        </is>
      </c>
      <c r="LQ3" s="5" t="inlineStr">
        <is>
          <t>PX_ASK</t>
        </is>
      </c>
      <c r="LR3" s="5" t="inlineStr">
        <is>
          <t>PX_MID</t>
        </is>
      </c>
      <c r="LS3" s="5" t="inlineStr">
        <is>
          <t>PX_LAST</t>
        </is>
      </c>
      <c r="LT3" s="5" t="inlineStr">
        <is>
          <t>PX_SETTLE</t>
        </is>
      </c>
      <c r="LU3" s="5" t="inlineStr">
        <is>
          <t>PX_VOLUME</t>
        </is>
      </c>
      <c r="LV3" s="5" t="inlineStr">
        <is>
          <t>OPEN_INT</t>
        </is>
      </c>
      <c r="LW3" s="5" t="inlineStr">
        <is>
          <t>IVOL_MID</t>
        </is>
      </c>
      <c r="LX3" s="5" t="inlineStr">
        <is>
          <t>IVOL_BID</t>
        </is>
      </c>
      <c r="LY3" s="5" t="inlineStr">
        <is>
          <t>IVOL_ASK</t>
        </is>
      </c>
      <c r="LZ3" s="5" t="inlineStr">
        <is>
          <t>DELTA_MID</t>
        </is>
      </c>
      <c r="MA3" s="5" t="inlineStr">
        <is>
          <t>GAMMA_MID</t>
        </is>
      </c>
      <c r="MB3" s="5" t="inlineStr">
        <is>
          <t>VEGA_MID</t>
        </is>
      </c>
      <c r="MC3" s="5" t="inlineStr">
        <is>
          <t>THETA_MID</t>
        </is>
      </c>
      <c r="MD3" s="5" t="inlineStr">
        <is>
          <t>OPT_UNDL_PX</t>
        </is>
      </c>
      <c r="MF3" s="5" t="inlineStr">
        <is>
          <t>Date</t>
        </is>
      </c>
      <c r="MG3" s="5" t="inlineStr">
        <is>
          <t>PX_BID</t>
        </is>
      </c>
      <c r="MH3" s="5" t="inlineStr">
        <is>
          <t>PX_ASK</t>
        </is>
      </c>
      <c r="MI3" s="5" t="inlineStr">
        <is>
          <t>PX_MID</t>
        </is>
      </c>
      <c r="MJ3" s="5" t="inlineStr">
        <is>
          <t>PX_LAST</t>
        </is>
      </c>
      <c r="MK3" s="5" t="inlineStr">
        <is>
          <t>PX_SETTLE</t>
        </is>
      </c>
      <c r="ML3" s="5" t="inlineStr">
        <is>
          <t>PX_VOLUME</t>
        </is>
      </c>
      <c r="MM3" s="5" t="inlineStr">
        <is>
          <t>OPEN_INT</t>
        </is>
      </c>
      <c r="MN3" s="5" t="inlineStr">
        <is>
          <t>IVOL_MID</t>
        </is>
      </c>
      <c r="MO3" s="5" t="inlineStr">
        <is>
          <t>IVOL_BID</t>
        </is>
      </c>
      <c r="MP3" s="5" t="inlineStr">
        <is>
          <t>IVOL_ASK</t>
        </is>
      </c>
      <c r="MQ3" s="5" t="inlineStr">
        <is>
          <t>DELTA_MID</t>
        </is>
      </c>
      <c r="MR3" s="5" t="inlineStr">
        <is>
          <t>GAMMA_MID</t>
        </is>
      </c>
      <c r="MS3" s="5" t="inlineStr">
        <is>
          <t>VEGA_MID</t>
        </is>
      </c>
      <c r="MT3" s="5" t="inlineStr">
        <is>
          <t>THETA_MID</t>
        </is>
      </c>
      <c r="MU3" s="5" t="inlineStr">
        <is>
          <t>OPT_UNDL_PX</t>
        </is>
      </c>
      <c r="MW3" s="5" t="inlineStr">
        <is>
          <t>Date</t>
        </is>
      </c>
      <c r="MX3" s="5" t="inlineStr">
        <is>
          <t>PX_BID</t>
        </is>
      </c>
      <c r="MY3" s="5" t="inlineStr">
        <is>
          <t>PX_ASK</t>
        </is>
      </c>
      <c r="MZ3" s="5" t="inlineStr">
        <is>
          <t>PX_MID</t>
        </is>
      </c>
      <c r="NA3" s="5" t="inlineStr">
        <is>
          <t>PX_LAST</t>
        </is>
      </c>
      <c r="NB3" s="5" t="inlineStr">
        <is>
          <t>PX_SETTLE</t>
        </is>
      </c>
      <c r="NC3" s="5" t="inlineStr">
        <is>
          <t>PX_VOLUME</t>
        </is>
      </c>
      <c r="ND3" s="5" t="inlineStr">
        <is>
          <t>OPEN_INT</t>
        </is>
      </c>
      <c r="NE3" s="5" t="inlineStr">
        <is>
          <t>IVOL_MID</t>
        </is>
      </c>
      <c r="NF3" s="5" t="inlineStr">
        <is>
          <t>IVOL_BID</t>
        </is>
      </c>
      <c r="NG3" s="5" t="inlineStr">
        <is>
          <t>IVOL_ASK</t>
        </is>
      </c>
      <c r="NH3" s="5" t="inlineStr">
        <is>
          <t>DELTA_MID</t>
        </is>
      </c>
      <c r="NI3" s="5" t="inlineStr">
        <is>
          <t>GAMMA_MID</t>
        </is>
      </c>
      <c r="NJ3" s="5" t="inlineStr">
        <is>
          <t>VEGA_MID</t>
        </is>
      </c>
      <c r="NK3" s="5" t="inlineStr">
        <is>
          <t>THETA_MID</t>
        </is>
      </c>
      <c r="NL3" s="5" t="inlineStr">
        <is>
          <t>OPT_UNDL_PX</t>
        </is>
      </c>
    </row>
    <row r="4">
      <c r="A4" s="2" t="inlineStr">
        <is>
          <t>Strike reference date</t>
        </is>
      </c>
      <c r="B4" s="8">
        <f>B3-45</f>
        <v/>
      </c>
      <c r="D4" s="4">
        <f>BDH(D$1,E$3:S$3,$B$8,$B$9,"Dir=V","Dts=S","Sort=A","Days=T","Fill=B")</f>
        <v/>
      </c>
      <c r="U4" s="4">
        <f>BDH(U$1,V$3:AJ$3,$B$8,$B$9,"Dir=V","Dts=S","Sort=A","Days=T","Fill=B")</f>
        <v/>
      </c>
      <c r="AL4" s="4">
        <f>BDH(AL$1,AM$3:BA$3,$B$8,$B$9,"Dir=V","Dts=S","Sort=A","Days=T","Fill=B")</f>
        <v/>
      </c>
      <c r="BC4" s="4">
        <f>BDH(BC$1,BD$3:BR$3,$B$8,$B$9,"Dir=V","Dts=S","Sort=A","Days=T","Fill=B")</f>
        <v/>
      </c>
      <c r="BT4" s="4">
        <f>BDH(BT$1,BU$3:CI$3,$B$8,$B$9,"Dir=V","Dts=S","Sort=A","Days=T","Fill=B")</f>
        <v/>
      </c>
      <c r="CK4" s="4">
        <f>BDH(CK$1,CL$3:CZ$3,$B$8,$B$9,"Dir=V","Dts=S","Sort=A","Days=T","Fill=B")</f>
        <v/>
      </c>
      <c r="DB4" s="4">
        <f>BDH(DB$1,DC$3:DQ$3,$B$8,$B$9,"Dir=V","Dts=S","Sort=A","Days=T","Fill=B")</f>
        <v/>
      </c>
      <c r="DS4" s="4">
        <f>BDH(DS$1,DT$3:EH$3,$B$8,$B$9,"Dir=V","Dts=S","Sort=A","Days=T","Fill=B")</f>
        <v/>
      </c>
      <c r="EJ4" s="4">
        <f>BDH(EJ$1,EK$3:EY$3,$B$8,$B$9,"Dir=V","Dts=S","Sort=A","Days=T","Fill=B")</f>
        <v/>
      </c>
      <c r="FA4" s="4">
        <f>BDH(FA$1,FB$3:FP$3,$B$8,$B$9,"Dir=V","Dts=S","Sort=A","Days=T","Fill=B")</f>
        <v/>
      </c>
      <c r="FR4" s="4">
        <f>BDH(FR$1,FS$3:GG$3,$B$8,$B$9,"Dir=V","Dts=S","Sort=A","Days=T","Fill=B")</f>
        <v/>
      </c>
      <c r="GI4" s="4">
        <f>BDH(GI$1,GJ$3:GX$3,$B$8,$B$9,"Dir=V","Dts=S","Sort=A","Days=T","Fill=B")</f>
        <v/>
      </c>
      <c r="GZ4" s="4">
        <f>BDH(GZ$1,HA$3:HO$3,$B$8,$B$9,"Dir=V","Dts=S","Sort=A","Days=T","Fill=B")</f>
        <v/>
      </c>
      <c r="HQ4" s="4">
        <f>BDH(HQ$1,HR$3:IF$3,$B$8,$B$9,"Dir=V","Dts=S","Sort=A","Days=T","Fill=B")</f>
        <v/>
      </c>
      <c r="IH4" s="4">
        <f>BDH(IH$1,II$3:IW$3,$B$8,$B$9,"Dir=V","Dts=S","Sort=A","Days=T","Fill=B")</f>
        <v/>
      </c>
      <c r="IY4" s="4">
        <f>BDH(IY$1,IZ$3:JN$3,$B$8,$B$9,"Dir=V","Dts=S","Sort=A","Days=T","Fill=B")</f>
        <v/>
      </c>
      <c r="JP4" s="4">
        <f>BDH(JP$1,JQ$3:KE$3,$B$8,$B$9,"Dir=V","Dts=S","Sort=A","Days=T","Fill=B")</f>
        <v/>
      </c>
      <c r="KG4" s="4">
        <f>BDH(KG$1,KH$3:KV$3,$B$8,$B$9,"Dir=V","Dts=S","Sort=A","Days=T","Fill=B")</f>
        <v/>
      </c>
      <c r="KX4" s="4">
        <f>BDH(KX$1,KY$3:LM$3,$B$8,$B$9,"Dir=V","Dts=S","Sort=A","Days=T","Fill=B")</f>
        <v/>
      </c>
      <c r="LO4" s="4">
        <f>BDH(LO$1,LP$3:MD$3,$B$8,$B$9,"Dir=V","Dts=S","Sort=A","Days=T","Fill=B")</f>
        <v/>
      </c>
      <c r="MF4" s="4">
        <f>BDH(MF$1,MG$3:MU$3,$B$8,$B$9,"Dir=V","Dts=S","Sort=A","Days=T","Fill=B")</f>
        <v/>
      </c>
      <c r="MW4" s="4">
        <f>BDH(MW$1,MX$3:NL$3,$B$8,$B$9,"Dir=V","Dts=S","Sort=A","Days=T","Fill=B")</f>
        <v/>
      </c>
    </row>
    <row r="5">
      <c r="A5" s="2" t="inlineStr">
        <is>
          <t>Unadjusted close then</t>
        </is>
      </c>
      <c r="B5" s="10">
        <f>IF(B2="","",BDH(B2,"PX_LAST",B4,B4,"Days=A","Fill=P","Dts=H","CshAdjNormal=N","CshAdjAbnormal=N","CapChg=N"))</f>
        <v/>
      </c>
    </row>
    <row r="6">
      <c r="A6" s="2" t="inlineStr">
        <is>
          <t>Strike step</t>
        </is>
      </c>
      <c r="B6" s="11">
        <f>IF(ISNUMBER(B5),IF(B5&lt;25,0.5,IF(B5&lt;250,1,5)),"")</f>
        <v/>
      </c>
    </row>
    <row r="7">
      <c r="A7" s="2" t="inlineStr">
        <is>
          <t>ATM strike</t>
        </is>
      </c>
      <c r="B7" s="11">
        <f>IF(ISNUMBER(B5),ROUND(B5/B6,0)*B6,"")</f>
        <v/>
      </c>
    </row>
    <row r="8">
      <c r="A8" s="2" t="inlineStr">
        <is>
          <t>History start</t>
        </is>
      </c>
      <c r="B8" s="8">
        <f>B3-100</f>
        <v/>
      </c>
    </row>
    <row r="9">
      <c r="A9" s="2" t="inlineStr">
        <is>
          <t>History end</t>
        </is>
      </c>
      <c r="B9" s="8">
        <f>B3</f>
        <v/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NL9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2" customWidth="1" min="2" max="2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1" customWidth="1" min="15" max="15"/>
    <col width="11" customWidth="1" min="16" max="16"/>
    <col width="10" customWidth="1" min="17" max="17"/>
    <col width="11" customWidth="1" min="18" max="18"/>
    <col width="13" customWidth="1" min="19" max="19"/>
    <col width="12" customWidth="1" min="21" max="21"/>
    <col width="10" customWidth="1" min="22" max="22"/>
    <col width="10" customWidth="1" min="23" max="23"/>
    <col width="10" customWidth="1" min="24" max="24"/>
    <col width="10" customWidth="1" min="25" max="25"/>
    <col width="11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1" customWidth="1" min="32" max="32"/>
    <col width="11" customWidth="1" min="33" max="33"/>
    <col width="10" customWidth="1" min="34" max="34"/>
    <col width="11" customWidth="1" min="35" max="35"/>
    <col width="13" customWidth="1" min="36" max="36"/>
    <col width="12" customWidth="1" min="38" max="38"/>
    <col width="10" customWidth="1" min="39" max="39"/>
    <col width="10" customWidth="1" min="40" max="40"/>
    <col width="10" customWidth="1" min="41" max="41"/>
    <col width="10" customWidth="1" min="42" max="42"/>
    <col width="11" customWidth="1" min="43" max="43"/>
    <col width="11" customWidth="1" min="44" max="44"/>
    <col width="10" customWidth="1" min="45" max="45"/>
    <col width="10" customWidth="1" min="46" max="46"/>
    <col width="10" customWidth="1" min="47" max="47"/>
    <col width="10" customWidth="1" min="48" max="48"/>
    <col width="11" customWidth="1" min="49" max="49"/>
    <col width="11" customWidth="1" min="50" max="50"/>
    <col width="10" customWidth="1" min="51" max="51"/>
    <col width="11" customWidth="1" min="52" max="52"/>
    <col width="13" customWidth="1" min="53" max="53"/>
    <col width="12" customWidth="1" min="55" max="55"/>
    <col width="10" customWidth="1" min="56" max="56"/>
    <col width="10" customWidth="1" min="57" max="57"/>
    <col width="10" customWidth="1" min="58" max="58"/>
    <col width="10" customWidth="1" min="59" max="59"/>
    <col width="11" customWidth="1" min="60" max="60"/>
    <col width="11" customWidth="1" min="61" max="61"/>
    <col width="10" customWidth="1" min="62" max="62"/>
    <col width="10" customWidth="1" min="63" max="63"/>
    <col width="10" customWidth="1" min="64" max="64"/>
    <col width="10" customWidth="1" min="65" max="65"/>
    <col width="11" customWidth="1" min="66" max="66"/>
    <col width="11" customWidth="1" min="67" max="67"/>
    <col width="10" customWidth="1" min="68" max="68"/>
    <col width="11" customWidth="1" min="69" max="69"/>
    <col width="13" customWidth="1" min="70" max="70"/>
    <col width="12" customWidth="1" min="72" max="72"/>
    <col width="10" customWidth="1" min="73" max="73"/>
    <col width="10" customWidth="1" min="74" max="74"/>
    <col width="10" customWidth="1" min="75" max="75"/>
    <col width="10" customWidth="1" min="76" max="76"/>
    <col width="11" customWidth="1" min="77" max="77"/>
    <col width="11" customWidth="1" min="78" max="78"/>
    <col width="10" customWidth="1" min="79" max="79"/>
    <col width="10" customWidth="1" min="80" max="80"/>
    <col width="10" customWidth="1" min="81" max="81"/>
    <col width="10" customWidth="1" min="82" max="82"/>
    <col width="11" customWidth="1" min="83" max="83"/>
    <col width="11" customWidth="1" min="84" max="84"/>
    <col width="10" customWidth="1" min="85" max="85"/>
    <col width="11" customWidth="1" min="86" max="86"/>
    <col width="13" customWidth="1" min="87" max="87"/>
    <col width="12" customWidth="1" min="89" max="89"/>
    <col width="10" customWidth="1" min="90" max="90"/>
    <col width="10" customWidth="1" min="91" max="91"/>
    <col width="10" customWidth="1" min="92" max="92"/>
    <col width="10" customWidth="1" min="93" max="93"/>
    <col width="11" customWidth="1" min="94" max="94"/>
    <col width="11" customWidth="1" min="95" max="95"/>
    <col width="10" customWidth="1" min="96" max="96"/>
    <col width="10" customWidth="1" min="97" max="97"/>
    <col width="10" customWidth="1" min="98" max="98"/>
    <col width="10" customWidth="1" min="99" max="99"/>
    <col width="11" customWidth="1" min="100" max="100"/>
    <col width="11" customWidth="1" min="101" max="101"/>
    <col width="10" customWidth="1" min="102" max="102"/>
    <col width="11" customWidth="1" min="103" max="103"/>
    <col width="13" customWidth="1" min="104" max="104"/>
    <col width="12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1" customWidth="1" min="111" max="111"/>
    <col width="11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1" customWidth="1" min="117" max="117"/>
    <col width="11" customWidth="1" min="118" max="118"/>
    <col width="10" customWidth="1" min="119" max="119"/>
    <col width="11" customWidth="1" min="120" max="120"/>
    <col width="13" customWidth="1" min="121" max="121"/>
    <col width="12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1" customWidth="1" min="128" max="128"/>
    <col width="11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1" customWidth="1" min="134" max="134"/>
    <col width="11" customWidth="1" min="135" max="135"/>
    <col width="10" customWidth="1" min="136" max="136"/>
    <col width="11" customWidth="1" min="137" max="137"/>
    <col width="13" customWidth="1" min="138" max="138"/>
    <col width="12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1" customWidth="1" min="145" max="145"/>
    <col width="11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1" customWidth="1" min="151" max="151"/>
    <col width="11" customWidth="1" min="152" max="152"/>
    <col width="10" customWidth="1" min="153" max="153"/>
    <col width="11" customWidth="1" min="154" max="154"/>
    <col width="13" customWidth="1" min="155" max="155"/>
    <col width="12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1" customWidth="1" min="162" max="162"/>
    <col width="11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1" customWidth="1" min="168" max="168"/>
    <col width="11" customWidth="1" min="169" max="169"/>
    <col width="10" customWidth="1" min="170" max="170"/>
    <col width="11" customWidth="1" min="171" max="171"/>
    <col width="13" customWidth="1" min="172" max="172"/>
    <col width="12" customWidth="1" min="174" max="174"/>
    <col width="10" customWidth="1" min="175" max="175"/>
    <col width="10" customWidth="1" min="176" max="176"/>
    <col width="10" customWidth="1" min="177" max="177"/>
    <col width="10" customWidth="1" min="178" max="178"/>
    <col width="11" customWidth="1" min="179" max="179"/>
    <col width="11" customWidth="1" min="180" max="180"/>
    <col width="10" customWidth="1" min="181" max="181"/>
    <col width="10" customWidth="1" min="182" max="182"/>
    <col width="10" customWidth="1" min="183" max="183"/>
    <col width="10" customWidth="1" min="184" max="184"/>
    <col width="11" customWidth="1" min="185" max="185"/>
    <col width="11" customWidth="1" min="186" max="186"/>
    <col width="10" customWidth="1" min="187" max="187"/>
    <col width="11" customWidth="1" min="188" max="188"/>
    <col width="13" customWidth="1" min="189" max="189"/>
    <col width="12" customWidth="1" min="191" max="191"/>
    <col width="10" customWidth="1" min="192" max="192"/>
    <col width="10" customWidth="1" min="193" max="193"/>
    <col width="10" customWidth="1" min="194" max="194"/>
    <col width="10" customWidth="1" min="195" max="195"/>
    <col width="11" customWidth="1" min="196" max="196"/>
    <col width="11" customWidth="1" min="197" max="197"/>
    <col width="10" customWidth="1" min="198" max="198"/>
    <col width="10" customWidth="1" min="199" max="199"/>
    <col width="10" customWidth="1" min="200" max="200"/>
    <col width="10" customWidth="1" min="201" max="201"/>
    <col width="11" customWidth="1" min="202" max="202"/>
    <col width="11" customWidth="1" min="203" max="203"/>
    <col width="10" customWidth="1" min="204" max="204"/>
    <col width="11" customWidth="1" min="205" max="205"/>
    <col width="13" customWidth="1" min="206" max="206"/>
    <col width="12" customWidth="1" min="208" max="208"/>
    <col width="10" customWidth="1" min="209" max="209"/>
    <col width="10" customWidth="1" min="210" max="210"/>
    <col width="10" customWidth="1" min="211" max="211"/>
    <col width="10" customWidth="1" min="212" max="212"/>
    <col width="11" customWidth="1" min="213" max="213"/>
    <col width="11" customWidth="1" min="214" max="214"/>
    <col width="10" customWidth="1" min="215" max="215"/>
    <col width="10" customWidth="1" min="216" max="216"/>
    <col width="10" customWidth="1" min="217" max="217"/>
    <col width="10" customWidth="1" min="218" max="218"/>
    <col width="11" customWidth="1" min="219" max="219"/>
    <col width="11" customWidth="1" min="220" max="220"/>
    <col width="10" customWidth="1" min="221" max="221"/>
    <col width="11" customWidth="1" min="222" max="222"/>
    <col width="13" customWidth="1" min="223" max="223"/>
    <col width="12" customWidth="1" min="225" max="225"/>
    <col width="10" customWidth="1" min="226" max="226"/>
    <col width="10" customWidth="1" min="227" max="227"/>
    <col width="10" customWidth="1" min="228" max="228"/>
    <col width="10" customWidth="1" min="229" max="229"/>
    <col width="11" customWidth="1" min="230" max="230"/>
    <col width="11" customWidth="1" min="231" max="231"/>
    <col width="10" customWidth="1" min="232" max="232"/>
    <col width="10" customWidth="1" min="233" max="233"/>
    <col width="10" customWidth="1" min="234" max="234"/>
    <col width="10" customWidth="1" min="235" max="235"/>
    <col width="11" customWidth="1" min="236" max="236"/>
    <col width="11" customWidth="1" min="237" max="237"/>
    <col width="10" customWidth="1" min="238" max="238"/>
    <col width="11" customWidth="1" min="239" max="239"/>
    <col width="13" customWidth="1" min="240" max="240"/>
    <col width="12" customWidth="1" min="242" max="242"/>
    <col width="10" customWidth="1" min="243" max="243"/>
    <col width="10" customWidth="1" min="244" max="244"/>
    <col width="10" customWidth="1" min="245" max="245"/>
    <col width="10" customWidth="1" min="246" max="246"/>
    <col width="11" customWidth="1" min="247" max="247"/>
    <col width="11" customWidth="1" min="248" max="248"/>
    <col width="10" customWidth="1" min="249" max="249"/>
    <col width="10" customWidth="1" min="250" max="250"/>
    <col width="10" customWidth="1" min="251" max="251"/>
    <col width="10" customWidth="1" min="252" max="252"/>
    <col width="11" customWidth="1" min="253" max="253"/>
    <col width="11" customWidth="1" min="254" max="254"/>
    <col width="10" customWidth="1" min="255" max="255"/>
    <col width="11" customWidth="1" min="256" max="256"/>
    <col width="13" customWidth="1" min="257" max="257"/>
    <col width="12" customWidth="1" min="259" max="259"/>
    <col width="10" customWidth="1" min="260" max="260"/>
    <col width="10" customWidth="1" min="261" max="261"/>
    <col width="10" customWidth="1" min="262" max="262"/>
    <col width="10" customWidth="1" min="263" max="263"/>
    <col width="11" customWidth="1" min="264" max="264"/>
    <col width="11" customWidth="1" min="265" max="265"/>
    <col width="10" customWidth="1" min="266" max="266"/>
    <col width="10" customWidth="1" min="267" max="267"/>
    <col width="10" customWidth="1" min="268" max="268"/>
    <col width="10" customWidth="1" min="269" max="269"/>
    <col width="11" customWidth="1" min="270" max="270"/>
    <col width="11" customWidth="1" min="271" max="271"/>
    <col width="10" customWidth="1" min="272" max="272"/>
    <col width="11" customWidth="1" min="273" max="273"/>
    <col width="13" customWidth="1" min="274" max="274"/>
    <col width="12" customWidth="1" min="276" max="276"/>
    <col width="10" customWidth="1" min="277" max="277"/>
    <col width="10" customWidth="1" min="278" max="278"/>
    <col width="10" customWidth="1" min="279" max="279"/>
    <col width="10" customWidth="1" min="280" max="280"/>
    <col width="11" customWidth="1" min="281" max="281"/>
    <col width="11" customWidth="1" min="282" max="282"/>
    <col width="10" customWidth="1" min="283" max="283"/>
    <col width="10" customWidth="1" min="284" max="284"/>
    <col width="10" customWidth="1" min="285" max="285"/>
    <col width="10" customWidth="1" min="286" max="286"/>
    <col width="11" customWidth="1" min="287" max="287"/>
    <col width="11" customWidth="1" min="288" max="288"/>
    <col width="10" customWidth="1" min="289" max="289"/>
    <col width="11" customWidth="1" min="290" max="290"/>
    <col width="13" customWidth="1" min="291" max="291"/>
    <col width="12" customWidth="1" min="293" max="293"/>
    <col width="10" customWidth="1" min="294" max="294"/>
    <col width="10" customWidth="1" min="295" max="295"/>
    <col width="10" customWidth="1" min="296" max="296"/>
    <col width="10" customWidth="1" min="297" max="297"/>
    <col width="11" customWidth="1" min="298" max="298"/>
    <col width="11" customWidth="1" min="299" max="299"/>
    <col width="10" customWidth="1" min="300" max="300"/>
    <col width="10" customWidth="1" min="301" max="301"/>
    <col width="10" customWidth="1" min="302" max="302"/>
    <col width="10" customWidth="1" min="303" max="303"/>
    <col width="11" customWidth="1" min="304" max="304"/>
    <col width="11" customWidth="1" min="305" max="305"/>
    <col width="10" customWidth="1" min="306" max="306"/>
    <col width="11" customWidth="1" min="307" max="307"/>
    <col width="13" customWidth="1" min="308" max="308"/>
    <col width="12" customWidth="1" min="310" max="310"/>
    <col width="10" customWidth="1" min="311" max="311"/>
    <col width="10" customWidth="1" min="312" max="312"/>
    <col width="10" customWidth="1" min="313" max="313"/>
    <col width="10" customWidth="1" min="314" max="314"/>
    <col width="11" customWidth="1" min="315" max="315"/>
    <col width="11" customWidth="1" min="316" max="316"/>
    <col width="10" customWidth="1" min="317" max="317"/>
    <col width="10" customWidth="1" min="318" max="318"/>
    <col width="10" customWidth="1" min="319" max="319"/>
    <col width="10" customWidth="1" min="320" max="320"/>
    <col width="11" customWidth="1" min="321" max="321"/>
    <col width="11" customWidth="1" min="322" max="322"/>
    <col width="10" customWidth="1" min="323" max="323"/>
    <col width="11" customWidth="1" min="324" max="324"/>
    <col width="13" customWidth="1" min="325" max="325"/>
    <col width="12" customWidth="1" min="327" max="327"/>
    <col width="10" customWidth="1" min="328" max="328"/>
    <col width="10" customWidth="1" min="329" max="329"/>
    <col width="10" customWidth="1" min="330" max="330"/>
    <col width="10" customWidth="1" min="331" max="331"/>
    <col width="11" customWidth="1" min="332" max="332"/>
    <col width="11" customWidth="1" min="333" max="333"/>
    <col width="10" customWidth="1" min="334" max="334"/>
    <col width="10" customWidth="1" min="335" max="335"/>
    <col width="10" customWidth="1" min="336" max="336"/>
    <col width="10" customWidth="1" min="337" max="337"/>
    <col width="11" customWidth="1" min="338" max="338"/>
    <col width="11" customWidth="1" min="339" max="339"/>
    <col width="10" customWidth="1" min="340" max="340"/>
    <col width="11" customWidth="1" min="341" max="341"/>
    <col width="13" customWidth="1" min="342" max="342"/>
    <col width="12" customWidth="1" min="344" max="344"/>
    <col width="10" customWidth="1" min="345" max="345"/>
    <col width="10" customWidth="1" min="346" max="346"/>
    <col width="10" customWidth="1" min="347" max="347"/>
    <col width="10" customWidth="1" min="348" max="348"/>
    <col width="11" customWidth="1" min="349" max="349"/>
    <col width="11" customWidth="1" min="350" max="350"/>
    <col width="10" customWidth="1" min="351" max="351"/>
    <col width="10" customWidth="1" min="352" max="352"/>
    <col width="10" customWidth="1" min="353" max="353"/>
    <col width="10" customWidth="1" min="354" max="354"/>
    <col width="11" customWidth="1" min="355" max="355"/>
    <col width="11" customWidth="1" min="356" max="356"/>
    <col width="10" customWidth="1" min="357" max="357"/>
    <col width="11" customWidth="1" min="358" max="358"/>
    <col width="13" customWidth="1" min="359" max="359"/>
    <col width="12" customWidth="1" min="361" max="361"/>
    <col width="10" customWidth="1" min="362" max="362"/>
    <col width="10" customWidth="1" min="363" max="363"/>
    <col width="10" customWidth="1" min="364" max="364"/>
    <col width="10" customWidth="1" min="365" max="365"/>
    <col width="11" customWidth="1" min="366" max="366"/>
    <col width="11" customWidth="1" min="367" max="367"/>
    <col width="10" customWidth="1" min="368" max="368"/>
    <col width="10" customWidth="1" min="369" max="369"/>
    <col width="10" customWidth="1" min="370" max="370"/>
    <col width="10" customWidth="1" min="371" max="371"/>
    <col width="11" customWidth="1" min="372" max="372"/>
    <col width="11" customWidth="1" min="373" max="373"/>
    <col width="10" customWidth="1" min="374" max="374"/>
    <col width="11" customWidth="1" min="375" max="375"/>
    <col width="13" customWidth="1" min="376" max="376"/>
  </cols>
  <sheetData>
    <row r="1">
      <c r="A1" s="2" t="inlineStr">
        <is>
          <t>Month</t>
        </is>
      </c>
      <c r="B1" s="9" t="n">
        <v>9</v>
      </c>
      <c r="D1" s="2">
        <f>IF(ISNUMBER(B$7),"DAL US "&amp;TEXT(B$3,"mm/dd/yy")&amp;" C"&amp;(B$7-5*B$6)&amp;" Equity","")</f>
        <v/>
      </c>
      <c r="U1" s="2">
        <f>IF(ISNUMBER(B$7),"DAL US "&amp;TEXT(B$3,"mm/dd/yy")&amp;" P"&amp;(B$7-5*B$6)&amp;" Equity","")</f>
        <v/>
      </c>
      <c r="AL1" s="2">
        <f>IF(ISNUMBER(B$7),"DAL US "&amp;TEXT(B$3,"mm/dd/yy")&amp;" C"&amp;(B$7-4*B$6)&amp;" Equity","")</f>
        <v/>
      </c>
      <c r="BC1" s="2">
        <f>IF(ISNUMBER(B$7),"DAL US "&amp;TEXT(B$3,"mm/dd/yy")&amp;" P"&amp;(B$7-4*B$6)&amp;" Equity","")</f>
        <v/>
      </c>
      <c r="BT1" s="2">
        <f>IF(ISNUMBER(B$7),"DAL US "&amp;TEXT(B$3,"mm/dd/yy")&amp;" C"&amp;(B$7-3*B$6)&amp;" Equity","")</f>
        <v/>
      </c>
      <c r="CK1" s="2">
        <f>IF(ISNUMBER(B$7),"DAL US "&amp;TEXT(B$3,"mm/dd/yy")&amp;" P"&amp;(B$7-3*B$6)&amp;" Equity","")</f>
        <v/>
      </c>
      <c r="DB1" s="2">
        <f>IF(ISNUMBER(B$7),"DAL US "&amp;TEXT(B$3,"mm/dd/yy")&amp;" C"&amp;(B$7-2*B$6)&amp;" Equity","")</f>
        <v/>
      </c>
      <c r="DS1" s="2">
        <f>IF(ISNUMBER(B$7),"DAL US "&amp;TEXT(B$3,"mm/dd/yy")&amp;" P"&amp;(B$7-2*B$6)&amp;" Equity","")</f>
        <v/>
      </c>
      <c r="EJ1" s="2">
        <f>IF(ISNUMBER(B$7),"DAL US "&amp;TEXT(B$3,"mm/dd/yy")&amp;" C"&amp;(B$7-1*B$6)&amp;" Equity","")</f>
        <v/>
      </c>
      <c r="FA1" s="2">
        <f>IF(ISNUMBER(B$7),"DAL US "&amp;TEXT(B$3,"mm/dd/yy")&amp;" P"&amp;(B$7-1*B$6)&amp;" Equity","")</f>
        <v/>
      </c>
      <c r="FR1" s="2">
        <f>IF(ISNUMBER(B$7),"DAL US "&amp;TEXT(B$3,"mm/dd/yy")&amp;" C"&amp;B$7&amp;" Equity","")</f>
        <v/>
      </c>
      <c r="GI1" s="2">
        <f>IF(ISNUMBER(B$7),"DAL US "&amp;TEXT(B$3,"mm/dd/yy")&amp;" P"&amp;B$7&amp;" Equity","")</f>
        <v/>
      </c>
      <c r="GZ1" s="2">
        <f>IF(ISNUMBER(B$7),"DAL US "&amp;TEXT(B$3,"mm/dd/yy")&amp;" C"&amp;(B$7+1*B$6)&amp;" Equity","")</f>
        <v/>
      </c>
      <c r="HQ1" s="2">
        <f>IF(ISNUMBER(B$7),"DAL US "&amp;TEXT(B$3,"mm/dd/yy")&amp;" P"&amp;(B$7+1*B$6)&amp;" Equity","")</f>
        <v/>
      </c>
      <c r="IH1" s="2">
        <f>IF(ISNUMBER(B$7),"DAL US "&amp;TEXT(B$3,"mm/dd/yy")&amp;" C"&amp;(B$7+2*B$6)&amp;" Equity","")</f>
        <v/>
      </c>
      <c r="IY1" s="2">
        <f>IF(ISNUMBER(B$7),"DAL US "&amp;TEXT(B$3,"mm/dd/yy")&amp;" P"&amp;(B$7+2*B$6)&amp;" Equity","")</f>
        <v/>
      </c>
      <c r="JP1" s="2">
        <f>IF(ISNUMBER(B$7),"DAL US "&amp;TEXT(B$3,"mm/dd/yy")&amp;" C"&amp;(B$7+3*B$6)&amp;" Equity","")</f>
        <v/>
      </c>
      <c r="KG1" s="2">
        <f>IF(ISNUMBER(B$7),"DAL US "&amp;TEXT(B$3,"mm/dd/yy")&amp;" P"&amp;(B$7+3*B$6)&amp;" Equity","")</f>
        <v/>
      </c>
      <c r="KX1" s="2">
        <f>IF(ISNUMBER(B$7),"DAL US "&amp;TEXT(B$3,"mm/dd/yy")&amp;" C"&amp;(B$7+4*B$6)&amp;" Equity","")</f>
        <v/>
      </c>
      <c r="LO1" s="2">
        <f>IF(ISNUMBER(B$7),"DAL US "&amp;TEXT(B$3,"mm/dd/yy")&amp;" P"&amp;(B$7+4*B$6)&amp;" Equity","")</f>
        <v/>
      </c>
      <c r="MF1" s="2">
        <f>IF(ISNUMBER(B$7),"DAL US "&amp;TEXT(B$3,"mm/dd/yy")&amp;" C"&amp;(B$7+5*B$6)&amp;" Equity","")</f>
        <v/>
      </c>
      <c r="MW1" s="2">
        <f>IF(ISNUMBER(B$7),"DAL US "&amp;TEXT(B$3,"mm/dd/yy")&amp;" P"&amp;(B$7+5*B$6)&amp;" Equity","")</f>
        <v/>
      </c>
    </row>
    <row r="2">
      <c r="A2" s="2" t="inlineStr">
        <is>
          <t>Underlying</t>
        </is>
      </c>
      <c r="B2" s="4">
        <f>IF(Settings!$B$19="Y","DAL US Equity","")</f>
        <v/>
      </c>
      <c r="D2" s="4" t="inlineStr">
        <is>
          <t>call -5 from ATM</t>
        </is>
      </c>
      <c r="U2" s="4" t="inlineStr">
        <is>
          <t>put -5 from ATM</t>
        </is>
      </c>
      <c r="AL2" s="4" t="inlineStr">
        <is>
          <t>call -4 from ATM</t>
        </is>
      </c>
      <c r="BC2" s="4" t="inlineStr">
        <is>
          <t>put -4 from ATM</t>
        </is>
      </c>
      <c r="BT2" s="4" t="inlineStr">
        <is>
          <t>call -3 from ATM</t>
        </is>
      </c>
      <c r="CK2" s="4" t="inlineStr">
        <is>
          <t>put -3 from ATM</t>
        </is>
      </c>
      <c r="DB2" s="4" t="inlineStr">
        <is>
          <t>call -2 from ATM</t>
        </is>
      </c>
      <c r="DS2" s="4" t="inlineStr">
        <is>
          <t>put -2 from ATM</t>
        </is>
      </c>
      <c r="EJ2" s="4" t="inlineStr">
        <is>
          <t>call -1 from ATM</t>
        </is>
      </c>
      <c r="FA2" s="4" t="inlineStr">
        <is>
          <t>put -1 from ATM</t>
        </is>
      </c>
      <c r="FR2" s="4" t="inlineStr">
        <is>
          <t>call +0 from ATM</t>
        </is>
      </c>
      <c r="GI2" s="4" t="inlineStr">
        <is>
          <t>put +0 from ATM</t>
        </is>
      </c>
      <c r="GZ2" s="4" t="inlineStr">
        <is>
          <t>call +1 from ATM</t>
        </is>
      </c>
      <c r="HQ2" s="4" t="inlineStr">
        <is>
          <t>put +1 from ATM</t>
        </is>
      </c>
      <c r="IH2" s="4" t="inlineStr">
        <is>
          <t>call +2 from ATM</t>
        </is>
      </c>
      <c r="IY2" s="4" t="inlineStr">
        <is>
          <t>put +2 from ATM</t>
        </is>
      </c>
      <c r="JP2" s="4" t="inlineStr">
        <is>
          <t>call +3 from ATM</t>
        </is>
      </c>
      <c r="KG2" s="4" t="inlineStr">
        <is>
          <t>put +3 from ATM</t>
        </is>
      </c>
      <c r="KX2" s="4" t="inlineStr">
        <is>
          <t>call +4 from ATM</t>
        </is>
      </c>
      <c r="LO2" s="4" t="inlineStr">
        <is>
          <t>put +4 from ATM</t>
        </is>
      </c>
      <c r="MF2" s="4" t="inlineStr">
        <is>
          <t>call +5 from ATM</t>
        </is>
      </c>
      <c r="MW2" s="4" t="inlineStr">
        <is>
          <t>put +5 from ATM</t>
        </is>
      </c>
    </row>
    <row r="3">
      <c r="A3" s="2" t="inlineStr">
        <is>
          <t>Expiry (3rd Friday)</t>
        </is>
      </c>
      <c r="B3" s="3">
        <f>DATE(Settings!$E$19,B1,15)+MOD(6-WEEKDAY(DATE(Settings!$E$19,B1,15)),7)</f>
        <v/>
      </c>
      <c r="D3" s="5" t="inlineStr">
        <is>
          <t>Date</t>
        </is>
      </c>
      <c r="E3" s="5" t="inlineStr">
        <is>
          <t>PX_BID</t>
        </is>
      </c>
      <c r="F3" s="5" t="inlineStr">
        <is>
          <t>PX_ASK</t>
        </is>
      </c>
      <c r="G3" s="5" t="inlineStr">
        <is>
          <t>PX_MID</t>
        </is>
      </c>
      <c r="H3" s="5" t="inlineStr">
        <is>
          <t>PX_LAST</t>
        </is>
      </c>
      <c r="I3" s="5" t="inlineStr">
        <is>
          <t>PX_SETTLE</t>
        </is>
      </c>
      <c r="J3" s="5" t="inlineStr">
        <is>
          <t>PX_VOLUME</t>
        </is>
      </c>
      <c r="K3" s="5" t="inlineStr">
        <is>
          <t>OPEN_INT</t>
        </is>
      </c>
      <c r="L3" s="5" t="inlineStr">
        <is>
          <t>IVOL_MID</t>
        </is>
      </c>
      <c r="M3" s="5" t="inlineStr">
        <is>
          <t>IVOL_BID</t>
        </is>
      </c>
      <c r="N3" s="5" t="inlineStr">
        <is>
          <t>IVOL_ASK</t>
        </is>
      </c>
      <c r="O3" s="5" t="inlineStr">
        <is>
          <t>DELTA_MID</t>
        </is>
      </c>
      <c r="P3" s="5" t="inlineStr">
        <is>
          <t>GAMMA_MID</t>
        </is>
      </c>
      <c r="Q3" s="5" t="inlineStr">
        <is>
          <t>VEGA_MID</t>
        </is>
      </c>
      <c r="R3" s="5" t="inlineStr">
        <is>
          <t>THETA_MID</t>
        </is>
      </c>
      <c r="S3" s="5" t="inlineStr">
        <is>
          <t>OPT_UNDL_PX</t>
        </is>
      </c>
      <c r="U3" s="5" t="inlineStr">
        <is>
          <t>Date</t>
        </is>
      </c>
      <c r="V3" s="5" t="inlineStr">
        <is>
          <t>PX_BID</t>
        </is>
      </c>
      <c r="W3" s="5" t="inlineStr">
        <is>
          <t>PX_ASK</t>
        </is>
      </c>
      <c r="X3" s="5" t="inlineStr">
        <is>
          <t>PX_MID</t>
        </is>
      </c>
      <c r="Y3" s="5" t="inlineStr">
        <is>
          <t>PX_LAST</t>
        </is>
      </c>
      <c r="Z3" s="5" t="inlineStr">
        <is>
          <t>PX_SETTLE</t>
        </is>
      </c>
      <c r="AA3" s="5" t="inlineStr">
        <is>
          <t>PX_VOLUME</t>
        </is>
      </c>
      <c r="AB3" s="5" t="inlineStr">
        <is>
          <t>OPEN_INT</t>
        </is>
      </c>
      <c r="AC3" s="5" t="inlineStr">
        <is>
          <t>IVOL_MID</t>
        </is>
      </c>
      <c r="AD3" s="5" t="inlineStr">
        <is>
          <t>IVOL_BID</t>
        </is>
      </c>
      <c r="AE3" s="5" t="inlineStr">
        <is>
          <t>IVOL_ASK</t>
        </is>
      </c>
      <c r="AF3" s="5" t="inlineStr">
        <is>
          <t>DELTA_MID</t>
        </is>
      </c>
      <c r="AG3" s="5" t="inlineStr">
        <is>
          <t>GAMMA_MID</t>
        </is>
      </c>
      <c r="AH3" s="5" t="inlineStr">
        <is>
          <t>VEGA_MID</t>
        </is>
      </c>
      <c r="AI3" s="5" t="inlineStr">
        <is>
          <t>THETA_MID</t>
        </is>
      </c>
      <c r="AJ3" s="5" t="inlineStr">
        <is>
          <t>OPT_UNDL_PX</t>
        </is>
      </c>
      <c r="AL3" s="5" t="inlineStr">
        <is>
          <t>Date</t>
        </is>
      </c>
      <c r="AM3" s="5" t="inlineStr">
        <is>
          <t>PX_BID</t>
        </is>
      </c>
      <c r="AN3" s="5" t="inlineStr">
        <is>
          <t>PX_ASK</t>
        </is>
      </c>
      <c r="AO3" s="5" t="inlineStr">
        <is>
          <t>PX_MID</t>
        </is>
      </c>
      <c r="AP3" s="5" t="inlineStr">
        <is>
          <t>PX_LAST</t>
        </is>
      </c>
      <c r="AQ3" s="5" t="inlineStr">
        <is>
          <t>PX_SETTLE</t>
        </is>
      </c>
      <c r="AR3" s="5" t="inlineStr">
        <is>
          <t>PX_VOLUME</t>
        </is>
      </c>
      <c r="AS3" s="5" t="inlineStr">
        <is>
          <t>OPEN_INT</t>
        </is>
      </c>
      <c r="AT3" s="5" t="inlineStr">
        <is>
          <t>IVOL_MID</t>
        </is>
      </c>
      <c r="AU3" s="5" t="inlineStr">
        <is>
          <t>IVOL_BID</t>
        </is>
      </c>
      <c r="AV3" s="5" t="inlineStr">
        <is>
          <t>IVOL_ASK</t>
        </is>
      </c>
      <c r="AW3" s="5" t="inlineStr">
        <is>
          <t>DELTA_MID</t>
        </is>
      </c>
      <c r="AX3" s="5" t="inlineStr">
        <is>
          <t>GAMMA_MID</t>
        </is>
      </c>
      <c r="AY3" s="5" t="inlineStr">
        <is>
          <t>VEGA_MID</t>
        </is>
      </c>
      <c r="AZ3" s="5" t="inlineStr">
        <is>
          <t>THETA_MID</t>
        </is>
      </c>
      <c r="BA3" s="5" t="inlineStr">
        <is>
          <t>OPT_UNDL_PX</t>
        </is>
      </c>
      <c r="BC3" s="5" t="inlineStr">
        <is>
          <t>Date</t>
        </is>
      </c>
      <c r="BD3" s="5" t="inlineStr">
        <is>
          <t>PX_BID</t>
        </is>
      </c>
      <c r="BE3" s="5" t="inlineStr">
        <is>
          <t>PX_ASK</t>
        </is>
      </c>
      <c r="BF3" s="5" t="inlineStr">
        <is>
          <t>PX_MID</t>
        </is>
      </c>
      <c r="BG3" s="5" t="inlineStr">
        <is>
          <t>PX_LAST</t>
        </is>
      </c>
      <c r="BH3" s="5" t="inlineStr">
        <is>
          <t>PX_SETTLE</t>
        </is>
      </c>
      <c r="BI3" s="5" t="inlineStr">
        <is>
          <t>PX_VOLUME</t>
        </is>
      </c>
      <c r="BJ3" s="5" t="inlineStr">
        <is>
          <t>OPEN_INT</t>
        </is>
      </c>
      <c r="BK3" s="5" t="inlineStr">
        <is>
          <t>IVOL_MID</t>
        </is>
      </c>
      <c r="BL3" s="5" t="inlineStr">
        <is>
          <t>IVOL_BID</t>
        </is>
      </c>
      <c r="BM3" s="5" t="inlineStr">
        <is>
          <t>IVOL_ASK</t>
        </is>
      </c>
      <c r="BN3" s="5" t="inlineStr">
        <is>
          <t>DELTA_MID</t>
        </is>
      </c>
      <c r="BO3" s="5" t="inlineStr">
        <is>
          <t>GAMMA_MID</t>
        </is>
      </c>
      <c r="BP3" s="5" t="inlineStr">
        <is>
          <t>VEGA_MID</t>
        </is>
      </c>
      <c r="BQ3" s="5" t="inlineStr">
        <is>
          <t>THETA_MID</t>
        </is>
      </c>
      <c r="BR3" s="5" t="inlineStr">
        <is>
          <t>OPT_UNDL_PX</t>
        </is>
      </c>
      <c r="BT3" s="5" t="inlineStr">
        <is>
          <t>Date</t>
        </is>
      </c>
      <c r="BU3" s="5" t="inlineStr">
        <is>
          <t>PX_BID</t>
        </is>
      </c>
      <c r="BV3" s="5" t="inlineStr">
        <is>
          <t>PX_ASK</t>
        </is>
      </c>
      <c r="BW3" s="5" t="inlineStr">
        <is>
          <t>PX_MID</t>
        </is>
      </c>
      <c r="BX3" s="5" t="inlineStr">
        <is>
          <t>PX_LAST</t>
        </is>
      </c>
      <c r="BY3" s="5" t="inlineStr">
        <is>
          <t>PX_SETTLE</t>
        </is>
      </c>
      <c r="BZ3" s="5" t="inlineStr">
        <is>
          <t>PX_VOLUME</t>
        </is>
      </c>
      <c r="CA3" s="5" t="inlineStr">
        <is>
          <t>OPEN_INT</t>
        </is>
      </c>
      <c r="CB3" s="5" t="inlineStr">
        <is>
          <t>IVOL_MID</t>
        </is>
      </c>
      <c r="CC3" s="5" t="inlineStr">
        <is>
          <t>IVOL_BID</t>
        </is>
      </c>
      <c r="CD3" s="5" t="inlineStr">
        <is>
          <t>IVOL_ASK</t>
        </is>
      </c>
      <c r="CE3" s="5" t="inlineStr">
        <is>
          <t>DELTA_MID</t>
        </is>
      </c>
      <c r="CF3" s="5" t="inlineStr">
        <is>
          <t>GAMMA_MID</t>
        </is>
      </c>
      <c r="CG3" s="5" t="inlineStr">
        <is>
          <t>VEGA_MID</t>
        </is>
      </c>
      <c r="CH3" s="5" t="inlineStr">
        <is>
          <t>THETA_MID</t>
        </is>
      </c>
      <c r="CI3" s="5" t="inlineStr">
        <is>
          <t>OPT_UNDL_PX</t>
        </is>
      </c>
      <c r="CK3" s="5" t="inlineStr">
        <is>
          <t>Date</t>
        </is>
      </c>
      <c r="CL3" s="5" t="inlineStr">
        <is>
          <t>PX_BID</t>
        </is>
      </c>
      <c r="CM3" s="5" t="inlineStr">
        <is>
          <t>PX_ASK</t>
        </is>
      </c>
      <c r="CN3" s="5" t="inlineStr">
        <is>
          <t>PX_MID</t>
        </is>
      </c>
      <c r="CO3" s="5" t="inlineStr">
        <is>
          <t>PX_LAST</t>
        </is>
      </c>
      <c r="CP3" s="5" t="inlineStr">
        <is>
          <t>PX_SETTLE</t>
        </is>
      </c>
      <c r="CQ3" s="5" t="inlineStr">
        <is>
          <t>PX_VOLUME</t>
        </is>
      </c>
      <c r="CR3" s="5" t="inlineStr">
        <is>
          <t>OPEN_INT</t>
        </is>
      </c>
      <c r="CS3" s="5" t="inlineStr">
        <is>
          <t>IVOL_MID</t>
        </is>
      </c>
      <c r="CT3" s="5" t="inlineStr">
        <is>
          <t>IVOL_BID</t>
        </is>
      </c>
      <c r="CU3" s="5" t="inlineStr">
        <is>
          <t>IVOL_ASK</t>
        </is>
      </c>
      <c r="CV3" s="5" t="inlineStr">
        <is>
          <t>DELTA_MID</t>
        </is>
      </c>
      <c r="CW3" s="5" t="inlineStr">
        <is>
          <t>GAMMA_MID</t>
        </is>
      </c>
      <c r="CX3" s="5" t="inlineStr">
        <is>
          <t>VEGA_MID</t>
        </is>
      </c>
      <c r="CY3" s="5" t="inlineStr">
        <is>
          <t>THETA_MID</t>
        </is>
      </c>
      <c r="CZ3" s="5" t="inlineStr">
        <is>
          <t>OPT_UNDL_PX</t>
        </is>
      </c>
      <c r="DB3" s="5" t="inlineStr">
        <is>
          <t>Date</t>
        </is>
      </c>
      <c r="DC3" s="5" t="inlineStr">
        <is>
          <t>PX_BID</t>
        </is>
      </c>
      <c r="DD3" s="5" t="inlineStr">
        <is>
          <t>PX_ASK</t>
        </is>
      </c>
      <c r="DE3" s="5" t="inlineStr">
        <is>
          <t>PX_MID</t>
        </is>
      </c>
      <c r="DF3" s="5" t="inlineStr">
        <is>
          <t>PX_LAST</t>
        </is>
      </c>
      <c r="DG3" s="5" t="inlineStr">
        <is>
          <t>PX_SETTLE</t>
        </is>
      </c>
      <c r="DH3" s="5" t="inlineStr">
        <is>
          <t>PX_VOLUME</t>
        </is>
      </c>
      <c r="DI3" s="5" t="inlineStr">
        <is>
          <t>OPEN_INT</t>
        </is>
      </c>
      <c r="DJ3" s="5" t="inlineStr">
        <is>
          <t>IVOL_MID</t>
        </is>
      </c>
      <c r="DK3" s="5" t="inlineStr">
        <is>
          <t>IVOL_BID</t>
        </is>
      </c>
      <c r="DL3" s="5" t="inlineStr">
        <is>
          <t>IVOL_ASK</t>
        </is>
      </c>
      <c r="DM3" s="5" t="inlineStr">
        <is>
          <t>DELTA_MID</t>
        </is>
      </c>
      <c r="DN3" s="5" t="inlineStr">
        <is>
          <t>GAMMA_MID</t>
        </is>
      </c>
      <c r="DO3" s="5" t="inlineStr">
        <is>
          <t>VEGA_MID</t>
        </is>
      </c>
      <c r="DP3" s="5" t="inlineStr">
        <is>
          <t>THETA_MID</t>
        </is>
      </c>
      <c r="DQ3" s="5" t="inlineStr">
        <is>
          <t>OPT_UNDL_PX</t>
        </is>
      </c>
      <c r="DS3" s="5" t="inlineStr">
        <is>
          <t>Date</t>
        </is>
      </c>
      <c r="DT3" s="5" t="inlineStr">
        <is>
          <t>PX_BID</t>
        </is>
      </c>
      <c r="DU3" s="5" t="inlineStr">
        <is>
          <t>PX_ASK</t>
        </is>
      </c>
      <c r="DV3" s="5" t="inlineStr">
        <is>
          <t>PX_MID</t>
        </is>
      </c>
      <c r="DW3" s="5" t="inlineStr">
        <is>
          <t>PX_LAST</t>
        </is>
      </c>
      <c r="DX3" s="5" t="inlineStr">
        <is>
          <t>PX_SETTLE</t>
        </is>
      </c>
      <c r="DY3" s="5" t="inlineStr">
        <is>
          <t>PX_VOLUME</t>
        </is>
      </c>
      <c r="DZ3" s="5" t="inlineStr">
        <is>
          <t>OPEN_INT</t>
        </is>
      </c>
      <c r="EA3" s="5" t="inlineStr">
        <is>
          <t>IVOL_MID</t>
        </is>
      </c>
      <c r="EB3" s="5" t="inlineStr">
        <is>
          <t>IVOL_BID</t>
        </is>
      </c>
      <c r="EC3" s="5" t="inlineStr">
        <is>
          <t>IVOL_ASK</t>
        </is>
      </c>
      <c r="ED3" s="5" t="inlineStr">
        <is>
          <t>DELTA_MID</t>
        </is>
      </c>
      <c r="EE3" s="5" t="inlineStr">
        <is>
          <t>GAMMA_MID</t>
        </is>
      </c>
      <c r="EF3" s="5" t="inlineStr">
        <is>
          <t>VEGA_MID</t>
        </is>
      </c>
      <c r="EG3" s="5" t="inlineStr">
        <is>
          <t>THETA_MID</t>
        </is>
      </c>
      <c r="EH3" s="5" t="inlineStr">
        <is>
          <t>OPT_UNDL_PX</t>
        </is>
      </c>
      <c r="EJ3" s="5" t="inlineStr">
        <is>
          <t>Date</t>
        </is>
      </c>
      <c r="EK3" s="5" t="inlineStr">
        <is>
          <t>PX_BID</t>
        </is>
      </c>
      <c r="EL3" s="5" t="inlineStr">
        <is>
          <t>PX_ASK</t>
        </is>
      </c>
      <c r="EM3" s="5" t="inlineStr">
        <is>
          <t>PX_MID</t>
        </is>
      </c>
      <c r="EN3" s="5" t="inlineStr">
        <is>
          <t>PX_LAST</t>
        </is>
      </c>
      <c r="EO3" s="5" t="inlineStr">
        <is>
          <t>PX_SETTLE</t>
        </is>
      </c>
      <c r="EP3" s="5" t="inlineStr">
        <is>
          <t>PX_VOLUME</t>
        </is>
      </c>
      <c r="EQ3" s="5" t="inlineStr">
        <is>
          <t>OPEN_INT</t>
        </is>
      </c>
      <c r="ER3" s="5" t="inlineStr">
        <is>
          <t>IVOL_MID</t>
        </is>
      </c>
      <c r="ES3" s="5" t="inlineStr">
        <is>
          <t>IVOL_BID</t>
        </is>
      </c>
      <c r="ET3" s="5" t="inlineStr">
        <is>
          <t>IVOL_ASK</t>
        </is>
      </c>
      <c r="EU3" s="5" t="inlineStr">
        <is>
          <t>DELTA_MID</t>
        </is>
      </c>
      <c r="EV3" s="5" t="inlineStr">
        <is>
          <t>GAMMA_MID</t>
        </is>
      </c>
      <c r="EW3" s="5" t="inlineStr">
        <is>
          <t>VEGA_MID</t>
        </is>
      </c>
      <c r="EX3" s="5" t="inlineStr">
        <is>
          <t>THETA_MID</t>
        </is>
      </c>
      <c r="EY3" s="5" t="inlineStr">
        <is>
          <t>OPT_UNDL_PX</t>
        </is>
      </c>
      <c r="FA3" s="5" t="inlineStr">
        <is>
          <t>Date</t>
        </is>
      </c>
      <c r="FB3" s="5" t="inlineStr">
        <is>
          <t>PX_BID</t>
        </is>
      </c>
      <c r="FC3" s="5" t="inlineStr">
        <is>
          <t>PX_ASK</t>
        </is>
      </c>
      <c r="FD3" s="5" t="inlineStr">
        <is>
          <t>PX_MID</t>
        </is>
      </c>
      <c r="FE3" s="5" t="inlineStr">
        <is>
          <t>PX_LAST</t>
        </is>
      </c>
      <c r="FF3" s="5" t="inlineStr">
        <is>
          <t>PX_SETTLE</t>
        </is>
      </c>
      <c r="FG3" s="5" t="inlineStr">
        <is>
          <t>PX_VOLUME</t>
        </is>
      </c>
      <c r="FH3" s="5" t="inlineStr">
        <is>
          <t>OPEN_INT</t>
        </is>
      </c>
      <c r="FI3" s="5" t="inlineStr">
        <is>
          <t>IVOL_MID</t>
        </is>
      </c>
      <c r="FJ3" s="5" t="inlineStr">
        <is>
          <t>IVOL_BID</t>
        </is>
      </c>
      <c r="FK3" s="5" t="inlineStr">
        <is>
          <t>IVOL_ASK</t>
        </is>
      </c>
      <c r="FL3" s="5" t="inlineStr">
        <is>
          <t>DELTA_MID</t>
        </is>
      </c>
      <c r="FM3" s="5" t="inlineStr">
        <is>
          <t>GAMMA_MID</t>
        </is>
      </c>
      <c r="FN3" s="5" t="inlineStr">
        <is>
          <t>VEGA_MID</t>
        </is>
      </c>
      <c r="FO3" s="5" t="inlineStr">
        <is>
          <t>THETA_MID</t>
        </is>
      </c>
      <c r="FP3" s="5" t="inlineStr">
        <is>
          <t>OPT_UNDL_PX</t>
        </is>
      </c>
      <c r="FR3" s="5" t="inlineStr">
        <is>
          <t>Date</t>
        </is>
      </c>
      <c r="FS3" s="5" t="inlineStr">
        <is>
          <t>PX_BID</t>
        </is>
      </c>
      <c r="FT3" s="5" t="inlineStr">
        <is>
          <t>PX_ASK</t>
        </is>
      </c>
      <c r="FU3" s="5" t="inlineStr">
        <is>
          <t>PX_MID</t>
        </is>
      </c>
      <c r="FV3" s="5" t="inlineStr">
        <is>
          <t>PX_LAST</t>
        </is>
      </c>
      <c r="FW3" s="5" t="inlineStr">
        <is>
          <t>PX_SETTLE</t>
        </is>
      </c>
      <c r="FX3" s="5" t="inlineStr">
        <is>
          <t>PX_VOLUME</t>
        </is>
      </c>
      <c r="FY3" s="5" t="inlineStr">
        <is>
          <t>OPEN_INT</t>
        </is>
      </c>
      <c r="FZ3" s="5" t="inlineStr">
        <is>
          <t>IVOL_MID</t>
        </is>
      </c>
      <c r="GA3" s="5" t="inlineStr">
        <is>
          <t>IVOL_BID</t>
        </is>
      </c>
      <c r="GB3" s="5" t="inlineStr">
        <is>
          <t>IVOL_ASK</t>
        </is>
      </c>
      <c r="GC3" s="5" t="inlineStr">
        <is>
          <t>DELTA_MID</t>
        </is>
      </c>
      <c r="GD3" s="5" t="inlineStr">
        <is>
          <t>GAMMA_MID</t>
        </is>
      </c>
      <c r="GE3" s="5" t="inlineStr">
        <is>
          <t>VEGA_MID</t>
        </is>
      </c>
      <c r="GF3" s="5" t="inlineStr">
        <is>
          <t>THETA_MID</t>
        </is>
      </c>
      <c r="GG3" s="5" t="inlineStr">
        <is>
          <t>OPT_UNDL_PX</t>
        </is>
      </c>
      <c r="GI3" s="5" t="inlineStr">
        <is>
          <t>Date</t>
        </is>
      </c>
      <c r="GJ3" s="5" t="inlineStr">
        <is>
          <t>PX_BID</t>
        </is>
      </c>
      <c r="GK3" s="5" t="inlineStr">
        <is>
          <t>PX_ASK</t>
        </is>
      </c>
      <c r="GL3" s="5" t="inlineStr">
        <is>
          <t>PX_MID</t>
        </is>
      </c>
      <c r="GM3" s="5" t="inlineStr">
        <is>
          <t>PX_LAST</t>
        </is>
      </c>
      <c r="GN3" s="5" t="inlineStr">
        <is>
          <t>PX_SETTLE</t>
        </is>
      </c>
      <c r="GO3" s="5" t="inlineStr">
        <is>
          <t>PX_VOLUME</t>
        </is>
      </c>
      <c r="GP3" s="5" t="inlineStr">
        <is>
          <t>OPEN_INT</t>
        </is>
      </c>
      <c r="GQ3" s="5" t="inlineStr">
        <is>
          <t>IVOL_MID</t>
        </is>
      </c>
      <c r="GR3" s="5" t="inlineStr">
        <is>
          <t>IVOL_BID</t>
        </is>
      </c>
      <c r="GS3" s="5" t="inlineStr">
        <is>
          <t>IVOL_ASK</t>
        </is>
      </c>
      <c r="GT3" s="5" t="inlineStr">
        <is>
          <t>DELTA_MID</t>
        </is>
      </c>
      <c r="GU3" s="5" t="inlineStr">
        <is>
          <t>GAMMA_MID</t>
        </is>
      </c>
      <c r="GV3" s="5" t="inlineStr">
        <is>
          <t>VEGA_MID</t>
        </is>
      </c>
      <c r="GW3" s="5" t="inlineStr">
        <is>
          <t>THETA_MID</t>
        </is>
      </c>
      <c r="GX3" s="5" t="inlineStr">
        <is>
          <t>OPT_UNDL_PX</t>
        </is>
      </c>
      <c r="GZ3" s="5" t="inlineStr">
        <is>
          <t>Date</t>
        </is>
      </c>
      <c r="HA3" s="5" t="inlineStr">
        <is>
          <t>PX_BID</t>
        </is>
      </c>
      <c r="HB3" s="5" t="inlineStr">
        <is>
          <t>PX_ASK</t>
        </is>
      </c>
      <c r="HC3" s="5" t="inlineStr">
        <is>
          <t>PX_MID</t>
        </is>
      </c>
      <c r="HD3" s="5" t="inlineStr">
        <is>
          <t>PX_LAST</t>
        </is>
      </c>
      <c r="HE3" s="5" t="inlineStr">
        <is>
          <t>PX_SETTLE</t>
        </is>
      </c>
      <c r="HF3" s="5" t="inlineStr">
        <is>
          <t>PX_VOLUME</t>
        </is>
      </c>
      <c r="HG3" s="5" t="inlineStr">
        <is>
          <t>OPEN_INT</t>
        </is>
      </c>
      <c r="HH3" s="5" t="inlineStr">
        <is>
          <t>IVOL_MID</t>
        </is>
      </c>
      <c r="HI3" s="5" t="inlineStr">
        <is>
          <t>IVOL_BID</t>
        </is>
      </c>
      <c r="HJ3" s="5" t="inlineStr">
        <is>
          <t>IVOL_ASK</t>
        </is>
      </c>
      <c r="HK3" s="5" t="inlineStr">
        <is>
          <t>DELTA_MID</t>
        </is>
      </c>
      <c r="HL3" s="5" t="inlineStr">
        <is>
          <t>GAMMA_MID</t>
        </is>
      </c>
      <c r="HM3" s="5" t="inlineStr">
        <is>
          <t>VEGA_MID</t>
        </is>
      </c>
      <c r="HN3" s="5" t="inlineStr">
        <is>
          <t>THETA_MID</t>
        </is>
      </c>
      <c r="HO3" s="5" t="inlineStr">
        <is>
          <t>OPT_UNDL_PX</t>
        </is>
      </c>
      <c r="HQ3" s="5" t="inlineStr">
        <is>
          <t>Date</t>
        </is>
      </c>
      <c r="HR3" s="5" t="inlineStr">
        <is>
          <t>PX_BID</t>
        </is>
      </c>
      <c r="HS3" s="5" t="inlineStr">
        <is>
          <t>PX_ASK</t>
        </is>
      </c>
      <c r="HT3" s="5" t="inlineStr">
        <is>
          <t>PX_MID</t>
        </is>
      </c>
      <c r="HU3" s="5" t="inlineStr">
        <is>
          <t>PX_LAST</t>
        </is>
      </c>
      <c r="HV3" s="5" t="inlineStr">
        <is>
          <t>PX_SETTLE</t>
        </is>
      </c>
      <c r="HW3" s="5" t="inlineStr">
        <is>
          <t>PX_VOLUME</t>
        </is>
      </c>
      <c r="HX3" s="5" t="inlineStr">
        <is>
          <t>OPEN_INT</t>
        </is>
      </c>
      <c r="HY3" s="5" t="inlineStr">
        <is>
          <t>IVOL_MID</t>
        </is>
      </c>
      <c r="HZ3" s="5" t="inlineStr">
        <is>
          <t>IVOL_BID</t>
        </is>
      </c>
      <c r="IA3" s="5" t="inlineStr">
        <is>
          <t>IVOL_ASK</t>
        </is>
      </c>
      <c r="IB3" s="5" t="inlineStr">
        <is>
          <t>DELTA_MID</t>
        </is>
      </c>
      <c r="IC3" s="5" t="inlineStr">
        <is>
          <t>GAMMA_MID</t>
        </is>
      </c>
      <c r="ID3" s="5" t="inlineStr">
        <is>
          <t>VEGA_MID</t>
        </is>
      </c>
      <c r="IE3" s="5" t="inlineStr">
        <is>
          <t>THETA_MID</t>
        </is>
      </c>
      <c r="IF3" s="5" t="inlineStr">
        <is>
          <t>OPT_UNDL_PX</t>
        </is>
      </c>
      <c r="IH3" s="5" t="inlineStr">
        <is>
          <t>Date</t>
        </is>
      </c>
      <c r="II3" s="5" t="inlineStr">
        <is>
          <t>PX_BID</t>
        </is>
      </c>
      <c r="IJ3" s="5" t="inlineStr">
        <is>
          <t>PX_ASK</t>
        </is>
      </c>
      <c r="IK3" s="5" t="inlineStr">
        <is>
          <t>PX_MID</t>
        </is>
      </c>
      <c r="IL3" s="5" t="inlineStr">
        <is>
          <t>PX_LAST</t>
        </is>
      </c>
      <c r="IM3" s="5" t="inlineStr">
        <is>
          <t>PX_SETTLE</t>
        </is>
      </c>
      <c r="IN3" s="5" t="inlineStr">
        <is>
          <t>PX_VOLUME</t>
        </is>
      </c>
      <c r="IO3" s="5" t="inlineStr">
        <is>
          <t>OPEN_INT</t>
        </is>
      </c>
      <c r="IP3" s="5" t="inlineStr">
        <is>
          <t>IVOL_MID</t>
        </is>
      </c>
      <c r="IQ3" s="5" t="inlineStr">
        <is>
          <t>IVOL_BID</t>
        </is>
      </c>
      <c r="IR3" s="5" t="inlineStr">
        <is>
          <t>IVOL_ASK</t>
        </is>
      </c>
      <c r="IS3" s="5" t="inlineStr">
        <is>
          <t>DELTA_MID</t>
        </is>
      </c>
      <c r="IT3" s="5" t="inlineStr">
        <is>
          <t>GAMMA_MID</t>
        </is>
      </c>
      <c r="IU3" s="5" t="inlineStr">
        <is>
          <t>VEGA_MID</t>
        </is>
      </c>
      <c r="IV3" s="5" t="inlineStr">
        <is>
          <t>THETA_MID</t>
        </is>
      </c>
      <c r="IW3" s="5" t="inlineStr">
        <is>
          <t>OPT_UNDL_PX</t>
        </is>
      </c>
      <c r="IY3" s="5" t="inlineStr">
        <is>
          <t>Date</t>
        </is>
      </c>
      <c r="IZ3" s="5" t="inlineStr">
        <is>
          <t>PX_BID</t>
        </is>
      </c>
      <c r="JA3" s="5" t="inlineStr">
        <is>
          <t>PX_ASK</t>
        </is>
      </c>
      <c r="JB3" s="5" t="inlineStr">
        <is>
          <t>PX_MID</t>
        </is>
      </c>
      <c r="JC3" s="5" t="inlineStr">
        <is>
          <t>PX_LAST</t>
        </is>
      </c>
      <c r="JD3" s="5" t="inlineStr">
        <is>
          <t>PX_SETTLE</t>
        </is>
      </c>
      <c r="JE3" s="5" t="inlineStr">
        <is>
          <t>PX_VOLUME</t>
        </is>
      </c>
      <c r="JF3" s="5" t="inlineStr">
        <is>
          <t>OPEN_INT</t>
        </is>
      </c>
      <c r="JG3" s="5" t="inlineStr">
        <is>
          <t>IVOL_MID</t>
        </is>
      </c>
      <c r="JH3" s="5" t="inlineStr">
        <is>
          <t>IVOL_BID</t>
        </is>
      </c>
      <c r="JI3" s="5" t="inlineStr">
        <is>
          <t>IVOL_ASK</t>
        </is>
      </c>
      <c r="JJ3" s="5" t="inlineStr">
        <is>
          <t>DELTA_MID</t>
        </is>
      </c>
      <c r="JK3" s="5" t="inlineStr">
        <is>
          <t>GAMMA_MID</t>
        </is>
      </c>
      <c r="JL3" s="5" t="inlineStr">
        <is>
          <t>VEGA_MID</t>
        </is>
      </c>
      <c r="JM3" s="5" t="inlineStr">
        <is>
          <t>THETA_MID</t>
        </is>
      </c>
      <c r="JN3" s="5" t="inlineStr">
        <is>
          <t>OPT_UNDL_PX</t>
        </is>
      </c>
      <c r="JP3" s="5" t="inlineStr">
        <is>
          <t>Date</t>
        </is>
      </c>
      <c r="JQ3" s="5" t="inlineStr">
        <is>
          <t>PX_BID</t>
        </is>
      </c>
      <c r="JR3" s="5" t="inlineStr">
        <is>
          <t>PX_ASK</t>
        </is>
      </c>
      <c r="JS3" s="5" t="inlineStr">
        <is>
          <t>PX_MID</t>
        </is>
      </c>
      <c r="JT3" s="5" t="inlineStr">
        <is>
          <t>PX_LAST</t>
        </is>
      </c>
      <c r="JU3" s="5" t="inlineStr">
        <is>
          <t>PX_SETTLE</t>
        </is>
      </c>
      <c r="JV3" s="5" t="inlineStr">
        <is>
          <t>PX_VOLUME</t>
        </is>
      </c>
      <c r="JW3" s="5" t="inlineStr">
        <is>
          <t>OPEN_INT</t>
        </is>
      </c>
      <c r="JX3" s="5" t="inlineStr">
        <is>
          <t>IVOL_MID</t>
        </is>
      </c>
      <c r="JY3" s="5" t="inlineStr">
        <is>
          <t>IVOL_BID</t>
        </is>
      </c>
      <c r="JZ3" s="5" t="inlineStr">
        <is>
          <t>IVOL_ASK</t>
        </is>
      </c>
      <c r="KA3" s="5" t="inlineStr">
        <is>
          <t>DELTA_MID</t>
        </is>
      </c>
      <c r="KB3" s="5" t="inlineStr">
        <is>
          <t>GAMMA_MID</t>
        </is>
      </c>
      <c r="KC3" s="5" t="inlineStr">
        <is>
          <t>VEGA_MID</t>
        </is>
      </c>
      <c r="KD3" s="5" t="inlineStr">
        <is>
          <t>THETA_MID</t>
        </is>
      </c>
      <c r="KE3" s="5" t="inlineStr">
        <is>
          <t>OPT_UNDL_PX</t>
        </is>
      </c>
      <c r="KG3" s="5" t="inlineStr">
        <is>
          <t>Date</t>
        </is>
      </c>
      <c r="KH3" s="5" t="inlineStr">
        <is>
          <t>PX_BID</t>
        </is>
      </c>
      <c r="KI3" s="5" t="inlineStr">
        <is>
          <t>PX_ASK</t>
        </is>
      </c>
      <c r="KJ3" s="5" t="inlineStr">
        <is>
          <t>PX_MID</t>
        </is>
      </c>
      <c r="KK3" s="5" t="inlineStr">
        <is>
          <t>PX_LAST</t>
        </is>
      </c>
      <c r="KL3" s="5" t="inlineStr">
        <is>
          <t>PX_SETTLE</t>
        </is>
      </c>
      <c r="KM3" s="5" t="inlineStr">
        <is>
          <t>PX_VOLUME</t>
        </is>
      </c>
      <c r="KN3" s="5" t="inlineStr">
        <is>
          <t>OPEN_INT</t>
        </is>
      </c>
      <c r="KO3" s="5" t="inlineStr">
        <is>
          <t>IVOL_MID</t>
        </is>
      </c>
      <c r="KP3" s="5" t="inlineStr">
        <is>
          <t>IVOL_BID</t>
        </is>
      </c>
      <c r="KQ3" s="5" t="inlineStr">
        <is>
          <t>IVOL_ASK</t>
        </is>
      </c>
      <c r="KR3" s="5" t="inlineStr">
        <is>
          <t>DELTA_MID</t>
        </is>
      </c>
      <c r="KS3" s="5" t="inlineStr">
        <is>
          <t>GAMMA_MID</t>
        </is>
      </c>
      <c r="KT3" s="5" t="inlineStr">
        <is>
          <t>VEGA_MID</t>
        </is>
      </c>
      <c r="KU3" s="5" t="inlineStr">
        <is>
          <t>THETA_MID</t>
        </is>
      </c>
      <c r="KV3" s="5" t="inlineStr">
        <is>
          <t>OPT_UNDL_PX</t>
        </is>
      </c>
      <c r="KX3" s="5" t="inlineStr">
        <is>
          <t>Date</t>
        </is>
      </c>
      <c r="KY3" s="5" t="inlineStr">
        <is>
          <t>PX_BID</t>
        </is>
      </c>
      <c r="KZ3" s="5" t="inlineStr">
        <is>
          <t>PX_ASK</t>
        </is>
      </c>
      <c r="LA3" s="5" t="inlineStr">
        <is>
          <t>PX_MID</t>
        </is>
      </c>
      <c r="LB3" s="5" t="inlineStr">
        <is>
          <t>PX_LAST</t>
        </is>
      </c>
      <c r="LC3" s="5" t="inlineStr">
        <is>
          <t>PX_SETTLE</t>
        </is>
      </c>
      <c r="LD3" s="5" t="inlineStr">
        <is>
          <t>PX_VOLUME</t>
        </is>
      </c>
      <c r="LE3" s="5" t="inlineStr">
        <is>
          <t>OPEN_INT</t>
        </is>
      </c>
      <c r="LF3" s="5" t="inlineStr">
        <is>
          <t>IVOL_MID</t>
        </is>
      </c>
      <c r="LG3" s="5" t="inlineStr">
        <is>
          <t>IVOL_BID</t>
        </is>
      </c>
      <c r="LH3" s="5" t="inlineStr">
        <is>
          <t>IVOL_ASK</t>
        </is>
      </c>
      <c r="LI3" s="5" t="inlineStr">
        <is>
          <t>DELTA_MID</t>
        </is>
      </c>
      <c r="LJ3" s="5" t="inlineStr">
        <is>
          <t>GAMMA_MID</t>
        </is>
      </c>
      <c r="LK3" s="5" t="inlineStr">
        <is>
          <t>VEGA_MID</t>
        </is>
      </c>
      <c r="LL3" s="5" t="inlineStr">
        <is>
          <t>THETA_MID</t>
        </is>
      </c>
      <c r="LM3" s="5" t="inlineStr">
        <is>
          <t>OPT_UNDL_PX</t>
        </is>
      </c>
      <c r="LO3" s="5" t="inlineStr">
        <is>
          <t>Date</t>
        </is>
      </c>
      <c r="LP3" s="5" t="inlineStr">
        <is>
          <t>PX_BID</t>
        </is>
      </c>
      <c r="LQ3" s="5" t="inlineStr">
        <is>
          <t>PX_ASK</t>
        </is>
      </c>
      <c r="LR3" s="5" t="inlineStr">
        <is>
          <t>PX_MID</t>
        </is>
      </c>
      <c r="LS3" s="5" t="inlineStr">
        <is>
          <t>PX_LAST</t>
        </is>
      </c>
      <c r="LT3" s="5" t="inlineStr">
        <is>
          <t>PX_SETTLE</t>
        </is>
      </c>
      <c r="LU3" s="5" t="inlineStr">
        <is>
          <t>PX_VOLUME</t>
        </is>
      </c>
      <c r="LV3" s="5" t="inlineStr">
        <is>
          <t>OPEN_INT</t>
        </is>
      </c>
      <c r="LW3" s="5" t="inlineStr">
        <is>
          <t>IVOL_MID</t>
        </is>
      </c>
      <c r="LX3" s="5" t="inlineStr">
        <is>
          <t>IVOL_BID</t>
        </is>
      </c>
      <c r="LY3" s="5" t="inlineStr">
        <is>
          <t>IVOL_ASK</t>
        </is>
      </c>
      <c r="LZ3" s="5" t="inlineStr">
        <is>
          <t>DELTA_MID</t>
        </is>
      </c>
      <c r="MA3" s="5" t="inlineStr">
        <is>
          <t>GAMMA_MID</t>
        </is>
      </c>
      <c r="MB3" s="5" t="inlineStr">
        <is>
          <t>VEGA_MID</t>
        </is>
      </c>
      <c r="MC3" s="5" t="inlineStr">
        <is>
          <t>THETA_MID</t>
        </is>
      </c>
      <c r="MD3" s="5" t="inlineStr">
        <is>
          <t>OPT_UNDL_PX</t>
        </is>
      </c>
      <c r="MF3" s="5" t="inlineStr">
        <is>
          <t>Date</t>
        </is>
      </c>
      <c r="MG3" s="5" t="inlineStr">
        <is>
          <t>PX_BID</t>
        </is>
      </c>
      <c r="MH3" s="5" t="inlineStr">
        <is>
          <t>PX_ASK</t>
        </is>
      </c>
      <c r="MI3" s="5" t="inlineStr">
        <is>
          <t>PX_MID</t>
        </is>
      </c>
      <c r="MJ3" s="5" t="inlineStr">
        <is>
          <t>PX_LAST</t>
        </is>
      </c>
      <c r="MK3" s="5" t="inlineStr">
        <is>
          <t>PX_SETTLE</t>
        </is>
      </c>
      <c r="ML3" s="5" t="inlineStr">
        <is>
          <t>PX_VOLUME</t>
        </is>
      </c>
      <c r="MM3" s="5" t="inlineStr">
        <is>
          <t>OPEN_INT</t>
        </is>
      </c>
      <c r="MN3" s="5" t="inlineStr">
        <is>
          <t>IVOL_MID</t>
        </is>
      </c>
      <c r="MO3" s="5" t="inlineStr">
        <is>
          <t>IVOL_BID</t>
        </is>
      </c>
      <c r="MP3" s="5" t="inlineStr">
        <is>
          <t>IVOL_ASK</t>
        </is>
      </c>
      <c r="MQ3" s="5" t="inlineStr">
        <is>
          <t>DELTA_MID</t>
        </is>
      </c>
      <c r="MR3" s="5" t="inlineStr">
        <is>
          <t>GAMMA_MID</t>
        </is>
      </c>
      <c r="MS3" s="5" t="inlineStr">
        <is>
          <t>VEGA_MID</t>
        </is>
      </c>
      <c r="MT3" s="5" t="inlineStr">
        <is>
          <t>THETA_MID</t>
        </is>
      </c>
      <c r="MU3" s="5" t="inlineStr">
        <is>
          <t>OPT_UNDL_PX</t>
        </is>
      </c>
      <c r="MW3" s="5" t="inlineStr">
        <is>
          <t>Date</t>
        </is>
      </c>
      <c r="MX3" s="5" t="inlineStr">
        <is>
          <t>PX_BID</t>
        </is>
      </c>
      <c r="MY3" s="5" t="inlineStr">
        <is>
          <t>PX_ASK</t>
        </is>
      </c>
      <c r="MZ3" s="5" t="inlineStr">
        <is>
          <t>PX_MID</t>
        </is>
      </c>
      <c r="NA3" s="5" t="inlineStr">
        <is>
          <t>PX_LAST</t>
        </is>
      </c>
      <c r="NB3" s="5" t="inlineStr">
        <is>
          <t>PX_SETTLE</t>
        </is>
      </c>
      <c r="NC3" s="5" t="inlineStr">
        <is>
          <t>PX_VOLUME</t>
        </is>
      </c>
      <c r="ND3" s="5" t="inlineStr">
        <is>
          <t>OPEN_INT</t>
        </is>
      </c>
      <c r="NE3" s="5" t="inlineStr">
        <is>
          <t>IVOL_MID</t>
        </is>
      </c>
      <c r="NF3" s="5" t="inlineStr">
        <is>
          <t>IVOL_BID</t>
        </is>
      </c>
      <c r="NG3" s="5" t="inlineStr">
        <is>
          <t>IVOL_ASK</t>
        </is>
      </c>
      <c r="NH3" s="5" t="inlineStr">
        <is>
          <t>DELTA_MID</t>
        </is>
      </c>
      <c r="NI3" s="5" t="inlineStr">
        <is>
          <t>GAMMA_MID</t>
        </is>
      </c>
      <c r="NJ3" s="5" t="inlineStr">
        <is>
          <t>VEGA_MID</t>
        </is>
      </c>
      <c r="NK3" s="5" t="inlineStr">
        <is>
          <t>THETA_MID</t>
        </is>
      </c>
      <c r="NL3" s="5" t="inlineStr">
        <is>
          <t>OPT_UNDL_PX</t>
        </is>
      </c>
    </row>
    <row r="4">
      <c r="A4" s="2" t="inlineStr">
        <is>
          <t>Strike reference date</t>
        </is>
      </c>
      <c r="B4" s="8">
        <f>B3-45</f>
        <v/>
      </c>
      <c r="D4" s="4">
        <f>BDH(D$1,E$3:S$3,$B$8,$B$9,"Dir=V","Dts=S","Sort=A","Days=T","Fill=B")</f>
        <v/>
      </c>
      <c r="U4" s="4">
        <f>BDH(U$1,V$3:AJ$3,$B$8,$B$9,"Dir=V","Dts=S","Sort=A","Days=T","Fill=B")</f>
        <v/>
      </c>
      <c r="AL4" s="4">
        <f>BDH(AL$1,AM$3:BA$3,$B$8,$B$9,"Dir=V","Dts=S","Sort=A","Days=T","Fill=B")</f>
        <v/>
      </c>
      <c r="BC4" s="4">
        <f>BDH(BC$1,BD$3:BR$3,$B$8,$B$9,"Dir=V","Dts=S","Sort=A","Days=T","Fill=B")</f>
        <v/>
      </c>
      <c r="BT4" s="4">
        <f>BDH(BT$1,BU$3:CI$3,$B$8,$B$9,"Dir=V","Dts=S","Sort=A","Days=T","Fill=B")</f>
        <v/>
      </c>
      <c r="CK4" s="4">
        <f>BDH(CK$1,CL$3:CZ$3,$B$8,$B$9,"Dir=V","Dts=S","Sort=A","Days=T","Fill=B")</f>
        <v/>
      </c>
      <c r="DB4" s="4">
        <f>BDH(DB$1,DC$3:DQ$3,$B$8,$B$9,"Dir=V","Dts=S","Sort=A","Days=T","Fill=B")</f>
        <v/>
      </c>
      <c r="DS4" s="4">
        <f>BDH(DS$1,DT$3:EH$3,$B$8,$B$9,"Dir=V","Dts=S","Sort=A","Days=T","Fill=B")</f>
        <v/>
      </c>
      <c r="EJ4" s="4">
        <f>BDH(EJ$1,EK$3:EY$3,$B$8,$B$9,"Dir=V","Dts=S","Sort=A","Days=T","Fill=B")</f>
        <v/>
      </c>
      <c r="FA4" s="4">
        <f>BDH(FA$1,FB$3:FP$3,$B$8,$B$9,"Dir=V","Dts=S","Sort=A","Days=T","Fill=B")</f>
        <v/>
      </c>
      <c r="FR4" s="4">
        <f>BDH(FR$1,FS$3:GG$3,$B$8,$B$9,"Dir=V","Dts=S","Sort=A","Days=T","Fill=B")</f>
        <v/>
      </c>
      <c r="GI4" s="4">
        <f>BDH(GI$1,GJ$3:GX$3,$B$8,$B$9,"Dir=V","Dts=S","Sort=A","Days=T","Fill=B")</f>
        <v/>
      </c>
      <c r="GZ4" s="4">
        <f>BDH(GZ$1,HA$3:HO$3,$B$8,$B$9,"Dir=V","Dts=S","Sort=A","Days=T","Fill=B")</f>
        <v/>
      </c>
      <c r="HQ4" s="4">
        <f>BDH(HQ$1,HR$3:IF$3,$B$8,$B$9,"Dir=V","Dts=S","Sort=A","Days=T","Fill=B")</f>
        <v/>
      </c>
      <c r="IH4" s="4">
        <f>BDH(IH$1,II$3:IW$3,$B$8,$B$9,"Dir=V","Dts=S","Sort=A","Days=T","Fill=B")</f>
        <v/>
      </c>
      <c r="IY4" s="4">
        <f>BDH(IY$1,IZ$3:JN$3,$B$8,$B$9,"Dir=V","Dts=S","Sort=A","Days=T","Fill=B")</f>
        <v/>
      </c>
      <c r="JP4" s="4">
        <f>BDH(JP$1,JQ$3:KE$3,$B$8,$B$9,"Dir=V","Dts=S","Sort=A","Days=T","Fill=B")</f>
        <v/>
      </c>
      <c r="KG4" s="4">
        <f>BDH(KG$1,KH$3:KV$3,$B$8,$B$9,"Dir=V","Dts=S","Sort=A","Days=T","Fill=B")</f>
        <v/>
      </c>
      <c r="KX4" s="4">
        <f>BDH(KX$1,KY$3:LM$3,$B$8,$B$9,"Dir=V","Dts=S","Sort=A","Days=T","Fill=B")</f>
        <v/>
      </c>
      <c r="LO4" s="4">
        <f>BDH(LO$1,LP$3:MD$3,$B$8,$B$9,"Dir=V","Dts=S","Sort=A","Days=T","Fill=B")</f>
        <v/>
      </c>
      <c r="MF4" s="4">
        <f>BDH(MF$1,MG$3:MU$3,$B$8,$B$9,"Dir=V","Dts=S","Sort=A","Days=T","Fill=B")</f>
        <v/>
      </c>
      <c r="MW4" s="4">
        <f>BDH(MW$1,MX$3:NL$3,$B$8,$B$9,"Dir=V","Dts=S","Sort=A","Days=T","Fill=B")</f>
        <v/>
      </c>
    </row>
    <row r="5">
      <c r="A5" s="2" t="inlineStr">
        <is>
          <t>Unadjusted close then</t>
        </is>
      </c>
      <c r="B5" s="10">
        <f>IF(B2="","",BDH(B2,"PX_LAST",B4,B4,"Days=A","Fill=P","Dts=H","CshAdjNormal=N","CshAdjAbnormal=N","CapChg=N"))</f>
        <v/>
      </c>
    </row>
    <row r="6">
      <c r="A6" s="2" t="inlineStr">
        <is>
          <t>Strike step</t>
        </is>
      </c>
      <c r="B6" s="11">
        <f>IF(ISNUMBER(B5),IF(B5&lt;25,0.5,IF(B5&lt;250,1,5)),"")</f>
        <v/>
      </c>
    </row>
    <row r="7">
      <c r="A7" s="2" t="inlineStr">
        <is>
          <t>ATM strike</t>
        </is>
      </c>
      <c r="B7" s="11">
        <f>IF(ISNUMBER(B5),ROUND(B5/B6,0)*B6,"")</f>
        <v/>
      </c>
    </row>
    <row r="8">
      <c r="A8" s="2" t="inlineStr">
        <is>
          <t>History start</t>
        </is>
      </c>
      <c r="B8" s="8">
        <f>B3-100</f>
        <v/>
      </c>
    </row>
    <row r="9">
      <c r="A9" s="2" t="inlineStr">
        <is>
          <t>History end</t>
        </is>
      </c>
      <c r="B9" s="8">
        <f>B3</f>
        <v/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NL9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2" customWidth="1" min="2" max="2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1" customWidth="1" min="15" max="15"/>
    <col width="11" customWidth="1" min="16" max="16"/>
    <col width="10" customWidth="1" min="17" max="17"/>
    <col width="11" customWidth="1" min="18" max="18"/>
    <col width="13" customWidth="1" min="19" max="19"/>
    <col width="12" customWidth="1" min="21" max="21"/>
    <col width="10" customWidth="1" min="22" max="22"/>
    <col width="10" customWidth="1" min="23" max="23"/>
    <col width="10" customWidth="1" min="24" max="24"/>
    <col width="10" customWidth="1" min="25" max="25"/>
    <col width="11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1" customWidth="1" min="32" max="32"/>
    <col width="11" customWidth="1" min="33" max="33"/>
    <col width="10" customWidth="1" min="34" max="34"/>
    <col width="11" customWidth="1" min="35" max="35"/>
    <col width="13" customWidth="1" min="36" max="36"/>
    <col width="12" customWidth="1" min="38" max="38"/>
    <col width="10" customWidth="1" min="39" max="39"/>
    <col width="10" customWidth="1" min="40" max="40"/>
    <col width="10" customWidth="1" min="41" max="41"/>
    <col width="10" customWidth="1" min="42" max="42"/>
    <col width="11" customWidth="1" min="43" max="43"/>
    <col width="11" customWidth="1" min="44" max="44"/>
    <col width="10" customWidth="1" min="45" max="45"/>
    <col width="10" customWidth="1" min="46" max="46"/>
    <col width="10" customWidth="1" min="47" max="47"/>
    <col width="10" customWidth="1" min="48" max="48"/>
    <col width="11" customWidth="1" min="49" max="49"/>
    <col width="11" customWidth="1" min="50" max="50"/>
    <col width="10" customWidth="1" min="51" max="51"/>
    <col width="11" customWidth="1" min="52" max="52"/>
    <col width="13" customWidth="1" min="53" max="53"/>
    <col width="12" customWidth="1" min="55" max="55"/>
    <col width="10" customWidth="1" min="56" max="56"/>
    <col width="10" customWidth="1" min="57" max="57"/>
    <col width="10" customWidth="1" min="58" max="58"/>
    <col width="10" customWidth="1" min="59" max="59"/>
    <col width="11" customWidth="1" min="60" max="60"/>
    <col width="11" customWidth="1" min="61" max="61"/>
    <col width="10" customWidth="1" min="62" max="62"/>
    <col width="10" customWidth="1" min="63" max="63"/>
    <col width="10" customWidth="1" min="64" max="64"/>
    <col width="10" customWidth="1" min="65" max="65"/>
    <col width="11" customWidth="1" min="66" max="66"/>
    <col width="11" customWidth="1" min="67" max="67"/>
    <col width="10" customWidth="1" min="68" max="68"/>
    <col width="11" customWidth="1" min="69" max="69"/>
    <col width="13" customWidth="1" min="70" max="70"/>
    <col width="12" customWidth="1" min="72" max="72"/>
    <col width="10" customWidth="1" min="73" max="73"/>
    <col width="10" customWidth="1" min="74" max="74"/>
    <col width="10" customWidth="1" min="75" max="75"/>
    <col width="10" customWidth="1" min="76" max="76"/>
    <col width="11" customWidth="1" min="77" max="77"/>
    <col width="11" customWidth="1" min="78" max="78"/>
    <col width="10" customWidth="1" min="79" max="79"/>
    <col width="10" customWidth="1" min="80" max="80"/>
    <col width="10" customWidth="1" min="81" max="81"/>
    <col width="10" customWidth="1" min="82" max="82"/>
    <col width="11" customWidth="1" min="83" max="83"/>
    <col width="11" customWidth="1" min="84" max="84"/>
    <col width="10" customWidth="1" min="85" max="85"/>
    <col width="11" customWidth="1" min="86" max="86"/>
    <col width="13" customWidth="1" min="87" max="87"/>
    <col width="12" customWidth="1" min="89" max="89"/>
    <col width="10" customWidth="1" min="90" max="90"/>
    <col width="10" customWidth="1" min="91" max="91"/>
    <col width="10" customWidth="1" min="92" max="92"/>
    <col width="10" customWidth="1" min="93" max="93"/>
    <col width="11" customWidth="1" min="94" max="94"/>
    <col width="11" customWidth="1" min="95" max="95"/>
    <col width="10" customWidth="1" min="96" max="96"/>
    <col width="10" customWidth="1" min="97" max="97"/>
    <col width="10" customWidth="1" min="98" max="98"/>
    <col width="10" customWidth="1" min="99" max="99"/>
    <col width="11" customWidth="1" min="100" max="100"/>
    <col width="11" customWidth="1" min="101" max="101"/>
    <col width="10" customWidth="1" min="102" max="102"/>
    <col width="11" customWidth="1" min="103" max="103"/>
    <col width="13" customWidth="1" min="104" max="104"/>
    <col width="12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1" customWidth="1" min="111" max="111"/>
    <col width="11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1" customWidth="1" min="117" max="117"/>
    <col width="11" customWidth="1" min="118" max="118"/>
    <col width="10" customWidth="1" min="119" max="119"/>
    <col width="11" customWidth="1" min="120" max="120"/>
    <col width="13" customWidth="1" min="121" max="121"/>
    <col width="12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1" customWidth="1" min="128" max="128"/>
    <col width="11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1" customWidth="1" min="134" max="134"/>
    <col width="11" customWidth="1" min="135" max="135"/>
    <col width="10" customWidth="1" min="136" max="136"/>
    <col width="11" customWidth="1" min="137" max="137"/>
    <col width="13" customWidth="1" min="138" max="138"/>
    <col width="12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1" customWidth="1" min="145" max="145"/>
    <col width="11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1" customWidth="1" min="151" max="151"/>
    <col width="11" customWidth="1" min="152" max="152"/>
    <col width="10" customWidth="1" min="153" max="153"/>
    <col width="11" customWidth="1" min="154" max="154"/>
    <col width="13" customWidth="1" min="155" max="155"/>
    <col width="12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1" customWidth="1" min="162" max="162"/>
    <col width="11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1" customWidth="1" min="168" max="168"/>
    <col width="11" customWidth="1" min="169" max="169"/>
    <col width="10" customWidth="1" min="170" max="170"/>
    <col width="11" customWidth="1" min="171" max="171"/>
    <col width="13" customWidth="1" min="172" max="172"/>
    <col width="12" customWidth="1" min="174" max="174"/>
    <col width="10" customWidth="1" min="175" max="175"/>
    <col width="10" customWidth="1" min="176" max="176"/>
    <col width="10" customWidth="1" min="177" max="177"/>
    <col width="10" customWidth="1" min="178" max="178"/>
    <col width="11" customWidth="1" min="179" max="179"/>
    <col width="11" customWidth="1" min="180" max="180"/>
    <col width="10" customWidth="1" min="181" max="181"/>
    <col width="10" customWidth="1" min="182" max="182"/>
    <col width="10" customWidth="1" min="183" max="183"/>
    <col width="10" customWidth="1" min="184" max="184"/>
    <col width="11" customWidth="1" min="185" max="185"/>
    <col width="11" customWidth="1" min="186" max="186"/>
    <col width="10" customWidth="1" min="187" max="187"/>
    <col width="11" customWidth="1" min="188" max="188"/>
    <col width="13" customWidth="1" min="189" max="189"/>
    <col width="12" customWidth="1" min="191" max="191"/>
    <col width="10" customWidth="1" min="192" max="192"/>
    <col width="10" customWidth="1" min="193" max="193"/>
    <col width="10" customWidth="1" min="194" max="194"/>
    <col width="10" customWidth="1" min="195" max="195"/>
    <col width="11" customWidth="1" min="196" max="196"/>
    <col width="11" customWidth="1" min="197" max="197"/>
    <col width="10" customWidth="1" min="198" max="198"/>
    <col width="10" customWidth="1" min="199" max="199"/>
    <col width="10" customWidth="1" min="200" max="200"/>
    <col width="10" customWidth="1" min="201" max="201"/>
    <col width="11" customWidth="1" min="202" max="202"/>
    <col width="11" customWidth="1" min="203" max="203"/>
    <col width="10" customWidth="1" min="204" max="204"/>
    <col width="11" customWidth="1" min="205" max="205"/>
    <col width="13" customWidth="1" min="206" max="206"/>
    <col width="12" customWidth="1" min="208" max="208"/>
    <col width="10" customWidth="1" min="209" max="209"/>
    <col width="10" customWidth="1" min="210" max="210"/>
    <col width="10" customWidth="1" min="211" max="211"/>
    <col width="10" customWidth="1" min="212" max="212"/>
    <col width="11" customWidth="1" min="213" max="213"/>
    <col width="11" customWidth="1" min="214" max="214"/>
    <col width="10" customWidth="1" min="215" max="215"/>
    <col width="10" customWidth="1" min="216" max="216"/>
    <col width="10" customWidth="1" min="217" max="217"/>
    <col width="10" customWidth="1" min="218" max="218"/>
    <col width="11" customWidth="1" min="219" max="219"/>
    <col width="11" customWidth="1" min="220" max="220"/>
    <col width="10" customWidth="1" min="221" max="221"/>
    <col width="11" customWidth="1" min="222" max="222"/>
    <col width="13" customWidth="1" min="223" max="223"/>
    <col width="12" customWidth="1" min="225" max="225"/>
    <col width="10" customWidth="1" min="226" max="226"/>
    <col width="10" customWidth="1" min="227" max="227"/>
    <col width="10" customWidth="1" min="228" max="228"/>
    <col width="10" customWidth="1" min="229" max="229"/>
    <col width="11" customWidth="1" min="230" max="230"/>
    <col width="11" customWidth="1" min="231" max="231"/>
    <col width="10" customWidth="1" min="232" max="232"/>
    <col width="10" customWidth="1" min="233" max="233"/>
    <col width="10" customWidth="1" min="234" max="234"/>
    <col width="10" customWidth="1" min="235" max="235"/>
    <col width="11" customWidth="1" min="236" max="236"/>
    <col width="11" customWidth="1" min="237" max="237"/>
    <col width="10" customWidth="1" min="238" max="238"/>
    <col width="11" customWidth="1" min="239" max="239"/>
    <col width="13" customWidth="1" min="240" max="240"/>
    <col width="12" customWidth="1" min="242" max="242"/>
    <col width="10" customWidth="1" min="243" max="243"/>
    <col width="10" customWidth="1" min="244" max="244"/>
    <col width="10" customWidth="1" min="245" max="245"/>
    <col width="10" customWidth="1" min="246" max="246"/>
    <col width="11" customWidth="1" min="247" max="247"/>
    <col width="11" customWidth="1" min="248" max="248"/>
    <col width="10" customWidth="1" min="249" max="249"/>
    <col width="10" customWidth="1" min="250" max="250"/>
    <col width="10" customWidth="1" min="251" max="251"/>
    <col width="10" customWidth="1" min="252" max="252"/>
    <col width="11" customWidth="1" min="253" max="253"/>
    <col width="11" customWidth="1" min="254" max="254"/>
    <col width="10" customWidth="1" min="255" max="255"/>
    <col width="11" customWidth="1" min="256" max="256"/>
    <col width="13" customWidth="1" min="257" max="257"/>
    <col width="12" customWidth="1" min="259" max="259"/>
    <col width="10" customWidth="1" min="260" max="260"/>
    <col width="10" customWidth="1" min="261" max="261"/>
    <col width="10" customWidth="1" min="262" max="262"/>
    <col width="10" customWidth="1" min="263" max="263"/>
    <col width="11" customWidth="1" min="264" max="264"/>
    <col width="11" customWidth="1" min="265" max="265"/>
    <col width="10" customWidth="1" min="266" max="266"/>
    <col width="10" customWidth="1" min="267" max="267"/>
    <col width="10" customWidth="1" min="268" max="268"/>
    <col width="10" customWidth="1" min="269" max="269"/>
    <col width="11" customWidth="1" min="270" max="270"/>
    <col width="11" customWidth="1" min="271" max="271"/>
    <col width="10" customWidth="1" min="272" max="272"/>
    <col width="11" customWidth="1" min="273" max="273"/>
    <col width="13" customWidth="1" min="274" max="274"/>
    <col width="12" customWidth="1" min="276" max="276"/>
    <col width="10" customWidth="1" min="277" max="277"/>
    <col width="10" customWidth="1" min="278" max="278"/>
    <col width="10" customWidth="1" min="279" max="279"/>
    <col width="10" customWidth="1" min="280" max="280"/>
    <col width="11" customWidth="1" min="281" max="281"/>
    <col width="11" customWidth="1" min="282" max="282"/>
    <col width="10" customWidth="1" min="283" max="283"/>
    <col width="10" customWidth="1" min="284" max="284"/>
    <col width="10" customWidth="1" min="285" max="285"/>
    <col width="10" customWidth="1" min="286" max="286"/>
    <col width="11" customWidth="1" min="287" max="287"/>
    <col width="11" customWidth="1" min="288" max="288"/>
    <col width="10" customWidth="1" min="289" max="289"/>
    <col width="11" customWidth="1" min="290" max="290"/>
    <col width="13" customWidth="1" min="291" max="291"/>
    <col width="12" customWidth="1" min="293" max="293"/>
    <col width="10" customWidth="1" min="294" max="294"/>
    <col width="10" customWidth="1" min="295" max="295"/>
    <col width="10" customWidth="1" min="296" max="296"/>
    <col width="10" customWidth="1" min="297" max="297"/>
    <col width="11" customWidth="1" min="298" max="298"/>
    <col width="11" customWidth="1" min="299" max="299"/>
    <col width="10" customWidth="1" min="300" max="300"/>
    <col width="10" customWidth="1" min="301" max="301"/>
    <col width="10" customWidth="1" min="302" max="302"/>
    <col width="10" customWidth="1" min="303" max="303"/>
    <col width="11" customWidth="1" min="304" max="304"/>
    <col width="11" customWidth="1" min="305" max="305"/>
    <col width="10" customWidth="1" min="306" max="306"/>
    <col width="11" customWidth="1" min="307" max="307"/>
    <col width="13" customWidth="1" min="308" max="308"/>
    <col width="12" customWidth="1" min="310" max="310"/>
    <col width="10" customWidth="1" min="311" max="311"/>
    <col width="10" customWidth="1" min="312" max="312"/>
    <col width="10" customWidth="1" min="313" max="313"/>
    <col width="10" customWidth="1" min="314" max="314"/>
    <col width="11" customWidth="1" min="315" max="315"/>
    <col width="11" customWidth="1" min="316" max="316"/>
    <col width="10" customWidth="1" min="317" max="317"/>
    <col width="10" customWidth="1" min="318" max="318"/>
    <col width="10" customWidth="1" min="319" max="319"/>
    <col width="10" customWidth="1" min="320" max="320"/>
    <col width="11" customWidth="1" min="321" max="321"/>
    <col width="11" customWidth="1" min="322" max="322"/>
    <col width="10" customWidth="1" min="323" max="323"/>
    <col width="11" customWidth="1" min="324" max="324"/>
    <col width="13" customWidth="1" min="325" max="325"/>
    <col width="12" customWidth="1" min="327" max="327"/>
    <col width="10" customWidth="1" min="328" max="328"/>
    <col width="10" customWidth="1" min="329" max="329"/>
    <col width="10" customWidth="1" min="330" max="330"/>
    <col width="10" customWidth="1" min="331" max="331"/>
    <col width="11" customWidth="1" min="332" max="332"/>
    <col width="11" customWidth="1" min="333" max="333"/>
    <col width="10" customWidth="1" min="334" max="334"/>
    <col width="10" customWidth="1" min="335" max="335"/>
    <col width="10" customWidth="1" min="336" max="336"/>
    <col width="10" customWidth="1" min="337" max="337"/>
    <col width="11" customWidth="1" min="338" max="338"/>
    <col width="11" customWidth="1" min="339" max="339"/>
    <col width="10" customWidth="1" min="340" max="340"/>
    <col width="11" customWidth="1" min="341" max="341"/>
    <col width="13" customWidth="1" min="342" max="342"/>
    <col width="12" customWidth="1" min="344" max="344"/>
    <col width="10" customWidth="1" min="345" max="345"/>
    <col width="10" customWidth="1" min="346" max="346"/>
    <col width="10" customWidth="1" min="347" max="347"/>
    <col width="10" customWidth="1" min="348" max="348"/>
    <col width="11" customWidth="1" min="349" max="349"/>
    <col width="11" customWidth="1" min="350" max="350"/>
    <col width="10" customWidth="1" min="351" max="351"/>
    <col width="10" customWidth="1" min="352" max="352"/>
    <col width="10" customWidth="1" min="353" max="353"/>
    <col width="10" customWidth="1" min="354" max="354"/>
    <col width="11" customWidth="1" min="355" max="355"/>
    <col width="11" customWidth="1" min="356" max="356"/>
    <col width="10" customWidth="1" min="357" max="357"/>
    <col width="11" customWidth="1" min="358" max="358"/>
    <col width="13" customWidth="1" min="359" max="359"/>
    <col width="12" customWidth="1" min="361" max="361"/>
    <col width="10" customWidth="1" min="362" max="362"/>
    <col width="10" customWidth="1" min="363" max="363"/>
    <col width="10" customWidth="1" min="364" max="364"/>
    <col width="10" customWidth="1" min="365" max="365"/>
    <col width="11" customWidth="1" min="366" max="366"/>
    <col width="11" customWidth="1" min="367" max="367"/>
    <col width="10" customWidth="1" min="368" max="368"/>
    <col width="10" customWidth="1" min="369" max="369"/>
    <col width="10" customWidth="1" min="370" max="370"/>
    <col width="10" customWidth="1" min="371" max="371"/>
    <col width="11" customWidth="1" min="372" max="372"/>
    <col width="11" customWidth="1" min="373" max="373"/>
    <col width="10" customWidth="1" min="374" max="374"/>
    <col width="11" customWidth="1" min="375" max="375"/>
    <col width="13" customWidth="1" min="376" max="376"/>
  </cols>
  <sheetData>
    <row r="1">
      <c r="A1" s="2" t="inlineStr">
        <is>
          <t>Month</t>
        </is>
      </c>
      <c r="B1" s="9" t="n">
        <v>10</v>
      </c>
      <c r="D1" s="2">
        <f>IF(ISNUMBER(B$7),"DAL US "&amp;TEXT(B$3,"mm/dd/yy")&amp;" C"&amp;(B$7-5*B$6)&amp;" Equity","")</f>
        <v/>
      </c>
      <c r="U1" s="2">
        <f>IF(ISNUMBER(B$7),"DAL US "&amp;TEXT(B$3,"mm/dd/yy")&amp;" P"&amp;(B$7-5*B$6)&amp;" Equity","")</f>
        <v/>
      </c>
      <c r="AL1" s="2">
        <f>IF(ISNUMBER(B$7),"DAL US "&amp;TEXT(B$3,"mm/dd/yy")&amp;" C"&amp;(B$7-4*B$6)&amp;" Equity","")</f>
        <v/>
      </c>
      <c r="BC1" s="2">
        <f>IF(ISNUMBER(B$7),"DAL US "&amp;TEXT(B$3,"mm/dd/yy")&amp;" P"&amp;(B$7-4*B$6)&amp;" Equity","")</f>
        <v/>
      </c>
      <c r="BT1" s="2">
        <f>IF(ISNUMBER(B$7),"DAL US "&amp;TEXT(B$3,"mm/dd/yy")&amp;" C"&amp;(B$7-3*B$6)&amp;" Equity","")</f>
        <v/>
      </c>
      <c r="CK1" s="2">
        <f>IF(ISNUMBER(B$7),"DAL US "&amp;TEXT(B$3,"mm/dd/yy")&amp;" P"&amp;(B$7-3*B$6)&amp;" Equity","")</f>
        <v/>
      </c>
      <c r="DB1" s="2">
        <f>IF(ISNUMBER(B$7),"DAL US "&amp;TEXT(B$3,"mm/dd/yy")&amp;" C"&amp;(B$7-2*B$6)&amp;" Equity","")</f>
        <v/>
      </c>
      <c r="DS1" s="2">
        <f>IF(ISNUMBER(B$7),"DAL US "&amp;TEXT(B$3,"mm/dd/yy")&amp;" P"&amp;(B$7-2*B$6)&amp;" Equity","")</f>
        <v/>
      </c>
      <c r="EJ1" s="2">
        <f>IF(ISNUMBER(B$7),"DAL US "&amp;TEXT(B$3,"mm/dd/yy")&amp;" C"&amp;(B$7-1*B$6)&amp;" Equity","")</f>
        <v/>
      </c>
      <c r="FA1" s="2">
        <f>IF(ISNUMBER(B$7),"DAL US "&amp;TEXT(B$3,"mm/dd/yy")&amp;" P"&amp;(B$7-1*B$6)&amp;" Equity","")</f>
        <v/>
      </c>
      <c r="FR1" s="2">
        <f>IF(ISNUMBER(B$7),"DAL US "&amp;TEXT(B$3,"mm/dd/yy")&amp;" C"&amp;B$7&amp;" Equity","")</f>
        <v/>
      </c>
      <c r="GI1" s="2">
        <f>IF(ISNUMBER(B$7),"DAL US "&amp;TEXT(B$3,"mm/dd/yy")&amp;" P"&amp;B$7&amp;" Equity","")</f>
        <v/>
      </c>
      <c r="GZ1" s="2">
        <f>IF(ISNUMBER(B$7),"DAL US "&amp;TEXT(B$3,"mm/dd/yy")&amp;" C"&amp;(B$7+1*B$6)&amp;" Equity","")</f>
        <v/>
      </c>
      <c r="HQ1" s="2">
        <f>IF(ISNUMBER(B$7),"DAL US "&amp;TEXT(B$3,"mm/dd/yy")&amp;" P"&amp;(B$7+1*B$6)&amp;" Equity","")</f>
        <v/>
      </c>
      <c r="IH1" s="2">
        <f>IF(ISNUMBER(B$7),"DAL US "&amp;TEXT(B$3,"mm/dd/yy")&amp;" C"&amp;(B$7+2*B$6)&amp;" Equity","")</f>
        <v/>
      </c>
      <c r="IY1" s="2">
        <f>IF(ISNUMBER(B$7),"DAL US "&amp;TEXT(B$3,"mm/dd/yy")&amp;" P"&amp;(B$7+2*B$6)&amp;" Equity","")</f>
        <v/>
      </c>
      <c r="JP1" s="2">
        <f>IF(ISNUMBER(B$7),"DAL US "&amp;TEXT(B$3,"mm/dd/yy")&amp;" C"&amp;(B$7+3*B$6)&amp;" Equity","")</f>
        <v/>
      </c>
      <c r="KG1" s="2">
        <f>IF(ISNUMBER(B$7),"DAL US "&amp;TEXT(B$3,"mm/dd/yy")&amp;" P"&amp;(B$7+3*B$6)&amp;" Equity","")</f>
        <v/>
      </c>
      <c r="KX1" s="2">
        <f>IF(ISNUMBER(B$7),"DAL US "&amp;TEXT(B$3,"mm/dd/yy")&amp;" C"&amp;(B$7+4*B$6)&amp;" Equity","")</f>
        <v/>
      </c>
      <c r="LO1" s="2">
        <f>IF(ISNUMBER(B$7),"DAL US "&amp;TEXT(B$3,"mm/dd/yy")&amp;" P"&amp;(B$7+4*B$6)&amp;" Equity","")</f>
        <v/>
      </c>
      <c r="MF1" s="2">
        <f>IF(ISNUMBER(B$7),"DAL US "&amp;TEXT(B$3,"mm/dd/yy")&amp;" C"&amp;(B$7+5*B$6)&amp;" Equity","")</f>
        <v/>
      </c>
      <c r="MW1" s="2">
        <f>IF(ISNUMBER(B$7),"DAL US "&amp;TEXT(B$3,"mm/dd/yy")&amp;" P"&amp;(B$7+5*B$6)&amp;" Equity","")</f>
        <v/>
      </c>
    </row>
    <row r="2">
      <c r="A2" s="2" t="inlineStr">
        <is>
          <t>Underlying</t>
        </is>
      </c>
      <c r="B2" s="4">
        <f>IF(Settings!$B$19="Y","DAL US Equity","")</f>
        <v/>
      </c>
      <c r="D2" s="4" t="inlineStr">
        <is>
          <t>call -5 from ATM</t>
        </is>
      </c>
      <c r="U2" s="4" t="inlineStr">
        <is>
          <t>put -5 from ATM</t>
        </is>
      </c>
      <c r="AL2" s="4" t="inlineStr">
        <is>
          <t>call -4 from ATM</t>
        </is>
      </c>
      <c r="BC2" s="4" t="inlineStr">
        <is>
          <t>put -4 from ATM</t>
        </is>
      </c>
      <c r="BT2" s="4" t="inlineStr">
        <is>
          <t>call -3 from ATM</t>
        </is>
      </c>
      <c r="CK2" s="4" t="inlineStr">
        <is>
          <t>put -3 from ATM</t>
        </is>
      </c>
      <c r="DB2" s="4" t="inlineStr">
        <is>
          <t>call -2 from ATM</t>
        </is>
      </c>
      <c r="DS2" s="4" t="inlineStr">
        <is>
          <t>put -2 from ATM</t>
        </is>
      </c>
      <c r="EJ2" s="4" t="inlineStr">
        <is>
          <t>call -1 from ATM</t>
        </is>
      </c>
      <c r="FA2" s="4" t="inlineStr">
        <is>
          <t>put -1 from ATM</t>
        </is>
      </c>
      <c r="FR2" s="4" t="inlineStr">
        <is>
          <t>call +0 from ATM</t>
        </is>
      </c>
      <c r="GI2" s="4" t="inlineStr">
        <is>
          <t>put +0 from ATM</t>
        </is>
      </c>
      <c r="GZ2" s="4" t="inlineStr">
        <is>
          <t>call +1 from ATM</t>
        </is>
      </c>
      <c r="HQ2" s="4" t="inlineStr">
        <is>
          <t>put +1 from ATM</t>
        </is>
      </c>
      <c r="IH2" s="4" t="inlineStr">
        <is>
          <t>call +2 from ATM</t>
        </is>
      </c>
      <c r="IY2" s="4" t="inlineStr">
        <is>
          <t>put +2 from ATM</t>
        </is>
      </c>
      <c r="JP2" s="4" t="inlineStr">
        <is>
          <t>call +3 from ATM</t>
        </is>
      </c>
      <c r="KG2" s="4" t="inlineStr">
        <is>
          <t>put +3 from ATM</t>
        </is>
      </c>
      <c r="KX2" s="4" t="inlineStr">
        <is>
          <t>call +4 from ATM</t>
        </is>
      </c>
      <c r="LO2" s="4" t="inlineStr">
        <is>
          <t>put +4 from ATM</t>
        </is>
      </c>
      <c r="MF2" s="4" t="inlineStr">
        <is>
          <t>call +5 from ATM</t>
        </is>
      </c>
      <c r="MW2" s="4" t="inlineStr">
        <is>
          <t>put +5 from ATM</t>
        </is>
      </c>
    </row>
    <row r="3">
      <c r="A3" s="2" t="inlineStr">
        <is>
          <t>Expiry (3rd Friday)</t>
        </is>
      </c>
      <c r="B3" s="3">
        <f>DATE(Settings!$E$19,B1,15)+MOD(6-WEEKDAY(DATE(Settings!$E$19,B1,15)),7)</f>
        <v/>
      </c>
      <c r="D3" s="5" t="inlineStr">
        <is>
          <t>Date</t>
        </is>
      </c>
      <c r="E3" s="5" t="inlineStr">
        <is>
          <t>PX_BID</t>
        </is>
      </c>
      <c r="F3" s="5" t="inlineStr">
        <is>
          <t>PX_ASK</t>
        </is>
      </c>
      <c r="G3" s="5" t="inlineStr">
        <is>
          <t>PX_MID</t>
        </is>
      </c>
      <c r="H3" s="5" t="inlineStr">
        <is>
          <t>PX_LAST</t>
        </is>
      </c>
      <c r="I3" s="5" t="inlineStr">
        <is>
          <t>PX_SETTLE</t>
        </is>
      </c>
      <c r="J3" s="5" t="inlineStr">
        <is>
          <t>PX_VOLUME</t>
        </is>
      </c>
      <c r="K3" s="5" t="inlineStr">
        <is>
          <t>OPEN_INT</t>
        </is>
      </c>
      <c r="L3" s="5" t="inlineStr">
        <is>
          <t>IVOL_MID</t>
        </is>
      </c>
      <c r="M3" s="5" t="inlineStr">
        <is>
          <t>IVOL_BID</t>
        </is>
      </c>
      <c r="N3" s="5" t="inlineStr">
        <is>
          <t>IVOL_ASK</t>
        </is>
      </c>
      <c r="O3" s="5" t="inlineStr">
        <is>
          <t>DELTA_MID</t>
        </is>
      </c>
      <c r="P3" s="5" t="inlineStr">
        <is>
          <t>GAMMA_MID</t>
        </is>
      </c>
      <c r="Q3" s="5" t="inlineStr">
        <is>
          <t>VEGA_MID</t>
        </is>
      </c>
      <c r="R3" s="5" t="inlineStr">
        <is>
          <t>THETA_MID</t>
        </is>
      </c>
      <c r="S3" s="5" t="inlineStr">
        <is>
          <t>OPT_UNDL_PX</t>
        </is>
      </c>
      <c r="U3" s="5" t="inlineStr">
        <is>
          <t>Date</t>
        </is>
      </c>
      <c r="V3" s="5" t="inlineStr">
        <is>
          <t>PX_BID</t>
        </is>
      </c>
      <c r="W3" s="5" t="inlineStr">
        <is>
          <t>PX_ASK</t>
        </is>
      </c>
      <c r="X3" s="5" t="inlineStr">
        <is>
          <t>PX_MID</t>
        </is>
      </c>
      <c r="Y3" s="5" t="inlineStr">
        <is>
          <t>PX_LAST</t>
        </is>
      </c>
      <c r="Z3" s="5" t="inlineStr">
        <is>
          <t>PX_SETTLE</t>
        </is>
      </c>
      <c r="AA3" s="5" t="inlineStr">
        <is>
          <t>PX_VOLUME</t>
        </is>
      </c>
      <c r="AB3" s="5" t="inlineStr">
        <is>
          <t>OPEN_INT</t>
        </is>
      </c>
      <c r="AC3" s="5" t="inlineStr">
        <is>
          <t>IVOL_MID</t>
        </is>
      </c>
      <c r="AD3" s="5" t="inlineStr">
        <is>
          <t>IVOL_BID</t>
        </is>
      </c>
      <c r="AE3" s="5" t="inlineStr">
        <is>
          <t>IVOL_ASK</t>
        </is>
      </c>
      <c r="AF3" s="5" t="inlineStr">
        <is>
          <t>DELTA_MID</t>
        </is>
      </c>
      <c r="AG3" s="5" t="inlineStr">
        <is>
          <t>GAMMA_MID</t>
        </is>
      </c>
      <c r="AH3" s="5" t="inlineStr">
        <is>
          <t>VEGA_MID</t>
        </is>
      </c>
      <c r="AI3" s="5" t="inlineStr">
        <is>
          <t>THETA_MID</t>
        </is>
      </c>
      <c r="AJ3" s="5" t="inlineStr">
        <is>
          <t>OPT_UNDL_PX</t>
        </is>
      </c>
      <c r="AL3" s="5" t="inlineStr">
        <is>
          <t>Date</t>
        </is>
      </c>
      <c r="AM3" s="5" t="inlineStr">
        <is>
          <t>PX_BID</t>
        </is>
      </c>
      <c r="AN3" s="5" t="inlineStr">
        <is>
          <t>PX_ASK</t>
        </is>
      </c>
      <c r="AO3" s="5" t="inlineStr">
        <is>
          <t>PX_MID</t>
        </is>
      </c>
      <c r="AP3" s="5" t="inlineStr">
        <is>
          <t>PX_LAST</t>
        </is>
      </c>
      <c r="AQ3" s="5" t="inlineStr">
        <is>
          <t>PX_SETTLE</t>
        </is>
      </c>
      <c r="AR3" s="5" t="inlineStr">
        <is>
          <t>PX_VOLUME</t>
        </is>
      </c>
      <c r="AS3" s="5" t="inlineStr">
        <is>
          <t>OPEN_INT</t>
        </is>
      </c>
      <c r="AT3" s="5" t="inlineStr">
        <is>
          <t>IVOL_MID</t>
        </is>
      </c>
      <c r="AU3" s="5" t="inlineStr">
        <is>
          <t>IVOL_BID</t>
        </is>
      </c>
      <c r="AV3" s="5" t="inlineStr">
        <is>
          <t>IVOL_ASK</t>
        </is>
      </c>
      <c r="AW3" s="5" t="inlineStr">
        <is>
          <t>DELTA_MID</t>
        </is>
      </c>
      <c r="AX3" s="5" t="inlineStr">
        <is>
          <t>GAMMA_MID</t>
        </is>
      </c>
      <c r="AY3" s="5" t="inlineStr">
        <is>
          <t>VEGA_MID</t>
        </is>
      </c>
      <c r="AZ3" s="5" t="inlineStr">
        <is>
          <t>THETA_MID</t>
        </is>
      </c>
      <c r="BA3" s="5" t="inlineStr">
        <is>
          <t>OPT_UNDL_PX</t>
        </is>
      </c>
      <c r="BC3" s="5" t="inlineStr">
        <is>
          <t>Date</t>
        </is>
      </c>
      <c r="BD3" s="5" t="inlineStr">
        <is>
          <t>PX_BID</t>
        </is>
      </c>
      <c r="BE3" s="5" t="inlineStr">
        <is>
          <t>PX_ASK</t>
        </is>
      </c>
      <c r="BF3" s="5" t="inlineStr">
        <is>
          <t>PX_MID</t>
        </is>
      </c>
      <c r="BG3" s="5" t="inlineStr">
        <is>
          <t>PX_LAST</t>
        </is>
      </c>
      <c r="BH3" s="5" t="inlineStr">
        <is>
          <t>PX_SETTLE</t>
        </is>
      </c>
      <c r="BI3" s="5" t="inlineStr">
        <is>
          <t>PX_VOLUME</t>
        </is>
      </c>
      <c r="BJ3" s="5" t="inlineStr">
        <is>
          <t>OPEN_INT</t>
        </is>
      </c>
      <c r="BK3" s="5" t="inlineStr">
        <is>
          <t>IVOL_MID</t>
        </is>
      </c>
      <c r="BL3" s="5" t="inlineStr">
        <is>
          <t>IVOL_BID</t>
        </is>
      </c>
      <c r="BM3" s="5" t="inlineStr">
        <is>
          <t>IVOL_ASK</t>
        </is>
      </c>
      <c r="BN3" s="5" t="inlineStr">
        <is>
          <t>DELTA_MID</t>
        </is>
      </c>
      <c r="BO3" s="5" t="inlineStr">
        <is>
          <t>GAMMA_MID</t>
        </is>
      </c>
      <c r="BP3" s="5" t="inlineStr">
        <is>
          <t>VEGA_MID</t>
        </is>
      </c>
      <c r="BQ3" s="5" t="inlineStr">
        <is>
          <t>THETA_MID</t>
        </is>
      </c>
      <c r="BR3" s="5" t="inlineStr">
        <is>
          <t>OPT_UNDL_PX</t>
        </is>
      </c>
      <c r="BT3" s="5" t="inlineStr">
        <is>
          <t>Date</t>
        </is>
      </c>
      <c r="BU3" s="5" t="inlineStr">
        <is>
          <t>PX_BID</t>
        </is>
      </c>
      <c r="BV3" s="5" t="inlineStr">
        <is>
          <t>PX_ASK</t>
        </is>
      </c>
      <c r="BW3" s="5" t="inlineStr">
        <is>
          <t>PX_MID</t>
        </is>
      </c>
      <c r="BX3" s="5" t="inlineStr">
        <is>
          <t>PX_LAST</t>
        </is>
      </c>
      <c r="BY3" s="5" t="inlineStr">
        <is>
          <t>PX_SETTLE</t>
        </is>
      </c>
      <c r="BZ3" s="5" t="inlineStr">
        <is>
          <t>PX_VOLUME</t>
        </is>
      </c>
      <c r="CA3" s="5" t="inlineStr">
        <is>
          <t>OPEN_INT</t>
        </is>
      </c>
      <c r="CB3" s="5" t="inlineStr">
        <is>
          <t>IVOL_MID</t>
        </is>
      </c>
      <c r="CC3" s="5" t="inlineStr">
        <is>
          <t>IVOL_BID</t>
        </is>
      </c>
      <c r="CD3" s="5" t="inlineStr">
        <is>
          <t>IVOL_ASK</t>
        </is>
      </c>
      <c r="CE3" s="5" t="inlineStr">
        <is>
          <t>DELTA_MID</t>
        </is>
      </c>
      <c r="CF3" s="5" t="inlineStr">
        <is>
          <t>GAMMA_MID</t>
        </is>
      </c>
      <c r="CG3" s="5" t="inlineStr">
        <is>
          <t>VEGA_MID</t>
        </is>
      </c>
      <c r="CH3" s="5" t="inlineStr">
        <is>
          <t>THETA_MID</t>
        </is>
      </c>
      <c r="CI3" s="5" t="inlineStr">
        <is>
          <t>OPT_UNDL_PX</t>
        </is>
      </c>
      <c r="CK3" s="5" t="inlineStr">
        <is>
          <t>Date</t>
        </is>
      </c>
      <c r="CL3" s="5" t="inlineStr">
        <is>
          <t>PX_BID</t>
        </is>
      </c>
      <c r="CM3" s="5" t="inlineStr">
        <is>
          <t>PX_ASK</t>
        </is>
      </c>
      <c r="CN3" s="5" t="inlineStr">
        <is>
          <t>PX_MID</t>
        </is>
      </c>
      <c r="CO3" s="5" t="inlineStr">
        <is>
          <t>PX_LAST</t>
        </is>
      </c>
      <c r="CP3" s="5" t="inlineStr">
        <is>
          <t>PX_SETTLE</t>
        </is>
      </c>
      <c r="CQ3" s="5" t="inlineStr">
        <is>
          <t>PX_VOLUME</t>
        </is>
      </c>
      <c r="CR3" s="5" t="inlineStr">
        <is>
          <t>OPEN_INT</t>
        </is>
      </c>
      <c r="CS3" s="5" t="inlineStr">
        <is>
          <t>IVOL_MID</t>
        </is>
      </c>
      <c r="CT3" s="5" t="inlineStr">
        <is>
          <t>IVOL_BID</t>
        </is>
      </c>
      <c r="CU3" s="5" t="inlineStr">
        <is>
          <t>IVOL_ASK</t>
        </is>
      </c>
      <c r="CV3" s="5" t="inlineStr">
        <is>
          <t>DELTA_MID</t>
        </is>
      </c>
      <c r="CW3" s="5" t="inlineStr">
        <is>
          <t>GAMMA_MID</t>
        </is>
      </c>
      <c r="CX3" s="5" t="inlineStr">
        <is>
          <t>VEGA_MID</t>
        </is>
      </c>
      <c r="CY3" s="5" t="inlineStr">
        <is>
          <t>THETA_MID</t>
        </is>
      </c>
      <c r="CZ3" s="5" t="inlineStr">
        <is>
          <t>OPT_UNDL_PX</t>
        </is>
      </c>
      <c r="DB3" s="5" t="inlineStr">
        <is>
          <t>Date</t>
        </is>
      </c>
      <c r="DC3" s="5" t="inlineStr">
        <is>
          <t>PX_BID</t>
        </is>
      </c>
      <c r="DD3" s="5" t="inlineStr">
        <is>
          <t>PX_ASK</t>
        </is>
      </c>
      <c r="DE3" s="5" t="inlineStr">
        <is>
          <t>PX_MID</t>
        </is>
      </c>
      <c r="DF3" s="5" t="inlineStr">
        <is>
          <t>PX_LAST</t>
        </is>
      </c>
      <c r="DG3" s="5" t="inlineStr">
        <is>
          <t>PX_SETTLE</t>
        </is>
      </c>
      <c r="DH3" s="5" t="inlineStr">
        <is>
          <t>PX_VOLUME</t>
        </is>
      </c>
      <c r="DI3" s="5" t="inlineStr">
        <is>
          <t>OPEN_INT</t>
        </is>
      </c>
      <c r="DJ3" s="5" t="inlineStr">
        <is>
          <t>IVOL_MID</t>
        </is>
      </c>
      <c r="DK3" s="5" t="inlineStr">
        <is>
          <t>IVOL_BID</t>
        </is>
      </c>
      <c r="DL3" s="5" t="inlineStr">
        <is>
          <t>IVOL_ASK</t>
        </is>
      </c>
      <c r="DM3" s="5" t="inlineStr">
        <is>
          <t>DELTA_MID</t>
        </is>
      </c>
      <c r="DN3" s="5" t="inlineStr">
        <is>
          <t>GAMMA_MID</t>
        </is>
      </c>
      <c r="DO3" s="5" t="inlineStr">
        <is>
          <t>VEGA_MID</t>
        </is>
      </c>
      <c r="DP3" s="5" t="inlineStr">
        <is>
          <t>THETA_MID</t>
        </is>
      </c>
      <c r="DQ3" s="5" t="inlineStr">
        <is>
          <t>OPT_UNDL_PX</t>
        </is>
      </c>
      <c r="DS3" s="5" t="inlineStr">
        <is>
          <t>Date</t>
        </is>
      </c>
      <c r="DT3" s="5" t="inlineStr">
        <is>
          <t>PX_BID</t>
        </is>
      </c>
      <c r="DU3" s="5" t="inlineStr">
        <is>
          <t>PX_ASK</t>
        </is>
      </c>
      <c r="DV3" s="5" t="inlineStr">
        <is>
          <t>PX_MID</t>
        </is>
      </c>
      <c r="DW3" s="5" t="inlineStr">
        <is>
          <t>PX_LAST</t>
        </is>
      </c>
      <c r="DX3" s="5" t="inlineStr">
        <is>
          <t>PX_SETTLE</t>
        </is>
      </c>
      <c r="DY3" s="5" t="inlineStr">
        <is>
          <t>PX_VOLUME</t>
        </is>
      </c>
      <c r="DZ3" s="5" t="inlineStr">
        <is>
          <t>OPEN_INT</t>
        </is>
      </c>
      <c r="EA3" s="5" t="inlineStr">
        <is>
          <t>IVOL_MID</t>
        </is>
      </c>
      <c r="EB3" s="5" t="inlineStr">
        <is>
          <t>IVOL_BID</t>
        </is>
      </c>
      <c r="EC3" s="5" t="inlineStr">
        <is>
          <t>IVOL_ASK</t>
        </is>
      </c>
      <c r="ED3" s="5" t="inlineStr">
        <is>
          <t>DELTA_MID</t>
        </is>
      </c>
      <c r="EE3" s="5" t="inlineStr">
        <is>
          <t>GAMMA_MID</t>
        </is>
      </c>
      <c r="EF3" s="5" t="inlineStr">
        <is>
          <t>VEGA_MID</t>
        </is>
      </c>
      <c r="EG3" s="5" t="inlineStr">
        <is>
          <t>THETA_MID</t>
        </is>
      </c>
      <c r="EH3" s="5" t="inlineStr">
        <is>
          <t>OPT_UNDL_PX</t>
        </is>
      </c>
      <c r="EJ3" s="5" t="inlineStr">
        <is>
          <t>Date</t>
        </is>
      </c>
      <c r="EK3" s="5" t="inlineStr">
        <is>
          <t>PX_BID</t>
        </is>
      </c>
      <c r="EL3" s="5" t="inlineStr">
        <is>
          <t>PX_ASK</t>
        </is>
      </c>
      <c r="EM3" s="5" t="inlineStr">
        <is>
          <t>PX_MID</t>
        </is>
      </c>
      <c r="EN3" s="5" t="inlineStr">
        <is>
          <t>PX_LAST</t>
        </is>
      </c>
      <c r="EO3" s="5" t="inlineStr">
        <is>
          <t>PX_SETTLE</t>
        </is>
      </c>
      <c r="EP3" s="5" t="inlineStr">
        <is>
          <t>PX_VOLUME</t>
        </is>
      </c>
      <c r="EQ3" s="5" t="inlineStr">
        <is>
          <t>OPEN_INT</t>
        </is>
      </c>
      <c r="ER3" s="5" t="inlineStr">
        <is>
          <t>IVOL_MID</t>
        </is>
      </c>
      <c r="ES3" s="5" t="inlineStr">
        <is>
          <t>IVOL_BID</t>
        </is>
      </c>
      <c r="ET3" s="5" t="inlineStr">
        <is>
          <t>IVOL_ASK</t>
        </is>
      </c>
      <c r="EU3" s="5" t="inlineStr">
        <is>
          <t>DELTA_MID</t>
        </is>
      </c>
      <c r="EV3" s="5" t="inlineStr">
        <is>
          <t>GAMMA_MID</t>
        </is>
      </c>
      <c r="EW3" s="5" t="inlineStr">
        <is>
          <t>VEGA_MID</t>
        </is>
      </c>
      <c r="EX3" s="5" t="inlineStr">
        <is>
          <t>THETA_MID</t>
        </is>
      </c>
      <c r="EY3" s="5" t="inlineStr">
        <is>
          <t>OPT_UNDL_PX</t>
        </is>
      </c>
      <c r="FA3" s="5" t="inlineStr">
        <is>
          <t>Date</t>
        </is>
      </c>
      <c r="FB3" s="5" t="inlineStr">
        <is>
          <t>PX_BID</t>
        </is>
      </c>
      <c r="FC3" s="5" t="inlineStr">
        <is>
          <t>PX_ASK</t>
        </is>
      </c>
      <c r="FD3" s="5" t="inlineStr">
        <is>
          <t>PX_MID</t>
        </is>
      </c>
      <c r="FE3" s="5" t="inlineStr">
        <is>
          <t>PX_LAST</t>
        </is>
      </c>
      <c r="FF3" s="5" t="inlineStr">
        <is>
          <t>PX_SETTLE</t>
        </is>
      </c>
      <c r="FG3" s="5" t="inlineStr">
        <is>
          <t>PX_VOLUME</t>
        </is>
      </c>
      <c r="FH3" s="5" t="inlineStr">
        <is>
          <t>OPEN_INT</t>
        </is>
      </c>
      <c r="FI3" s="5" t="inlineStr">
        <is>
          <t>IVOL_MID</t>
        </is>
      </c>
      <c r="FJ3" s="5" t="inlineStr">
        <is>
          <t>IVOL_BID</t>
        </is>
      </c>
      <c r="FK3" s="5" t="inlineStr">
        <is>
          <t>IVOL_ASK</t>
        </is>
      </c>
      <c r="FL3" s="5" t="inlineStr">
        <is>
          <t>DELTA_MID</t>
        </is>
      </c>
      <c r="FM3" s="5" t="inlineStr">
        <is>
          <t>GAMMA_MID</t>
        </is>
      </c>
      <c r="FN3" s="5" t="inlineStr">
        <is>
          <t>VEGA_MID</t>
        </is>
      </c>
      <c r="FO3" s="5" t="inlineStr">
        <is>
          <t>THETA_MID</t>
        </is>
      </c>
      <c r="FP3" s="5" t="inlineStr">
        <is>
          <t>OPT_UNDL_PX</t>
        </is>
      </c>
      <c r="FR3" s="5" t="inlineStr">
        <is>
          <t>Date</t>
        </is>
      </c>
      <c r="FS3" s="5" t="inlineStr">
        <is>
          <t>PX_BID</t>
        </is>
      </c>
      <c r="FT3" s="5" t="inlineStr">
        <is>
          <t>PX_ASK</t>
        </is>
      </c>
      <c r="FU3" s="5" t="inlineStr">
        <is>
          <t>PX_MID</t>
        </is>
      </c>
      <c r="FV3" s="5" t="inlineStr">
        <is>
          <t>PX_LAST</t>
        </is>
      </c>
      <c r="FW3" s="5" t="inlineStr">
        <is>
          <t>PX_SETTLE</t>
        </is>
      </c>
      <c r="FX3" s="5" t="inlineStr">
        <is>
          <t>PX_VOLUME</t>
        </is>
      </c>
      <c r="FY3" s="5" t="inlineStr">
        <is>
          <t>OPEN_INT</t>
        </is>
      </c>
      <c r="FZ3" s="5" t="inlineStr">
        <is>
          <t>IVOL_MID</t>
        </is>
      </c>
      <c r="GA3" s="5" t="inlineStr">
        <is>
          <t>IVOL_BID</t>
        </is>
      </c>
      <c r="GB3" s="5" t="inlineStr">
        <is>
          <t>IVOL_ASK</t>
        </is>
      </c>
      <c r="GC3" s="5" t="inlineStr">
        <is>
          <t>DELTA_MID</t>
        </is>
      </c>
      <c r="GD3" s="5" t="inlineStr">
        <is>
          <t>GAMMA_MID</t>
        </is>
      </c>
      <c r="GE3" s="5" t="inlineStr">
        <is>
          <t>VEGA_MID</t>
        </is>
      </c>
      <c r="GF3" s="5" t="inlineStr">
        <is>
          <t>THETA_MID</t>
        </is>
      </c>
      <c r="GG3" s="5" t="inlineStr">
        <is>
          <t>OPT_UNDL_PX</t>
        </is>
      </c>
      <c r="GI3" s="5" t="inlineStr">
        <is>
          <t>Date</t>
        </is>
      </c>
      <c r="GJ3" s="5" t="inlineStr">
        <is>
          <t>PX_BID</t>
        </is>
      </c>
      <c r="GK3" s="5" t="inlineStr">
        <is>
          <t>PX_ASK</t>
        </is>
      </c>
      <c r="GL3" s="5" t="inlineStr">
        <is>
          <t>PX_MID</t>
        </is>
      </c>
      <c r="GM3" s="5" t="inlineStr">
        <is>
          <t>PX_LAST</t>
        </is>
      </c>
      <c r="GN3" s="5" t="inlineStr">
        <is>
          <t>PX_SETTLE</t>
        </is>
      </c>
      <c r="GO3" s="5" t="inlineStr">
        <is>
          <t>PX_VOLUME</t>
        </is>
      </c>
      <c r="GP3" s="5" t="inlineStr">
        <is>
          <t>OPEN_INT</t>
        </is>
      </c>
      <c r="GQ3" s="5" t="inlineStr">
        <is>
          <t>IVOL_MID</t>
        </is>
      </c>
      <c r="GR3" s="5" t="inlineStr">
        <is>
          <t>IVOL_BID</t>
        </is>
      </c>
      <c r="GS3" s="5" t="inlineStr">
        <is>
          <t>IVOL_ASK</t>
        </is>
      </c>
      <c r="GT3" s="5" t="inlineStr">
        <is>
          <t>DELTA_MID</t>
        </is>
      </c>
      <c r="GU3" s="5" t="inlineStr">
        <is>
          <t>GAMMA_MID</t>
        </is>
      </c>
      <c r="GV3" s="5" t="inlineStr">
        <is>
          <t>VEGA_MID</t>
        </is>
      </c>
      <c r="GW3" s="5" t="inlineStr">
        <is>
          <t>THETA_MID</t>
        </is>
      </c>
      <c r="GX3" s="5" t="inlineStr">
        <is>
          <t>OPT_UNDL_PX</t>
        </is>
      </c>
      <c r="GZ3" s="5" t="inlineStr">
        <is>
          <t>Date</t>
        </is>
      </c>
      <c r="HA3" s="5" t="inlineStr">
        <is>
          <t>PX_BID</t>
        </is>
      </c>
      <c r="HB3" s="5" t="inlineStr">
        <is>
          <t>PX_ASK</t>
        </is>
      </c>
      <c r="HC3" s="5" t="inlineStr">
        <is>
          <t>PX_MID</t>
        </is>
      </c>
      <c r="HD3" s="5" t="inlineStr">
        <is>
          <t>PX_LAST</t>
        </is>
      </c>
      <c r="HE3" s="5" t="inlineStr">
        <is>
          <t>PX_SETTLE</t>
        </is>
      </c>
      <c r="HF3" s="5" t="inlineStr">
        <is>
          <t>PX_VOLUME</t>
        </is>
      </c>
      <c r="HG3" s="5" t="inlineStr">
        <is>
          <t>OPEN_INT</t>
        </is>
      </c>
      <c r="HH3" s="5" t="inlineStr">
        <is>
          <t>IVOL_MID</t>
        </is>
      </c>
      <c r="HI3" s="5" t="inlineStr">
        <is>
          <t>IVOL_BID</t>
        </is>
      </c>
      <c r="HJ3" s="5" t="inlineStr">
        <is>
          <t>IVOL_ASK</t>
        </is>
      </c>
      <c r="HK3" s="5" t="inlineStr">
        <is>
          <t>DELTA_MID</t>
        </is>
      </c>
      <c r="HL3" s="5" t="inlineStr">
        <is>
          <t>GAMMA_MID</t>
        </is>
      </c>
      <c r="HM3" s="5" t="inlineStr">
        <is>
          <t>VEGA_MID</t>
        </is>
      </c>
      <c r="HN3" s="5" t="inlineStr">
        <is>
          <t>THETA_MID</t>
        </is>
      </c>
      <c r="HO3" s="5" t="inlineStr">
        <is>
          <t>OPT_UNDL_PX</t>
        </is>
      </c>
      <c r="HQ3" s="5" t="inlineStr">
        <is>
          <t>Date</t>
        </is>
      </c>
      <c r="HR3" s="5" t="inlineStr">
        <is>
          <t>PX_BID</t>
        </is>
      </c>
      <c r="HS3" s="5" t="inlineStr">
        <is>
          <t>PX_ASK</t>
        </is>
      </c>
      <c r="HT3" s="5" t="inlineStr">
        <is>
          <t>PX_MID</t>
        </is>
      </c>
      <c r="HU3" s="5" t="inlineStr">
        <is>
          <t>PX_LAST</t>
        </is>
      </c>
      <c r="HV3" s="5" t="inlineStr">
        <is>
          <t>PX_SETTLE</t>
        </is>
      </c>
      <c r="HW3" s="5" t="inlineStr">
        <is>
          <t>PX_VOLUME</t>
        </is>
      </c>
      <c r="HX3" s="5" t="inlineStr">
        <is>
          <t>OPEN_INT</t>
        </is>
      </c>
      <c r="HY3" s="5" t="inlineStr">
        <is>
          <t>IVOL_MID</t>
        </is>
      </c>
      <c r="HZ3" s="5" t="inlineStr">
        <is>
          <t>IVOL_BID</t>
        </is>
      </c>
      <c r="IA3" s="5" t="inlineStr">
        <is>
          <t>IVOL_ASK</t>
        </is>
      </c>
      <c r="IB3" s="5" t="inlineStr">
        <is>
          <t>DELTA_MID</t>
        </is>
      </c>
      <c r="IC3" s="5" t="inlineStr">
        <is>
          <t>GAMMA_MID</t>
        </is>
      </c>
      <c r="ID3" s="5" t="inlineStr">
        <is>
          <t>VEGA_MID</t>
        </is>
      </c>
      <c r="IE3" s="5" t="inlineStr">
        <is>
          <t>THETA_MID</t>
        </is>
      </c>
      <c r="IF3" s="5" t="inlineStr">
        <is>
          <t>OPT_UNDL_PX</t>
        </is>
      </c>
      <c r="IH3" s="5" t="inlineStr">
        <is>
          <t>Date</t>
        </is>
      </c>
      <c r="II3" s="5" t="inlineStr">
        <is>
          <t>PX_BID</t>
        </is>
      </c>
      <c r="IJ3" s="5" t="inlineStr">
        <is>
          <t>PX_ASK</t>
        </is>
      </c>
      <c r="IK3" s="5" t="inlineStr">
        <is>
          <t>PX_MID</t>
        </is>
      </c>
      <c r="IL3" s="5" t="inlineStr">
        <is>
          <t>PX_LAST</t>
        </is>
      </c>
      <c r="IM3" s="5" t="inlineStr">
        <is>
          <t>PX_SETTLE</t>
        </is>
      </c>
      <c r="IN3" s="5" t="inlineStr">
        <is>
          <t>PX_VOLUME</t>
        </is>
      </c>
      <c r="IO3" s="5" t="inlineStr">
        <is>
          <t>OPEN_INT</t>
        </is>
      </c>
      <c r="IP3" s="5" t="inlineStr">
        <is>
          <t>IVOL_MID</t>
        </is>
      </c>
      <c r="IQ3" s="5" t="inlineStr">
        <is>
          <t>IVOL_BID</t>
        </is>
      </c>
      <c r="IR3" s="5" t="inlineStr">
        <is>
          <t>IVOL_ASK</t>
        </is>
      </c>
      <c r="IS3" s="5" t="inlineStr">
        <is>
          <t>DELTA_MID</t>
        </is>
      </c>
      <c r="IT3" s="5" t="inlineStr">
        <is>
          <t>GAMMA_MID</t>
        </is>
      </c>
      <c r="IU3" s="5" t="inlineStr">
        <is>
          <t>VEGA_MID</t>
        </is>
      </c>
      <c r="IV3" s="5" t="inlineStr">
        <is>
          <t>THETA_MID</t>
        </is>
      </c>
      <c r="IW3" s="5" t="inlineStr">
        <is>
          <t>OPT_UNDL_PX</t>
        </is>
      </c>
      <c r="IY3" s="5" t="inlineStr">
        <is>
          <t>Date</t>
        </is>
      </c>
      <c r="IZ3" s="5" t="inlineStr">
        <is>
          <t>PX_BID</t>
        </is>
      </c>
      <c r="JA3" s="5" t="inlineStr">
        <is>
          <t>PX_ASK</t>
        </is>
      </c>
      <c r="JB3" s="5" t="inlineStr">
        <is>
          <t>PX_MID</t>
        </is>
      </c>
      <c r="JC3" s="5" t="inlineStr">
        <is>
          <t>PX_LAST</t>
        </is>
      </c>
      <c r="JD3" s="5" t="inlineStr">
        <is>
          <t>PX_SETTLE</t>
        </is>
      </c>
      <c r="JE3" s="5" t="inlineStr">
        <is>
          <t>PX_VOLUME</t>
        </is>
      </c>
      <c r="JF3" s="5" t="inlineStr">
        <is>
          <t>OPEN_INT</t>
        </is>
      </c>
      <c r="JG3" s="5" t="inlineStr">
        <is>
          <t>IVOL_MID</t>
        </is>
      </c>
      <c r="JH3" s="5" t="inlineStr">
        <is>
          <t>IVOL_BID</t>
        </is>
      </c>
      <c r="JI3" s="5" t="inlineStr">
        <is>
          <t>IVOL_ASK</t>
        </is>
      </c>
      <c r="JJ3" s="5" t="inlineStr">
        <is>
          <t>DELTA_MID</t>
        </is>
      </c>
      <c r="JK3" s="5" t="inlineStr">
        <is>
          <t>GAMMA_MID</t>
        </is>
      </c>
      <c r="JL3" s="5" t="inlineStr">
        <is>
          <t>VEGA_MID</t>
        </is>
      </c>
      <c r="JM3" s="5" t="inlineStr">
        <is>
          <t>THETA_MID</t>
        </is>
      </c>
      <c r="JN3" s="5" t="inlineStr">
        <is>
          <t>OPT_UNDL_PX</t>
        </is>
      </c>
      <c r="JP3" s="5" t="inlineStr">
        <is>
          <t>Date</t>
        </is>
      </c>
      <c r="JQ3" s="5" t="inlineStr">
        <is>
          <t>PX_BID</t>
        </is>
      </c>
      <c r="JR3" s="5" t="inlineStr">
        <is>
          <t>PX_ASK</t>
        </is>
      </c>
      <c r="JS3" s="5" t="inlineStr">
        <is>
          <t>PX_MID</t>
        </is>
      </c>
      <c r="JT3" s="5" t="inlineStr">
        <is>
          <t>PX_LAST</t>
        </is>
      </c>
      <c r="JU3" s="5" t="inlineStr">
        <is>
          <t>PX_SETTLE</t>
        </is>
      </c>
      <c r="JV3" s="5" t="inlineStr">
        <is>
          <t>PX_VOLUME</t>
        </is>
      </c>
      <c r="JW3" s="5" t="inlineStr">
        <is>
          <t>OPEN_INT</t>
        </is>
      </c>
      <c r="JX3" s="5" t="inlineStr">
        <is>
          <t>IVOL_MID</t>
        </is>
      </c>
      <c r="JY3" s="5" t="inlineStr">
        <is>
          <t>IVOL_BID</t>
        </is>
      </c>
      <c r="JZ3" s="5" t="inlineStr">
        <is>
          <t>IVOL_ASK</t>
        </is>
      </c>
      <c r="KA3" s="5" t="inlineStr">
        <is>
          <t>DELTA_MID</t>
        </is>
      </c>
      <c r="KB3" s="5" t="inlineStr">
        <is>
          <t>GAMMA_MID</t>
        </is>
      </c>
      <c r="KC3" s="5" t="inlineStr">
        <is>
          <t>VEGA_MID</t>
        </is>
      </c>
      <c r="KD3" s="5" t="inlineStr">
        <is>
          <t>THETA_MID</t>
        </is>
      </c>
      <c r="KE3" s="5" t="inlineStr">
        <is>
          <t>OPT_UNDL_PX</t>
        </is>
      </c>
      <c r="KG3" s="5" t="inlineStr">
        <is>
          <t>Date</t>
        </is>
      </c>
      <c r="KH3" s="5" t="inlineStr">
        <is>
          <t>PX_BID</t>
        </is>
      </c>
      <c r="KI3" s="5" t="inlineStr">
        <is>
          <t>PX_ASK</t>
        </is>
      </c>
      <c r="KJ3" s="5" t="inlineStr">
        <is>
          <t>PX_MID</t>
        </is>
      </c>
      <c r="KK3" s="5" t="inlineStr">
        <is>
          <t>PX_LAST</t>
        </is>
      </c>
      <c r="KL3" s="5" t="inlineStr">
        <is>
          <t>PX_SETTLE</t>
        </is>
      </c>
      <c r="KM3" s="5" t="inlineStr">
        <is>
          <t>PX_VOLUME</t>
        </is>
      </c>
      <c r="KN3" s="5" t="inlineStr">
        <is>
          <t>OPEN_INT</t>
        </is>
      </c>
      <c r="KO3" s="5" t="inlineStr">
        <is>
          <t>IVOL_MID</t>
        </is>
      </c>
      <c r="KP3" s="5" t="inlineStr">
        <is>
          <t>IVOL_BID</t>
        </is>
      </c>
      <c r="KQ3" s="5" t="inlineStr">
        <is>
          <t>IVOL_ASK</t>
        </is>
      </c>
      <c r="KR3" s="5" t="inlineStr">
        <is>
          <t>DELTA_MID</t>
        </is>
      </c>
      <c r="KS3" s="5" t="inlineStr">
        <is>
          <t>GAMMA_MID</t>
        </is>
      </c>
      <c r="KT3" s="5" t="inlineStr">
        <is>
          <t>VEGA_MID</t>
        </is>
      </c>
      <c r="KU3" s="5" t="inlineStr">
        <is>
          <t>THETA_MID</t>
        </is>
      </c>
      <c r="KV3" s="5" t="inlineStr">
        <is>
          <t>OPT_UNDL_PX</t>
        </is>
      </c>
      <c r="KX3" s="5" t="inlineStr">
        <is>
          <t>Date</t>
        </is>
      </c>
      <c r="KY3" s="5" t="inlineStr">
        <is>
          <t>PX_BID</t>
        </is>
      </c>
      <c r="KZ3" s="5" t="inlineStr">
        <is>
          <t>PX_ASK</t>
        </is>
      </c>
      <c r="LA3" s="5" t="inlineStr">
        <is>
          <t>PX_MID</t>
        </is>
      </c>
      <c r="LB3" s="5" t="inlineStr">
        <is>
          <t>PX_LAST</t>
        </is>
      </c>
      <c r="LC3" s="5" t="inlineStr">
        <is>
          <t>PX_SETTLE</t>
        </is>
      </c>
      <c r="LD3" s="5" t="inlineStr">
        <is>
          <t>PX_VOLUME</t>
        </is>
      </c>
      <c r="LE3" s="5" t="inlineStr">
        <is>
          <t>OPEN_INT</t>
        </is>
      </c>
      <c r="LF3" s="5" t="inlineStr">
        <is>
          <t>IVOL_MID</t>
        </is>
      </c>
      <c r="LG3" s="5" t="inlineStr">
        <is>
          <t>IVOL_BID</t>
        </is>
      </c>
      <c r="LH3" s="5" t="inlineStr">
        <is>
          <t>IVOL_ASK</t>
        </is>
      </c>
      <c r="LI3" s="5" t="inlineStr">
        <is>
          <t>DELTA_MID</t>
        </is>
      </c>
      <c r="LJ3" s="5" t="inlineStr">
        <is>
          <t>GAMMA_MID</t>
        </is>
      </c>
      <c r="LK3" s="5" t="inlineStr">
        <is>
          <t>VEGA_MID</t>
        </is>
      </c>
      <c r="LL3" s="5" t="inlineStr">
        <is>
          <t>THETA_MID</t>
        </is>
      </c>
      <c r="LM3" s="5" t="inlineStr">
        <is>
          <t>OPT_UNDL_PX</t>
        </is>
      </c>
      <c r="LO3" s="5" t="inlineStr">
        <is>
          <t>Date</t>
        </is>
      </c>
      <c r="LP3" s="5" t="inlineStr">
        <is>
          <t>PX_BID</t>
        </is>
      </c>
      <c r="LQ3" s="5" t="inlineStr">
        <is>
          <t>PX_ASK</t>
        </is>
      </c>
      <c r="LR3" s="5" t="inlineStr">
        <is>
          <t>PX_MID</t>
        </is>
      </c>
      <c r="LS3" s="5" t="inlineStr">
        <is>
          <t>PX_LAST</t>
        </is>
      </c>
      <c r="LT3" s="5" t="inlineStr">
        <is>
          <t>PX_SETTLE</t>
        </is>
      </c>
      <c r="LU3" s="5" t="inlineStr">
        <is>
          <t>PX_VOLUME</t>
        </is>
      </c>
      <c r="LV3" s="5" t="inlineStr">
        <is>
          <t>OPEN_INT</t>
        </is>
      </c>
      <c r="LW3" s="5" t="inlineStr">
        <is>
          <t>IVOL_MID</t>
        </is>
      </c>
      <c r="LX3" s="5" t="inlineStr">
        <is>
          <t>IVOL_BID</t>
        </is>
      </c>
      <c r="LY3" s="5" t="inlineStr">
        <is>
          <t>IVOL_ASK</t>
        </is>
      </c>
      <c r="LZ3" s="5" t="inlineStr">
        <is>
          <t>DELTA_MID</t>
        </is>
      </c>
      <c r="MA3" s="5" t="inlineStr">
        <is>
          <t>GAMMA_MID</t>
        </is>
      </c>
      <c r="MB3" s="5" t="inlineStr">
        <is>
          <t>VEGA_MID</t>
        </is>
      </c>
      <c r="MC3" s="5" t="inlineStr">
        <is>
          <t>THETA_MID</t>
        </is>
      </c>
      <c r="MD3" s="5" t="inlineStr">
        <is>
          <t>OPT_UNDL_PX</t>
        </is>
      </c>
      <c r="MF3" s="5" t="inlineStr">
        <is>
          <t>Date</t>
        </is>
      </c>
      <c r="MG3" s="5" t="inlineStr">
        <is>
          <t>PX_BID</t>
        </is>
      </c>
      <c r="MH3" s="5" t="inlineStr">
        <is>
          <t>PX_ASK</t>
        </is>
      </c>
      <c r="MI3" s="5" t="inlineStr">
        <is>
          <t>PX_MID</t>
        </is>
      </c>
      <c r="MJ3" s="5" t="inlineStr">
        <is>
          <t>PX_LAST</t>
        </is>
      </c>
      <c r="MK3" s="5" t="inlineStr">
        <is>
          <t>PX_SETTLE</t>
        </is>
      </c>
      <c r="ML3" s="5" t="inlineStr">
        <is>
          <t>PX_VOLUME</t>
        </is>
      </c>
      <c r="MM3" s="5" t="inlineStr">
        <is>
          <t>OPEN_INT</t>
        </is>
      </c>
      <c r="MN3" s="5" t="inlineStr">
        <is>
          <t>IVOL_MID</t>
        </is>
      </c>
      <c r="MO3" s="5" t="inlineStr">
        <is>
          <t>IVOL_BID</t>
        </is>
      </c>
      <c r="MP3" s="5" t="inlineStr">
        <is>
          <t>IVOL_ASK</t>
        </is>
      </c>
      <c r="MQ3" s="5" t="inlineStr">
        <is>
          <t>DELTA_MID</t>
        </is>
      </c>
      <c r="MR3" s="5" t="inlineStr">
        <is>
          <t>GAMMA_MID</t>
        </is>
      </c>
      <c r="MS3" s="5" t="inlineStr">
        <is>
          <t>VEGA_MID</t>
        </is>
      </c>
      <c r="MT3" s="5" t="inlineStr">
        <is>
          <t>THETA_MID</t>
        </is>
      </c>
      <c r="MU3" s="5" t="inlineStr">
        <is>
          <t>OPT_UNDL_PX</t>
        </is>
      </c>
      <c r="MW3" s="5" t="inlineStr">
        <is>
          <t>Date</t>
        </is>
      </c>
      <c r="MX3" s="5" t="inlineStr">
        <is>
          <t>PX_BID</t>
        </is>
      </c>
      <c r="MY3" s="5" t="inlineStr">
        <is>
          <t>PX_ASK</t>
        </is>
      </c>
      <c r="MZ3" s="5" t="inlineStr">
        <is>
          <t>PX_MID</t>
        </is>
      </c>
      <c r="NA3" s="5" t="inlineStr">
        <is>
          <t>PX_LAST</t>
        </is>
      </c>
      <c r="NB3" s="5" t="inlineStr">
        <is>
          <t>PX_SETTLE</t>
        </is>
      </c>
      <c r="NC3" s="5" t="inlineStr">
        <is>
          <t>PX_VOLUME</t>
        </is>
      </c>
      <c r="ND3" s="5" t="inlineStr">
        <is>
          <t>OPEN_INT</t>
        </is>
      </c>
      <c r="NE3" s="5" t="inlineStr">
        <is>
          <t>IVOL_MID</t>
        </is>
      </c>
      <c r="NF3" s="5" t="inlineStr">
        <is>
          <t>IVOL_BID</t>
        </is>
      </c>
      <c r="NG3" s="5" t="inlineStr">
        <is>
          <t>IVOL_ASK</t>
        </is>
      </c>
      <c r="NH3" s="5" t="inlineStr">
        <is>
          <t>DELTA_MID</t>
        </is>
      </c>
      <c r="NI3" s="5" t="inlineStr">
        <is>
          <t>GAMMA_MID</t>
        </is>
      </c>
      <c r="NJ3" s="5" t="inlineStr">
        <is>
          <t>VEGA_MID</t>
        </is>
      </c>
      <c r="NK3" s="5" t="inlineStr">
        <is>
          <t>THETA_MID</t>
        </is>
      </c>
      <c r="NL3" s="5" t="inlineStr">
        <is>
          <t>OPT_UNDL_PX</t>
        </is>
      </c>
    </row>
    <row r="4">
      <c r="A4" s="2" t="inlineStr">
        <is>
          <t>Strike reference date</t>
        </is>
      </c>
      <c r="B4" s="8">
        <f>B3-45</f>
        <v/>
      </c>
      <c r="D4" s="4">
        <f>BDH(D$1,E$3:S$3,$B$8,$B$9,"Dir=V","Dts=S","Sort=A","Days=T","Fill=B")</f>
        <v/>
      </c>
      <c r="U4" s="4">
        <f>BDH(U$1,V$3:AJ$3,$B$8,$B$9,"Dir=V","Dts=S","Sort=A","Days=T","Fill=B")</f>
        <v/>
      </c>
      <c r="AL4" s="4">
        <f>BDH(AL$1,AM$3:BA$3,$B$8,$B$9,"Dir=V","Dts=S","Sort=A","Days=T","Fill=B")</f>
        <v/>
      </c>
      <c r="BC4" s="4">
        <f>BDH(BC$1,BD$3:BR$3,$B$8,$B$9,"Dir=V","Dts=S","Sort=A","Days=T","Fill=B")</f>
        <v/>
      </c>
      <c r="BT4" s="4">
        <f>BDH(BT$1,BU$3:CI$3,$B$8,$B$9,"Dir=V","Dts=S","Sort=A","Days=T","Fill=B")</f>
        <v/>
      </c>
      <c r="CK4" s="4">
        <f>BDH(CK$1,CL$3:CZ$3,$B$8,$B$9,"Dir=V","Dts=S","Sort=A","Days=T","Fill=B")</f>
        <v/>
      </c>
      <c r="DB4" s="4">
        <f>BDH(DB$1,DC$3:DQ$3,$B$8,$B$9,"Dir=V","Dts=S","Sort=A","Days=T","Fill=B")</f>
        <v/>
      </c>
      <c r="DS4" s="4">
        <f>BDH(DS$1,DT$3:EH$3,$B$8,$B$9,"Dir=V","Dts=S","Sort=A","Days=T","Fill=B")</f>
        <v/>
      </c>
      <c r="EJ4" s="4">
        <f>BDH(EJ$1,EK$3:EY$3,$B$8,$B$9,"Dir=V","Dts=S","Sort=A","Days=T","Fill=B")</f>
        <v/>
      </c>
      <c r="FA4" s="4">
        <f>BDH(FA$1,FB$3:FP$3,$B$8,$B$9,"Dir=V","Dts=S","Sort=A","Days=T","Fill=B")</f>
        <v/>
      </c>
      <c r="FR4" s="4">
        <f>BDH(FR$1,FS$3:GG$3,$B$8,$B$9,"Dir=V","Dts=S","Sort=A","Days=T","Fill=B")</f>
        <v/>
      </c>
      <c r="GI4" s="4">
        <f>BDH(GI$1,GJ$3:GX$3,$B$8,$B$9,"Dir=V","Dts=S","Sort=A","Days=T","Fill=B")</f>
        <v/>
      </c>
      <c r="GZ4" s="4">
        <f>BDH(GZ$1,HA$3:HO$3,$B$8,$B$9,"Dir=V","Dts=S","Sort=A","Days=T","Fill=B")</f>
        <v/>
      </c>
      <c r="HQ4" s="4">
        <f>BDH(HQ$1,HR$3:IF$3,$B$8,$B$9,"Dir=V","Dts=S","Sort=A","Days=T","Fill=B")</f>
        <v/>
      </c>
      <c r="IH4" s="4">
        <f>BDH(IH$1,II$3:IW$3,$B$8,$B$9,"Dir=V","Dts=S","Sort=A","Days=T","Fill=B")</f>
        <v/>
      </c>
      <c r="IY4" s="4">
        <f>BDH(IY$1,IZ$3:JN$3,$B$8,$B$9,"Dir=V","Dts=S","Sort=A","Days=T","Fill=B")</f>
        <v/>
      </c>
      <c r="JP4" s="4">
        <f>BDH(JP$1,JQ$3:KE$3,$B$8,$B$9,"Dir=V","Dts=S","Sort=A","Days=T","Fill=B")</f>
        <v/>
      </c>
      <c r="KG4" s="4">
        <f>BDH(KG$1,KH$3:KV$3,$B$8,$B$9,"Dir=V","Dts=S","Sort=A","Days=T","Fill=B")</f>
        <v/>
      </c>
      <c r="KX4" s="4">
        <f>BDH(KX$1,KY$3:LM$3,$B$8,$B$9,"Dir=V","Dts=S","Sort=A","Days=T","Fill=B")</f>
        <v/>
      </c>
      <c r="LO4" s="4">
        <f>BDH(LO$1,LP$3:MD$3,$B$8,$B$9,"Dir=V","Dts=S","Sort=A","Days=T","Fill=B")</f>
        <v/>
      </c>
      <c r="MF4" s="4">
        <f>BDH(MF$1,MG$3:MU$3,$B$8,$B$9,"Dir=V","Dts=S","Sort=A","Days=T","Fill=B")</f>
        <v/>
      </c>
      <c r="MW4" s="4">
        <f>BDH(MW$1,MX$3:NL$3,$B$8,$B$9,"Dir=V","Dts=S","Sort=A","Days=T","Fill=B")</f>
        <v/>
      </c>
    </row>
    <row r="5">
      <c r="A5" s="2" t="inlineStr">
        <is>
          <t>Unadjusted close then</t>
        </is>
      </c>
      <c r="B5" s="10">
        <f>IF(B2="","",BDH(B2,"PX_LAST",B4,B4,"Days=A","Fill=P","Dts=H","CshAdjNormal=N","CshAdjAbnormal=N","CapChg=N"))</f>
        <v/>
      </c>
    </row>
    <row r="6">
      <c r="A6" s="2" t="inlineStr">
        <is>
          <t>Strike step</t>
        </is>
      </c>
      <c r="B6" s="11">
        <f>IF(ISNUMBER(B5),IF(B5&lt;25,0.5,IF(B5&lt;250,1,5)),"")</f>
        <v/>
      </c>
    </row>
    <row r="7">
      <c r="A7" s="2" t="inlineStr">
        <is>
          <t>ATM strike</t>
        </is>
      </c>
      <c r="B7" s="11">
        <f>IF(ISNUMBER(B5),ROUND(B5/B6,0)*B6,"")</f>
        <v/>
      </c>
    </row>
    <row r="8">
      <c r="A8" s="2" t="inlineStr">
        <is>
          <t>History start</t>
        </is>
      </c>
      <c r="B8" s="8">
        <f>B3-100</f>
        <v/>
      </c>
    </row>
    <row r="9">
      <c r="A9" s="2" t="inlineStr">
        <is>
          <t>History end</t>
        </is>
      </c>
      <c r="B9" s="8">
        <f>B3</f>
        <v/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NL9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2" customWidth="1" min="2" max="2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1" customWidth="1" min="15" max="15"/>
    <col width="11" customWidth="1" min="16" max="16"/>
    <col width="10" customWidth="1" min="17" max="17"/>
    <col width="11" customWidth="1" min="18" max="18"/>
    <col width="13" customWidth="1" min="19" max="19"/>
    <col width="12" customWidth="1" min="21" max="21"/>
    <col width="10" customWidth="1" min="22" max="22"/>
    <col width="10" customWidth="1" min="23" max="23"/>
    <col width="10" customWidth="1" min="24" max="24"/>
    <col width="10" customWidth="1" min="25" max="25"/>
    <col width="11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1" customWidth="1" min="32" max="32"/>
    <col width="11" customWidth="1" min="33" max="33"/>
    <col width="10" customWidth="1" min="34" max="34"/>
    <col width="11" customWidth="1" min="35" max="35"/>
    <col width="13" customWidth="1" min="36" max="36"/>
    <col width="12" customWidth="1" min="38" max="38"/>
    <col width="10" customWidth="1" min="39" max="39"/>
    <col width="10" customWidth="1" min="40" max="40"/>
    <col width="10" customWidth="1" min="41" max="41"/>
    <col width="10" customWidth="1" min="42" max="42"/>
    <col width="11" customWidth="1" min="43" max="43"/>
    <col width="11" customWidth="1" min="44" max="44"/>
    <col width="10" customWidth="1" min="45" max="45"/>
    <col width="10" customWidth="1" min="46" max="46"/>
    <col width="10" customWidth="1" min="47" max="47"/>
    <col width="10" customWidth="1" min="48" max="48"/>
    <col width="11" customWidth="1" min="49" max="49"/>
    <col width="11" customWidth="1" min="50" max="50"/>
    <col width="10" customWidth="1" min="51" max="51"/>
    <col width="11" customWidth="1" min="52" max="52"/>
    <col width="13" customWidth="1" min="53" max="53"/>
    <col width="12" customWidth="1" min="55" max="55"/>
    <col width="10" customWidth="1" min="56" max="56"/>
    <col width="10" customWidth="1" min="57" max="57"/>
    <col width="10" customWidth="1" min="58" max="58"/>
    <col width="10" customWidth="1" min="59" max="59"/>
    <col width="11" customWidth="1" min="60" max="60"/>
    <col width="11" customWidth="1" min="61" max="61"/>
    <col width="10" customWidth="1" min="62" max="62"/>
    <col width="10" customWidth="1" min="63" max="63"/>
    <col width="10" customWidth="1" min="64" max="64"/>
    <col width="10" customWidth="1" min="65" max="65"/>
    <col width="11" customWidth="1" min="66" max="66"/>
    <col width="11" customWidth="1" min="67" max="67"/>
    <col width="10" customWidth="1" min="68" max="68"/>
    <col width="11" customWidth="1" min="69" max="69"/>
    <col width="13" customWidth="1" min="70" max="70"/>
    <col width="12" customWidth="1" min="72" max="72"/>
    <col width="10" customWidth="1" min="73" max="73"/>
    <col width="10" customWidth="1" min="74" max="74"/>
    <col width="10" customWidth="1" min="75" max="75"/>
    <col width="10" customWidth="1" min="76" max="76"/>
    <col width="11" customWidth="1" min="77" max="77"/>
    <col width="11" customWidth="1" min="78" max="78"/>
    <col width="10" customWidth="1" min="79" max="79"/>
    <col width="10" customWidth="1" min="80" max="80"/>
    <col width="10" customWidth="1" min="81" max="81"/>
    <col width="10" customWidth="1" min="82" max="82"/>
    <col width="11" customWidth="1" min="83" max="83"/>
    <col width="11" customWidth="1" min="84" max="84"/>
    <col width="10" customWidth="1" min="85" max="85"/>
    <col width="11" customWidth="1" min="86" max="86"/>
    <col width="13" customWidth="1" min="87" max="87"/>
    <col width="12" customWidth="1" min="89" max="89"/>
    <col width="10" customWidth="1" min="90" max="90"/>
    <col width="10" customWidth="1" min="91" max="91"/>
    <col width="10" customWidth="1" min="92" max="92"/>
    <col width="10" customWidth="1" min="93" max="93"/>
    <col width="11" customWidth="1" min="94" max="94"/>
    <col width="11" customWidth="1" min="95" max="95"/>
    <col width="10" customWidth="1" min="96" max="96"/>
    <col width="10" customWidth="1" min="97" max="97"/>
    <col width="10" customWidth="1" min="98" max="98"/>
    <col width="10" customWidth="1" min="99" max="99"/>
    <col width="11" customWidth="1" min="100" max="100"/>
    <col width="11" customWidth="1" min="101" max="101"/>
    <col width="10" customWidth="1" min="102" max="102"/>
    <col width="11" customWidth="1" min="103" max="103"/>
    <col width="13" customWidth="1" min="104" max="104"/>
    <col width="12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1" customWidth="1" min="111" max="111"/>
    <col width="11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1" customWidth="1" min="117" max="117"/>
    <col width="11" customWidth="1" min="118" max="118"/>
    <col width="10" customWidth="1" min="119" max="119"/>
    <col width="11" customWidth="1" min="120" max="120"/>
    <col width="13" customWidth="1" min="121" max="121"/>
    <col width="12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1" customWidth="1" min="128" max="128"/>
    <col width="11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1" customWidth="1" min="134" max="134"/>
    <col width="11" customWidth="1" min="135" max="135"/>
    <col width="10" customWidth="1" min="136" max="136"/>
    <col width="11" customWidth="1" min="137" max="137"/>
    <col width="13" customWidth="1" min="138" max="138"/>
    <col width="12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1" customWidth="1" min="145" max="145"/>
    <col width="11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1" customWidth="1" min="151" max="151"/>
    <col width="11" customWidth="1" min="152" max="152"/>
    <col width="10" customWidth="1" min="153" max="153"/>
    <col width="11" customWidth="1" min="154" max="154"/>
    <col width="13" customWidth="1" min="155" max="155"/>
    <col width="12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1" customWidth="1" min="162" max="162"/>
    <col width="11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1" customWidth="1" min="168" max="168"/>
    <col width="11" customWidth="1" min="169" max="169"/>
    <col width="10" customWidth="1" min="170" max="170"/>
    <col width="11" customWidth="1" min="171" max="171"/>
    <col width="13" customWidth="1" min="172" max="172"/>
    <col width="12" customWidth="1" min="174" max="174"/>
    <col width="10" customWidth="1" min="175" max="175"/>
    <col width="10" customWidth="1" min="176" max="176"/>
    <col width="10" customWidth="1" min="177" max="177"/>
    <col width="10" customWidth="1" min="178" max="178"/>
    <col width="11" customWidth="1" min="179" max="179"/>
    <col width="11" customWidth="1" min="180" max="180"/>
    <col width="10" customWidth="1" min="181" max="181"/>
    <col width="10" customWidth="1" min="182" max="182"/>
    <col width="10" customWidth="1" min="183" max="183"/>
    <col width="10" customWidth="1" min="184" max="184"/>
    <col width="11" customWidth="1" min="185" max="185"/>
    <col width="11" customWidth="1" min="186" max="186"/>
    <col width="10" customWidth="1" min="187" max="187"/>
    <col width="11" customWidth="1" min="188" max="188"/>
    <col width="13" customWidth="1" min="189" max="189"/>
    <col width="12" customWidth="1" min="191" max="191"/>
    <col width="10" customWidth="1" min="192" max="192"/>
    <col width="10" customWidth="1" min="193" max="193"/>
    <col width="10" customWidth="1" min="194" max="194"/>
    <col width="10" customWidth="1" min="195" max="195"/>
    <col width="11" customWidth="1" min="196" max="196"/>
    <col width="11" customWidth="1" min="197" max="197"/>
    <col width="10" customWidth="1" min="198" max="198"/>
    <col width="10" customWidth="1" min="199" max="199"/>
    <col width="10" customWidth="1" min="200" max="200"/>
    <col width="10" customWidth="1" min="201" max="201"/>
    <col width="11" customWidth="1" min="202" max="202"/>
    <col width="11" customWidth="1" min="203" max="203"/>
    <col width="10" customWidth="1" min="204" max="204"/>
    <col width="11" customWidth="1" min="205" max="205"/>
    <col width="13" customWidth="1" min="206" max="206"/>
    <col width="12" customWidth="1" min="208" max="208"/>
    <col width="10" customWidth="1" min="209" max="209"/>
    <col width="10" customWidth="1" min="210" max="210"/>
    <col width="10" customWidth="1" min="211" max="211"/>
    <col width="10" customWidth="1" min="212" max="212"/>
    <col width="11" customWidth="1" min="213" max="213"/>
    <col width="11" customWidth="1" min="214" max="214"/>
    <col width="10" customWidth="1" min="215" max="215"/>
    <col width="10" customWidth="1" min="216" max="216"/>
    <col width="10" customWidth="1" min="217" max="217"/>
    <col width="10" customWidth="1" min="218" max="218"/>
    <col width="11" customWidth="1" min="219" max="219"/>
    <col width="11" customWidth="1" min="220" max="220"/>
    <col width="10" customWidth="1" min="221" max="221"/>
    <col width="11" customWidth="1" min="222" max="222"/>
    <col width="13" customWidth="1" min="223" max="223"/>
    <col width="12" customWidth="1" min="225" max="225"/>
    <col width="10" customWidth="1" min="226" max="226"/>
    <col width="10" customWidth="1" min="227" max="227"/>
    <col width="10" customWidth="1" min="228" max="228"/>
    <col width="10" customWidth="1" min="229" max="229"/>
    <col width="11" customWidth="1" min="230" max="230"/>
    <col width="11" customWidth="1" min="231" max="231"/>
    <col width="10" customWidth="1" min="232" max="232"/>
    <col width="10" customWidth="1" min="233" max="233"/>
    <col width="10" customWidth="1" min="234" max="234"/>
    <col width="10" customWidth="1" min="235" max="235"/>
    <col width="11" customWidth="1" min="236" max="236"/>
    <col width="11" customWidth="1" min="237" max="237"/>
    <col width="10" customWidth="1" min="238" max="238"/>
    <col width="11" customWidth="1" min="239" max="239"/>
    <col width="13" customWidth="1" min="240" max="240"/>
    <col width="12" customWidth="1" min="242" max="242"/>
    <col width="10" customWidth="1" min="243" max="243"/>
    <col width="10" customWidth="1" min="244" max="244"/>
    <col width="10" customWidth="1" min="245" max="245"/>
    <col width="10" customWidth="1" min="246" max="246"/>
    <col width="11" customWidth="1" min="247" max="247"/>
    <col width="11" customWidth="1" min="248" max="248"/>
    <col width="10" customWidth="1" min="249" max="249"/>
    <col width="10" customWidth="1" min="250" max="250"/>
    <col width="10" customWidth="1" min="251" max="251"/>
    <col width="10" customWidth="1" min="252" max="252"/>
    <col width="11" customWidth="1" min="253" max="253"/>
    <col width="11" customWidth="1" min="254" max="254"/>
    <col width="10" customWidth="1" min="255" max="255"/>
    <col width="11" customWidth="1" min="256" max="256"/>
    <col width="13" customWidth="1" min="257" max="257"/>
    <col width="12" customWidth="1" min="259" max="259"/>
    <col width="10" customWidth="1" min="260" max="260"/>
    <col width="10" customWidth="1" min="261" max="261"/>
    <col width="10" customWidth="1" min="262" max="262"/>
    <col width="10" customWidth="1" min="263" max="263"/>
    <col width="11" customWidth="1" min="264" max="264"/>
    <col width="11" customWidth="1" min="265" max="265"/>
    <col width="10" customWidth="1" min="266" max="266"/>
    <col width="10" customWidth="1" min="267" max="267"/>
    <col width="10" customWidth="1" min="268" max="268"/>
    <col width="10" customWidth="1" min="269" max="269"/>
    <col width="11" customWidth="1" min="270" max="270"/>
    <col width="11" customWidth="1" min="271" max="271"/>
    <col width="10" customWidth="1" min="272" max="272"/>
    <col width="11" customWidth="1" min="273" max="273"/>
    <col width="13" customWidth="1" min="274" max="274"/>
    <col width="12" customWidth="1" min="276" max="276"/>
    <col width="10" customWidth="1" min="277" max="277"/>
    <col width="10" customWidth="1" min="278" max="278"/>
    <col width="10" customWidth="1" min="279" max="279"/>
    <col width="10" customWidth="1" min="280" max="280"/>
    <col width="11" customWidth="1" min="281" max="281"/>
    <col width="11" customWidth="1" min="282" max="282"/>
    <col width="10" customWidth="1" min="283" max="283"/>
    <col width="10" customWidth="1" min="284" max="284"/>
    <col width="10" customWidth="1" min="285" max="285"/>
    <col width="10" customWidth="1" min="286" max="286"/>
    <col width="11" customWidth="1" min="287" max="287"/>
    <col width="11" customWidth="1" min="288" max="288"/>
    <col width="10" customWidth="1" min="289" max="289"/>
    <col width="11" customWidth="1" min="290" max="290"/>
    <col width="13" customWidth="1" min="291" max="291"/>
    <col width="12" customWidth="1" min="293" max="293"/>
    <col width="10" customWidth="1" min="294" max="294"/>
    <col width="10" customWidth="1" min="295" max="295"/>
    <col width="10" customWidth="1" min="296" max="296"/>
    <col width="10" customWidth="1" min="297" max="297"/>
    <col width="11" customWidth="1" min="298" max="298"/>
    <col width="11" customWidth="1" min="299" max="299"/>
    <col width="10" customWidth="1" min="300" max="300"/>
    <col width="10" customWidth="1" min="301" max="301"/>
    <col width="10" customWidth="1" min="302" max="302"/>
    <col width="10" customWidth="1" min="303" max="303"/>
    <col width="11" customWidth="1" min="304" max="304"/>
    <col width="11" customWidth="1" min="305" max="305"/>
    <col width="10" customWidth="1" min="306" max="306"/>
    <col width="11" customWidth="1" min="307" max="307"/>
    <col width="13" customWidth="1" min="308" max="308"/>
    <col width="12" customWidth="1" min="310" max="310"/>
    <col width="10" customWidth="1" min="311" max="311"/>
    <col width="10" customWidth="1" min="312" max="312"/>
    <col width="10" customWidth="1" min="313" max="313"/>
    <col width="10" customWidth="1" min="314" max="314"/>
    <col width="11" customWidth="1" min="315" max="315"/>
    <col width="11" customWidth="1" min="316" max="316"/>
    <col width="10" customWidth="1" min="317" max="317"/>
    <col width="10" customWidth="1" min="318" max="318"/>
    <col width="10" customWidth="1" min="319" max="319"/>
    <col width="10" customWidth="1" min="320" max="320"/>
    <col width="11" customWidth="1" min="321" max="321"/>
    <col width="11" customWidth="1" min="322" max="322"/>
    <col width="10" customWidth="1" min="323" max="323"/>
    <col width="11" customWidth="1" min="324" max="324"/>
    <col width="13" customWidth="1" min="325" max="325"/>
    <col width="12" customWidth="1" min="327" max="327"/>
    <col width="10" customWidth="1" min="328" max="328"/>
    <col width="10" customWidth="1" min="329" max="329"/>
    <col width="10" customWidth="1" min="330" max="330"/>
    <col width="10" customWidth="1" min="331" max="331"/>
    <col width="11" customWidth="1" min="332" max="332"/>
    <col width="11" customWidth="1" min="333" max="333"/>
    <col width="10" customWidth="1" min="334" max="334"/>
    <col width="10" customWidth="1" min="335" max="335"/>
    <col width="10" customWidth="1" min="336" max="336"/>
    <col width="10" customWidth="1" min="337" max="337"/>
    <col width="11" customWidth="1" min="338" max="338"/>
    <col width="11" customWidth="1" min="339" max="339"/>
    <col width="10" customWidth="1" min="340" max="340"/>
    <col width="11" customWidth="1" min="341" max="341"/>
    <col width="13" customWidth="1" min="342" max="342"/>
    <col width="12" customWidth="1" min="344" max="344"/>
    <col width="10" customWidth="1" min="345" max="345"/>
    <col width="10" customWidth="1" min="346" max="346"/>
    <col width="10" customWidth="1" min="347" max="347"/>
    <col width="10" customWidth="1" min="348" max="348"/>
    <col width="11" customWidth="1" min="349" max="349"/>
    <col width="11" customWidth="1" min="350" max="350"/>
    <col width="10" customWidth="1" min="351" max="351"/>
    <col width="10" customWidth="1" min="352" max="352"/>
    <col width="10" customWidth="1" min="353" max="353"/>
    <col width="10" customWidth="1" min="354" max="354"/>
    <col width="11" customWidth="1" min="355" max="355"/>
    <col width="11" customWidth="1" min="356" max="356"/>
    <col width="10" customWidth="1" min="357" max="357"/>
    <col width="11" customWidth="1" min="358" max="358"/>
    <col width="13" customWidth="1" min="359" max="359"/>
    <col width="12" customWidth="1" min="361" max="361"/>
    <col width="10" customWidth="1" min="362" max="362"/>
    <col width="10" customWidth="1" min="363" max="363"/>
    <col width="10" customWidth="1" min="364" max="364"/>
    <col width="10" customWidth="1" min="365" max="365"/>
    <col width="11" customWidth="1" min="366" max="366"/>
    <col width="11" customWidth="1" min="367" max="367"/>
    <col width="10" customWidth="1" min="368" max="368"/>
    <col width="10" customWidth="1" min="369" max="369"/>
    <col width="10" customWidth="1" min="370" max="370"/>
    <col width="10" customWidth="1" min="371" max="371"/>
    <col width="11" customWidth="1" min="372" max="372"/>
    <col width="11" customWidth="1" min="373" max="373"/>
    <col width="10" customWidth="1" min="374" max="374"/>
    <col width="11" customWidth="1" min="375" max="375"/>
    <col width="13" customWidth="1" min="376" max="376"/>
  </cols>
  <sheetData>
    <row r="1">
      <c r="A1" s="2" t="inlineStr">
        <is>
          <t>Month</t>
        </is>
      </c>
      <c r="B1" s="9" t="n">
        <v>11</v>
      </c>
      <c r="D1" s="2">
        <f>IF(ISNUMBER(B$7),"DAL US "&amp;TEXT(B$3,"mm/dd/yy")&amp;" C"&amp;(B$7-5*B$6)&amp;" Equity","")</f>
        <v/>
      </c>
      <c r="U1" s="2">
        <f>IF(ISNUMBER(B$7),"DAL US "&amp;TEXT(B$3,"mm/dd/yy")&amp;" P"&amp;(B$7-5*B$6)&amp;" Equity","")</f>
        <v/>
      </c>
      <c r="AL1" s="2">
        <f>IF(ISNUMBER(B$7),"DAL US "&amp;TEXT(B$3,"mm/dd/yy")&amp;" C"&amp;(B$7-4*B$6)&amp;" Equity","")</f>
        <v/>
      </c>
      <c r="BC1" s="2">
        <f>IF(ISNUMBER(B$7),"DAL US "&amp;TEXT(B$3,"mm/dd/yy")&amp;" P"&amp;(B$7-4*B$6)&amp;" Equity","")</f>
        <v/>
      </c>
      <c r="BT1" s="2">
        <f>IF(ISNUMBER(B$7),"DAL US "&amp;TEXT(B$3,"mm/dd/yy")&amp;" C"&amp;(B$7-3*B$6)&amp;" Equity","")</f>
        <v/>
      </c>
      <c r="CK1" s="2">
        <f>IF(ISNUMBER(B$7),"DAL US "&amp;TEXT(B$3,"mm/dd/yy")&amp;" P"&amp;(B$7-3*B$6)&amp;" Equity","")</f>
        <v/>
      </c>
      <c r="DB1" s="2">
        <f>IF(ISNUMBER(B$7),"DAL US "&amp;TEXT(B$3,"mm/dd/yy")&amp;" C"&amp;(B$7-2*B$6)&amp;" Equity","")</f>
        <v/>
      </c>
      <c r="DS1" s="2">
        <f>IF(ISNUMBER(B$7),"DAL US "&amp;TEXT(B$3,"mm/dd/yy")&amp;" P"&amp;(B$7-2*B$6)&amp;" Equity","")</f>
        <v/>
      </c>
      <c r="EJ1" s="2">
        <f>IF(ISNUMBER(B$7),"DAL US "&amp;TEXT(B$3,"mm/dd/yy")&amp;" C"&amp;(B$7-1*B$6)&amp;" Equity","")</f>
        <v/>
      </c>
      <c r="FA1" s="2">
        <f>IF(ISNUMBER(B$7),"DAL US "&amp;TEXT(B$3,"mm/dd/yy")&amp;" P"&amp;(B$7-1*B$6)&amp;" Equity","")</f>
        <v/>
      </c>
      <c r="FR1" s="2">
        <f>IF(ISNUMBER(B$7),"DAL US "&amp;TEXT(B$3,"mm/dd/yy")&amp;" C"&amp;B$7&amp;" Equity","")</f>
        <v/>
      </c>
      <c r="GI1" s="2">
        <f>IF(ISNUMBER(B$7),"DAL US "&amp;TEXT(B$3,"mm/dd/yy")&amp;" P"&amp;B$7&amp;" Equity","")</f>
        <v/>
      </c>
      <c r="GZ1" s="2">
        <f>IF(ISNUMBER(B$7),"DAL US "&amp;TEXT(B$3,"mm/dd/yy")&amp;" C"&amp;(B$7+1*B$6)&amp;" Equity","")</f>
        <v/>
      </c>
      <c r="HQ1" s="2">
        <f>IF(ISNUMBER(B$7),"DAL US "&amp;TEXT(B$3,"mm/dd/yy")&amp;" P"&amp;(B$7+1*B$6)&amp;" Equity","")</f>
        <v/>
      </c>
      <c r="IH1" s="2">
        <f>IF(ISNUMBER(B$7),"DAL US "&amp;TEXT(B$3,"mm/dd/yy")&amp;" C"&amp;(B$7+2*B$6)&amp;" Equity","")</f>
        <v/>
      </c>
      <c r="IY1" s="2">
        <f>IF(ISNUMBER(B$7),"DAL US "&amp;TEXT(B$3,"mm/dd/yy")&amp;" P"&amp;(B$7+2*B$6)&amp;" Equity","")</f>
        <v/>
      </c>
      <c r="JP1" s="2">
        <f>IF(ISNUMBER(B$7),"DAL US "&amp;TEXT(B$3,"mm/dd/yy")&amp;" C"&amp;(B$7+3*B$6)&amp;" Equity","")</f>
        <v/>
      </c>
      <c r="KG1" s="2">
        <f>IF(ISNUMBER(B$7),"DAL US "&amp;TEXT(B$3,"mm/dd/yy")&amp;" P"&amp;(B$7+3*B$6)&amp;" Equity","")</f>
        <v/>
      </c>
      <c r="KX1" s="2">
        <f>IF(ISNUMBER(B$7),"DAL US "&amp;TEXT(B$3,"mm/dd/yy")&amp;" C"&amp;(B$7+4*B$6)&amp;" Equity","")</f>
        <v/>
      </c>
      <c r="LO1" s="2">
        <f>IF(ISNUMBER(B$7),"DAL US "&amp;TEXT(B$3,"mm/dd/yy")&amp;" P"&amp;(B$7+4*B$6)&amp;" Equity","")</f>
        <v/>
      </c>
      <c r="MF1" s="2">
        <f>IF(ISNUMBER(B$7),"DAL US "&amp;TEXT(B$3,"mm/dd/yy")&amp;" C"&amp;(B$7+5*B$6)&amp;" Equity","")</f>
        <v/>
      </c>
      <c r="MW1" s="2">
        <f>IF(ISNUMBER(B$7),"DAL US "&amp;TEXT(B$3,"mm/dd/yy")&amp;" P"&amp;(B$7+5*B$6)&amp;" Equity","")</f>
        <v/>
      </c>
    </row>
    <row r="2">
      <c r="A2" s="2" t="inlineStr">
        <is>
          <t>Underlying</t>
        </is>
      </c>
      <c r="B2" s="4">
        <f>IF(Settings!$B$19="Y","DAL US Equity","")</f>
        <v/>
      </c>
      <c r="D2" s="4" t="inlineStr">
        <is>
          <t>call -5 from ATM</t>
        </is>
      </c>
      <c r="U2" s="4" t="inlineStr">
        <is>
          <t>put -5 from ATM</t>
        </is>
      </c>
      <c r="AL2" s="4" t="inlineStr">
        <is>
          <t>call -4 from ATM</t>
        </is>
      </c>
      <c r="BC2" s="4" t="inlineStr">
        <is>
          <t>put -4 from ATM</t>
        </is>
      </c>
      <c r="BT2" s="4" t="inlineStr">
        <is>
          <t>call -3 from ATM</t>
        </is>
      </c>
      <c r="CK2" s="4" t="inlineStr">
        <is>
          <t>put -3 from ATM</t>
        </is>
      </c>
      <c r="DB2" s="4" t="inlineStr">
        <is>
          <t>call -2 from ATM</t>
        </is>
      </c>
      <c r="DS2" s="4" t="inlineStr">
        <is>
          <t>put -2 from ATM</t>
        </is>
      </c>
      <c r="EJ2" s="4" t="inlineStr">
        <is>
          <t>call -1 from ATM</t>
        </is>
      </c>
      <c r="FA2" s="4" t="inlineStr">
        <is>
          <t>put -1 from ATM</t>
        </is>
      </c>
      <c r="FR2" s="4" t="inlineStr">
        <is>
          <t>call +0 from ATM</t>
        </is>
      </c>
      <c r="GI2" s="4" t="inlineStr">
        <is>
          <t>put +0 from ATM</t>
        </is>
      </c>
      <c r="GZ2" s="4" t="inlineStr">
        <is>
          <t>call +1 from ATM</t>
        </is>
      </c>
      <c r="HQ2" s="4" t="inlineStr">
        <is>
          <t>put +1 from ATM</t>
        </is>
      </c>
      <c r="IH2" s="4" t="inlineStr">
        <is>
          <t>call +2 from ATM</t>
        </is>
      </c>
      <c r="IY2" s="4" t="inlineStr">
        <is>
          <t>put +2 from ATM</t>
        </is>
      </c>
      <c r="JP2" s="4" t="inlineStr">
        <is>
          <t>call +3 from ATM</t>
        </is>
      </c>
      <c r="KG2" s="4" t="inlineStr">
        <is>
          <t>put +3 from ATM</t>
        </is>
      </c>
      <c r="KX2" s="4" t="inlineStr">
        <is>
          <t>call +4 from ATM</t>
        </is>
      </c>
      <c r="LO2" s="4" t="inlineStr">
        <is>
          <t>put +4 from ATM</t>
        </is>
      </c>
      <c r="MF2" s="4" t="inlineStr">
        <is>
          <t>call +5 from ATM</t>
        </is>
      </c>
      <c r="MW2" s="4" t="inlineStr">
        <is>
          <t>put +5 from ATM</t>
        </is>
      </c>
    </row>
    <row r="3">
      <c r="A3" s="2" t="inlineStr">
        <is>
          <t>Expiry (3rd Friday)</t>
        </is>
      </c>
      <c r="B3" s="3">
        <f>DATE(Settings!$E$19,B1,15)+MOD(6-WEEKDAY(DATE(Settings!$E$19,B1,15)),7)</f>
        <v/>
      </c>
      <c r="D3" s="5" t="inlineStr">
        <is>
          <t>Date</t>
        </is>
      </c>
      <c r="E3" s="5" t="inlineStr">
        <is>
          <t>PX_BID</t>
        </is>
      </c>
      <c r="F3" s="5" t="inlineStr">
        <is>
          <t>PX_ASK</t>
        </is>
      </c>
      <c r="G3" s="5" t="inlineStr">
        <is>
          <t>PX_MID</t>
        </is>
      </c>
      <c r="H3" s="5" t="inlineStr">
        <is>
          <t>PX_LAST</t>
        </is>
      </c>
      <c r="I3" s="5" t="inlineStr">
        <is>
          <t>PX_SETTLE</t>
        </is>
      </c>
      <c r="J3" s="5" t="inlineStr">
        <is>
          <t>PX_VOLUME</t>
        </is>
      </c>
      <c r="K3" s="5" t="inlineStr">
        <is>
          <t>OPEN_INT</t>
        </is>
      </c>
      <c r="L3" s="5" t="inlineStr">
        <is>
          <t>IVOL_MID</t>
        </is>
      </c>
      <c r="M3" s="5" t="inlineStr">
        <is>
          <t>IVOL_BID</t>
        </is>
      </c>
      <c r="N3" s="5" t="inlineStr">
        <is>
          <t>IVOL_ASK</t>
        </is>
      </c>
      <c r="O3" s="5" t="inlineStr">
        <is>
          <t>DELTA_MID</t>
        </is>
      </c>
      <c r="P3" s="5" t="inlineStr">
        <is>
          <t>GAMMA_MID</t>
        </is>
      </c>
      <c r="Q3" s="5" t="inlineStr">
        <is>
          <t>VEGA_MID</t>
        </is>
      </c>
      <c r="R3" s="5" t="inlineStr">
        <is>
          <t>THETA_MID</t>
        </is>
      </c>
      <c r="S3" s="5" t="inlineStr">
        <is>
          <t>OPT_UNDL_PX</t>
        </is>
      </c>
      <c r="U3" s="5" t="inlineStr">
        <is>
          <t>Date</t>
        </is>
      </c>
      <c r="V3" s="5" t="inlineStr">
        <is>
          <t>PX_BID</t>
        </is>
      </c>
      <c r="W3" s="5" t="inlineStr">
        <is>
          <t>PX_ASK</t>
        </is>
      </c>
      <c r="X3" s="5" t="inlineStr">
        <is>
          <t>PX_MID</t>
        </is>
      </c>
      <c r="Y3" s="5" t="inlineStr">
        <is>
          <t>PX_LAST</t>
        </is>
      </c>
      <c r="Z3" s="5" t="inlineStr">
        <is>
          <t>PX_SETTLE</t>
        </is>
      </c>
      <c r="AA3" s="5" t="inlineStr">
        <is>
          <t>PX_VOLUME</t>
        </is>
      </c>
      <c r="AB3" s="5" t="inlineStr">
        <is>
          <t>OPEN_INT</t>
        </is>
      </c>
      <c r="AC3" s="5" t="inlineStr">
        <is>
          <t>IVOL_MID</t>
        </is>
      </c>
      <c r="AD3" s="5" t="inlineStr">
        <is>
          <t>IVOL_BID</t>
        </is>
      </c>
      <c r="AE3" s="5" t="inlineStr">
        <is>
          <t>IVOL_ASK</t>
        </is>
      </c>
      <c r="AF3" s="5" t="inlineStr">
        <is>
          <t>DELTA_MID</t>
        </is>
      </c>
      <c r="AG3" s="5" t="inlineStr">
        <is>
          <t>GAMMA_MID</t>
        </is>
      </c>
      <c r="AH3" s="5" t="inlineStr">
        <is>
          <t>VEGA_MID</t>
        </is>
      </c>
      <c r="AI3" s="5" t="inlineStr">
        <is>
          <t>THETA_MID</t>
        </is>
      </c>
      <c r="AJ3" s="5" t="inlineStr">
        <is>
          <t>OPT_UNDL_PX</t>
        </is>
      </c>
      <c r="AL3" s="5" t="inlineStr">
        <is>
          <t>Date</t>
        </is>
      </c>
      <c r="AM3" s="5" t="inlineStr">
        <is>
          <t>PX_BID</t>
        </is>
      </c>
      <c r="AN3" s="5" t="inlineStr">
        <is>
          <t>PX_ASK</t>
        </is>
      </c>
      <c r="AO3" s="5" t="inlineStr">
        <is>
          <t>PX_MID</t>
        </is>
      </c>
      <c r="AP3" s="5" t="inlineStr">
        <is>
          <t>PX_LAST</t>
        </is>
      </c>
      <c r="AQ3" s="5" t="inlineStr">
        <is>
          <t>PX_SETTLE</t>
        </is>
      </c>
      <c r="AR3" s="5" t="inlineStr">
        <is>
          <t>PX_VOLUME</t>
        </is>
      </c>
      <c r="AS3" s="5" t="inlineStr">
        <is>
          <t>OPEN_INT</t>
        </is>
      </c>
      <c r="AT3" s="5" t="inlineStr">
        <is>
          <t>IVOL_MID</t>
        </is>
      </c>
      <c r="AU3" s="5" t="inlineStr">
        <is>
          <t>IVOL_BID</t>
        </is>
      </c>
      <c r="AV3" s="5" t="inlineStr">
        <is>
          <t>IVOL_ASK</t>
        </is>
      </c>
      <c r="AW3" s="5" t="inlineStr">
        <is>
          <t>DELTA_MID</t>
        </is>
      </c>
      <c r="AX3" s="5" t="inlineStr">
        <is>
          <t>GAMMA_MID</t>
        </is>
      </c>
      <c r="AY3" s="5" t="inlineStr">
        <is>
          <t>VEGA_MID</t>
        </is>
      </c>
      <c r="AZ3" s="5" t="inlineStr">
        <is>
          <t>THETA_MID</t>
        </is>
      </c>
      <c r="BA3" s="5" t="inlineStr">
        <is>
          <t>OPT_UNDL_PX</t>
        </is>
      </c>
      <c r="BC3" s="5" t="inlineStr">
        <is>
          <t>Date</t>
        </is>
      </c>
      <c r="BD3" s="5" t="inlineStr">
        <is>
          <t>PX_BID</t>
        </is>
      </c>
      <c r="BE3" s="5" t="inlineStr">
        <is>
          <t>PX_ASK</t>
        </is>
      </c>
      <c r="BF3" s="5" t="inlineStr">
        <is>
          <t>PX_MID</t>
        </is>
      </c>
      <c r="BG3" s="5" t="inlineStr">
        <is>
          <t>PX_LAST</t>
        </is>
      </c>
      <c r="BH3" s="5" t="inlineStr">
        <is>
          <t>PX_SETTLE</t>
        </is>
      </c>
      <c r="BI3" s="5" t="inlineStr">
        <is>
          <t>PX_VOLUME</t>
        </is>
      </c>
      <c r="BJ3" s="5" t="inlineStr">
        <is>
          <t>OPEN_INT</t>
        </is>
      </c>
      <c r="BK3" s="5" t="inlineStr">
        <is>
          <t>IVOL_MID</t>
        </is>
      </c>
      <c r="BL3" s="5" t="inlineStr">
        <is>
          <t>IVOL_BID</t>
        </is>
      </c>
      <c r="BM3" s="5" t="inlineStr">
        <is>
          <t>IVOL_ASK</t>
        </is>
      </c>
      <c r="BN3" s="5" t="inlineStr">
        <is>
          <t>DELTA_MID</t>
        </is>
      </c>
      <c r="BO3" s="5" t="inlineStr">
        <is>
          <t>GAMMA_MID</t>
        </is>
      </c>
      <c r="BP3" s="5" t="inlineStr">
        <is>
          <t>VEGA_MID</t>
        </is>
      </c>
      <c r="BQ3" s="5" t="inlineStr">
        <is>
          <t>THETA_MID</t>
        </is>
      </c>
      <c r="BR3" s="5" t="inlineStr">
        <is>
          <t>OPT_UNDL_PX</t>
        </is>
      </c>
      <c r="BT3" s="5" t="inlineStr">
        <is>
          <t>Date</t>
        </is>
      </c>
      <c r="BU3" s="5" t="inlineStr">
        <is>
          <t>PX_BID</t>
        </is>
      </c>
      <c r="BV3" s="5" t="inlineStr">
        <is>
          <t>PX_ASK</t>
        </is>
      </c>
      <c r="BW3" s="5" t="inlineStr">
        <is>
          <t>PX_MID</t>
        </is>
      </c>
      <c r="BX3" s="5" t="inlineStr">
        <is>
          <t>PX_LAST</t>
        </is>
      </c>
      <c r="BY3" s="5" t="inlineStr">
        <is>
          <t>PX_SETTLE</t>
        </is>
      </c>
      <c r="BZ3" s="5" t="inlineStr">
        <is>
          <t>PX_VOLUME</t>
        </is>
      </c>
      <c r="CA3" s="5" t="inlineStr">
        <is>
          <t>OPEN_INT</t>
        </is>
      </c>
      <c r="CB3" s="5" t="inlineStr">
        <is>
          <t>IVOL_MID</t>
        </is>
      </c>
      <c r="CC3" s="5" t="inlineStr">
        <is>
          <t>IVOL_BID</t>
        </is>
      </c>
      <c r="CD3" s="5" t="inlineStr">
        <is>
          <t>IVOL_ASK</t>
        </is>
      </c>
      <c r="CE3" s="5" t="inlineStr">
        <is>
          <t>DELTA_MID</t>
        </is>
      </c>
      <c r="CF3" s="5" t="inlineStr">
        <is>
          <t>GAMMA_MID</t>
        </is>
      </c>
      <c r="CG3" s="5" t="inlineStr">
        <is>
          <t>VEGA_MID</t>
        </is>
      </c>
      <c r="CH3" s="5" t="inlineStr">
        <is>
          <t>THETA_MID</t>
        </is>
      </c>
      <c r="CI3" s="5" t="inlineStr">
        <is>
          <t>OPT_UNDL_PX</t>
        </is>
      </c>
      <c r="CK3" s="5" t="inlineStr">
        <is>
          <t>Date</t>
        </is>
      </c>
      <c r="CL3" s="5" t="inlineStr">
        <is>
          <t>PX_BID</t>
        </is>
      </c>
      <c r="CM3" s="5" t="inlineStr">
        <is>
          <t>PX_ASK</t>
        </is>
      </c>
      <c r="CN3" s="5" t="inlineStr">
        <is>
          <t>PX_MID</t>
        </is>
      </c>
      <c r="CO3" s="5" t="inlineStr">
        <is>
          <t>PX_LAST</t>
        </is>
      </c>
      <c r="CP3" s="5" t="inlineStr">
        <is>
          <t>PX_SETTLE</t>
        </is>
      </c>
      <c r="CQ3" s="5" t="inlineStr">
        <is>
          <t>PX_VOLUME</t>
        </is>
      </c>
      <c r="CR3" s="5" t="inlineStr">
        <is>
          <t>OPEN_INT</t>
        </is>
      </c>
      <c r="CS3" s="5" t="inlineStr">
        <is>
          <t>IVOL_MID</t>
        </is>
      </c>
      <c r="CT3" s="5" t="inlineStr">
        <is>
          <t>IVOL_BID</t>
        </is>
      </c>
      <c r="CU3" s="5" t="inlineStr">
        <is>
          <t>IVOL_ASK</t>
        </is>
      </c>
      <c r="CV3" s="5" t="inlineStr">
        <is>
          <t>DELTA_MID</t>
        </is>
      </c>
      <c r="CW3" s="5" t="inlineStr">
        <is>
          <t>GAMMA_MID</t>
        </is>
      </c>
      <c r="CX3" s="5" t="inlineStr">
        <is>
          <t>VEGA_MID</t>
        </is>
      </c>
      <c r="CY3" s="5" t="inlineStr">
        <is>
          <t>THETA_MID</t>
        </is>
      </c>
      <c r="CZ3" s="5" t="inlineStr">
        <is>
          <t>OPT_UNDL_PX</t>
        </is>
      </c>
      <c r="DB3" s="5" t="inlineStr">
        <is>
          <t>Date</t>
        </is>
      </c>
      <c r="DC3" s="5" t="inlineStr">
        <is>
          <t>PX_BID</t>
        </is>
      </c>
      <c r="DD3" s="5" t="inlineStr">
        <is>
          <t>PX_ASK</t>
        </is>
      </c>
      <c r="DE3" s="5" t="inlineStr">
        <is>
          <t>PX_MID</t>
        </is>
      </c>
      <c r="DF3" s="5" t="inlineStr">
        <is>
          <t>PX_LAST</t>
        </is>
      </c>
      <c r="DG3" s="5" t="inlineStr">
        <is>
          <t>PX_SETTLE</t>
        </is>
      </c>
      <c r="DH3" s="5" t="inlineStr">
        <is>
          <t>PX_VOLUME</t>
        </is>
      </c>
      <c r="DI3" s="5" t="inlineStr">
        <is>
          <t>OPEN_INT</t>
        </is>
      </c>
      <c r="DJ3" s="5" t="inlineStr">
        <is>
          <t>IVOL_MID</t>
        </is>
      </c>
      <c r="DK3" s="5" t="inlineStr">
        <is>
          <t>IVOL_BID</t>
        </is>
      </c>
      <c r="DL3" s="5" t="inlineStr">
        <is>
          <t>IVOL_ASK</t>
        </is>
      </c>
      <c r="DM3" s="5" t="inlineStr">
        <is>
          <t>DELTA_MID</t>
        </is>
      </c>
      <c r="DN3" s="5" t="inlineStr">
        <is>
          <t>GAMMA_MID</t>
        </is>
      </c>
      <c r="DO3" s="5" t="inlineStr">
        <is>
          <t>VEGA_MID</t>
        </is>
      </c>
      <c r="DP3" s="5" t="inlineStr">
        <is>
          <t>THETA_MID</t>
        </is>
      </c>
      <c r="DQ3" s="5" t="inlineStr">
        <is>
          <t>OPT_UNDL_PX</t>
        </is>
      </c>
      <c r="DS3" s="5" t="inlineStr">
        <is>
          <t>Date</t>
        </is>
      </c>
      <c r="DT3" s="5" t="inlineStr">
        <is>
          <t>PX_BID</t>
        </is>
      </c>
      <c r="DU3" s="5" t="inlineStr">
        <is>
          <t>PX_ASK</t>
        </is>
      </c>
      <c r="DV3" s="5" t="inlineStr">
        <is>
          <t>PX_MID</t>
        </is>
      </c>
      <c r="DW3" s="5" t="inlineStr">
        <is>
          <t>PX_LAST</t>
        </is>
      </c>
      <c r="DX3" s="5" t="inlineStr">
        <is>
          <t>PX_SETTLE</t>
        </is>
      </c>
      <c r="DY3" s="5" t="inlineStr">
        <is>
          <t>PX_VOLUME</t>
        </is>
      </c>
      <c r="DZ3" s="5" t="inlineStr">
        <is>
          <t>OPEN_INT</t>
        </is>
      </c>
      <c r="EA3" s="5" t="inlineStr">
        <is>
          <t>IVOL_MID</t>
        </is>
      </c>
      <c r="EB3" s="5" t="inlineStr">
        <is>
          <t>IVOL_BID</t>
        </is>
      </c>
      <c r="EC3" s="5" t="inlineStr">
        <is>
          <t>IVOL_ASK</t>
        </is>
      </c>
      <c r="ED3" s="5" t="inlineStr">
        <is>
          <t>DELTA_MID</t>
        </is>
      </c>
      <c r="EE3" s="5" t="inlineStr">
        <is>
          <t>GAMMA_MID</t>
        </is>
      </c>
      <c r="EF3" s="5" t="inlineStr">
        <is>
          <t>VEGA_MID</t>
        </is>
      </c>
      <c r="EG3" s="5" t="inlineStr">
        <is>
          <t>THETA_MID</t>
        </is>
      </c>
      <c r="EH3" s="5" t="inlineStr">
        <is>
          <t>OPT_UNDL_PX</t>
        </is>
      </c>
      <c r="EJ3" s="5" t="inlineStr">
        <is>
          <t>Date</t>
        </is>
      </c>
      <c r="EK3" s="5" t="inlineStr">
        <is>
          <t>PX_BID</t>
        </is>
      </c>
      <c r="EL3" s="5" t="inlineStr">
        <is>
          <t>PX_ASK</t>
        </is>
      </c>
      <c r="EM3" s="5" t="inlineStr">
        <is>
          <t>PX_MID</t>
        </is>
      </c>
      <c r="EN3" s="5" t="inlineStr">
        <is>
          <t>PX_LAST</t>
        </is>
      </c>
      <c r="EO3" s="5" t="inlineStr">
        <is>
          <t>PX_SETTLE</t>
        </is>
      </c>
      <c r="EP3" s="5" t="inlineStr">
        <is>
          <t>PX_VOLUME</t>
        </is>
      </c>
      <c r="EQ3" s="5" t="inlineStr">
        <is>
          <t>OPEN_INT</t>
        </is>
      </c>
      <c r="ER3" s="5" t="inlineStr">
        <is>
          <t>IVOL_MID</t>
        </is>
      </c>
      <c r="ES3" s="5" t="inlineStr">
        <is>
          <t>IVOL_BID</t>
        </is>
      </c>
      <c r="ET3" s="5" t="inlineStr">
        <is>
          <t>IVOL_ASK</t>
        </is>
      </c>
      <c r="EU3" s="5" t="inlineStr">
        <is>
          <t>DELTA_MID</t>
        </is>
      </c>
      <c r="EV3" s="5" t="inlineStr">
        <is>
          <t>GAMMA_MID</t>
        </is>
      </c>
      <c r="EW3" s="5" t="inlineStr">
        <is>
          <t>VEGA_MID</t>
        </is>
      </c>
      <c r="EX3" s="5" t="inlineStr">
        <is>
          <t>THETA_MID</t>
        </is>
      </c>
      <c r="EY3" s="5" t="inlineStr">
        <is>
          <t>OPT_UNDL_PX</t>
        </is>
      </c>
      <c r="FA3" s="5" t="inlineStr">
        <is>
          <t>Date</t>
        </is>
      </c>
      <c r="FB3" s="5" t="inlineStr">
        <is>
          <t>PX_BID</t>
        </is>
      </c>
      <c r="FC3" s="5" t="inlineStr">
        <is>
          <t>PX_ASK</t>
        </is>
      </c>
      <c r="FD3" s="5" t="inlineStr">
        <is>
          <t>PX_MID</t>
        </is>
      </c>
      <c r="FE3" s="5" t="inlineStr">
        <is>
          <t>PX_LAST</t>
        </is>
      </c>
      <c r="FF3" s="5" t="inlineStr">
        <is>
          <t>PX_SETTLE</t>
        </is>
      </c>
      <c r="FG3" s="5" t="inlineStr">
        <is>
          <t>PX_VOLUME</t>
        </is>
      </c>
      <c r="FH3" s="5" t="inlineStr">
        <is>
          <t>OPEN_INT</t>
        </is>
      </c>
      <c r="FI3" s="5" t="inlineStr">
        <is>
          <t>IVOL_MID</t>
        </is>
      </c>
      <c r="FJ3" s="5" t="inlineStr">
        <is>
          <t>IVOL_BID</t>
        </is>
      </c>
      <c r="FK3" s="5" t="inlineStr">
        <is>
          <t>IVOL_ASK</t>
        </is>
      </c>
      <c r="FL3" s="5" t="inlineStr">
        <is>
          <t>DELTA_MID</t>
        </is>
      </c>
      <c r="FM3" s="5" t="inlineStr">
        <is>
          <t>GAMMA_MID</t>
        </is>
      </c>
      <c r="FN3" s="5" t="inlineStr">
        <is>
          <t>VEGA_MID</t>
        </is>
      </c>
      <c r="FO3" s="5" t="inlineStr">
        <is>
          <t>THETA_MID</t>
        </is>
      </c>
      <c r="FP3" s="5" t="inlineStr">
        <is>
          <t>OPT_UNDL_PX</t>
        </is>
      </c>
      <c r="FR3" s="5" t="inlineStr">
        <is>
          <t>Date</t>
        </is>
      </c>
      <c r="FS3" s="5" t="inlineStr">
        <is>
          <t>PX_BID</t>
        </is>
      </c>
      <c r="FT3" s="5" t="inlineStr">
        <is>
          <t>PX_ASK</t>
        </is>
      </c>
      <c r="FU3" s="5" t="inlineStr">
        <is>
          <t>PX_MID</t>
        </is>
      </c>
      <c r="FV3" s="5" t="inlineStr">
        <is>
          <t>PX_LAST</t>
        </is>
      </c>
      <c r="FW3" s="5" t="inlineStr">
        <is>
          <t>PX_SETTLE</t>
        </is>
      </c>
      <c r="FX3" s="5" t="inlineStr">
        <is>
          <t>PX_VOLUME</t>
        </is>
      </c>
      <c r="FY3" s="5" t="inlineStr">
        <is>
          <t>OPEN_INT</t>
        </is>
      </c>
      <c r="FZ3" s="5" t="inlineStr">
        <is>
          <t>IVOL_MID</t>
        </is>
      </c>
      <c r="GA3" s="5" t="inlineStr">
        <is>
          <t>IVOL_BID</t>
        </is>
      </c>
      <c r="GB3" s="5" t="inlineStr">
        <is>
          <t>IVOL_ASK</t>
        </is>
      </c>
      <c r="GC3" s="5" t="inlineStr">
        <is>
          <t>DELTA_MID</t>
        </is>
      </c>
      <c r="GD3" s="5" t="inlineStr">
        <is>
          <t>GAMMA_MID</t>
        </is>
      </c>
      <c r="GE3" s="5" t="inlineStr">
        <is>
          <t>VEGA_MID</t>
        </is>
      </c>
      <c r="GF3" s="5" t="inlineStr">
        <is>
          <t>THETA_MID</t>
        </is>
      </c>
      <c r="GG3" s="5" t="inlineStr">
        <is>
          <t>OPT_UNDL_PX</t>
        </is>
      </c>
      <c r="GI3" s="5" t="inlineStr">
        <is>
          <t>Date</t>
        </is>
      </c>
      <c r="GJ3" s="5" t="inlineStr">
        <is>
          <t>PX_BID</t>
        </is>
      </c>
      <c r="GK3" s="5" t="inlineStr">
        <is>
          <t>PX_ASK</t>
        </is>
      </c>
      <c r="GL3" s="5" t="inlineStr">
        <is>
          <t>PX_MID</t>
        </is>
      </c>
      <c r="GM3" s="5" t="inlineStr">
        <is>
          <t>PX_LAST</t>
        </is>
      </c>
      <c r="GN3" s="5" t="inlineStr">
        <is>
          <t>PX_SETTLE</t>
        </is>
      </c>
      <c r="GO3" s="5" t="inlineStr">
        <is>
          <t>PX_VOLUME</t>
        </is>
      </c>
      <c r="GP3" s="5" t="inlineStr">
        <is>
          <t>OPEN_INT</t>
        </is>
      </c>
      <c r="GQ3" s="5" t="inlineStr">
        <is>
          <t>IVOL_MID</t>
        </is>
      </c>
      <c r="GR3" s="5" t="inlineStr">
        <is>
          <t>IVOL_BID</t>
        </is>
      </c>
      <c r="GS3" s="5" t="inlineStr">
        <is>
          <t>IVOL_ASK</t>
        </is>
      </c>
      <c r="GT3" s="5" t="inlineStr">
        <is>
          <t>DELTA_MID</t>
        </is>
      </c>
      <c r="GU3" s="5" t="inlineStr">
        <is>
          <t>GAMMA_MID</t>
        </is>
      </c>
      <c r="GV3" s="5" t="inlineStr">
        <is>
          <t>VEGA_MID</t>
        </is>
      </c>
      <c r="GW3" s="5" t="inlineStr">
        <is>
          <t>THETA_MID</t>
        </is>
      </c>
      <c r="GX3" s="5" t="inlineStr">
        <is>
          <t>OPT_UNDL_PX</t>
        </is>
      </c>
      <c r="GZ3" s="5" t="inlineStr">
        <is>
          <t>Date</t>
        </is>
      </c>
      <c r="HA3" s="5" t="inlineStr">
        <is>
          <t>PX_BID</t>
        </is>
      </c>
      <c r="HB3" s="5" t="inlineStr">
        <is>
          <t>PX_ASK</t>
        </is>
      </c>
      <c r="HC3" s="5" t="inlineStr">
        <is>
          <t>PX_MID</t>
        </is>
      </c>
      <c r="HD3" s="5" t="inlineStr">
        <is>
          <t>PX_LAST</t>
        </is>
      </c>
      <c r="HE3" s="5" t="inlineStr">
        <is>
          <t>PX_SETTLE</t>
        </is>
      </c>
      <c r="HF3" s="5" t="inlineStr">
        <is>
          <t>PX_VOLUME</t>
        </is>
      </c>
      <c r="HG3" s="5" t="inlineStr">
        <is>
          <t>OPEN_INT</t>
        </is>
      </c>
      <c r="HH3" s="5" t="inlineStr">
        <is>
          <t>IVOL_MID</t>
        </is>
      </c>
      <c r="HI3" s="5" t="inlineStr">
        <is>
          <t>IVOL_BID</t>
        </is>
      </c>
      <c r="HJ3" s="5" t="inlineStr">
        <is>
          <t>IVOL_ASK</t>
        </is>
      </c>
      <c r="HK3" s="5" t="inlineStr">
        <is>
          <t>DELTA_MID</t>
        </is>
      </c>
      <c r="HL3" s="5" t="inlineStr">
        <is>
          <t>GAMMA_MID</t>
        </is>
      </c>
      <c r="HM3" s="5" t="inlineStr">
        <is>
          <t>VEGA_MID</t>
        </is>
      </c>
      <c r="HN3" s="5" t="inlineStr">
        <is>
          <t>THETA_MID</t>
        </is>
      </c>
      <c r="HO3" s="5" t="inlineStr">
        <is>
          <t>OPT_UNDL_PX</t>
        </is>
      </c>
      <c r="HQ3" s="5" t="inlineStr">
        <is>
          <t>Date</t>
        </is>
      </c>
      <c r="HR3" s="5" t="inlineStr">
        <is>
          <t>PX_BID</t>
        </is>
      </c>
      <c r="HS3" s="5" t="inlineStr">
        <is>
          <t>PX_ASK</t>
        </is>
      </c>
      <c r="HT3" s="5" t="inlineStr">
        <is>
          <t>PX_MID</t>
        </is>
      </c>
      <c r="HU3" s="5" t="inlineStr">
        <is>
          <t>PX_LAST</t>
        </is>
      </c>
      <c r="HV3" s="5" t="inlineStr">
        <is>
          <t>PX_SETTLE</t>
        </is>
      </c>
      <c r="HW3" s="5" t="inlineStr">
        <is>
          <t>PX_VOLUME</t>
        </is>
      </c>
      <c r="HX3" s="5" t="inlineStr">
        <is>
          <t>OPEN_INT</t>
        </is>
      </c>
      <c r="HY3" s="5" t="inlineStr">
        <is>
          <t>IVOL_MID</t>
        </is>
      </c>
      <c r="HZ3" s="5" t="inlineStr">
        <is>
          <t>IVOL_BID</t>
        </is>
      </c>
      <c r="IA3" s="5" t="inlineStr">
        <is>
          <t>IVOL_ASK</t>
        </is>
      </c>
      <c r="IB3" s="5" t="inlineStr">
        <is>
          <t>DELTA_MID</t>
        </is>
      </c>
      <c r="IC3" s="5" t="inlineStr">
        <is>
          <t>GAMMA_MID</t>
        </is>
      </c>
      <c r="ID3" s="5" t="inlineStr">
        <is>
          <t>VEGA_MID</t>
        </is>
      </c>
      <c r="IE3" s="5" t="inlineStr">
        <is>
          <t>THETA_MID</t>
        </is>
      </c>
      <c r="IF3" s="5" t="inlineStr">
        <is>
          <t>OPT_UNDL_PX</t>
        </is>
      </c>
      <c r="IH3" s="5" t="inlineStr">
        <is>
          <t>Date</t>
        </is>
      </c>
      <c r="II3" s="5" t="inlineStr">
        <is>
          <t>PX_BID</t>
        </is>
      </c>
      <c r="IJ3" s="5" t="inlineStr">
        <is>
          <t>PX_ASK</t>
        </is>
      </c>
      <c r="IK3" s="5" t="inlineStr">
        <is>
          <t>PX_MID</t>
        </is>
      </c>
      <c r="IL3" s="5" t="inlineStr">
        <is>
          <t>PX_LAST</t>
        </is>
      </c>
      <c r="IM3" s="5" t="inlineStr">
        <is>
          <t>PX_SETTLE</t>
        </is>
      </c>
      <c r="IN3" s="5" t="inlineStr">
        <is>
          <t>PX_VOLUME</t>
        </is>
      </c>
      <c r="IO3" s="5" t="inlineStr">
        <is>
          <t>OPEN_INT</t>
        </is>
      </c>
      <c r="IP3" s="5" t="inlineStr">
        <is>
          <t>IVOL_MID</t>
        </is>
      </c>
      <c r="IQ3" s="5" t="inlineStr">
        <is>
          <t>IVOL_BID</t>
        </is>
      </c>
      <c r="IR3" s="5" t="inlineStr">
        <is>
          <t>IVOL_ASK</t>
        </is>
      </c>
      <c r="IS3" s="5" t="inlineStr">
        <is>
          <t>DELTA_MID</t>
        </is>
      </c>
      <c r="IT3" s="5" t="inlineStr">
        <is>
          <t>GAMMA_MID</t>
        </is>
      </c>
      <c r="IU3" s="5" t="inlineStr">
        <is>
          <t>VEGA_MID</t>
        </is>
      </c>
      <c r="IV3" s="5" t="inlineStr">
        <is>
          <t>THETA_MID</t>
        </is>
      </c>
      <c r="IW3" s="5" t="inlineStr">
        <is>
          <t>OPT_UNDL_PX</t>
        </is>
      </c>
      <c r="IY3" s="5" t="inlineStr">
        <is>
          <t>Date</t>
        </is>
      </c>
      <c r="IZ3" s="5" t="inlineStr">
        <is>
          <t>PX_BID</t>
        </is>
      </c>
      <c r="JA3" s="5" t="inlineStr">
        <is>
          <t>PX_ASK</t>
        </is>
      </c>
      <c r="JB3" s="5" t="inlineStr">
        <is>
          <t>PX_MID</t>
        </is>
      </c>
      <c r="JC3" s="5" t="inlineStr">
        <is>
          <t>PX_LAST</t>
        </is>
      </c>
      <c r="JD3" s="5" t="inlineStr">
        <is>
          <t>PX_SETTLE</t>
        </is>
      </c>
      <c r="JE3" s="5" t="inlineStr">
        <is>
          <t>PX_VOLUME</t>
        </is>
      </c>
      <c r="JF3" s="5" t="inlineStr">
        <is>
          <t>OPEN_INT</t>
        </is>
      </c>
      <c r="JG3" s="5" t="inlineStr">
        <is>
          <t>IVOL_MID</t>
        </is>
      </c>
      <c r="JH3" s="5" t="inlineStr">
        <is>
          <t>IVOL_BID</t>
        </is>
      </c>
      <c r="JI3" s="5" t="inlineStr">
        <is>
          <t>IVOL_ASK</t>
        </is>
      </c>
      <c r="JJ3" s="5" t="inlineStr">
        <is>
          <t>DELTA_MID</t>
        </is>
      </c>
      <c r="JK3" s="5" t="inlineStr">
        <is>
          <t>GAMMA_MID</t>
        </is>
      </c>
      <c r="JL3" s="5" t="inlineStr">
        <is>
          <t>VEGA_MID</t>
        </is>
      </c>
      <c r="JM3" s="5" t="inlineStr">
        <is>
          <t>THETA_MID</t>
        </is>
      </c>
      <c r="JN3" s="5" t="inlineStr">
        <is>
          <t>OPT_UNDL_PX</t>
        </is>
      </c>
      <c r="JP3" s="5" t="inlineStr">
        <is>
          <t>Date</t>
        </is>
      </c>
      <c r="JQ3" s="5" t="inlineStr">
        <is>
          <t>PX_BID</t>
        </is>
      </c>
      <c r="JR3" s="5" t="inlineStr">
        <is>
          <t>PX_ASK</t>
        </is>
      </c>
      <c r="JS3" s="5" t="inlineStr">
        <is>
          <t>PX_MID</t>
        </is>
      </c>
      <c r="JT3" s="5" t="inlineStr">
        <is>
          <t>PX_LAST</t>
        </is>
      </c>
      <c r="JU3" s="5" t="inlineStr">
        <is>
          <t>PX_SETTLE</t>
        </is>
      </c>
      <c r="JV3" s="5" t="inlineStr">
        <is>
          <t>PX_VOLUME</t>
        </is>
      </c>
      <c r="JW3" s="5" t="inlineStr">
        <is>
          <t>OPEN_INT</t>
        </is>
      </c>
      <c r="JX3" s="5" t="inlineStr">
        <is>
          <t>IVOL_MID</t>
        </is>
      </c>
      <c r="JY3" s="5" t="inlineStr">
        <is>
          <t>IVOL_BID</t>
        </is>
      </c>
      <c r="JZ3" s="5" t="inlineStr">
        <is>
          <t>IVOL_ASK</t>
        </is>
      </c>
      <c r="KA3" s="5" t="inlineStr">
        <is>
          <t>DELTA_MID</t>
        </is>
      </c>
      <c r="KB3" s="5" t="inlineStr">
        <is>
          <t>GAMMA_MID</t>
        </is>
      </c>
      <c r="KC3" s="5" t="inlineStr">
        <is>
          <t>VEGA_MID</t>
        </is>
      </c>
      <c r="KD3" s="5" t="inlineStr">
        <is>
          <t>THETA_MID</t>
        </is>
      </c>
      <c r="KE3" s="5" t="inlineStr">
        <is>
          <t>OPT_UNDL_PX</t>
        </is>
      </c>
      <c r="KG3" s="5" t="inlineStr">
        <is>
          <t>Date</t>
        </is>
      </c>
      <c r="KH3" s="5" t="inlineStr">
        <is>
          <t>PX_BID</t>
        </is>
      </c>
      <c r="KI3" s="5" t="inlineStr">
        <is>
          <t>PX_ASK</t>
        </is>
      </c>
      <c r="KJ3" s="5" t="inlineStr">
        <is>
          <t>PX_MID</t>
        </is>
      </c>
      <c r="KK3" s="5" t="inlineStr">
        <is>
          <t>PX_LAST</t>
        </is>
      </c>
      <c r="KL3" s="5" t="inlineStr">
        <is>
          <t>PX_SETTLE</t>
        </is>
      </c>
      <c r="KM3" s="5" t="inlineStr">
        <is>
          <t>PX_VOLUME</t>
        </is>
      </c>
      <c r="KN3" s="5" t="inlineStr">
        <is>
          <t>OPEN_INT</t>
        </is>
      </c>
      <c r="KO3" s="5" t="inlineStr">
        <is>
          <t>IVOL_MID</t>
        </is>
      </c>
      <c r="KP3" s="5" t="inlineStr">
        <is>
          <t>IVOL_BID</t>
        </is>
      </c>
      <c r="KQ3" s="5" t="inlineStr">
        <is>
          <t>IVOL_ASK</t>
        </is>
      </c>
      <c r="KR3" s="5" t="inlineStr">
        <is>
          <t>DELTA_MID</t>
        </is>
      </c>
      <c r="KS3" s="5" t="inlineStr">
        <is>
          <t>GAMMA_MID</t>
        </is>
      </c>
      <c r="KT3" s="5" t="inlineStr">
        <is>
          <t>VEGA_MID</t>
        </is>
      </c>
      <c r="KU3" s="5" t="inlineStr">
        <is>
          <t>THETA_MID</t>
        </is>
      </c>
      <c r="KV3" s="5" t="inlineStr">
        <is>
          <t>OPT_UNDL_PX</t>
        </is>
      </c>
      <c r="KX3" s="5" t="inlineStr">
        <is>
          <t>Date</t>
        </is>
      </c>
      <c r="KY3" s="5" t="inlineStr">
        <is>
          <t>PX_BID</t>
        </is>
      </c>
      <c r="KZ3" s="5" t="inlineStr">
        <is>
          <t>PX_ASK</t>
        </is>
      </c>
      <c r="LA3" s="5" t="inlineStr">
        <is>
          <t>PX_MID</t>
        </is>
      </c>
      <c r="LB3" s="5" t="inlineStr">
        <is>
          <t>PX_LAST</t>
        </is>
      </c>
      <c r="LC3" s="5" t="inlineStr">
        <is>
          <t>PX_SETTLE</t>
        </is>
      </c>
      <c r="LD3" s="5" t="inlineStr">
        <is>
          <t>PX_VOLUME</t>
        </is>
      </c>
      <c r="LE3" s="5" t="inlineStr">
        <is>
          <t>OPEN_INT</t>
        </is>
      </c>
      <c r="LF3" s="5" t="inlineStr">
        <is>
          <t>IVOL_MID</t>
        </is>
      </c>
      <c r="LG3" s="5" t="inlineStr">
        <is>
          <t>IVOL_BID</t>
        </is>
      </c>
      <c r="LH3" s="5" t="inlineStr">
        <is>
          <t>IVOL_ASK</t>
        </is>
      </c>
      <c r="LI3" s="5" t="inlineStr">
        <is>
          <t>DELTA_MID</t>
        </is>
      </c>
      <c r="LJ3" s="5" t="inlineStr">
        <is>
          <t>GAMMA_MID</t>
        </is>
      </c>
      <c r="LK3" s="5" t="inlineStr">
        <is>
          <t>VEGA_MID</t>
        </is>
      </c>
      <c r="LL3" s="5" t="inlineStr">
        <is>
          <t>THETA_MID</t>
        </is>
      </c>
      <c r="LM3" s="5" t="inlineStr">
        <is>
          <t>OPT_UNDL_PX</t>
        </is>
      </c>
      <c r="LO3" s="5" t="inlineStr">
        <is>
          <t>Date</t>
        </is>
      </c>
      <c r="LP3" s="5" t="inlineStr">
        <is>
          <t>PX_BID</t>
        </is>
      </c>
      <c r="LQ3" s="5" t="inlineStr">
        <is>
          <t>PX_ASK</t>
        </is>
      </c>
      <c r="LR3" s="5" t="inlineStr">
        <is>
          <t>PX_MID</t>
        </is>
      </c>
      <c r="LS3" s="5" t="inlineStr">
        <is>
          <t>PX_LAST</t>
        </is>
      </c>
      <c r="LT3" s="5" t="inlineStr">
        <is>
          <t>PX_SETTLE</t>
        </is>
      </c>
      <c r="LU3" s="5" t="inlineStr">
        <is>
          <t>PX_VOLUME</t>
        </is>
      </c>
      <c r="LV3" s="5" t="inlineStr">
        <is>
          <t>OPEN_INT</t>
        </is>
      </c>
      <c r="LW3" s="5" t="inlineStr">
        <is>
          <t>IVOL_MID</t>
        </is>
      </c>
      <c r="LX3" s="5" t="inlineStr">
        <is>
          <t>IVOL_BID</t>
        </is>
      </c>
      <c r="LY3" s="5" t="inlineStr">
        <is>
          <t>IVOL_ASK</t>
        </is>
      </c>
      <c r="LZ3" s="5" t="inlineStr">
        <is>
          <t>DELTA_MID</t>
        </is>
      </c>
      <c r="MA3" s="5" t="inlineStr">
        <is>
          <t>GAMMA_MID</t>
        </is>
      </c>
      <c r="MB3" s="5" t="inlineStr">
        <is>
          <t>VEGA_MID</t>
        </is>
      </c>
      <c r="MC3" s="5" t="inlineStr">
        <is>
          <t>THETA_MID</t>
        </is>
      </c>
      <c r="MD3" s="5" t="inlineStr">
        <is>
          <t>OPT_UNDL_PX</t>
        </is>
      </c>
      <c r="MF3" s="5" t="inlineStr">
        <is>
          <t>Date</t>
        </is>
      </c>
      <c r="MG3" s="5" t="inlineStr">
        <is>
          <t>PX_BID</t>
        </is>
      </c>
      <c r="MH3" s="5" t="inlineStr">
        <is>
          <t>PX_ASK</t>
        </is>
      </c>
      <c r="MI3" s="5" t="inlineStr">
        <is>
          <t>PX_MID</t>
        </is>
      </c>
      <c r="MJ3" s="5" t="inlineStr">
        <is>
          <t>PX_LAST</t>
        </is>
      </c>
      <c r="MK3" s="5" t="inlineStr">
        <is>
          <t>PX_SETTLE</t>
        </is>
      </c>
      <c r="ML3" s="5" t="inlineStr">
        <is>
          <t>PX_VOLUME</t>
        </is>
      </c>
      <c r="MM3" s="5" t="inlineStr">
        <is>
          <t>OPEN_INT</t>
        </is>
      </c>
      <c r="MN3" s="5" t="inlineStr">
        <is>
          <t>IVOL_MID</t>
        </is>
      </c>
      <c r="MO3" s="5" t="inlineStr">
        <is>
          <t>IVOL_BID</t>
        </is>
      </c>
      <c r="MP3" s="5" t="inlineStr">
        <is>
          <t>IVOL_ASK</t>
        </is>
      </c>
      <c r="MQ3" s="5" t="inlineStr">
        <is>
          <t>DELTA_MID</t>
        </is>
      </c>
      <c r="MR3" s="5" t="inlineStr">
        <is>
          <t>GAMMA_MID</t>
        </is>
      </c>
      <c r="MS3" s="5" t="inlineStr">
        <is>
          <t>VEGA_MID</t>
        </is>
      </c>
      <c r="MT3" s="5" t="inlineStr">
        <is>
          <t>THETA_MID</t>
        </is>
      </c>
      <c r="MU3" s="5" t="inlineStr">
        <is>
          <t>OPT_UNDL_PX</t>
        </is>
      </c>
      <c r="MW3" s="5" t="inlineStr">
        <is>
          <t>Date</t>
        </is>
      </c>
      <c r="MX3" s="5" t="inlineStr">
        <is>
          <t>PX_BID</t>
        </is>
      </c>
      <c r="MY3" s="5" t="inlineStr">
        <is>
          <t>PX_ASK</t>
        </is>
      </c>
      <c r="MZ3" s="5" t="inlineStr">
        <is>
          <t>PX_MID</t>
        </is>
      </c>
      <c r="NA3" s="5" t="inlineStr">
        <is>
          <t>PX_LAST</t>
        </is>
      </c>
      <c r="NB3" s="5" t="inlineStr">
        <is>
          <t>PX_SETTLE</t>
        </is>
      </c>
      <c r="NC3" s="5" t="inlineStr">
        <is>
          <t>PX_VOLUME</t>
        </is>
      </c>
      <c r="ND3" s="5" t="inlineStr">
        <is>
          <t>OPEN_INT</t>
        </is>
      </c>
      <c r="NE3" s="5" t="inlineStr">
        <is>
          <t>IVOL_MID</t>
        </is>
      </c>
      <c r="NF3" s="5" t="inlineStr">
        <is>
          <t>IVOL_BID</t>
        </is>
      </c>
      <c r="NG3" s="5" t="inlineStr">
        <is>
          <t>IVOL_ASK</t>
        </is>
      </c>
      <c r="NH3" s="5" t="inlineStr">
        <is>
          <t>DELTA_MID</t>
        </is>
      </c>
      <c r="NI3" s="5" t="inlineStr">
        <is>
          <t>GAMMA_MID</t>
        </is>
      </c>
      <c r="NJ3" s="5" t="inlineStr">
        <is>
          <t>VEGA_MID</t>
        </is>
      </c>
      <c r="NK3" s="5" t="inlineStr">
        <is>
          <t>THETA_MID</t>
        </is>
      </c>
      <c r="NL3" s="5" t="inlineStr">
        <is>
          <t>OPT_UNDL_PX</t>
        </is>
      </c>
    </row>
    <row r="4">
      <c r="A4" s="2" t="inlineStr">
        <is>
          <t>Strike reference date</t>
        </is>
      </c>
      <c r="B4" s="8">
        <f>B3-45</f>
        <v/>
      </c>
      <c r="D4" s="4">
        <f>BDH(D$1,E$3:S$3,$B$8,$B$9,"Dir=V","Dts=S","Sort=A","Days=T","Fill=B")</f>
        <v/>
      </c>
      <c r="U4" s="4">
        <f>BDH(U$1,V$3:AJ$3,$B$8,$B$9,"Dir=V","Dts=S","Sort=A","Days=T","Fill=B")</f>
        <v/>
      </c>
      <c r="AL4" s="4">
        <f>BDH(AL$1,AM$3:BA$3,$B$8,$B$9,"Dir=V","Dts=S","Sort=A","Days=T","Fill=B")</f>
        <v/>
      </c>
      <c r="BC4" s="4">
        <f>BDH(BC$1,BD$3:BR$3,$B$8,$B$9,"Dir=V","Dts=S","Sort=A","Days=T","Fill=B")</f>
        <v/>
      </c>
      <c r="BT4" s="4">
        <f>BDH(BT$1,BU$3:CI$3,$B$8,$B$9,"Dir=V","Dts=S","Sort=A","Days=T","Fill=B")</f>
        <v/>
      </c>
      <c r="CK4" s="4">
        <f>BDH(CK$1,CL$3:CZ$3,$B$8,$B$9,"Dir=V","Dts=S","Sort=A","Days=T","Fill=B")</f>
        <v/>
      </c>
      <c r="DB4" s="4">
        <f>BDH(DB$1,DC$3:DQ$3,$B$8,$B$9,"Dir=V","Dts=S","Sort=A","Days=T","Fill=B")</f>
        <v/>
      </c>
      <c r="DS4" s="4">
        <f>BDH(DS$1,DT$3:EH$3,$B$8,$B$9,"Dir=V","Dts=S","Sort=A","Days=T","Fill=B")</f>
        <v/>
      </c>
      <c r="EJ4" s="4">
        <f>BDH(EJ$1,EK$3:EY$3,$B$8,$B$9,"Dir=V","Dts=S","Sort=A","Days=T","Fill=B")</f>
        <v/>
      </c>
      <c r="FA4" s="4">
        <f>BDH(FA$1,FB$3:FP$3,$B$8,$B$9,"Dir=V","Dts=S","Sort=A","Days=T","Fill=B")</f>
        <v/>
      </c>
      <c r="FR4" s="4">
        <f>BDH(FR$1,FS$3:GG$3,$B$8,$B$9,"Dir=V","Dts=S","Sort=A","Days=T","Fill=B")</f>
        <v/>
      </c>
      <c r="GI4" s="4">
        <f>BDH(GI$1,GJ$3:GX$3,$B$8,$B$9,"Dir=V","Dts=S","Sort=A","Days=T","Fill=B")</f>
        <v/>
      </c>
      <c r="GZ4" s="4">
        <f>BDH(GZ$1,HA$3:HO$3,$B$8,$B$9,"Dir=V","Dts=S","Sort=A","Days=T","Fill=B")</f>
        <v/>
      </c>
      <c r="HQ4" s="4">
        <f>BDH(HQ$1,HR$3:IF$3,$B$8,$B$9,"Dir=V","Dts=S","Sort=A","Days=T","Fill=B")</f>
        <v/>
      </c>
      <c r="IH4" s="4">
        <f>BDH(IH$1,II$3:IW$3,$B$8,$B$9,"Dir=V","Dts=S","Sort=A","Days=T","Fill=B")</f>
        <v/>
      </c>
      <c r="IY4" s="4">
        <f>BDH(IY$1,IZ$3:JN$3,$B$8,$B$9,"Dir=V","Dts=S","Sort=A","Days=T","Fill=B")</f>
        <v/>
      </c>
      <c r="JP4" s="4">
        <f>BDH(JP$1,JQ$3:KE$3,$B$8,$B$9,"Dir=V","Dts=S","Sort=A","Days=T","Fill=B")</f>
        <v/>
      </c>
      <c r="KG4" s="4">
        <f>BDH(KG$1,KH$3:KV$3,$B$8,$B$9,"Dir=V","Dts=S","Sort=A","Days=T","Fill=B")</f>
        <v/>
      </c>
      <c r="KX4" s="4">
        <f>BDH(KX$1,KY$3:LM$3,$B$8,$B$9,"Dir=V","Dts=S","Sort=A","Days=T","Fill=B")</f>
        <v/>
      </c>
      <c r="LO4" s="4">
        <f>BDH(LO$1,LP$3:MD$3,$B$8,$B$9,"Dir=V","Dts=S","Sort=A","Days=T","Fill=B")</f>
        <v/>
      </c>
      <c r="MF4" s="4">
        <f>BDH(MF$1,MG$3:MU$3,$B$8,$B$9,"Dir=V","Dts=S","Sort=A","Days=T","Fill=B")</f>
        <v/>
      </c>
      <c r="MW4" s="4">
        <f>BDH(MW$1,MX$3:NL$3,$B$8,$B$9,"Dir=V","Dts=S","Sort=A","Days=T","Fill=B")</f>
        <v/>
      </c>
    </row>
    <row r="5">
      <c r="A5" s="2" t="inlineStr">
        <is>
          <t>Unadjusted close then</t>
        </is>
      </c>
      <c r="B5" s="10">
        <f>IF(B2="","",BDH(B2,"PX_LAST",B4,B4,"Days=A","Fill=P","Dts=H","CshAdjNormal=N","CshAdjAbnormal=N","CapChg=N"))</f>
        <v/>
      </c>
    </row>
    <row r="6">
      <c r="A6" s="2" t="inlineStr">
        <is>
          <t>Strike step</t>
        </is>
      </c>
      <c r="B6" s="11">
        <f>IF(ISNUMBER(B5),IF(B5&lt;25,0.5,IF(B5&lt;250,1,5)),"")</f>
        <v/>
      </c>
    </row>
    <row r="7">
      <c r="A7" s="2" t="inlineStr">
        <is>
          <t>ATM strike</t>
        </is>
      </c>
      <c r="B7" s="11">
        <f>IF(ISNUMBER(B5),ROUND(B5/B6,0)*B6,"")</f>
        <v/>
      </c>
    </row>
    <row r="8">
      <c r="A8" s="2" t="inlineStr">
        <is>
          <t>History start</t>
        </is>
      </c>
      <c r="B8" s="8">
        <f>B3-100</f>
        <v/>
      </c>
    </row>
    <row r="9">
      <c r="A9" s="2" t="inlineStr">
        <is>
          <t>History end</t>
        </is>
      </c>
      <c r="B9" s="8">
        <f>B3</f>
        <v/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NL9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2" customWidth="1" min="2" max="2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1" customWidth="1" min="15" max="15"/>
    <col width="11" customWidth="1" min="16" max="16"/>
    <col width="10" customWidth="1" min="17" max="17"/>
    <col width="11" customWidth="1" min="18" max="18"/>
    <col width="13" customWidth="1" min="19" max="19"/>
    <col width="12" customWidth="1" min="21" max="21"/>
    <col width="10" customWidth="1" min="22" max="22"/>
    <col width="10" customWidth="1" min="23" max="23"/>
    <col width="10" customWidth="1" min="24" max="24"/>
    <col width="10" customWidth="1" min="25" max="25"/>
    <col width="11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1" customWidth="1" min="32" max="32"/>
    <col width="11" customWidth="1" min="33" max="33"/>
    <col width="10" customWidth="1" min="34" max="34"/>
    <col width="11" customWidth="1" min="35" max="35"/>
    <col width="13" customWidth="1" min="36" max="36"/>
    <col width="12" customWidth="1" min="38" max="38"/>
    <col width="10" customWidth="1" min="39" max="39"/>
    <col width="10" customWidth="1" min="40" max="40"/>
    <col width="10" customWidth="1" min="41" max="41"/>
    <col width="10" customWidth="1" min="42" max="42"/>
    <col width="11" customWidth="1" min="43" max="43"/>
    <col width="11" customWidth="1" min="44" max="44"/>
    <col width="10" customWidth="1" min="45" max="45"/>
    <col width="10" customWidth="1" min="46" max="46"/>
    <col width="10" customWidth="1" min="47" max="47"/>
    <col width="10" customWidth="1" min="48" max="48"/>
    <col width="11" customWidth="1" min="49" max="49"/>
    <col width="11" customWidth="1" min="50" max="50"/>
    <col width="10" customWidth="1" min="51" max="51"/>
    <col width="11" customWidth="1" min="52" max="52"/>
    <col width="13" customWidth="1" min="53" max="53"/>
    <col width="12" customWidth="1" min="55" max="55"/>
    <col width="10" customWidth="1" min="56" max="56"/>
    <col width="10" customWidth="1" min="57" max="57"/>
    <col width="10" customWidth="1" min="58" max="58"/>
    <col width="10" customWidth="1" min="59" max="59"/>
    <col width="11" customWidth="1" min="60" max="60"/>
    <col width="11" customWidth="1" min="61" max="61"/>
    <col width="10" customWidth="1" min="62" max="62"/>
    <col width="10" customWidth="1" min="63" max="63"/>
    <col width="10" customWidth="1" min="64" max="64"/>
    <col width="10" customWidth="1" min="65" max="65"/>
    <col width="11" customWidth="1" min="66" max="66"/>
    <col width="11" customWidth="1" min="67" max="67"/>
    <col width="10" customWidth="1" min="68" max="68"/>
    <col width="11" customWidth="1" min="69" max="69"/>
    <col width="13" customWidth="1" min="70" max="70"/>
    <col width="12" customWidth="1" min="72" max="72"/>
    <col width="10" customWidth="1" min="73" max="73"/>
    <col width="10" customWidth="1" min="74" max="74"/>
    <col width="10" customWidth="1" min="75" max="75"/>
    <col width="10" customWidth="1" min="76" max="76"/>
    <col width="11" customWidth="1" min="77" max="77"/>
    <col width="11" customWidth="1" min="78" max="78"/>
    <col width="10" customWidth="1" min="79" max="79"/>
    <col width="10" customWidth="1" min="80" max="80"/>
    <col width="10" customWidth="1" min="81" max="81"/>
    <col width="10" customWidth="1" min="82" max="82"/>
    <col width="11" customWidth="1" min="83" max="83"/>
    <col width="11" customWidth="1" min="84" max="84"/>
    <col width="10" customWidth="1" min="85" max="85"/>
    <col width="11" customWidth="1" min="86" max="86"/>
    <col width="13" customWidth="1" min="87" max="87"/>
    <col width="12" customWidth="1" min="89" max="89"/>
    <col width="10" customWidth="1" min="90" max="90"/>
    <col width="10" customWidth="1" min="91" max="91"/>
    <col width="10" customWidth="1" min="92" max="92"/>
    <col width="10" customWidth="1" min="93" max="93"/>
    <col width="11" customWidth="1" min="94" max="94"/>
    <col width="11" customWidth="1" min="95" max="95"/>
    <col width="10" customWidth="1" min="96" max="96"/>
    <col width="10" customWidth="1" min="97" max="97"/>
    <col width="10" customWidth="1" min="98" max="98"/>
    <col width="10" customWidth="1" min="99" max="99"/>
    <col width="11" customWidth="1" min="100" max="100"/>
    <col width="11" customWidth="1" min="101" max="101"/>
    <col width="10" customWidth="1" min="102" max="102"/>
    <col width="11" customWidth="1" min="103" max="103"/>
    <col width="13" customWidth="1" min="104" max="104"/>
    <col width="12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1" customWidth="1" min="111" max="111"/>
    <col width="11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1" customWidth="1" min="117" max="117"/>
    <col width="11" customWidth="1" min="118" max="118"/>
    <col width="10" customWidth="1" min="119" max="119"/>
    <col width="11" customWidth="1" min="120" max="120"/>
    <col width="13" customWidth="1" min="121" max="121"/>
    <col width="12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1" customWidth="1" min="128" max="128"/>
    <col width="11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1" customWidth="1" min="134" max="134"/>
    <col width="11" customWidth="1" min="135" max="135"/>
    <col width="10" customWidth="1" min="136" max="136"/>
    <col width="11" customWidth="1" min="137" max="137"/>
    <col width="13" customWidth="1" min="138" max="138"/>
    <col width="12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1" customWidth="1" min="145" max="145"/>
    <col width="11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1" customWidth="1" min="151" max="151"/>
    <col width="11" customWidth="1" min="152" max="152"/>
    <col width="10" customWidth="1" min="153" max="153"/>
    <col width="11" customWidth="1" min="154" max="154"/>
    <col width="13" customWidth="1" min="155" max="155"/>
    <col width="12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1" customWidth="1" min="162" max="162"/>
    <col width="11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1" customWidth="1" min="168" max="168"/>
    <col width="11" customWidth="1" min="169" max="169"/>
    <col width="10" customWidth="1" min="170" max="170"/>
    <col width="11" customWidth="1" min="171" max="171"/>
    <col width="13" customWidth="1" min="172" max="172"/>
    <col width="12" customWidth="1" min="174" max="174"/>
    <col width="10" customWidth="1" min="175" max="175"/>
    <col width="10" customWidth="1" min="176" max="176"/>
    <col width="10" customWidth="1" min="177" max="177"/>
    <col width="10" customWidth="1" min="178" max="178"/>
    <col width="11" customWidth="1" min="179" max="179"/>
    <col width="11" customWidth="1" min="180" max="180"/>
    <col width="10" customWidth="1" min="181" max="181"/>
    <col width="10" customWidth="1" min="182" max="182"/>
    <col width="10" customWidth="1" min="183" max="183"/>
    <col width="10" customWidth="1" min="184" max="184"/>
    <col width="11" customWidth="1" min="185" max="185"/>
    <col width="11" customWidth="1" min="186" max="186"/>
    <col width="10" customWidth="1" min="187" max="187"/>
    <col width="11" customWidth="1" min="188" max="188"/>
    <col width="13" customWidth="1" min="189" max="189"/>
    <col width="12" customWidth="1" min="191" max="191"/>
    <col width="10" customWidth="1" min="192" max="192"/>
    <col width="10" customWidth="1" min="193" max="193"/>
    <col width="10" customWidth="1" min="194" max="194"/>
    <col width="10" customWidth="1" min="195" max="195"/>
    <col width="11" customWidth="1" min="196" max="196"/>
    <col width="11" customWidth="1" min="197" max="197"/>
    <col width="10" customWidth="1" min="198" max="198"/>
    <col width="10" customWidth="1" min="199" max="199"/>
    <col width="10" customWidth="1" min="200" max="200"/>
    <col width="10" customWidth="1" min="201" max="201"/>
    <col width="11" customWidth="1" min="202" max="202"/>
    <col width="11" customWidth="1" min="203" max="203"/>
    <col width="10" customWidth="1" min="204" max="204"/>
    <col width="11" customWidth="1" min="205" max="205"/>
    <col width="13" customWidth="1" min="206" max="206"/>
    <col width="12" customWidth="1" min="208" max="208"/>
    <col width="10" customWidth="1" min="209" max="209"/>
    <col width="10" customWidth="1" min="210" max="210"/>
    <col width="10" customWidth="1" min="211" max="211"/>
    <col width="10" customWidth="1" min="212" max="212"/>
    <col width="11" customWidth="1" min="213" max="213"/>
    <col width="11" customWidth="1" min="214" max="214"/>
    <col width="10" customWidth="1" min="215" max="215"/>
    <col width="10" customWidth="1" min="216" max="216"/>
    <col width="10" customWidth="1" min="217" max="217"/>
    <col width="10" customWidth="1" min="218" max="218"/>
    <col width="11" customWidth="1" min="219" max="219"/>
    <col width="11" customWidth="1" min="220" max="220"/>
    <col width="10" customWidth="1" min="221" max="221"/>
    <col width="11" customWidth="1" min="222" max="222"/>
    <col width="13" customWidth="1" min="223" max="223"/>
    <col width="12" customWidth="1" min="225" max="225"/>
    <col width="10" customWidth="1" min="226" max="226"/>
    <col width="10" customWidth="1" min="227" max="227"/>
    <col width="10" customWidth="1" min="228" max="228"/>
    <col width="10" customWidth="1" min="229" max="229"/>
    <col width="11" customWidth="1" min="230" max="230"/>
    <col width="11" customWidth="1" min="231" max="231"/>
    <col width="10" customWidth="1" min="232" max="232"/>
    <col width="10" customWidth="1" min="233" max="233"/>
    <col width="10" customWidth="1" min="234" max="234"/>
    <col width="10" customWidth="1" min="235" max="235"/>
    <col width="11" customWidth="1" min="236" max="236"/>
    <col width="11" customWidth="1" min="237" max="237"/>
    <col width="10" customWidth="1" min="238" max="238"/>
    <col width="11" customWidth="1" min="239" max="239"/>
    <col width="13" customWidth="1" min="240" max="240"/>
    <col width="12" customWidth="1" min="242" max="242"/>
    <col width="10" customWidth="1" min="243" max="243"/>
    <col width="10" customWidth="1" min="244" max="244"/>
    <col width="10" customWidth="1" min="245" max="245"/>
    <col width="10" customWidth="1" min="246" max="246"/>
    <col width="11" customWidth="1" min="247" max="247"/>
    <col width="11" customWidth="1" min="248" max="248"/>
    <col width="10" customWidth="1" min="249" max="249"/>
    <col width="10" customWidth="1" min="250" max="250"/>
    <col width="10" customWidth="1" min="251" max="251"/>
    <col width="10" customWidth="1" min="252" max="252"/>
    <col width="11" customWidth="1" min="253" max="253"/>
    <col width="11" customWidth="1" min="254" max="254"/>
    <col width="10" customWidth="1" min="255" max="255"/>
    <col width="11" customWidth="1" min="256" max="256"/>
    <col width="13" customWidth="1" min="257" max="257"/>
    <col width="12" customWidth="1" min="259" max="259"/>
    <col width="10" customWidth="1" min="260" max="260"/>
    <col width="10" customWidth="1" min="261" max="261"/>
    <col width="10" customWidth="1" min="262" max="262"/>
    <col width="10" customWidth="1" min="263" max="263"/>
    <col width="11" customWidth="1" min="264" max="264"/>
    <col width="11" customWidth="1" min="265" max="265"/>
    <col width="10" customWidth="1" min="266" max="266"/>
    <col width="10" customWidth="1" min="267" max="267"/>
    <col width="10" customWidth="1" min="268" max="268"/>
    <col width="10" customWidth="1" min="269" max="269"/>
    <col width="11" customWidth="1" min="270" max="270"/>
    <col width="11" customWidth="1" min="271" max="271"/>
    <col width="10" customWidth="1" min="272" max="272"/>
    <col width="11" customWidth="1" min="273" max="273"/>
    <col width="13" customWidth="1" min="274" max="274"/>
    <col width="12" customWidth="1" min="276" max="276"/>
    <col width="10" customWidth="1" min="277" max="277"/>
    <col width="10" customWidth="1" min="278" max="278"/>
    <col width="10" customWidth="1" min="279" max="279"/>
    <col width="10" customWidth="1" min="280" max="280"/>
    <col width="11" customWidth="1" min="281" max="281"/>
    <col width="11" customWidth="1" min="282" max="282"/>
    <col width="10" customWidth="1" min="283" max="283"/>
    <col width="10" customWidth="1" min="284" max="284"/>
    <col width="10" customWidth="1" min="285" max="285"/>
    <col width="10" customWidth="1" min="286" max="286"/>
    <col width="11" customWidth="1" min="287" max="287"/>
    <col width="11" customWidth="1" min="288" max="288"/>
    <col width="10" customWidth="1" min="289" max="289"/>
    <col width="11" customWidth="1" min="290" max="290"/>
    <col width="13" customWidth="1" min="291" max="291"/>
    <col width="12" customWidth="1" min="293" max="293"/>
    <col width="10" customWidth="1" min="294" max="294"/>
    <col width="10" customWidth="1" min="295" max="295"/>
    <col width="10" customWidth="1" min="296" max="296"/>
    <col width="10" customWidth="1" min="297" max="297"/>
    <col width="11" customWidth="1" min="298" max="298"/>
    <col width="11" customWidth="1" min="299" max="299"/>
    <col width="10" customWidth="1" min="300" max="300"/>
    <col width="10" customWidth="1" min="301" max="301"/>
    <col width="10" customWidth="1" min="302" max="302"/>
    <col width="10" customWidth="1" min="303" max="303"/>
    <col width="11" customWidth="1" min="304" max="304"/>
    <col width="11" customWidth="1" min="305" max="305"/>
    <col width="10" customWidth="1" min="306" max="306"/>
    <col width="11" customWidth="1" min="307" max="307"/>
    <col width="13" customWidth="1" min="308" max="308"/>
    <col width="12" customWidth="1" min="310" max="310"/>
    <col width="10" customWidth="1" min="311" max="311"/>
    <col width="10" customWidth="1" min="312" max="312"/>
    <col width="10" customWidth="1" min="313" max="313"/>
    <col width="10" customWidth="1" min="314" max="314"/>
    <col width="11" customWidth="1" min="315" max="315"/>
    <col width="11" customWidth="1" min="316" max="316"/>
    <col width="10" customWidth="1" min="317" max="317"/>
    <col width="10" customWidth="1" min="318" max="318"/>
    <col width="10" customWidth="1" min="319" max="319"/>
    <col width="10" customWidth="1" min="320" max="320"/>
    <col width="11" customWidth="1" min="321" max="321"/>
    <col width="11" customWidth="1" min="322" max="322"/>
    <col width="10" customWidth="1" min="323" max="323"/>
    <col width="11" customWidth="1" min="324" max="324"/>
    <col width="13" customWidth="1" min="325" max="325"/>
    <col width="12" customWidth="1" min="327" max="327"/>
    <col width="10" customWidth="1" min="328" max="328"/>
    <col width="10" customWidth="1" min="329" max="329"/>
    <col width="10" customWidth="1" min="330" max="330"/>
    <col width="10" customWidth="1" min="331" max="331"/>
    <col width="11" customWidth="1" min="332" max="332"/>
    <col width="11" customWidth="1" min="333" max="333"/>
    <col width="10" customWidth="1" min="334" max="334"/>
    <col width="10" customWidth="1" min="335" max="335"/>
    <col width="10" customWidth="1" min="336" max="336"/>
    <col width="10" customWidth="1" min="337" max="337"/>
    <col width="11" customWidth="1" min="338" max="338"/>
    <col width="11" customWidth="1" min="339" max="339"/>
    <col width="10" customWidth="1" min="340" max="340"/>
    <col width="11" customWidth="1" min="341" max="341"/>
    <col width="13" customWidth="1" min="342" max="342"/>
    <col width="12" customWidth="1" min="344" max="344"/>
    <col width="10" customWidth="1" min="345" max="345"/>
    <col width="10" customWidth="1" min="346" max="346"/>
    <col width="10" customWidth="1" min="347" max="347"/>
    <col width="10" customWidth="1" min="348" max="348"/>
    <col width="11" customWidth="1" min="349" max="349"/>
    <col width="11" customWidth="1" min="350" max="350"/>
    <col width="10" customWidth="1" min="351" max="351"/>
    <col width="10" customWidth="1" min="352" max="352"/>
    <col width="10" customWidth="1" min="353" max="353"/>
    <col width="10" customWidth="1" min="354" max="354"/>
    <col width="11" customWidth="1" min="355" max="355"/>
    <col width="11" customWidth="1" min="356" max="356"/>
    <col width="10" customWidth="1" min="357" max="357"/>
    <col width="11" customWidth="1" min="358" max="358"/>
    <col width="13" customWidth="1" min="359" max="359"/>
    <col width="12" customWidth="1" min="361" max="361"/>
    <col width="10" customWidth="1" min="362" max="362"/>
    <col width="10" customWidth="1" min="363" max="363"/>
    <col width="10" customWidth="1" min="364" max="364"/>
    <col width="10" customWidth="1" min="365" max="365"/>
    <col width="11" customWidth="1" min="366" max="366"/>
    <col width="11" customWidth="1" min="367" max="367"/>
    <col width="10" customWidth="1" min="368" max="368"/>
    <col width="10" customWidth="1" min="369" max="369"/>
    <col width="10" customWidth="1" min="370" max="370"/>
    <col width="10" customWidth="1" min="371" max="371"/>
    <col width="11" customWidth="1" min="372" max="372"/>
    <col width="11" customWidth="1" min="373" max="373"/>
    <col width="10" customWidth="1" min="374" max="374"/>
    <col width="11" customWidth="1" min="375" max="375"/>
    <col width="13" customWidth="1" min="376" max="376"/>
  </cols>
  <sheetData>
    <row r="1">
      <c r="A1" s="2" t="inlineStr">
        <is>
          <t>Month</t>
        </is>
      </c>
      <c r="B1" s="9" t="n">
        <v>12</v>
      </c>
      <c r="D1" s="2">
        <f>IF(ISNUMBER(B$7),"DAL US "&amp;TEXT(B$3,"mm/dd/yy")&amp;" C"&amp;(B$7-5*B$6)&amp;" Equity","")</f>
        <v/>
      </c>
      <c r="U1" s="2">
        <f>IF(ISNUMBER(B$7),"DAL US "&amp;TEXT(B$3,"mm/dd/yy")&amp;" P"&amp;(B$7-5*B$6)&amp;" Equity","")</f>
        <v/>
      </c>
      <c r="AL1" s="2">
        <f>IF(ISNUMBER(B$7),"DAL US "&amp;TEXT(B$3,"mm/dd/yy")&amp;" C"&amp;(B$7-4*B$6)&amp;" Equity","")</f>
        <v/>
      </c>
      <c r="BC1" s="2">
        <f>IF(ISNUMBER(B$7),"DAL US "&amp;TEXT(B$3,"mm/dd/yy")&amp;" P"&amp;(B$7-4*B$6)&amp;" Equity","")</f>
        <v/>
      </c>
      <c r="BT1" s="2">
        <f>IF(ISNUMBER(B$7),"DAL US "&amp;TEXT(B$3,"mm/dd/yy")&amp;" C"&amp;(B$7-3*B$6)&amp;" Equity","")</f>
        <v/>
      </c>
      <c r="CK1" s="2">
        <f>IF(ISNUMBER(B$7),"DAL US "&amp;TEXT(B$3,"mm/dd/yy")&amp;" P"&amp;(B$7-3*B$6)&amp;" Equity","")</f>
        <v/>
      </c>
      <c r="DB1" s="2">
        <f>IF(ISNUMBER(B$7),"DAL US "&amp;TEXT(B$3,"mm/dd/yy")&amp;" C"&amp;(B$7-2*B$6)&amp;" Equity","")</f>
        <v/>
      </c>
      <c r="DS1" s="2">
        <f>IF(ISNUMBER(B$7),"DAL US "&amp;TEXT(B$3,"mm/dd/yy")&amp;" P"&amp;(B$7-2*B$6)&amp;" Equity","")</f>
        <v/>
      </c>
      <c r="EJ1" s="2">
        <f>IF(ISNUMBER(B$7),"DAL US "&amp;TEXT(B$3,"mm/dd/yy")&amp;" C"&amp;(B$7-1*B$6)&amp;" Equity","")</f>
        <v/>
      </c>
      <c r="FA1" s="2">
        <f>IF(ISNUMBER(B$7),"DAL US "&amp;TEXT(B$3,"mm/dd/yy")&amp;" P"&amp;(B$7-1*B$6)&amp;" Equity","")</f>
        <v/>
      </c>
      <c r="FR1" s="2">
        <f>IF(ISNUMBER(B$7),"DAL US "&amp;TEXT(B$3,"mm/dd/yy")&amp;" C"&amp;B$7&amp;" Equity","")</f>
        <v/>
      </c>
      <c r="GI1" s="2">
        <f>IF(ISNUMBER(B$7),"DAL US "&amp;TEXT(B$3,"mm/dd/yy")&amp;" P"&amp;B$7&amp;" Equity","")</f>
        <v/>
      </c>
      <c r="GZ1" s="2">
        <f>IF(ISNUMBER(B$7),"DAL US "&amp;TEXT(B$3,"mm/dd/yy")&amp;" C"&amp;(B$7+1*B$6)&amp;" Equity","")</f>
        <v/>
      </c>
      <c r="HQ1" s="2">
        <f>IF(ISNUMBER(B$7),"DAL US "&amp;TEXT(B$3,"mm/dd/yy")&amp;" P"&amp;(B$7+1*B$6)&amp;" Equity","")</f>
        <v/>
      </c>
      <c r="IH1" s="2">
        <f>IF(ISNUMBER(B$7),"DAL US "&amp;TEXT(B$3,"mm/dd/yy")&amp;" C"&amp;(B$7+2*B$6)&amp;" Equity","")</f>
        <v/>
      </c>
      <c r="IY1" s="2">
        <f>IF(ISNUMBER(B$7),"DAL US "&amp;TEXT(B$3,"mm/dd/yy")&amp;" P"&amp;(B$7+2*B$6)&amp;" Equity","")</f>
        <v/>
      </c>
      <c r="JP1" s="2">
        <f>IF(ISNUMBER(B$7),"DAL US "&amp;TEXT(B$3,"mm/dd/yy")&amp;" C"&amp;(B$7+3*B$6)&amp;" Equity","")</f>
        <v/>
      </c>
      <c r="KG1" s="2">
        <f>IF(ISNUMBER(B$7),"DAL US "&amp;TEXT(B$3,"mm/dd/yy")&amp;" P"&amp;(B$7+3*B$6)&amp;" Equity","")</f>
        <v/>
      </c>
      <c r="KX1" s="2">
        <f>IF(ISNUMBER(B$7),"DAL US "&amp;TEXT(B$3,"mm/dd/yy")&amp;" C"&amp;(B$7+4*B$6)&amp;" Equity","")</f>
        <v/>
      </c>
      <c r="LO1" s="2">
        <f>IF(ISNUMBER(B$7),"DAL US "&amp;TEXT(B$3,"mm/dd/yy")&amp;" P"&amp;(B$7+4*B$6)&amp;" Equity","")</f>
        <v/>
      </c>
      <c r="MF1" s="2">
        <f>IF(ISNUMBER(B$7),"DAL US "&amp;TEXT(B$3,"mm/dd/yy")&amp;" C"&amp;(B$7+5*B$6)&amp;" Equity","")</f>
        <v/>
      </c>
      <c r="MW1" s="2">
        <f>IF(ISNUMBER(B$7),"DAL US "&amp;TEXT(B$3,"mm/dd/yy")&amp;" P"&amp;(B$7+5*B$6)&amp;" Equity","")</f>
        <v/>
      </c>
    </row>
    <row r="2">
      <c r="A2" s="2" t="inlineStr">
        <is>
          <t>Underlying</t>
        </is>
      </c>
      <c r="B2" s="4">
        <f>IF(Settings!$B$19="Y","DAL US Equity","")</f>
        <v/>
      </c>
      <c r="D2" s="4" t="inlineStr">
        <is>
          <t>call -5 from ATM</t>
        </is>
      </c>
      <c r="U2" s="4" t="inlineStr">
        <is>
          <t>put -5 from ATM</t>
        </is>
      </c>
      <c r="AL2" s="4" t="inlineStr">
        <is>
          <t>call -4 from ATM</t>
        </is>
      </c>
      <c r="BC2" s="4" t="inlineStr">
        <is>
          <t>put -4 from ATM</t>
        </is>
      </c>
      <c r="BT2" s="4" t="inlineStr">
        <is>
          <t>call -3 from ATM</t>
        </is>
      </c>
      <c r="CK2" s="4" t="inlineStr">
        <is>
          <t>put -3 from ATM</t>
        </is>
      </c>
      <c r="DB2" s="4" t="inlineStr">
        <is>
          <t>call -2 from ATM</t>
        </is>
      </c>
      <c r="DS2" s="4" t="inlineStr">
        <is>
          <t>put -2 from ATM</t>
        </is>
      </c>
      <c r="EJ2" s="4" t="inlineStr">
        <is>
          <t>call -1 from ATM</t>
        </is>
      </c>
      <c r="FA2" s="4" t="inlineStr">
        <is>
          <t>put -1 from ATM</t>
        </is>
      </c>
      <c r="FR2" s="4" t="inlineStr">
        <is>
          <t>call +0 from ATM</t>
        </is>
      </c>
      <c r="GI2" s="4" t="inlineStr">
        <is>
          <t>put +0 from ATM</t>
        </is>
      </c>
      <c r="GZ2" s="4" t="inlineStr">
        <is>
          <t>call +1 from ATM</t>
        </is>
      </c>
      <c r="HQ2" s="4" t="inlineStr">
        <is>
          <t>put +1 from ATM</t>
        </is>
      </c>
      <c r="IH2" s="4" t="inlineStr">
        <is>
          <t>call +2 from ATM</t>
        </is>
      </c>
      <c r="IY2" s="4" t="inlineStr">
        <is>
          <t>put +2 from ATM</t>
        </is>
      </c>
      <c r="JP2" s="4" t="inlineStr">
        <is>
          <t>call +3 from ATM</t>
        </is>
      </c>
      <c r="KG2" s="4" t="inlineStr">
        <is>
          <t>put +3 from ATM</t>
        </is>
      </c>
      <c r="KX2" s="4" t="inlineStr">
        <is>
          <t>call +4 from ATM</t>
        </is>
      </c>
      <c r="LO2" s="4" t="inlineStr">
        <is>
          <t>put +4 from ATM</t>
        </is>
      </c>
      <c r="MF2" s="4" t="inlineStr">
        <is>
          <t>call +5 from ATM</t>
        </is>
      </c>
      <c r="MW2" s="4" t="inlineStr">
        <is>
          <t>put +5 from ATM</t>
        </is>
      </c>
    </row>
    <row r="3">
      <c r="A3" s="2" t="inlineStr">
        <is>
          <t>Expiry (3rd Friday)</t>
        </is>
      </c>
      <c r="B3" s="3">
        <f>DATE(Settings!$E$19,B1,15)+MOD(6-WEEKDAY(DATE(Settings!$E$19,B1,15)),7)</f>
        <v/>
      </c>
      <c r="D3" s="5" t="inlineStr">
        <is>
          <t>Date</t>
        </is>
      </c>
      <c r="E3" s="5" t="inlineStr">
        <is>
          <t>PX_BID</t>
        </is>
      </c>
      <c r="F3" s="5" t="inlineStr">
        <is>
          <t>PX_ASK</t>
        </is>
      </c>
      <c r="G3" s="5" t="inlineStr">
        <is>
          <t>PX_MID</t>
        </is>
      </c>
      <c r="H3" s="5" t="inlineStr">
        <is>
          <t>PX_LAST</t>
        </is>
      </c>
      <c r="I3" s="5" t="inlineStr">
        <is>
          <t>PX_SETTLE</t>
        </is>
      </c>
      <c r="J3" s="5" t="inlineStr">
        <is>
          <t>PX_VOLUME</t>
        </is>
      </c>
      <c r="K3" s="5" t="inlineStr">
        <is>
          <t>OPEN_INT</t>
        </is>
      </c>
      <c r="L3" s="5" t="inlineStr">
        <is>
          <t>IVOL_MID</t>
        </is>
      </c>
      <c r="M3" s="5" t="inlineStr">
        <is>
          <t>IVOL_BID</t>
        </is>
      </c>
      <c r="N3" s="5" t="inlineStr">
        <is>
          <t>IVOL_ASK</t>
        </is>
      </c>
      <c r="O3" s="5" t="inlineStr">
        <is>
          <t>DELTA_MID</t>
        </is>
      </c>
      <c r="P3" s="5" t="inlineStr">
        <is>
          <t>GAMMA_MID</t>
        </is>
      </c>
      <c r="Q3" s="5" t="inlineStr">
        <is>
          <t>VEGA_MID</t>
        </is>
      </c>
      <c r="R3" s="5" t="inlineStr">
        <is>
          <t>THETA_MID</t>
        </is>
      </c>
      <c r="S3" s="5" t="inlineStr">
        <is>
          <t>OPT_UNDL_PX</t>
        </is>
      </c>
      <c r="U3" s="5" t="inlineStr">
        <is>
          <t>Date</t>
        </is>
      </c>
      <c r="V3" s="5" t="inlineStr">
        <is>
          <t>PX_BID</t>
        </is>
      </c>
      <c r="W3" s="5" t="inlineStr">
        <is>
          <t>PX_ASK</t>
        </is>
      </c>
      <c r="X3" s="5" t="inlineStr">
        <is>
          <t>PX_MID</t>
        </is>
      </c>
      <c r="Y3" s="5" t="inlineStr">
        <is>
          <t>PX_LAST</t>
        </is>
      </c>
      <c r="Z3" s="5" t="inlineStr">
        <is>
          <t>PX_SETTLE</t>
        </is>
      </c>
      <c r="AA3" s="5" t="inlineStr">
        <is>
          <t>PX_VOLUME</t>
        </is>
      </c>
      <c r="AB3" s="5" t="inlineStr">
        <is>
          <t>OPEN_INT</t>
        </is>
      </c>
      <c r="AC3" s="5" t="inlineStr">
        <is>
          <t>IVOL_MID</t>
        </is>
      </c>
      <c r="AD3" s="5" t="inlineStr">
        <is>
          <t>IVOL_BID</t>
        </is>
      </c>
      <c r="AE3" s="5" t="inlineStr">
        <is>
          <t>IVOL_ASK</t>
        </is>
      </c>
      <c r="AF3" s="5" t="inlineStr">
        <is>
          <t>DELTA_MID</t>
        </is>
      </c>
      <c r="AG3" s="5" t="inlineStr">
        <is>
          <t>GAMMA_MID</t>
        </is>
      </c>
      <c r="AH3" s="5" t="inlineStr">
        <is>
          <t>VEGA_MID</t>
        </is>
      </c>
      <c r="AI3" s="5" t="inlineStr">
        <is>
          <t>THETA_MID</t>
        </is>
      </c>
      <c r="AJ3" s="5" t="inlineStr">
        <is>
          <t>OPT_UNDL_PX</t>
        </is>
      </c>
      <c r="AL3" s="5" t="inlineStr">
        <is>
          <t>Date</t>
        </is>
      </c>
      <c r="AM3" s="5" t="inlineStr">
        <is>
          <t>PX_BID</t>
        </is>
      </c>
      <c r="AN3" s="5" t="inlineStr">
        <is>
          <t>PX_ASK</t>
        </is>
      </c>
      <c r="AO3" s="5" t="inlineStr">
        <is>
          <t>PX_MID</t>
        </is>
      </c>
      <c r="AP3" s="5" t="inlineStr">
        <is>
          <t>PX_LAST</t>
        </is>
      </c>
      <c r="AQ3" s="5" t="inlineStr">
        <is>
          <t>PX_SETTLE</t>
        </is>
      </c>
      <c r="AR3" s="5" t="inlineStr">
        <is>
          <t>PX_VOLUME</t>
        </is>
      </c>
      <c r="AS3" s="5" t="inlineStr">
        <is>
          <t>OPEN_INT</t>
        </is>
      </c>
      <c r="AT3" s="5" t="inlineStr">
        <is>
          <t>IVOL_MID</t>
        </is>
      </c>
      <c r="AU3" s="5" t="inlineStr">
        <is>
          <t>IVOL_BID</t>
        </is>
      </c>
      <c r="AV3" s="5" t="inlineStr">
        <is>
          <t>IVOL_ASK</t>
        </is>
      </c>
      <c r="AW3" s="5" t="inlineStr">
        <is>
          <t>DELTA_MID</t>
        </is>
      </c>
      <c r="AX3" s="5" t="inlineStr">
        <is>
          <t>GAMMA_MID</t>
        </is>
      </c>
      <c r="AY3" s="5" t="inlineStr">
        <is>
          <t>VEGA_MID</t>
        </is>
      </c>
      <c r="AZ3" s="5" t="inlineStr">
        <is>
          <t>THETA_MID</t>
        </is>
      </c>
      <c r="BA3" s="5" t="inlineStr">
        <is>
          <t>OPT_UNDL_PX</t>
        </is>
      </c>
      <c r="BC3" s="5" t="inlineStr">
        <is>
          <t>Date</t>
        </is>
      </c>
      <c r="BD3" s="5" t="inlineStr">
        <is>
          <t>PX_BID</t>
        </is>
      </c>
      <c r="BE3" s="5" t="inlineStr">
        <is>
          <t>PX_ASK</t>
        </is>
      </c>
      <c r="BF3" s="5" t="inlineStr">
        <is>
          <t>PX_MID</t>
        </is>
      </c>
      <c r="BG3" s="5" t="inlineStr">
        <is>
          <t>PX_LAST</t>
        </is>
      </c>
      <c r="BH3" s="5" t="inlineStr">
        <is>
          <t>PX_SETTLE</t>
        </is>
      </c>
      <c r="BI3" s="5" t="inlineStr">
        <is>
          <t>PX_VOLUME</t>
        </is>
      </c>
      <c r="BJ3" s="5" t="inlineStr">
        <is>
          <t>OPEN_INT</t>
        </is>
      </c>
      <c r="BK3" s="5" t="inlineStr">
        <is>
          <t>IVOL_MID</t>
        </is>
      </c>
      <c r="BL3" s="5" t="inlineStr">
        <is>
          <t>IVOL_BID</t>
        </is>
      </c>
      <c r="BM3" s="5" t="inlineStr">
        <is>
          <t>IVOL_ASK</t>
        </is>
      </c>
      <c r="BN3" s="5" t="inlineStr">
        <is>
          <t>DELTA_MID</t>
        </is>
      </c>
      <c r="BO3" s="5" t="inlineStr">
        <is>
          <t>GAMMA_MID</t>
        </is>
      </c>
      <c r="BP3" s="5" t="inlineStr">
        <is>
          <t>VEGA_MID</t>
        </is>
      </c>
      <c r="BQ3" s="5" t="inlineStr">
        <is>
          <t>THETA_MID</t>
        </is>
      </c>
      <c r="BR3" s="5" t="inlineStr">
        <is>
          <t>OPT_UNDL_PX</t>
        </is>
      </c>
      <c r="BT3" s="5" t="inlineStr">
        <is>
          <t>Date</t>
        </is>
      </c>
      <c r="BU3" s="5" t="inlineStr">
        <is>
          <t>PX_BID</t>
        </is>
      </c>
      <c r="BV3" s="5" t="inlineStr">
        <is>
          <t>PX_ASK</t>
        </is>
      </c>
      <c r="BW3" s="5" t="inlineStr">
        <is>
          <t>PX_MID</t>
        </is>
      </c>
      <c r="BX3" s="5" t="inlineStr">
        <is>
          <t>PX_LAST</t>
        </is>
      </c>
      <c r="BY3" s="5" t="inlineStr">
        <is>
          <t>PX_SETTLE</t>
        </is>
      </c>
      <c r="BZ3" s="5" t="inlineStr">
        <is>
          <t>PX_VOLUME</t>
        </is>
      </c>
      <c r="CA3" s="5" t="inlineStr">
        <is>
          <t>OPEN_INT</t>
        </is>
      </c>
      <c r="CB3" s="5" t="inlineStr">
        <is>
          <t>IVOL_MID</t>
        </is>
      </c>
      <c r="CC3" s="5" t="inlineStr">
        <is>
          <t>IVOL_BID</t>
        </is>
      </c>
      <c r="CD3" s="5" t="inlineStr">
        <is>
          <t>IVOL_ASK</t>
        </is>
      </c>
      <c r="CE3" s="5" t="inlineStr">
        <is>
          <t>DELTA_MID</t>
        </is>
      </c>
      <c r="CF3" s="5" t="inlineStr">
        <is>
          <t>GAMMA_MID</t>
        </is>
      </c>
      <c r="CG3" s="5" t="inlineStr">
        <is>
          <t>VEGA_MID</t>
        </is>
      </c>
      <c r="CH3" s="5" t="inlineStr">
        <is>
          <t>THETA_MID</t>
        </is>
      </c>
      <c r="CI3" s="5" t="inlineStr">
        <is>
          <t>OPT_UNDL_PX</t>
        </is>
      </c>
      <c r="CK3" s="5" t="inlineStr">
        <is>
          <t>Date</t>
        </is>
      </c>
      <c r="CL3" s="5" t="inlineStr">
        <is>
          <t>PX_BID</t>
        </is>
      </c>
      <c r="CM3" s="5" t="inlineStr">
        <is>
          <t>PX_ASK</t>
        </is>
      </c>
      <c r="CN3" s="5" t="inlineStr">
        <is>
          <t>PX_MID</t>
        </is>
      </c>
      <c r="CO3" s="5" t="inlineStr">
        <is>
          <t>PX_LAST</t>
        </is>
      </c>
      <c r="CP3" s="5" t="inlineStr">
        <is>
          <t>PX_SETTLE</t>
        </is>
      </c>
      <c r="CQ3" s="5" t="inlineStr">
        <is>
          <t>PX_VOLUME</t>
        </is>
      </c>
      <c r="CR3" s="5" t="inlineStr">
        <is>
          <t>OPEN_INT</t>
        </is>
      </c>
      <c r="CS3" s="5" t="inlineStr">
        <is>
          <t>IVOL_MID</t>
        </is>
      </c>
      <c r="CT3" s="5" t="inlineStr">
        <is>
          <t>IVOL_BID</t>
        </is>
      </c>
      <c r="CU3" s="5" t="inlineStr">
        <is>
          <t>IVOL_ASK</t>
        </is>
      </c>
      <c r="CV3" s="5" t="inlineStr">
        <is>
          <t>DELTA_MID</t>
        </is>
      </c>
      <c r="CW3" s="5" t="inlineStr">
        <is>
          <t>GAMMA_MID</t>
        </is>
      </c>
      <c r="CX3" s="5" t="inlineStr">
        <is>
          <t>VEGA_MID</t>
        </is>
      </c>
      <c r="CY3" s="5" t="inlineStr">
        <is>
          <t>THETA_MID</t>
        </is>
      </c>
      <c r="CZ3" s="5" t="inlineStr">
        <is>
          <t>OPT_UNDL_PX</t>
        </is>
      </c>
      <c r="DB3" s="5" t="inlineStr">
        <is>
          <t>Date</t>
        </is>
      </c>
      <c r="DC3" s="5" t="inlineStr">
        <is>
          <t>PX_BID</t>
        </is>
      </c>
      <c r="DD3" s="5" t="inlineStr">
        <is>
          <t>PX_ASK</t>
        </is>
      </c>
      <c r="DE3" s="5" t="inlineStr">
        <is>
          <t>PX_MID</t>
        </is>
      </c>
      <c r="DF3" s="5" t="inlineStr">
        <is>
          <t>PX_LAST</t>
        </is>
      </c>
      <c r="DG3" s="5" t="inlineStr">
        <is>
          <t>PX_SETTLE</t>
        </is>
      </c>
      <c r="DH3" s="5" t="inlineStr">
        <is>
          <t>PX_VOLUME</t>
        </is>
      </c>
      <c r="DI3" s="5" t="inlineStr">
        <is>
          <t>OPEN_INT</t>
        </is>
      </c>
      <c r="DJ3" s="5" t="inlineStr">
        <is>
          <t>IVOL_MID</t>
        </is>
      </c>
      <c r="DK3" s="5" t="inlineStr">
        <is>
          <t>IVOL_BID</t>
        </is>
      </c>
      <c r="DL3" s="5" t="inlineStr">
        <is>
          <t>IVOL_ASK</t>
        </is>
      </c>
      <c r="DM3" s="5" t="inlineStr">
        <is>
          <t>DELTA_MID</t>
        </is>
      </c>
      <c r="DN3" s="5" t="inlineStr">
        <is>
          <t>GAMMA_MID</t>
        </is>
      </c>
      <c r="DO3" s="5" t="inlineStr">
        <is>
          <t>VEGA_MID</t>
        </is>
      </c>
      <c r="DP3" s="5" t="inlineStr">
        <is>
          <t>THETA_MID</t>
        </is>
      </c>
      <c r="DQ3" s="5" t="inlineStr">
        <is>
          <t>OPT_UNDL_PX</t>
        </is>
      </c>
      <c r="DS3" s="5" t="inlineStr">
        <is>
          <t>Date</t>
        </is>
      </c>
      <c r="DT3" s="5" t="inlineStr">
        <is>
          <t>PX_BID</t>
        </is>
      </c>
      <c r="DU3" s="5" t="inlineStr">
        <is>
          <t>PX_ASK</t>
        </is>
      </c>
      <c r="DV3" s="5" t="inlineStr">
        <is>
          <t>PX_MID</t>
        </is>
      </c>
      <c r="DW3" s="5" t="inlineStr">
        <is>
          <t>PX_LAST</t>
        </is>
      </c>
      <c r="DX3" s="5" t="inlineStr">
        <is>
          <t>PX_SETTLE</t>
        </is>
      </c>
      <c r="DY3" s="5" t="inlineStr">
        <is>
          <t>PX_VOLUME</t>
        </is>
      </c>
      <c r="DZ3" s="5" t="inlineStr">
        <is>
          <t>OPEN_INT</t>
        </is>
      </c>
      <c r="EA3" s="5" t="inlineStr">
        <is>
          <t>IVOL_MID</t>
        </is>
      </c>
      <c r="EB3" s="5" t="inlineStr">
        <is>
          <t>IVOL_BID</t>
        </is>
      </c>
      <c r="EC3" s="5" t="inlineStr">
        <is>
          <t>IVOL_ASK</t>
        </is>
      </c>
      <c r="ED3" s="5" t="inlineStr">
        <is>
          <t>DELTA_MID</t>
        </is>
      </c>
      <c r="EE3" s="5" t="inlineStr">
        <is>
          <t>GAMMA_MID</t>
        </is>
      </c>
      <c r="EF3" s="5" t="inlineStr">
        <is>
          <t>VEGA_MID</t>
        </is>
      </c>
      <c r="EG3" s="5" t="inlineStr">
        <is>
          <t>THETA_MID</t>
        </is>
      </c>
      <c r="EH3" s="5" t="inlineStr">
        <is>
          <t>OPT_UNDL_PX</t>
        </is>
      </c>
      <c r="EJ3" s="5" t="inlineStr">
        <is>
          <t>Date</t>
        </is>
      </c>
      <c r="EK3" s="5" t="inlineStr">
        <is>
          <t>PX_BID</t>
        </is>
      </c>
      <c r="EL3" s="5" t="inlineStr">
        <is>
          <t>PX_ASK</t>
        </is>
      </c>
      <c r="EM3" s="5" t="inlineStr">
        <is>
          <t>PX_MID</t>
        </is>
      </c>
      <c r="EN3" s="5" t="inlineStr">
        <is>
          <t>PX_LAST</t>
        </is>
      </c>
      <c r="EO3" s="5" t="inlineStr">
        <is>
          <t>PX_SETTLE</t>
        </is>
      </c>
      <c r="EP3" s="5" t="inlineStr">
        <is>
          <t>PX_VOLUME</t>
        </is>
      </c>
      <c r="EQ3" s="5" t="inlineStr">
        <is>
          <t>OPEN_INT</t>
        </is>
      </c>
      <c r="ER3" s="5" t="inlineStr">
        <is>
          <t>IVOL_MID</t>
        </is>
      </c>
      <c r="ES3" s="5" t="inlineStr">
        <is>
          <t>IVOL_BID</t>
        </is>
      </c>
      <c r="ET3" s="5" t="inlineStr">
        <is>
          <t>IVOL_ASK</t>
        </is>
      </c>
      <c r="EU3" s="5" t="inlineStr">
        <is>
          <t>DELTA_MID</t>
        </is>
      </c>
      <c r="EV3" s="5" t="inlineStr">
        <is>
          <t>GAMMA_MID</t>
        </is>
      </c>
      <c r="EW3" s="5" t="inlineStr">
        <is>
          <t>VEGA_MID</t>
        </is>
      </c>
      <c r="EX3" s="5" t="inlineStr">
        <is>
          <t>THETA_MID</t>
        </is>
      </c>
      <c r="EY3" s="5" t="inlineStr">
        <is>
          <t>OPT_UNDL_PX</t>
        </is>
      </c>
      <c r="FA3" s="5" t="inlineStr">
        <is>
          <t>Date</t>
        </is>
      </c>
      <c r="FB3" s="5" t="inlineStr">
        <is>
          <t>PX_BID</t>
        </is>
      </c>
      <c r="FC3" s="5" t="inlineStr">
        <is>
          <t>PX_ASK</t>
        </is>
      </c>
      <c r="FD3" s="5" t="inlineStr">
        <is>
          <t>PX_MID</t>
        </is>
      </c>
      <c r="FE3" s="5" t="inlineStr">
        <is>
          <t>PX_LAST</t>
        </is>
      </c>
      <c r="FF3" s="5" t="inlineStr">
        <is>
          <t>PX_SETTLE</t>
        </is>
      </c>
      <c r="FG3" s="5" t="inlineStr">
        <is>
          <t>PX_VOLUME</t>
        </is>
      </c>
      <c r="FH3" s="5" t="inlineStr">
        <is>
          <t>OPEN_INT</t>
        </is>
      </c>
      <c r="FI3" s="5" t="inlineStr">
        <is>
          <t>IVOL_MID</t>
        </is>
      </c>
      <c r="FJ3" s="5" t="inlineStr">
        <is>
          <t>IVOL_BID</t>
        </is>
      </c>
      <c r="FK3" s="5" t="inlineStr">
        <is>
          <t>IVOL_ASK</t>
        </is>
      </c>
      <c r="FL3" s="5" t="inlineStr">
        <is>
          <t>DELTA_MID</t>
        </is>
      </c>
      <c r="FM3" s="5" t="inlineStr">
        <is>
          <t>GAMMA_MID</t>
        </is>
      </c>
      <c r="FN3" s="5" t="inlineStr">
        <is>
          <t>VEGA_MID</t>
        </is>
      </c>
      <c r="FO3" s="5" t="inlineStr">
        <is>
          <t>THETA_MID</t>
        </is>
      </c>
      <c r="FP3" s="5" t="inlineStr">
        <is>
          <t>OPT_UNDL_PX</t>
        </is>
      </c>
      <c r="FR3" s="5" t="inlineStr">
        <is>
          <t>Date</t>
        </is>
      </c>
      <c r="FS3" s="5" t="inlineStr">
        <is>
          <t>PX_BID</t>
        </is>
      </c>
      <c r="FT3" s="5" t="inlineStr">
        <is>
          <t>PX_ASK</t>
        </is>
      </c>
      <c r="FU3" s="5" t="inlineStr">
        <is>
          <t>PX_MID</t>
        </is>
      </c>
      <c r="FV3" s="5" t="inlineStr">
        <is>
          <t>PX_LAST</t>
        </is>
      </c>
      <c r="FW3" s="5" t="inlineStr">
        <is>
          <t>PX_SETTLE</t>
        </is>
      </c>
      <c r="FX3" s="5" t="inlineStr">
        <is>
          <t>PX_VOLUME</t>
        </is>
      </c>
      <c r="FY3" s="5" t="inlineStr">
        <is>
          <t>OPEN_INT</t>
        </is>
      </c>
      <c r="FZ3" s="5" t="inlineStr">
        <is>
          <t>IVOL_MID</t>
        </is>
      </c>
      <c r="GA3" s="5" t="inlineStr">
        <is>
          <t>IVOL_BID</t>
        </is>
      </c>
      <c r="GB3" s="5" t="inlineStr">
        <is>
          <t>IVOL_ASK</t>
        </is>
      </c>
      <c r="GC3" s="5" t="inlineStr">
        <is>
          <t>DELTA_MID</t>
        </is>
      </c>
      <c r="GD3" s="5" t="inlineStr">
        <is>
          <t>GAMMA_MID</t>
        </is>
      </c>
      <c r="GE3" s="5" t="inlineStr">
        <is>
          <t>VEGA_MID</t>
        </is>
      </c>
      <c r="GF3" s="5" t="inlineStr">
        <is>
          <t>THETA_MID</t>
        </is>
      </c>
      <c r="GG3" s="5" t="inlineStr">
        <is>
          <t>OPT_UNDL_PX</t>
        </is>
      </c>
      <c r="GI3" s="5" t="inlineStr">
        <is>
          <t>Date</t>
        </is>
      </c>
      <c r="GJ3" s="5" t="inlineStr">
        <is>
          <t>PX_BID</t>
        </is>
      </c>
      <c r="GK3" s="5" t="inlineStr">
        <is>
          <t>PX_ASK</t>
        </is>
      </c>
      <c r="GL3" s="5" t="inlineStr">
        <is>
          <t>PX_MID</t>
        </is>
      </c>
      <c r="GM3" s="5" t="inlineStr">
        <is>
          <t>PX_LAST</t>
        </is>
      </c>
      <c r="GN3" s="5" t="inlineStr">
        <is>
          <t>PX_SETTLE</t>
        </is>
      </c>
      <c r="GO3" s="5" t="inlineStr">
        <is>
          <t>PX_VOLUME</t>
        </is>
      </c>
      <c r="GP3" s="5" t="inlineStr">
        <is>
          <t>OPEN_INT</t>
        </is>
      </c>
      <c r="GQ3" s="5" t="inlineStr">
        <is>
          <t>IVOL_MID</t>
        </is>
      </c>
      <c r="GR3" s="5" t="inlineStr">
        <is>
          <t>IVOL_BID</t>
        </is>
      </c>
      <c r="GS3" s="5" t="inlineStr">
        <is>
          <t>IVOL_ASK</t>
        </is>
      </c>
      <c r="GT3" s="5" t="inlineStr">
        <is>
          <t>DELTA_MID</t>
        </is>
      </c>
      <c r="GU3" s="5" t="inlineStr">
        <is>
          <t>GAMMA_MID</t>
        </is>
      </c>
      <c r="GV3" s="5" t="inlineStr">
        <is>
          <t>VEGA_MID</t>
        </is>
      </c>
      <c r="GW3" s="5" t="inlineStr">
        <is>
          <t>THETA_MID</t>
        </is>
      </c>
      <c r="GX3" s="5" t="inlineStr">
        <is>
          <t>OPT_UNDL_PX</t>
        </is>
      </c>
      <c r="GZ3" s="5" t="inlineStr">
        <is>
          <t>Date</t>
        </is>
      </c>
      <c r="HA3" s="5" t="inlineStr">
        <is>
          <t>PX_BID</t>
        </is>
      </c>
      <c r="HB3" s="5" t="inlineStr">
        <is>
          <t>PX_ASK</t>
        </is>
      </c>
      <c r="HC3" s="5" t="inlineStr">
        <is>
          <t>PX_MID</t>
        </is>
      </c>
      <c r="HD3" s="5" t="inlineStr">
        <is>
          <t>PX_LAST</t>
        </is>
      </c>
      <c r="HE3" s="5" t="inlineStr">
        <is>
          <t>PX_SETTLE</t>
        </is>
      </c>
      <c r="HF3" s="5" t="inlineStr">
        <is>
          <t>PX_VOLUME</t>
        </is>
      </c>
      <c r="HG3" s="5" t="inlineStr">
        <is>
          <t>OPEN_INT</t>
        </is>
      </c>
      <c r="HH3" s="5" t="inlineStr">
        <is>
          <t>IVOL_MID</t>
        </is>
      </c>
      <c r="HI3" s="5" t="inlineStr">
        <is>
          <t>IVOL_BID</t>
        </is>
      </c>
      <c r="HJ3" s="5" t="inlineStr">
        <is>
          <t>IVOL_ASK</t>
        </is>
      </c>
      <c r="HK3" s="5" t="inlineStr">
        <is>
          <t>DELTA_MID</t>
        </is>
      </c>
      <c r="HL3" s="5" t="inlineStr">
        <is>
          <t>GAMMA_MID</t>
        </is>
      </c>
      <c r="HM3" s="5" t="inlineStr">
        <is>
          <t>VEGA_MID</t>
        </is>
      </c>
      <c r="HN3" s="5" t="inlineStr">
        <is>
          <t>THETA_MID</t>
        </is>
      </c>
      <c r="HO3" s="5" t="inlineStr">
        <is>
          <t>OPT_UNDL_PX</t>
        </is>
      </c>
      <c r="HQ3" s="5" t="inlineStr">
        <is>
          <t>Date</t>
        </is>
      </c>
      <c r="HR3" s="5" t="inlineStr">
        <is>
          <t>PX_BID</t>
        </is>
      </c>
      <c r="HS3" s="5" t="inlineStr">
        <is>
          <t>PX_ASK</t>
        </is>
      </c>
      <c r="HT3" s="5" t="inlineStr">
        <is>
          <t>PX_MID</t>
        </is>
      </c>
      <c r="HU3" s="5" t="inlineStr">
        <is>
          <t>PX_LAST</t>
        </is>
      </c>
      <c r="HV3" s="5" t="inlineStr">
        <is>
          <t>PX_SETTLE</t>
        </is>
      </c>
      <c r="HW3" s="5" t="inlineStr">
        <is>
          <t>PX_VOLUME</t>
        </is>
      </c>
      <c r="HX3" s="5" t="inlineStr">
        <is>
          <t>OPEN_INT</t>
        </is>
      </c>
      <c r="HY3" s="5" t="inlineStr">
        <is>
          <t>IVOL_MID</t>
        </is>
      </c>
      <c r="HZ3" s="5" t="inlineStr">
        <is>
          <t>IVOL_BID</t>
        </is>
      </c>
      <c r="IA3" s="5" t="inlineStr">
        <is>
          <t>IVOL_ASK</t>
        </is>
      </c>
      <c r="IB3" s="5" t="inlineStr">
        <is>
          <t>DELTA_MID</t>
        </is>
      </c>
      <c r="IC3" s="5" t="inlineStr">
        <is>
          <t>GAMMA_MID</t>
        </is>
      </c>
      <c r="ID3" s="5" t="inlineStr">
        <is>
          <t>VEGA_MID</t>
        </is>
      </c>
      <c r="IE3" s="5" t="inlineStr">
        <is>
          <t>THETA_MID</t>
        </is>
      </c>
      <c r="IF3" s="5" t="inlineStr">
        <is>
          <t>OPT_UNDL_PX</t>
        </is>
      </c>
      <c r="IH3" s="5" t="inlineStr">
        <is>
          <t>Date</t>
        </is>
      </c>
      <c r="II3" s="5" t="inlineStr">
        <is>
          <t>PX_BID</t>
        </is>
      </c>
      <c r="IJ3" s="5" t="inlineStr">
        <is>
          <t>PX_ASK</t>
        </is>
      </c>
      <c r="IK3" s="5" t="inlineStr">
        <is>
          <t>PX_MID</t>
        </is>
      </c>
      <c r="IL3" s="5" t="inlineStr">
        <is>
          <t>PX_LAST</t>
        </is>
      </c>
      <c r="IM3" s="5" t="inlineStr">
        <is>
          <t>PX_SETTLE</t>
        </is>
      </c>
      <c r="IN3" s="5" t="inlineStr">
        <is>
          <t>PX_VOLUME</t>
        </is>
      </c>
      <c r="IO3" s="5" t="inlineStr">
        <is>
          <t>OPEN_INT</t>
        </is>
      </c>
      <c r="IP3" s="5" t="inlineStr">
        <is>
          <t>IVOL_MID</t>
        </is>
      </c>
      <c r="IQ3" s="5" t="inlineStr">
        <is>
          <t>IVOL_BID</t>
        </is>
      </c>
      <c r="IR3" s="5" t="inlineStr">
        <is>
          <t>IVOL_ASK</t>
        </is>
      </c>
      <c r="IS3" s="5" t="inlineStr">
        <is>
          <t>DELTA_MID</t>
        </is>
      </c>
      <c r="IT3" s="5" t="inlineStr">
        <is>
          <t>GAMMA_MID</t>
        </is>
      </c>
      <c r="IU3" s="5" t="inlineStr">
        <is>
          <t>VEGA_MID</t>
        </is>
      </c>
      <c r="IV3" s="5" t="inlineStr">
        <is>
          <t>THETA_MID</t>
        </is>
      </c>
      <c r="IW3" s="5" t="inlineStr">
        <is>
          <t>OPT_UNDL_PX</t>
        </is>
      </c>
      <c r="IY3" s="5" t="inlineStr">
        <is>
          <t>Date</t>
        </is>
      </c>
      <c r="IZ3" s="5" t="inlineStr">
        <is>
          <t>PX_BID</t>
        </is>
      </c>
      <c r="JA3" s="5" t="inlineStr">
        <is>
          <t>PX_ASK</t>
        </is>
      </c>
      <c r="JB3" s="5" t="inlineStr">
        <is>
          <t>PX_MID</t>
        </is>
      </c>
      <c r="JC3" s="5" t="inlineStr">
        <is>
          <t>PX_LAST</t>
        </is>
      </c>
      <c r="JD3" s="5" t="inlineStr">
        <is>
          <t>PX_SETTLE</t>
        </is>
      </c>
      <c r="JE3" s="5" t="inlineStr">
        <is>
          <t>PX_VOLUME</t>
        </is>
      </c>
      <c r="JF3" s="5" t="inlineStr">
        <is>
          <t>OPEN_INT</t>
        </is>
      </c>
      <c r="JG3" s="5" t="inlineStr">
        <is>
          <t>IVOL_MID</t>
        </is>
      </c>
      <c r="JH3" s="5" t="inlineStr">
        <is>
          <t>IVOL_BID</t>
        </is>
      </c>
      <c r="JI3" s="5" t="inlineStr">
        <is>
          <t>IVOL_ASK</t>
        </is>
      </c>
      <c r="JJ3" s="5" t="inlineStr">
        <is>
          <t>DELTA_MID</t>
        </is>
      </c>
      <c r="JK3" s="5" t="inlineStr">
        <is>
          <t>GAMMA_MID</t>
        </is>
      </c>
      <c r="JL3" s="5" t="inlineStr">
        <is>
          <t>VEGA_MID</t>
        </is>
      </c>
      <c r="JM3" s="5" t="inlineStr">
        <is>
          <t>THETA_MID</t>
        </is>
      </c>
      <c r="JN3" s="5" t="inlineStr">
        <is>
          <t>OPT_UNDL_PX</t>
        </is>
      </c>
      <c r="JP3" s="5" t="inlineStr">
        <is>
          <t>Date</t>
        </is>
      </c>
      <c r="JQ3" s="5" t="inlineStr">
        <is>
          <t>PX_BID</t>
        </is>
      </c>
      <c r="JR3" s="5" t="inlineStr">
        <is>
          <t>PX_ASK</t>
        </is>
      </c>
      <c r="JS3" s="5" t="inlineStr">
        <is>
          <t>PX_MID</t>
        </is>
      </c>
      <c r="JT3" s="5" t="inlineStr">
        <is>
          <t>PX_LAST</t>
        </is>
      </c>
      <c r="JU3" s="5" t="inlineStr">
        <is>
          <t>PX_SETTLE</t>
        </is>
      </c>
      <c r="JV3" s="5" t="inlineStr">
        <is>
          <t>PX_VOLUME</t>
        </is>
      </c>
      <c r="JW3" s="5" t="inlineStr">
        <is>
          <t>OPEN_INT</t>
        </is>
      </c>
      <c r="JX3" s="5" t="inlineStr">
        <is>
          <t>IVOL_MID</t>
        </is>
      </c>
      <c r="JY3" s="5" t="inlineStr">
        <is>
          <t>IVOL_BID</t>
        </is>
      </c>
      <c r="JZ3" s="5" t="inlineStr">
        <is>
          <t>IVOL_ASK</t>
        </is>
      </c>
      <c r="KA3" s="5" t="inlineStr">
        <is>
          <t>DELTA_MID</t>
        </is>
      </c>
      <c r="KB3" s="5" t="inlineStr">
        <is>
          <t>GAMMA_MID</t>
        </is>
      </c>
      <c r="KC3" s="5" t="inlineStr">
        <is>
          <t>VEGA_MID</t>
        </is>
      </c>
      <c r="KD3" s="5" t="inlineStr">
        <is>
          <t>THETA_MID</t>
        </is>
      </c>
      <c r="KE3" s="5" t="inlineStr">
        <is>
          <t>OPT_UNDL_PX</t>
        </is>
      </c>
      <c r="KG3" s="5" t="inlineStr">
        <is>
          <t>Date</t>
        </is>
      </c>
      <c r="KH3" s="5" t="inlineStr">
        <is>
          <t>PX_BID</t>
        </is>
      </c>
      <c r="KI3" s="5" t="inlineStr">
        <is>
          <t>PX_ASK</t>
        </is>
      </c>
      <c r="KJ3" s="5" t="inlineStr">
        <is>
          <t>PX_MID</t>
        </is>
      </c>
      <c r="KK3" s="5" t="inlineStr">
        <is>
          <t>PX_LAST</t>
        </is>
      </c>
      <c r="KL3" s="5" t="inlineStr">
        <is>
          <t>PX_SETTLE</t>
        </is>
      </c>
      <c r="KM3" s="5" t="inlineStr">
        <is>
          <t>PX_VOLUME</t>
        </is>
      </c>
      <c r="KN3" s="5" t="inlineStr">
        <is>
          <t>OPEN_INT</t>
        </is>
      </c>
      <c r="KO3" s="5" t="inlineStr">
        <is>
          <t>IVOL_MID</t>
        </is>
      </c>
      <c r="KP3" s="5" t="inlineStr">
        <is>
          <t>IVOL_BID</t>
        </is>
      </c>
      <c r="KQ3" s="5" t="inlineStr">
        <is>
          <t>IVOL_ASK</t>
        </is>
      </c>
      <c r="KR3" s="5" t="inlineStr">
        <is>
          <t>DELTA_MID</t>
        </is>
      </c>
      <c r="KS3" s="5" t="inlineStr">
        <is>
          <t>GAMMA_MID</t>
        </is>
      </c>
      <c r="KT3" s="5" t="inlineStr">
        <is>
          <t>VEGA_MID</t>
        </is>
      </c>
      <c r="KU3" s="5" t="inlineStr">
        <is>
          <t>THETA_MID</t>
        </is>
      </c>
      <c r="KV3" s="5" t="inlineStr">
        <is>
          <t>OPT_UNDL_PX</t>
        </is>
      </c>
      <c r="KX3" s="5" t="inlineStr">
        <is>
          <t>Date</t>
        </is>
      </c>
      <c r="KY3" s="5" t="inlineStr">
        <is>
          <t>PX_BID</t>
        </is>
      </c>
      <c r="KZ3" s="5" t="inlineStr">
        <is>
          <t>PX_ASK</t>
        </is>
      </c>
      <c r="LA3" s="5" t="inlineStr">
        <is>
          <t>PX_MID</t>
        </is>
      </c>
      <c r="LB3" s="5" t="inlineStr">
        <is>
          <t>PX_LAST</t>
        </is>
      </c>
      <c r="LC3" s="5" t="inlineStr">
        <is>
          <t>PX_SETTLE</t>
        </is>
      </c>
      <c r="LD3" s="5" t="inlineStr">
        <is>
          <t>PX_VOLUME</t>
        </is>
      </c>
      <c r="LE3" s="5" t="inlineStr">
        <is>
          <t>OPEN_INT</t>
        </is>
      </c>
      <c r="LF3" s="5" t="inlineStr">
        <is>
          <t>IVOL_MID</t>
        </is>
      </c>
      <c r="LG3" s="5" t="inlineStr">
        <is>
          <t>IVOL_BID</t>
        </is>
      </c>
      <c r="LH3" s="5" t="inlineStr">
        <is>
          <t>IVOL_ASK</t>
        </is>
      </c>
      <c r="LI3" s="5" t="inlineStr">
        <is>
          <t>DELTA_MID</t>
        </is>
      </c>
      <c r="LJ3" s="5" t="inlineStr">
        <is>
          <t>GAMMA_MID</t>
        </is>
      </c>
      <c r="LK3" s="5" t="inlineStr">
        <is>
          <t>VEGA_MID</t>
        </is>
      </c>
      <c r="LL3" s="5" t="inlineStr">
        <is>
          <t>THETA_MID</t>
        </is>
      </c>
      <c r="LM3" s="5" t="inlineStr">
        <is>
          <t>OPT_UNDL_PX</t>
        </is>
      </c>
      <c r="LO3" s="5" t="inlineStr">
        <is>
          <t>Date</t>
        </is>
      </c>
      <c r="LP3" s="5" t="inlineStr">
        <is>
          <t>PX_BID</t>
        </is>
      </c>
      <c r="LQ3" s="5" t="inlineStr">
        <is>
          <t>PX_ASK</t>
        </is>
      </c>
      <c r="LR3" s="5" t="inlineStr">
        <is>
          <t>PX_MID</t>
        </is>
      </c>
      <c r="LS3" s="5" t="inlineStr">
        <is>
          <t>PX_LAST</t>
        </is>
      </c>
      <c r="LT3" s="5" t="inlineStr">
        <is>
          <t>PX_SETTLE</t>
        </is>
      </c>
      <c r="LU3" s="5" t="inlineStr">
        <is>
          <t>PX_VOLUME</t>
        </is>
      </c>
      <c r="LV3" s="5" t="inlineStr">
        <is>
          <t>OPEN_INT</t>
        </is>
      </c>
      <c r="LW3" s="5" t="inlineStr">
        <is>
          <t>IVOL_MID</t>
        </is>
      </c>
      <c r="LX3" s="5" t="inlineStr">
        <is>
          <t>IVOL_BID</t>
        </is>
      </c>
      <c r="LY3" s="5" t="inlineStr">
        <is>
          <t>IVOL_ASK</t>
        </is>
      </c>
      <c r="LZ3" s="5" t="inlineStr">
        <is>
          <t>DELTA_MID</t>
        </is>
      </c>
      <c r="MA3" s="5" t="inlineStr">
        <is>
          <t>GAMMA_MID</t>
        </is>
      </c>
      <c r="MB3" s="5" t="inlineStr">
        <is>
          <t>VEGA_MID</t>
        </is>
      </c>
      <c r="MC3" s="5" t="inlineStr">
        <is>
          <t>THETA_MID</t>
        </is>
      </c>
      <c r="MD3" s="5" t="inlineStr">
        <is>
          <t>OPT_UNDL_PX</t>
        </is>
      </c>
      <c r="MF3" s="5" t="inlineStr">
        <is>
          <t>Date</t>
        </is>
      </c>
      <c r="MG3" s="5" t="inlineStr">
        <is>
          <t>PX_BID</t>
        </is>
      </c>
      <c r="MH3" s="5" t="inlineStr">
        <is>
          <t>PX_ASK</t>
        </is>
      </c>
      <c r="MI3" s="5" t="inlineStr">
        <is>
          <t>PX_MID</t>
        </is>
      </c>
      <c r="MJ3" s="5" t="inlineStr">
        <is>
          <t>PX_LAST</t>
        </is>
      </c>
      <c r="MK3" s="5" t="inlineStr">
        <is>
          <t>PX_SETTLE</t>
        </is>
      </c>
      <c r="ML3" s="5" t="inlineStr">
        <is>
          <t>PX_VOLUME</t>
        </is>
      </c>
      <c r="MM3" s="5" t="inlineStr">
        <is>
          <t>OPEN_INT</t>
        </is>
      </c>
      <c r="MN3" s="5" t="inlineStr">
        <is>
          <t>IVOL_MID</t>
        </is>
      </c>
      <c r="MO3" s="5" t="inlineStr">
        <is>
          <t>IVOL_BID</t>
        </is>
      </c>
      <c r="MP3" s="5" t="inlineStr">
        <is>
          <t>IVOL_ASK</t>
        </is>
      </c>
      <c r="MQ3" s="5" t="inlineStr">
        <is>
          <t>DELTA_MID</t>
        </is>
      </c>
      <c r="MR3" s="5" t="inlineStr">
        <is>
          <t>GAMMA_MID</t>
        </is>
      </c>
      <c r="MS3" s="5" t="inlineStr">
        <is>
          <t>VEGA_MID</t>
        </is>
      </c>
      <c r="MT3" s="5" t="inlineStr">
        <is>
          <t>THETA_MID</t>
        </is>
      </c>
      <c r="MU3" s="5" t="inlineStr">
        <is>
          <t>OPT_UNDL_PX</t>
        </is>
      </c>
      <c r="MW3" s="5" t="inlineStr">
        <is>
          <t>Date</t>
        </is>
      </c>
      <c r="MX3" s="5" t="inlineStr">
        <is>
          <t>PX_BID</t>
        </is>
      </c>
      <c r="MY3" s="5" t="inlineStr">
        <is>
          <t>PX_ASK</t>
        </is>
      </c>
      <c r="MZ3" s="5" t="inlineStr">
        <is>
          <t>PX_MID</t>
        </is>
      </c>
      <c r="NA3" s="5" t="inlineStr">
        <is>
          <t>PX_LAST</t>
        </is>
      </c>
      <c r="NB3" s="5" t="inlineStr">
        <is>
          <t>PX_SETTLE</t>
        </is>
      </c>
      <c r="NC3" s="5" t="inlineStr">
        <is>
          <t>PX_VOLUME</t>
        </is>
      </c>
      <c r="ND3" s="5" t="inlineStr">
        <is>
          <t>OPEN_INT</t>
        </is>
      </c>
      <c r="NE3" s="5" t="inlineStr">
        <is>
          <t>IVOL_MID</t>
        </is>
      </c>
      <c r="NF3" s="5" t="inlineStr">
        <is>
          <t>IVOL_BID</t>
        </is>
      </c>
      <c r="NG3" s="5" t="inlineStr">
        <is>
          <t>IVOL_ASK</t>
        </is>
      </c>
      <c r="NH3" s="5" t="inlineStr">
        <is>
          <t>DELTA_MID</t>
        </is>
      </c>
      <c r="NI3" s="5" t="inlineStr">
        <is>
          <t>GAMMA_MID</t>
        </is>
      </c>
      <c r="NJ3" s="5" t="inlineStr">
        <is>
          <t>VEGA_MID</t>
        </is>
      </c>
      <c r="NK3" s="5" t="inlineStr">
        <is>
          <t>THETA_MID</t>
        </is>
      </c>
      <c r="NL3" s="5" t="inlineStr">
        <is>
          <t>OPT_UNDL_PX</t>
        </is>
      </c>
    </row>
    <row r="4">
      <c r="A4" s="2" t="inlineStr">
        <is>
          <t>Strike reference date</t>
        </is>
      </c>
      <c r="B4" s="8">
        <f>B3-45</f>
        <v/>
      </c>
      <c r="D4" s="4">
        <f>BDH(D$1,E$3:S$3,$B$8,$B$9,"Dir=V","Dts=S","Sort=A","Days=T","Fill=B")</f>
        <v/>
      </c>
      <c r="U4" s="4">
        <f>BDH(U$1,V$3:AJ$3,$B$8,$B$9,"Dir=V","Dts=S","Sort=A","Days=T","Fill=B")</f>
        <v/>
      </c>
      <c r="AL4" s="4">
        <f>BDH(AL$1,AM$3:BA$3,$B$8,$B$9,"Dir=V","Dts=S","Sort=A","Days=T","Fill=B")</f>
        <v/>
      </c>
      <c r="BC4" s="4">
        <f>BDH(BC$1,BD$3:BR$3,$B$8,$B$9,"Dir=V","Dts=S","Sort=A","Days=T","Fill=B")</f>
        <v/>
      </c>
      <c r="BT4" s="4">
        <f>BDH(BT$1,BU$3:CI$3,$B$8,$B$9,"Dir=V","Dts=S","Sort=A","Days=T","Fill=B")</f>
        <v/>
      </c>
      <c r="CK4" s="4">
        <f>BDH(CK$1,CL$3:CZ$3,$B$8,$B$9,"Dir=V","Dts=S","Sort=A","Days=T","Fill=B")</f>
        <v/>
      </c>
      <c r="DB4" s="4">
        <f>BDH(DB$1,DC$3:DQ$3,$B$8,$B$9,"Dir=V","Dts=S","Sort=A","Days=T","Fill=B")</f>
        <v/>
      </c>
      <c r="DS4" s="4">
        <f>BDH(DS$1,DT$3:EH$3,$B$8,$B$9,"Dir=V","Dts=S","Sort=A","Days=T","Fill=B")</f>
        <v/>
      </c>
      <c r="EJ4" s="4">
        <f>BDH(EJ$1,EK$3:EY$3,$B$8,$B$9,"Dir=V","Dts=S","Sort=A","Days=T","Fill=B")</f>
        <v/>
      </c>
      <c r="FA4" s="4">
        <f>BDH(FA$1,FB$3:FP$3,$B$8,$B$9,"Dir=V","Dts=S","Sort=A","Days=T","Fill=B")</f>
        <v/>
      </c>
      <c r="FR4" s="4">
        <f>BDH(FR$1,FS$3:GG$3,$B$8,$B$9,"Dir=V","Dts=S","Sort=A","Days=T","Fill=B")</f>
        <v/>
      </c>
      <c r="GI4" s="4">
        <f>BDH(GI$1,GJ$3:GX$3,$B$8,$B$9,"Dir=V","Dts=S","Sort=A","Days=T","Fill=B")</f>
        <v/>
      </c>
      <c r="GZ4" s="4">
        <f>BDH(GZ$1,HA$3:HO$3,$B$8,$B$9,"Dir=V","Dts=S","Sort=A","Days=T","Fill=B")</f>
        <v/>
      </c>
      <c r="HQ4" s="4">
        <f>BDH(HQ$1,HR$3:IF$3,$B$8,$B$9,"Dir=V","Dts=S","Sort=A","Days=T","Fill=B")</f>
        <v/>
      </c>
      <c r="IH4" s="4">
        <f>BDH(IH$1,II$3:IW$3,$B$8,$B$9,"Dir=V","Dts=S","Sort=A","Days=T","Fill=B")</f>
        <v/>
      </c>
      <c r="IY4" s="4">
        <f>BDH(IY$1,IZ$3:JN$3,$B$8,$B$9,"Dir=V","Dts=S","Sort=A","Days=T","Fill=B")</f>
        <v/>
      </c>
      <c r="JP4" s="4">
        <f>BDH(JP$1,JQ$3:KE$3,$B$8,$B$9,"Dir=V","Dts=S","Sort=A","Days=T","Fill=B")</f>
        <v/>
      </c>
      <c r="KG4" s="4">
        <f>BDH(KG$1,KH$3:KV$3,$B$8,$B$9,"Dir=V","Dts=S","Sort=A","Days=T","Fill=B")</f>
        <v/>
      </c>
      <c r="KX4" s="4">
        <f>BDH(KX$1,KY$3:LM$3,$B$8,$B$9,"Dir=V","Dts=S","Sort=A","Days=T","Fill=B")</f>
        <v/>
      </c>
      <c r="LO4" s="4">
        <f>BDH(LO$1,LP$3:MD$3,$B$8,$B$9,"Dir=V","Dts=S","Sort=A","Days=T","Fill=B")</f>
        <v/>
      </c>
      <c r="MF4" s="4">
        <f>BDH(MF$1,MG$3:MU$3,$B$8,$B$9,"Dir=V","Dts=S","Sort=A","Days=T","Fill=B")</f>
        <v/>
      </c>
      <c r="MW4" s="4">
        <f>BDH(MW$1,MX$3:NL$3,$B$8,$B$9,"Dir=V","Dts=S","Sort=A","Days=T","Fill=B")</f>
        <v/>
      </c>
    </row>
    <row r="5">
      <c r="A5" s="2" t="inlineStr">
        <is>
          <t>Unadjusted close then</t>
        </is>
      </c>
      <c r="B5" s="10">
        <f>IF(B2="","",BDH(B2,"PX_LAST",B4,B4,"Days=A","Fill=P","Dts=H","CshAdjNormal=N","CshAdjAbnormal=N","CapChg=N"))</f>
        <v/>
      </c>
    </row>
    <row r="6">
      <c r="A6" s="2" t="inlineStr">
        <is>
          <t>Strike step</t>
        </is>
      </c>
      <c r="B6" s="11">
        <f>IF(ISNUMBER(B5),IF(B5&lt;25,0.5,IF(B5&lt;250,1,5)),"")</f>
        <v/>
      </c>
    </row>
    <row r="7">
      <c r="A7" s="2" t="inlineStr">
        <is>
          <t>ATM strike</t>
        </is>
      </c>
      <c r="B7" s="11">
        <f>IF(ISNUMBER(B5),ROUND(B5/B6,0)*B6,"")</f>
        <v/>
      </c>
    </row>
    <row r="8">
      <c r="A8" s="2" t="inlineStr">
        <is>
          <t>History start</t>
        </is>
      </c>
      <c r="B8" s="8">
        <f>B3-100</f>
        <v/>
      </c>
    </row>
    <row r="9">
      <c r="A9" s="2" t="inlineStr">
        <is>
          <t>History end</t>
        </is>
      </c>
      <c r="B9" s="8">
        <f>B3</f>
        <v/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  <col width="10" customWidth="1" min="4" max="4"/>
    <col width="12" customWidth="1" min="5" max="5"/>
    <col width="10" customWidth="1" min="6" max="6"/>
    <col width="14" customWidth="1" min="7" max="7"/>
    <col width="17" customWidth="1" min="9" max="9"/>
    <col width="10" customWidth="1" min="10" max="10"/>
    <col width="10" customWidth="1" min="11" max="11"/>
    <col width="10" customWidth="1" min="12" max="12"/>
    <col width="12" customWidth="1" min="13" max="13"/>
    <col width="10" customWidth="1" min="14" max="14"/>
    <col width="14" customWidth="1" min="15" max="15"/>
    <col width="17" customWidth="1" min="17" max="17"/>
    <col width="10" customWidth="1" min="18" max="18"/>
    <col width="10" customWidth="1" min="19" max="19"/>
    <col width="10" customWidth="1" min="20" max="20"/>
    <col width="12" customWidth="1" min="21" max="21"/>
    <col width="10" customWidth="1" min="22" max="22"/>
    <col width="14" customWidth="1" min="23" max="23"/>
  </cols>
  <sheetData>
    <row r="1">
      <c r="A1" s="2">
        <f>IF(Settings!$B$20="Y","CL1 Comdty","")</f>
        <v/>
      </c>
      <c r="I1" s="2">
        <f>IF(Settings!$B$20="Y","CO1 Comdty","")</f>
        <v/>
      </c>
      <c r="Q1" s="2">
        <f>IF(Settings!$B$20="Y","USO US Equity","")</f>
        <v/>
      </c>
    </row>
    <row r="2">
      <c r="A2" s="4" t="inlineStr">
        <is>
          <t>5-minute trade bars</t>
        </is>
      </c>
      <c r="I2" s="4" t="inlineStr">
        <is>
          <t>5-minute trade bars</t>
        </is>
      </c>
      <c r="Q2" s="4" t="inlineStr">
        <is>
          <t>5-minute trade bars</t>
        </is>
      </c>
    </row>
    <row r="3">
      <c r="A3" s="5" t="inlineStr">
        <is>
          <t>Date</t>
        </is>
      </c>
      <c r="B3" s="5" t="inlineStr">
        <is>
          <t>OPEN</t>
        </is>
      </c>
      <c r="C3" s="5" t="inlineStr">
        <is>
          <t>HIGH</t>
        </is>
      </c>
      <c r="D3" s="5" t="inlineStr">
        <is>
          <t>LOW</t>
        </is>
      </c>
      <c r="E3" s="5" t="inlineStr">
        <is>
          <t>LAST_PRICE</t>
        </is>
      </c>
      <c r="F3" s="5" t="inlineStr">
        <is>
          <t>VOLUME</t>
        </is>
      </c>
      <c r="G3" s="5" t="inlineStr">
        <is>
          <t>NUMBER_TICKS</t>
        </is>
      </c>
      <c r="I3" s="5" t="inlineStr">
        <is>
          <t>Date</t>
        </is>
      </c>
      <c r="J3" s="5" t="inlineStr">
        <is>
          <t>OPEN</t>
        </is>
      </c>
      <c r="K3" s="5" t="inlineStr">
        <is>
          <t>HIGH</t>
        </is>
      </c>
      <c r="L3" s="5" t="inlineStr">
        <is>
          <t>LOW</t>
        </is>
      </c>
      <c r="M3" s="5" t="inlineStr">
        <is>
          <t>LAST_PRICE</t>
        </is>
      </c>
      <c r="N3" s="5" t="inlineStr">
        <is>
          <t>VOLUME</t>
        </is>
      </c>
      <c r="O3" s="5" t="inlineStr">
        <is>
          <t>NUMBER_TICKS</t>
        </is>
      </c>
      <c r="Q3" s="5" t="inlineStr">
        <is>
          <t>Date</t>
        </is>
      </c>
      <c r="R3" s="5" t="inlineStr">
        <is>
          <t>OPEN</t>
        </is>
      </c>
      <c r="S3" s="5" t="inlineStr">
        <is>
          <t>HIGH</t>
        </is>
      </c>
      <c r="T3" s="5" t="inlineStr">
        <is>
          <t>LOW</t>
        </is>
      </c>
      <c r="U3" s="5" t="inlineStr">
        <is>
          <t>LAST_PRICE</t>
        </is>
      </c>
      <c r="V3" s="5" t="inlineStr">
        <is>
          <t>VOLUME</t>
        </is>
      </c>
      <c r="W3" s="5" t="inlineStr">
        <is>
          <t>NUMBER_TICKS</t>
        </is>
      </c>
    </row>
    <row r="4">
      <c r="A4" s="4">
        <f>BDH(A$1,B$3:G$3,Settings!$C$20,Settings!$D$20,"BarTp=T","BarSz="&amp;Settings!$F$20,"Dir=V","Dts=S","Sort=A")</f>
        <v/>
      </c>
      <c r="I4" s="4">
        <f>BDH(I$1,J$3:O$3,Settings!$C$20,Settings!$D$20,"BarTp=T","BarSz="&amp;Settings!$F$20,"Dir=V","Dts=S","Sort=A")</f>
        <v/>
      </c>
      <c r="Q4" s="4">
        <f>BDH(Q$1,R$3:W$3,Settings!$C$20,Settings!$D$20,"BarTp=T","BarSz="&amp;Settings!$F$20,"Dir=V","Dts=S","Sort=A")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2026-10-13T23:36:51Z</dcterms:created>
  <dcterms:modified xmlns:dcterms="http://purl.org/dc/terms/" xmlns:xsi="http://www.w3.org/2001/XMLSchema-instance" xsi:type="dcterms:W3CDTF">2026-10-13T23:36:53Z</dcterms:modified>
</cp:coreProperties>
</file>