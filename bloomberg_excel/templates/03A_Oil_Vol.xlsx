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L1" sheetId="2" state="visible" r:id="rId2"/>
    <sheet xmlns:r="http://schemas.openxmlformats.org/officeDocument/2006/relationships" name="CL2" sheetId="3" state="visible" r:id="rId3"/>
    <sheet xmlns:r="http://schemas.openxmlformats.org/officeDocument/2006/relationships" name="CO1" sheetId="4" state="visible" r:id="rId4"/>
    <sheet xmlns:r="http://schemas.openxmlformats.org/officeDocument/2006/relationships" name="U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Oil implied-vol surfaces, part A of 3 (oil-vol)</t>
        </is>
      </c>
    </row>
    <row r="3">
      <c r="A3" s="2" t="inlineStr">
        <is>
          <t>Start date</t>
        </is>
      </c>
      <c r="B3" s="3" t="n">
        <v>42370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File &gt; Save As, keep .xlsx, and add the date to the name. Upload the saved file to Claude.</t>
        </is>
      </c>
    </row>
    <row r="14">
      <c r="A14" s="4" t="inlineStr">
        <is>
          <t>5. This is a large pull. Open parts A, B and C on different days if Bloomberg warns about data limits.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CL1 Comdty</t>
        </is>
      </c>
      <c r="AA1" s="5" t="inlineStr">
        <is>
          <t>CL1 Comdty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CL2 Comdty</t>
        </is>
      </c>
      <c r="AA1" s="5" t="inlineStr">
        <is>
          <t>CL2 Comdty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CO1 Comdty</t>
        </is>
      </c>
      <c r="AA1" s="5" t="inlineStr">
        <is>
          <t>CO1 Comdty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5" t="inlineStr">
        <is>
          <t>USO US Equity</t>
        </is>
      </c>
      <c r="AA1" s="5" t="inlineStr">
        <is>
          <t>USO US Equity</t>
        </is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6" t="inlineStr">
        <is>
          <t>Date</t>
        </is>
      </c>
      <c r="B3" s="6" t="inlineStr">
        <is>
          <t>30DAY_IMPVOL_90.0%MNY_DF</t>
        </is>
      </c>
      <c r="C3" s="6" t="inlineStr">
        <is>
          <t>30DAY_IMPVOL_95.0%MNY_DF</t>
        </is>
      </c>
      <c r="D3" s="6" t="inlineStr">
        <is>
          <t>30DAY_IMPVOL_100.0%MNY_DF</t>
        </is>
      </c>
      <c r="E3" s="6" t="inlineStr">
        <is>
          <t>30DAY_IMPVOL_105.0%MNY_DF</t>
        </is>
      </c>
      <c r="F3" s="6" t="inlineStr">
        <is>
          <t>30DAY_IMPVOL_110.0%MNY_DF</t>
        </is>
      </c>
      <c r="G3" s="6" t="inlineStr">
        <is>
          <t>60DAY_IMPVOL_90.0%MNY_DF</t>
        </is>
      </c>
      <c r="H3" s="6" t="inlineStr">
        <is>
          <t>60DAY_IMPVOL_95.0%MNY_DF</t>
        </is>
      </c>
      <c r="I3" s="6" t="inlineStr">
        <is>
          <t>60DAY_IMPVOL_100.0%MNY_DF</t>
        </is>
      </c>
      <c r="J3" s="6" t="inlineStr">
        <is>
          <t>60DAY_IMPVOL_105.0%MNY_DF</t>
        </is>
      </c>
      <c r="K3" s="6" t="inlineStr">
        <is>
          <t>60DAY_IMPVOL_110.0%MNY_DF</t>
        </is>
      </c>
      <c r="L3" s="6" t="inlineStr">
        <is>
          <t>3MTH_IMPVOL_90.0%MNY_DF</t>
        </is>
      </c>
      <c r="M3" s="6" t="inlineStr">
        <is>
          <t>3MTH_IMPVOL_95.0%MNY_DF</t>
        </is>
      </c>
      <c r="N3" s="6" t="inlineStr">
        <is>
          <t>3MTH_IMPVOL_100.0%MNY_DF</t>
        </is>
      </c>
      <c r="O3" s="6" t="inlineStr">
        <is>
          <t>3MTH_IMPVOL_105.0%MNY_DF</t>
        </is>
      </c>
      <c r="P3" s="6" t="inlineStr">
        <is>
          <t>3MTH_IMPVOL_110.0%MNY_DF</t>
        </is>
      </c>
      <c r="Q3" s="6" t="inlineStr">
        <is>
          <t>6MTH_IMPVOL_90.0%MNY_DF</t>
        </is>
      </c>
      <c r="R3" s="6" t="inlineStr">
        <is>
          <t>6MTH_IMPVOL_95.0%MNY_DF</t>
        </is>
      </c>
      <c r="S3" s="6" t="inlineStr">
        <is>
          <t>6MTH_IMPVOL_100.0%MNY_DF</t>
        </is>
      </c>
      <c r="T3" s="6" t="inlineStr">
        <is>
          <t>6MTH_IMPVOL_105.0%MNY_DF</t>
        </is>
      </c>
      <c r="U3" s="6" t="inlineStr">
        <is>
          <t>6MTH_IMPVOL_110.0%MNY_DF</t>
        </is>
      </c>
      <c r="V3" s="6" t="inlineStr">
        <is>
          <t>1M_CALL_IMP_VOL_10DELTA_DFLT</t>
        </is>
      </c>
      <c r="W3" s="6" t="inlineStr">
        <is>
          <t>1M_CALL_IMP_VOL_25DELTA_DFLT</t>
        </is>
      </c>
      <c r="X3" s="6" t="inlineStr">
        <is>
          <t>1M_CALL_IMP_VOL_50DELTA_DFLT</t>
        </is>
      </c>
      <c r="Y3" s="6" t="inlineStr">
        <is>
          <t>1M_PUT_IMP_VOL_10DELTA_DFLT</t>
        </is>
      </c>
      <c r="AA3" s="6" t="inlineStr">
        <is>
          <t>Date</t>
        </is>
      </c>
      <c r="AB3" s="6" t="inlineStr">
        <is>
          <t>1M_PUT_IMP_VOL_25DELTA_DFLT</t>
        </is>
      </c>
      <c r="AC3" s="6" t="inlineStr">
        <is>
          <t>1M_PUT_IMP_VOL_50DELTA_DFLT</t>
        </is>
      </c>
      <c r="AD3" s="6" t="inlineStr">
        <is>
          <t>2M_CALL_IMP_VOL_10DELTA_DFLT</t>
        </is>
      </c>
      <c r="AE3" s="6" t="inlineStr">
        <is>
          <t>2M_CALL_IMP_VOL_25DELTA_DFLT</t>
        </is>
      </c>
      <c r="AF3" s="6" t="inlineStr">
        <is>
          <t>2M_CALL_IMP_VOL_50DELTA_DFLT</t>
        </is>
      </c>
      <c r="AG3" s="6" t="inlineStr">
        <is>
          <t>2M_PUT_IMP_VOL_10DELTA_DFLT</t>
        </is>
      </c>
      <c r="AH3" s="6" t="inlineStr">
        <is>
          <t>2M_PUT_IMP_VOL_25DELTA_DFLT</t>
        </is>
      </c>
      <c r="AI3" s="6" t="inlineStr">
        <is>
          <t>2M_PUT_IMP_VOL_50DELTA_DFLT</t>
        </is>
      </c>
      <c r="AJ3" s="6" t="inlineStr">
        <is>
          <t>3M_CALL_IMP_VOL_10DELTA_DFLT</t>
        </is>
      </c>
      <c r="AK3" s="6" t="inlineStr">
        <is>
          <t>3M_CALL_IMP_VOL_25DELTA_DFLT</t>
        </is>
      </c>
      <c r="AL3" s="6" t="inlineStr">
        <is>
          <t>3M_CALL_IMP_VOL_50DELTA_DFLT</t>
        </is>
      </c>
      <c r="AM3" s="6" t="inlineStr">
        <is>
          <t>3M_PUT_IMP_VOL_10DELTA_DFLT</t>
        </is>
      </c>
      <c r="AN3" s="6" t="inlineStr">
        <is>
          <t>3M_PUT_IMP_VOL_25DELTA_DFLT</t>
        </is>
      </c>
      <c r="AO3" s="6" t="inlineStr">
        <is>
          <t>3M_PUT_IMP_VOL_50DELTA_DFLT</t>
        </is>
      </c>
      <c r="AP3" s="6" t="inlineStr">
        <is>
          <t>HIST_CALL_IMP_VOL</t>
        </is>
      </c>
      <c r="AQ3" s="6" t="inlineStr">
        <is>
          <t>HIST_PUT_IMP_VOL</t>
        </is>
      </c>
      <c r="AR3" s="6" t="inlineStr">
        <is>
          <t>VOLATILITY_10D</t>
        </is>
      </c>
      <c r="AS3" s="6" t="inlineStr">
        <is>
          <t>VOLATILITY_30D</t>
        </is>
      </c>
      <c r="AT3" s="6" t="inlineStr">
        <is>
          <t>VOLATILITY_90D</t>
        </is>
      </c>
      <c r="AU3" s="6" t="inlineStr">
        <is>
          <t>PUT_CALL_VOLUME_RATIO_CUR_DAY</t>
        </is>
      </c>
      <c r="AV3" s="6" t="inlineStr">
        <is>
          <t>OPEN_INT_TOTAL_CALL</t>
        </is>
      </c>
      <c r="AW3" s="6" t="inlineStr">
        <is>
          <t>OPEN_INT_TOTAL_PUT</t>
        </is>
      </c>
      <c r="AX3" s="6" t="inlineStr">
        <is>
          <t>VOLUME_TOTAL_CALL</t>
        </is>
      </c>
      <c r="AY3" s="6" t="inlineStr">
        <is>
          <t>VOLUME_TOTAL_PUT</t>
        </is>
      </c>
    </row>
    <row r="4">
      <c r="A4" s="4">
        <f>BDH(A$1,B$3:Y$3,Settings!$B$3,IF(Settings!$B$4="","",Settings!$B$4),"Dir=V","Dts=S","Sort=A","Days=T","Fill=B")</f>
        <v/>
      </c>
      <c r="AA4" s="4">
        <f>BDH(AA$1,AB$3:AY$3,Settings!$B$3,IF(Settings!$B$4="","",Settings!$B$4),"Dir=V","Dts=S","Sort=A","Days=T","Fill=B")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